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DF\Nuno\IAEA\PIGE_IAEA_2023\round_2\all results 2\"/>
    </mc:Choice>
  </mc:AlternateContent>
  <xr:revisionPtr revIDLastSave="0" documentId="13_ncr:1_{AF8292E7-E286-45B9-B7AC-2767BEE49010}" xr6:coauthVersionLast="36" xr6:coauthVersionMax="36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Ex 2 full 0" sheetId="1" r:id="rId1"/>
    <sheet name="Ex 2 full 1" sheetId="2" r:id="rId2"/>
    <sheet name="Ex 2 Gauss 0" sheetId="4" r:id="rId3"/>
    <sheet name="Ex 2 Gauss 1" sheetId="5" r:id="rId4"/>
    <sheet name="Ex 2 full 0 50 eV" sheetId="6" r:id="rId5"/>
    <sheet name="Ex 2 full 1 50 eV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4" i="6" l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3" i="6"/>
  <c r="Q4" i="4"/>
  <c r="Q5" i="4"/>
  <c r="Q6" i="4"/>
  <c r="Q7" i="4"/>
  <c r="Q8" i="4"/>
  <c r="Q9" i="4"/>
  <c r="Q10" i="4"/>
  <c r="Q11" i="4"/>
  <c r="Q12" i="4"/>
  <c r="Q13" i="4"/>
  <c r="Q14" i="4"/>
  <c r="Q15" i="4"/>
  <c r="Q3" i="4"/>
  <c r="P4" i="4"/>
  <c r="P5" i="4"/>
  <c r="P6" i="4"/>
  <c r="P7" i="4"/>
  <c r="P8" i="4"/>
  <c r="P9" i="4"/>
  <c r="P10" i="4"/>
  <c r="P11" i="4"/>
  <c r="P12" i="4"/>
  <c r="P13" i="4"/>
  <c r="P14" i="4"/>
  <c r="P15" i="4"/>
  <c r="P3" i="4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2" i="7"/>
  <c r="AA4" i="5"/>
  <c r="AA5" i="5"/>
  <c r="AA6" i="5"/>
  <c r="AA7" i="5"/>
  <c r="AA8" i="5"/>
  <c r="AA9" i="5"/>
  <c r="AA10" i="5"/>
  <c r="AA11" i="5"/>
  <c r="AA12" i="5"/>
  <c r="AA13" i="5"/>
  <c r="AA14" i="5"/>
  <c r="AA15" i="5"/>
  <c r="AA3" i="5"/>
  <c r="AA4" i="4"/>
  <c r="AA5" i="4"/>
  <c r="AA6" i="4"/>
  <c r="AA7" i="4"/>
  <c r="AA8" i="4"/>
  <c r="AA9" i="4"/>
  <c r="AA10" i="4"/>
  <c r="AA11" i="4"/>
  <c r="AA12" i="4"/>
  <c r="AA13" i="4"/>
  <c r="AA14" i="4"/>
  <c r="AA15" i="4"/>
  <c r="AA3" i="4"/>
  <c r="N4" i="5"/>
  <c r="O4" i="5" s="1"/>
  <c r="N5" i="5"/>
  <c r="O5" i="5" s="1"/>
  <c r="N6" i="5"/>
  <c r="O6" i="5" s="1"/>
  <c r="N7" i="5"/>
  <c r="O7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15" i="5"/>
  <c r="O15" i="5" s="1"/>
  <c r="N3" i="5"/>
  <c r="O3" i="5" s="1"/>
  <c r="L6" i="5"/>
  <c r="M6" i="5" s="1"/>
  <c r="L7" i="5"/>
  <c r="M7" i="5" s="1"/>
  <c r="L14" i="5"/>
  <c r="M14" i="5" s="1"/>
  <c r="L15" i="5"/>
  <c r="M15" i="5" s="1"/>
  <c r="L3" i="5"/>
  <c r="M3" i="5" s="1"/>
  <c r="C15" i="5"/>
  <c r="C14" i="5"/>
  <c r="C13" i="5"/>
  <c r="L13" i="5" s="1"/>
  <c r="M13" i="5" s="1"/>
  <c r="C12" i="5"/>
  <c r="L12" i="5" s="1"/>
  <c r="M12" i="5" s="1"/>
  <c r="C11" i="5"/>
  <c r="L11" i="5" s="1"/>
  <c r="M11" i="5" s="1"/>
  <c r="C10" i="5"/>
  <c r="L10" i="5" s="1"/>
  <c r="M10" i="5" s="1"/>
  <c r="C9" i="5"/>
  <c r="L9" i="5" s="1"/>
  <c r="M9" i="5" s="1"/>
  <c r="C8" i="5"/>
  <c r="L8" i="5" s="1"/>
  <c r="M8" i="5" s="1"/>
  <c r="C7" i="5"/>
  <c r="C6" i="5"/>
  <c r="C5" i="5"/>
  <c r="L5" i="5" s="1"/>
  <c r="M5" i="5" s="1"/>
  <c r="C4" i="5"/>
  <c r="L4" i="5" s="1"/>
  <c r="M4" i="5" s="1"/>
  <c r="C3" i="5"/>
  <c r="N4" i="4"/>
  <c r="O4" i="4" s="1"/>
  <c r="N5" i="4"/>
  <c r="O5" i="4" s="1"/>
  <c r="N6" i="4"/>
  <c r="O6" i="4" s="1"/>
  <c r="N7" i="4"/>
  <c r="O7" i="4" s="1"/>
  <c r="N8" i="4"/>
  <c r="O8" i="4" s="1"/>
  <c r="N9" i="4"/>
  <c r="O9" i="4" s="1"/>
  <c r="N10" i="4"/>
  <c r="O10" i="4" s="1"/>
  <c r="N11" i="4"/>
  <c r="O11" i="4" s="1"/>
  <c r="N12" i="4"/>
  <c r="O12" i="4" s="1"/>
  <c r="N13" i="4"/>
  <c r="O13" i="4" s="1"/>
  <c r="N14" i="4"/>
  <c r="O14" i="4" s="1"/>
  <c r="N15" i="4"/>
  <c r="O15" i="4" s="1"/>
  <c r="N3" i="4"/>
  <c r="O3" i="4" s="1"/>
  <c r="C15" i="4"/>
  <c r="L15" i="4" s="1"/>
  <c r="M15" i="4" s="1"/>
  <c r="C14" i="4"/>
  <c r="L14" i="4" s="1"/>
  <c r="M14" i="4" s="1"/>
  <c r="C13" i="4"/>
  <c r="L13" i="4" s="1"/>
  <c r="M13" i="4" s="1"/>
  <c r="C12" i="4"/>
  <c r="C11" i="4"/>
  <c r="L11" i="4" s="1"/>
  <c r="M11" i="4" s="1"/>
  <c r="C10" i="4"/>
  <c r="C9" i="4"/>
  <c r="L9" i="4" s="1"/>
  <c r="M9" i="4" s="1"/>
  <c r="C8" i="4"/>
  <c r="L8" i="4" s="1"/>
  <c r="M8" i="4" s="1"/>
  <c r="C7" i="4"/>
  <c r="L7" i="4" s="1"/>
  <c r="M7" i="4" s="1"/>
  <c r="C6" i="4"/>
  <c r="L6" i="4" s="1"/>
  <c r="M6" i="4" s="1"/>
  <c r="C5" i="4"/>
  <c r="L5" i="4" s="1"/>
  <c r="M5" i="4" s="1"/>
  <c r="C4" i="4"/>
  <c r="C3" i="4"/>
  <c r="L3" i="4" s="1"/>
  <c r="M3" i="4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N3" i="2"/>
  <c r="O3" i="2" s="1"/>
  <c r="O15" i="2"/>
  <c r="L9" i="2"/>
  <c r="M9" i="2" s="1"/>
  <c r="C15" i="2"/>
  <c r="C14" i="2"/>
  <c r="D14" i="2" s="1"/>
  <c r="L14" i="2" s="1"/>
  <c r="M14" i="2" s="1"/>
  <c r="C13" i="2"/>
  <c r="D13" i="2" s="1"/>
  <c r="L13" i="2" s="1"/>
  <c r="M13" i="2" s="1"/>
  <c r="C12" i="2"/>
  <c r="C11" i="2"/>
  <c r="D11" i="2" s="1"/>
  <c r="L11" i="2" s="1"/>
  <c r="M11" i="2" s="1"/>
  <c r="C10" i="2"/>
  <c r="C9" i="2"/>
  <c r="D9" i="2" s="1"/>
  <c r="C8" i="2"/>
  <c r="D8" i="2" s="1"/>
  <c r="L8" i="2" s="1"/>
  <c r="M8" i="2" s="1"/>
  <c r="C7" i="2"/>
  <c r="C6" i="2"/>
  <c r="D6" i="2" s="1"/>
  <c r="L6" i="2" s="1"/>
  <c r="M6" i="2" s="1"/>
  <c r="C5" i="2"/>
  <c r="D5" i="2" s="1"/>
  <c r="L5" i="2" s="1"/>
  <c r="M5" i="2" s="1"/>
  <c r="C4" i="2"/>
  <c r="C3" i="2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3" i="1"/>
  <c r="O3" i="1" s="1"/>
  <c r="L6" i="1"/>
  <c r="M6" i="1" s="1"/>
  <c r="L15" i="1"/>
  <c r="M15" i="1" s="1"/>
  <c r="C15" i="1"/>
  <c r="D15" i="1" s="1"/>
  <c r="C14" i="1"/>
  <c r="D14" i="1" s="1"/>
  <c r="L14" i="1" s="1"/>
  <c r="M14" i="1" s="1"/>
  <c r="C13" i="1"/>
  <c r="D13" i="1" s="1"/>
  <c r="L13" i="1" s="1"/>
  <c r="M13" i="1" s="1"/>
  <c r="C12" i="1"/>
  <c r="D12" i="1" s="1"/>
  <c r="L12" i="1" s="1"/>
  <c r="M12" i="1" s="1"/>
  <c r="C11" i="1"/>
  <c r="D11" i="1" s="1"/>
  <c r="L11" i="1" s="1"/>
  <c r="M11" i="1" s="1"/>
  <c r="C10" i="1"/>
  <c r="D10" i="1" s="1"/>
  <c r="L10" i="1" s="1"/>
  <c r="M10" i="1" s="1"/>
  <c r="C9" i="1"/>
  <c r="D9" i="1" s="1"/>
  <c r="L9" i="1" s="1"/>
  <c r="M9" i="1" s="1"/>
  <c r="C8" i="1"/>
  <c r="D8" i="1" s="1"/>
  <c r="L8" i="1" s="1"/>
  <c r="M8" i="1" s="1"/>
  <c r="C7" i="1"/>
  <c r="D7" i="1" s="1"/>
  <c r="L7" i="1" s="1"/>
  <c r="M7" i="1" s="1"/>
  <c r="C6" i="1"/>
  <c r="D6" i="1" s="1"/>
  <c r="C5" i="1"/>
  <c r="D5" i="1" s="1"/>
  <c r="L5" i="1" s="1"/>
  <c r="M5" i="1" s="1"/>
  <c r="C4" i="1"/>
  <c r="D4" i="1" s="1"/>
  <c r="L4" i="1" s="1"/>
  <c r="M4" i="1" s="1"/>
  <c r="C3" i="1"/>
  <c r="D3" i="1" s="1"/>
  <c r="L3" i="1" s="1"/>
  <c r="M3" i="1" s="1"/>
  <c r="L4" i="4" l="1"/>
  <c r="M4" i="4" s="1"/>
  <c r="L12" i="4"/>
  <c r="M12" i="4" s="1"/>
  <c r="L10" i="4"/>
  <c r="M10" i="4" s="1"/>
  <c r="D10" i="2"/>
  <c r="L10" i="2" s="1"/>
  <c r="M10" i="2" s="1"/>
  <c r="D15" i="2"/>
  <c r="L15" i="2" s="1"/>
  <c r="M15" i="2" s="1"/>
  <c r="D3" i="2"/>
  <c r="L3" i="2" s="1"/>
  <c r="M3" i="2" s="1"/>
  <c r="D4" i="2"/>
  <c r="L4" i="2" s="1"/>
  <c r="M4" i="2" s="1"/>
  <c r="D12" i="2"/>
  <c r="L12" i="2" s="1"/>
  <c r="M12" i="2" s="1"/>
  <c r="D7" i="2"/>
  <c r="L7" i="2" s="1"/>
  <c r="M7" i="2" s="1"/>
</calcChain>
</file>

<file path=xl/sharedStrings.xml><?xml version="1.0" encoding="utf-8"?>
<sst xmlns="http://schemas.openxmlformats.org/spreadsheetml/2006/main" count="70" uniqueCount="14">
  <si>
    <t>ERYA</t>
  </si>
  <si>
    <t>NDF</t>
  </si>
  <si>
    <t>SMNRA</t>
  </si>
  <si>
    <t>ERYA/NDF</t>
  </si>
  <si>
    <t>REL</t>
  </si>
  <si>
    <t>SMNRA/NDF</t>
  </si>
  <si>
    <t>Energy (keV)</t>
  </si>
  <si>
    <t>27Al (844 keV)</t>
  </si>
  <si>
    <t>Renormalization</t>
  </si>
  <si>
    <t>Count/msr/uC</t>
  </si>
  <si>
    <t>NDF-SMNRA</t>
  </si>
  <si>
    <t>NDF-ERYA</t>
  </si>
  <si>
    <t>SMNRA-asym</t>
  </si>
  <si>
    <t>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</si>
</sst>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"/>
    <numFmt numFmtId="165" formatCode="0.000000000"/>
    <numFmt numFmtId="166" formatCode="0.0000000000"/>
    <numFmt numFmtId="167" formatCode="0.000000000000"/>
    <numFmt numFmtId="168" formatCode="0.00000000000000"/>
    <numFmt numFmtId="169" formatCode="0.00000000000"/>
    <numFmt numFmtId="170" formatCode="0.0000000000000"/>
  </numFmts>
  <fonts count="2" x14ac:knownFonts="1">
    <font>
      <sz val="12"/>
      <name val="Calibri"/>
      <family val="2"/>
      <charset val="1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</a:t>
            </a:r>
            <a:r>
              <a:rPr lang="en-GB" sz="2000" baseline="0"/>
              <a:t> 2 Full Straggling </a:t>
            </a:r>
            <a:r>
              <a:rPr lang="el-GR" sz="2000" baseline="0"/>
              <a:t>Δ</a:t>
            </a:r>
            <a:r>
              <a:rPr lang="en-GB" sz="2000" baseline="0"/>
              <a:t>E=0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0'!$F$3:$F$15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full 0'!$D$3:$D$15</c:f>
              <c:numCache>
                <c:formatCode>General</c:formatCode>
                <c:ptCount val="13"/>
                <c:pt idx="0">
                  <c:v>0</c:v>
                </c:pt>
                <c:pt idx="1">
                  <c:v>1.0788072003877329E-6</c:v>
                </c:pt>
                <c:pt idx="2">
                  <c:v>9.0251469231294335E-3</c:v>
                </c:pt>
                <c:pt idx="3">
                  <c:v>0.19990158719401785</c:v>
                </c:pt>
                <c:pt idx="4">
                  <c:v>0.18618840652394636</c:v>
                </c:pt>
                <c:pt idx="5">
                  <c:v>0.17321158882579668</c:v>
                </c:pt>
                <c:pt idx="6">
                  <c:v>0.1668367629633912</c:v>
                </c:pt>
                <c:pt idx="7">
                  <c:v>0.16318207239910629</c:v>
                </c:pt>
                <c:pt idx="8">
                  <c:v>0.16232272540634027</c:v>
                </c:pt>
                <c:pt idx="9">
                  <c:v>0.16580603974107791</c:v>
                </c:pt>
                <c:pt idx="10">
                  <c:v>0.16960436577832877</c:v>
                </c:pt>
                <c:pt idx="11">
                  <c:v>0.17215004254061514</c:v>
                </c:pt>
                <c:pt idx="12">
                  <c:v>0.17132953260706307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2-4E60-8764-294661D7491D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0'!$F$3:$F$15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full 0'!$G$3:$G$15</c:f>
              <c:numCache>
                <c:formatCode>0.000000000</c:formatCode>
                <c:ptCount val="13"/>
                <c:pt idx="0">
                  <c:v>2.0776745E-3</c:v>
                </c:pt>
                <c:pt idx="1">
                  <c:v>2.2027320000000002E-3</c:v>
                </c:pt>
                <c:pt idx="2">
                  <c:v>2.3390132000000001E-3</c:v>
                </c:pt>
                <c:pt idx="3">
                  <c:v>2.4896807E-3</c:v>
                </c:pt>
                <c:pt idx="4">
                  <c:v>2.6560158000000001E-3</c:v>
                </c:pt>
                <c:pt idx="5">
                  <c:v>2.8411839E-3</c:v>
                </c:pt>
                <c:pt idx="6">
                  <c:v>3.0485208000000001E-3</c:v>
                </c:pt>
                <c:pt idx="7">
                  <c:v>3.2803791E-3</c:v>
                </c:pt>
                <c:pt idx="8">
                  <c:v>3.5431311000000002E-3</c:v>
                </c:pt>
                <c:pt idx="9">
                  <c:v>3.8431601E-3</c:v>
                </c:pt>
                <c:pt idx="10">
                  <c:v>4.1881161999999996E-3</c:v>
                </c:pt>
                <c:pt idx="11">
                  <c:v>4.5890076999999998E-3</c:v>
                </c:pt>
                <c:pt idx="12">
                  <c:v>5.0570737000000003E-3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2-4E60-8764-294661D7491D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0'!$F$3:$F$15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full 0'!$J$3:$J$15</c:f>
              <c:numCache>
                <c:formatCode>0.00000000</c:formatCode>
                <c:ptCount val="13"/>
                <c:pt idx="0">
                  <c:v>9.0029265274522898E-4</c:v>
                </c:pt>
                <c:pt idx="1">
                  <c:v>1.5609055712896801E-3</c:v>
                </c:pt>
                <c:pt idx="2">
                  <c:v>3.7751434579460798E-3</c:v>
                </c:pt>
                <c:pt idx="3">
                  <c:v>6.4144789881577E-2</c:v>
                </c:pt>
                <c:pt idx="4">
                  <c:v>9.2058050207282693E-2</c:v>
                </c:pt>
                <c:pt idx="5">
                  <c:v>0.113084359477653</c:v>
                </c:pt>
                <c:pt idx="6">
                  <c:v>0.12621375262416001</c:v>
                </c:pt>
                <c:pt idx="7">
                  <c:v>0.133729474203653</c:v>
                </c:pt>
                <c:pt idx="8">
                  <c:v>0.140119884797821</c:v>
                </c:pt>
                <c:pt idx="9">
                  <c:v>0.151397119608842</c:v>
                </c:pt>
                <c:pt idx="10">
                  <c:v>0.157204289270408</c:v>
                </c:pt>
                <c:pt idx="11">
                  <c:v>0.16128638011652499</c:v>
                </c:pt>
                <c:pt idx="12">
                  <c:v>0.16420906599395699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2-4E60-8764-294661D74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24224"/>
        <c:axId val="200326528"/>
      </c:scatterChart>
      <c:valAx>
        <c:axId val="20032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26528"/>
        <c:crossesAt val="1.0000000000000004E-6"/>
        <c:crossBetween val="midCat"/>
      </c:valAx>
      <c:valAx>
        <c:axId val="20032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2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0'!$F$3:$F$15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full 0'!$L$3:$L$15</c:f>
              <c:numCache>
                <c:formatCode>General</c:formatCode>
                <c:ptCount val="13"/>
                <c:pt idx="0">
                  <c:v>0</c:v>
                </c:pt>
                <c:pt idx="1">
                  <c:v>4.8975871798645173E-4</c:v>
                </c:pt>
                <c:pt idx="2">
                  <c:v>3.8585275718535632</c:v>
                </c:pt>
                <c:pt idx="3">
                  <c:v>80.292058011301549</c:v>
                </c:pt>
                <c:pt idx="4">
                  <c:v>70.100639658825202</c:v>
                </c:pt>
                <c:pt idx="5">
                  <c:v>60.96458199196352</c:v>
                </c:pt>
                <c:pt idx="6">
                  <c:v>54.727119776709806</c:v>
                </c:pt>
                <c:pt idx="7">
                  <c:v>49.744882351892279</c:v>
                </c:pt>
                <c:pt idx="8">
                  <c:v>45.813355708554013</c:v>
                </c:pt>
                <c:pt idx="9">
                  <c:v>43.143151840350839</c:v>
                </c:pt>
                <c:pt idx="10">
                  <c:v>40.496575949427758</c:v>
                </c:pt>
                <c:pt idx="11">
                  <c:v>37.513565850110723</c:v>
                </c:pt>
                <c:pt idx="12">
                  <c:v>33.879184439622279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99-4CE8-8AED-386756664A7D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0'!$I$3:$I$15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0'!$N$3:$N$15</c:f>
              <c:numCache>
                <c:formatCode>General</c:formatCode>
                <c:ptCount val="13"/>
                <c:pt idx="0">
                  <c:v>0.43331746755578365</c:v>
                </c:pt>
                <c:pt idx="1">
                  <c:v>0.70862255203523616</c:v>
                </c:pt>
                <c:pt idx="2">
                  <c:v>1.613989804737348</c:v>
                </c:pt>
                <c:pt idx="3">
                  <c:v>25.764263618855622</c:v>
                </c:pt>
                <c:pt idx="4">
                  <c:v>34.660204283153242</c:v>
                </c:pt>
                <c:pt idx="5">
                  <c:v>39.801844392280621</c:v>
                </c:pt>
                <c:pt idx="6">
                  <c:v>41.401637352830264</c:v>
                </c:pt>
                <c:pt idx="7">
                  <c:v>40.766469400946065</c:v>
                </c:pt>
                <c:pt idx="8">
                  <c:v>39.546909454697001</c:v>
                </c:pt>
                <c:pt idx="9">
                  <c:v>39.393914296945894</c:v>
                </c:pt>
                <c:pt idx="10">
                  <c:v>37.535799333936346</c:v>
                </c:pt>
                <c:pt idx="11">
                  <c:v>35.146243079200978</c:v>
                </c:pt>
                <c:pt idx="12">
                  <c:v>32.471163312086389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0-4929-9D2A-15A1750D7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63584"/>
        <c:axId val="200974336"/>
      </c:scatterChart>
      <c:valAx>
        <c:axId val="20096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74336"/>
        <c:crosses val="autoZero"/>
        <c:crossBetween val="midCat"/>
      </c:valAx>
      <c:valAx>
        <c:axId val="20097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6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 2 Full Straggling </a:t>
            </a:r>
            <a:r>
              <a:rPr lang="el-GR"/>
              <a:t>Δ</a:t>
            </a:r>
            <a:r>
              <a:rPr lang="en-US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1'!$F$3:$F$15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full 1'!$D$3:$D$15</c:f>
              <c:numCache>
                <c:formatCode>General</c:formatCode>
                <c:ptCount val="13"/>
                <c:pt idx="0">
                  <c:v>1.9930808911849025E-2</c:v>
                </c:pt>
                <c:pt idx="1">
                  <c:v>4.2200471834138657E-2</c:v>
                </c:pt>
                <c:pt idx="2">
                  <c:v>7.5277933520541268E-2</c:v>
                </c:pt>
                <c:pt idx="3">
                  <c:v>0.11210532903549165</c:v>
                </c:pt>
                <c:pt idx="4">
                  <c:v>0.13774657268962165</c:v>
                </c:pt>
                <c:pt idx="5">
                  <c:v>0.15612451569416971</c:v>
                </c:pt>
                <c:pt idx="6">
                  <c:v>0.16385355282369043</c:v>
                </c:pt>
                <c:pt idx="7">
                  <c:v>0.1671796695378002</c:v>
                </c:pt>
                <c:pt idx="8">
                  <c:v>0.16600407792000621</c:v>
                </c:pt>
                <c:pt idx="9">
                  <c:v>0.16894860511580737</c:v>
                </c:pt>
                <c:pt idx="10">
                  <c:v>0.16927440489032447</c:v>
                </c:pt>
                <c:pt idx="11">
                  <c:v>0.1692377254455113</c:v>
                </c:pt>
                <c:pt idx="12">
                  <c:v>0.16838099841308909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9C-49D0-A58F-D7F3C8044F70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1'!$F$3:$F$15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full 1'!$G$3:$G$15</c:f>
              <c:numCache>
                <c:formatCode>0.000000000</c:formatCode>
                <c:ptCount val="13"/>
                <c:pt idx="0">
                  <c:v>2.7370939000000002E-3</c:v>
                </c:pt>
                <c:pt idx="1">
                  <c:v>3.0524591E-3</c:v>
                </c:pt>
                <c:pt idx="2">
                  <c:v>3.4754708999999999E-3</c:v>
                </c:pt>
                <c:pt idx="3">
                  <c:v>4.0102499000000003E-3</c:v>
                </c:pt>
                <c:pt idx="4">
                  <c:v>4.6990863000000004E-3</c:v>
                </c:pt>
                <c:pt idx="5">
                  <c:v>5.5869403E-3</c:v>
                </c:pt>
                <c:pt idx="6">
                  <c:v>6.7232302000000002E-3</c:v>
                </c:pt>
                <c:pt idx="7">
                  <c:v>8.1897759999999993E-3</c:v>
                </c:pt>
                <c:pt idx="8">
                  <c:v>1.0013273E-2</c:v>
                </c:pt>
                <c:pt idx="9">
                  <c:v>1.2274212E-2</c:v>
                </c:pt>
                <c:pt idx="10">
                  <c:v>1.5064162000000001E-2</c:v>
                </c:pt>
                <c:pt idx="11">
                  <c:v>1.8513373999999999E-2</c:v>
                </c:pt>
                <c:pt idx="12">
                  <c:v>2.2551112000000002E-2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9C-49D0-A58F-D7F3C8044F70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1'!$F$3:$F$15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full 1'!$J$3:$J$15</c:f>
              <c:numCache>
                <c:formatCode>0.000000000</c:formatCode>
                <c:ptCount val="13"/>
                <c:pt idx="0">
                  <c:v>1.2466904743202601E-3</c:v>
                </c:pt>
                <c:pt idx="1">
                  <c:v>5.0417868961885404E-3</c:v>
                </c:pt>
                <c:pt idx="2">
                  <c:v>2.5651520453456901E-2</c:v>
                </c:pt>
                <c:pt idx="3">
                  <c:v>6.2433647031302698E-2</c:v>
                </c:pt>
                <c:pt idx="4">
                  <c:v>8.12647689611702E-2</c:v>
                </c:pt>
                <c:pt idx="5">
                  <c:v>9.9317199260597802E-2</c:v>
                </c:pt>
                <c:pt idx="6">
                  <c:v>0.11916302112659</c:v>
                </c:pt>
                <c:pt idx="7">
                  <c:v>0.13111390491025901</c:v>
                </c:pt>
                <c:pt idx="8">
                  <c:v>0.144082498113179</c:v>
                </c:pt>
                <c:pt idx="9">
                  <c:v>0.154893562746582</c:v>
                </c:pt>
                <c:pt idx="10">
                  <c:v>0.159737121060293</c:v>
                </c:pt>
                <c:pt idx="11">
                  <c:v>0.16311548281416999</c:v>
                </c:pt>
                <c:pt idx="12">
                  <c:v>0.16551129516947299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9C-49D0-A58F-D7F3C8044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41952"/>
        <c:axId val="201348608"/>
      </c:scatterChart>
      <c:valAx>
        <c:axId val="20134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48608"/>
        <c:crossesAt val="1.0000000000000002E-3"/>
        <c:crossBetween val="midCat"/>
      </c:valAx>
      <c:valAx>
        <c:axId val="2013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41952"/>
        <c:crossesAt val="168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1'!$F$3:$F$15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full 1'!$L$3:$L$15</c:f>
              <c:numCache>
                <c:formatCode>General</c:formatCode>
                <c:ptCount val="13"/>
                <c:pt idx="0">
                  <c:v>7.2817410143835488</c:v>
                </c:pt>
                <c:pt idx="1">
                  <c:v>13.825073637887124</c:v>
                </c:pt>
                <c:pt idx="2">
                  <c:v>21.659779548302726</c:v>
                </c:pt>
                <c:pt idx="3">
                  <c:v>27.95469904144668</c:v>
                </c:pt>
                <c:pt idx="4">
                  <c:v>29.313480088591188</c:v>
                </c:pt>
                <c:pt idx="5">
                  <c:v>27.944546981139162</c:v>
                </c:pt>
                <c:pt idx="6">
                  <c:v>24.371254285431196</c:v>
                </c:pt>
                <c:pt idx="7">
                  <c:v>20.41321637341488</c:v>
                </c:pt>
                <c:pt idx="8">
                  <c:v>16.578403277330622</c:v>
                </c:pt>
                <c:pt idx="9">
                  <c:v>13.764517438333913</c:v>
                </c:pt>
                <c:pt idx="10">
                  <c:v>11.236894882723941</c:v>
                </c:pt>
                <c:pt idx="11">
                  <c:v>9.1413766850662288</c:v>
                </c:pt>
                <c:pt idx="12">
                  <c:v>7.4666383818717712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F-4834-AA84-A30D16E73CDD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1'!$I$3:$I$15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full 1'!$N$3:$N$15</c:f>
              <c:numCache>
                <c:formatCode>General</c:formatCode>
                <c:ptCount val="13"/>
                <c:pt idx="0">
                  <c:v>0.45547961446271901</c:v>
                </c:pt>
                <c:pt idx="1">
                  <c:v>1.6517131699450258</c:v>
                </c:pt>
                <c:pt idx="2">
                  <c:v>7.3807323357122341</c:v>
                </c:pt>
                <c:pt idx="3">
                  <c:v>15.56851782012455</c:v>
                </c:pt>
                <c:pt idx="4">
                  <c:v>17.293738351042879</c:v>
                </c:pt>
                <c:pt idx="5">
                  <c:v>17.776670937507209</c:v>
                </c:pt>
                <c:pt idx="6">
                  <c:v>17.724072742086086</c:v>
                </c:pt>
                <c:pt idx="7">
                  <c:v>16.009461664184592</c:v>
                </c:pt>
                <c:pt idx="8">
                  <c:v>14.389151091074718</c:v>
                </c:pt>
                <c:pt idx="9">
                  <c:v>12.619430293902534</c:v>
                </c:pt>
                <c:pt idx="10">
                  <c:v>10.603784071114809</c:v>
                </c:pt>
                <c:pt idx="11">
                  <c:v>8.8106837151439823</c:v>
                </c:pt>
                <c:pt idx="12">
                  <c:v>7.3393850897229802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DF-4834-AA84-A30D16E73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79200"/>
        <c:axId val="201381760"/>
      </c:scatterChart>
      <c:valAx>
        <c:axId val="20137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81760"/>
        <c:crossesAt val="0.1"/>
        <c:crossBetween val="midCat"/>
      </c:valAx>
      <c:valAx>
        <c:axId val="2013817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79200"/>
        <c:crossesAt val="168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Ex 2 Gauss Straggling </a:t>
            </a:r>
            <a:r>
              <a:rPr lang="el-GR" sz="1800"/>
              <a:t>Δ</a:t>
            </a:r>
            <a:r>
              <a:rPr lang="en-US" sz="1800"/>
              <a:t>E=0</a:t>
            </a:r>
          </a:p>
        </c:rich>
      </c:tx>
      <c:layout>
        <c:manualLayout>
          <c:xMode val="edge"/>
          <c:yMode val="edge"/>
          <c:x val="0.17894121490522774"/>
          <c:y val="3.05346741661749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Gauss 0'!$F$3:$F$15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Gauss 0'!$D$3:$D$15</c:f>
              <c:numCache>
                <c:formatCode>General</c:formatCode>
                <c:ptCount val="13"/>
                <c:pt idx="0">
                  <c:v>4.3839999999999999E-3</c:v>
                </c:pt>
                <c:pt idx="1">
                  <c:v>1.5667E-2</c:v>
                </c:pt>
                <c:pt idx="2">
                  <c:v>6.4353999999999995E-2</c:v>
                </c:pt>
                <c:pt idx="3">
                  <c:v>0.157611</c:v>
                </c:pt>
                <c:pt idx="4">
                  <c:v>0.17284099999999999</c:v>
                </c:pt>
                <c:pt idx="5">
                  <c:v>0.17313700000000001</c:v>
                </c:pt>
                <c:pt idx="6">
                  <c:v>0.173564</c:v>
                </c:pt>
                <c:pt idx="7">
                  <c:v>0.17402599999999999</c:v>
                </c:pt>
                <c:pt idx="8">
                  <c:v>0.17427400000000001</c:v>
                </c:pt>
                <c:pt idx="9">
                  <c:v>0.17512900000000001</c:v>
                </c:pt>
                <c:pt idx="10">
                  <c:v>0.174258</c:v>
                </c:pt>
                <c:pt idx="11">
                  <c:v>0.174869</c:v>
                </c:pt>
                <c:pt idx="12">
                  <c:v>0.17565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84-4EEC-9D48-8AA6AE73D43F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Gauss 0'!$F$3:$F$15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Gauss 0'!$G$3:$G$15</c:f>
              <c:numCache>
                <c:formatCode>0.0000000000</c:formatCode>
                <c:ptCount val="13"/>
                <c:pt idx="0">
                  <c:v>4.8863748E-3</c:v>
                </c:pt>
                <c:pt idx="1">
                  <c:v>5.4723899999999997E-3</c:v>
                </c:pt>
                <c:pt idx="2">
                  <c:v>6.1453795E-3</c:v>
                </c:pt>
                <c:pt idx="3">
                  <c:v>6.9197412000000002E-3</c:v>
                </c:pt>
                <c:pt idx="4">
                  <c:v>7.8169777999999995E-3</c:v>
                </c:pt>
                <c:pt idx="5">
                  <c:v>8.8531523999999997E-3</c:v>
                </c:pt>
                <c:pt idx="6">
                  <c:v>1.0055578000000001E-2</c:v>
                </c:pt>
                <c:pt idx="7">
                  <c:v>1.1445398000000001E-2</c:v>
                </c:pt>
                <c:pt idx="8">
                  <c:v>1.305446E-2</c:v>
                </c:pt>
                <c:pt idx="9">
                  <c:v>1.4917026999999999E-2</c:v>
                </c:pt>
                <c:pt idx="10">
                  <c:v>1.7097009E-2</c:v>
                </c:pt>
                <c:pt idx="11">
                  <c:v>1.9626012000000002E-2</c:v>
                </c:pt>
                <c:pt idx="12">
                  <c:v>2.2546904E-2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84-4EEC-9D48-8AA6AE73D43F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Gauss 0'!$F$3:$F$15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Gauss 0'!$J$3:$J$15</c:f>
              <c:numCache>
                <c:formatCode>0.0000000000</c:formatCode>
                <c:ptCount val="13"/>
                <c:pt idx="0">
                  <c:v>4.8518217069275097E-3</c:v>
                </c:pt>
                <c:pt idx="1">
                  <c:v>1.7029238519662E-2</c:v>
                </c:pt>
                <c:pt idx="2">
                  <c:v>7.0902835233496594E-2</c:v>
                </c:pt>
                <c:pt idx="3">
                  <c:v>0.17091782406678999</c:v>
                </c:pt>
                <c:pt idx="4">
                  <c:v>0.17295756243920199</c:v>
                </c:pt>
                <c:pt idx="5">
                  <c:v>0.17362883001072901</c:v>
                </c:pt>
                <c:pt idx="6">
                  <c:v>0.17423827030708899</c:v>
                </c:pt>
                <c:pt idx="7">
                  <c:v>0.17451289422864599</c:v>
                </c:pt>
                <c:pt idx="8">
                  <c:v>0.17470578064026901</c:v>
                </c:pt>
                <c:pt idx="9">
                  <c:v>0.17484306691467599</c:v>
                </c:pt>
                <c:pt idx="10">
                  <c:v>0.17494458932637699</c:v>
                </c:pt>
                <c:pt idx="11">
                  <c:v>0.175023486649311</c:v>
                </c:pt>
                <c:pt idx="12">
                  <c:v>0.17507214550417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84-4EEC-9D48-8AA6AE73D43F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2 Gauss 0'!$Y$3:$Y$15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Gauss 0'!$Z$3:$Z$15</c:f>
              <c:numCache>
                <c:formatCode>0.00000000000</c:formatCode>
                <c:ptCount val="13"/>
                <c:pt idx="0">
                  <c:v>8.8983541854869804E-4</c:v>
                </c:pt>
                <c:pt idx="1">
                  <c:v>1.5446415332312101E-3</c:v>
                </c:pt>
                <c:pt idx="2">
                  <c:v>3.7442934636350701E-3</c:v>
                </c:pt>
                <c:pt idx="3">
                  <c:v>6.3854451953421695E-2</c:v>
                </c:pt>
                <c:pt idx="4">
                  <c:v>9.1707409461661296E-2</c:v>
                </c:pt>
                <c:pt idx="5">
                  <c:v>0.11090798773387001</c:v>
                </c:pt>
                <c:pt idx="6">
                  <c:v>0.12280694198691799</c:v>
                </c:pt>
                <c:pt idx="7">
                  <c:v>0.13106760343929699</c:v>
                </c:pt>
                <c:pt idx="8">
                  <c:v>0.13675001733144501</c:v>
                </c:pt>
                <c:pt idx="9">
                  <c:v>0.14866562814529799</c:v>
                </c:pt>
                <c:pt idx="10">
                  <c:v>0.15476444994458599</c:v>
                </c:pt>
                <c:pt idx="11">
                  <c:v>0.159346458524315</c:v>
                </c:pt>
                <c:pt idx="12">
                  <c:v>0.162680061445441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DC-4D9A-B0C4-0F2BB3E84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21792"/>
        <c:axId val="201124096"/>
      </c:scatterChart>
      <c:valAx>
        <c:axId val="20112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24096"/>
        <c:crossesAt val="1.0000000000000002E-3"/>
        <c:crossBetween val="midCat"/>
      </c:valAx>
      <c:valAx>
        <c:axId val="2011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2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Gauss 0'!$F$3:$F$15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Gauss 0'!$L$3:$L$15</c:f>
              <c:numCache>
                <c:formatCode>General</c:formatCode>
                <c:ptCount val="13"/>
                <c:pt idx="0">
                  <c:v>0.89718864791133091</c:v>
                </c:pt>
                <c:pt idx="1">
                  <c:v>2.8629172993883842</c:v>
                </c:pt>
                <c:pt idx="2">
                  <c:v>10.471932612135669</c:v>
                </c:pt>
                <c:pt idx="3">
                  <c:v>22.777007903127938</c:v>
                </c:pt>
                <c:pt idx="4">
                  <c:v>22.11097490899872</c:v>
                </c:pt>
                <c:pt idx="5">
                  <c:v>19.556536720185683</c:v>
                </c:pt>
                <c:pt idx="6">
                  <c:v>17.260469761161417</c:v>
                </c:pt>
                <c:pt idx="7">
                  <c:v>15.204888462594308</c:v>
                </c:pt>
                <c:pt idx="8">
                  <c:v>13.349767052792686</c:v>
                </c:pt>
                <c:pt idx="9">
                  <c:v>11.740208018662164</c:v>
                </c:pt>
                <c:pt idx="10">
                  <c:v>10.192309075815542</c:v>
                </c:pt>
                <c:pt idx="11">
                  <c:v>8.9100628288620207</c:v>
                </c:pt>
                <c:pt idx="12">
                  <c:v>7.7904265703175923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8-4453-BF02-965C7F83EFDF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Gauss 0'!$I$3:$I$15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Gauss 0'!$N$3:$N$15</c:f>
              <c:numCache>
                <c:formatCode>General</c:formatCode>
                <c:ptCount val="13"/>
                <c:pt idx="0">
                  <c:v>0.99292868548018653</c:v>
                </c:pt>
                <c:pt idx="1">
                  <c:v>3.1118466556042241</c:v>
                </c:pt>
                <c:pt idx="2">
                  <c:v>11.537584494740576</c:v>
                </c:pt>
                <c:pt idx="3">
                  <c:v>24.700031276717397</c:v>
                </c:pt>
                <c:pt idx="4">
                  <c:v>22.125886354596275</c:v>
                </c:pt>
                <c:pt idx="5">
                  <c:v>19.612090944094561</c:v>
                </c:pt>
                <c:pt idx="6">
                  <c:v>17.327524117170487</c:v>
                </c:pt>
                <c:pt idx="7">
                  <c:v>15.247429073995153</c:v>
                </c:pt>
                <c:pt idx="8">
                  <c:v>13.382842387986098</c:v>
                </c:pt>
                <c:pt idx="9">
                  <c:v>11.721039783240721</c:v>
                </c:pt>
                <c:pt idx="10">
                  <c:v>10.232467522616208</c:v>
                </c:pt>
                <c:pt idx="11">
                  <c:v>8.9179343541271141</c:v>
                </c:pt>
                <c:pt idx="12">
                  <c:v>7.7647975750537634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57-42B2-ADF6-984672A28CF1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Gauss 0'!$Y$3:$Y$15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Gauss 0'!$AA$3:$AA$15</c:f>
              <c:numCache>
                <c:formatCode>General</c:formatCode>
                <c:ptCount val="13"/>
                <c:pt idx="0">
                  <c:v>0.18210543705093971</c:v>
                </c:pt>
                <c:pt idx="1">
                  <c:v>0.28226086467360884</c:v>
                </c:pt>
                <c:pt idx="2">
                  <c:v>0.60928596250810385</c:v>
                </c:pt>
                <c:pt idx="3">
                  <c:v>9.2278670701473189</c:v>
                </c:pt>
                <c:pt idx="4">
                  <c:v>11.731824217495065</c:v>
                </c:pt>
                <c:pt idx="5">
                  <c:v>12.527513672290336</c:v>
                </c:pt>
                <c:pt idx="6">
                  <c:v>12.212817799923384</c:v>
                </c:pt>
                <c:pt idx="7">
                  <c:v>11.4515548903845</c:v>
                </c:pt>
                <c:pt idx="8">
                  <c:v>10.475348450372135</c:v>
                </c:pt>
                <c:pt idx="9">
                  <c:v>9.9661700783472469</c:v>
                </c:pt>
                <c:pt idx="10">
                  <c:v>9.0521359580840137</c:v>
                </c:pt>
                <c:pt idx="11">
                  <c:v>8.1191460865465181</c:v>
                </c:pt>
                <c:pt idx="12">
                  <c:v>7.2151840201848119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5-4266-BB46-016198833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784"/>
        <c:axId val="201257728"/>
      </c:scatterChart>
      <c:valAx>
        <c:axId val="20123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57728"/>
        <c:crosses val="autoZero"/>
        <c:crossBetween val="midCat"/>
      </c:valAx>
      <c:valAx>
        <c:axId val="20125772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NDF-SMNRA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Gauss 0'!$A$3:$A$15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Gauss 0'!$P$3:$P$15</c:f>
              <c:numCache>
                <c:formatCode>0.0000000000</c:formatCode>
                <c:ptCount val="13"/>
                <c:pt idx="0">
                  <c:v>3.4553093072490354E-5</c:v>
                </c:pt>
                <c:pt idx="1">
                  <c:v>-1.1556848519661999E-2</c:v>
                </c:pt>
                <c:pt idx="2">
                  <c:v>-6.4757455733496588E-2</c:v>
                </c:pt>
                <c:pt idx="3">
                  <c:v>-0.16399808286678999</c:v>
                </c:pt>
                <c:pt idx="4">
                  <c:v>-0.165140584639202</c:v>
                </c:pt>
                <c:pt idx="5">
                  <c:v>-0.164775677610729</c:v>
                </c:pt>
                <c:pt idx="6">
                  <c:v>-0.16418269230708898</c:v>
                </c:pt>
                <c:pt idx="7">
                  <c:v>-0.163067496228646</c:v>
                </c:pt>
                <c:pt idx="8">
                  <c:v>-0.16165132064026902</c:v>
                </c:pt>
                <c:pt idx="9">
                  <c:v>-0.15992603991467599</c:v>
                </c:pt>
                <c:pt idx="10">
                  <c:v>-0.157847580326377</c:v>
                </c:pt>
                <c:pt idx="11">
                  <c:v>-0.155397474649311</c:v>
                </c:pt>
                <c:pt idx="12">
                  <c:v>-0.15252524150416999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66-43B9-AB31-DAA0F02F9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95360"/>
        <c:axId val="201297280"/>
      </c:scatterChart>
      <c:valAx>
        <c:axId val="20129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7280"/>
        <c:crosses val="autoZero"/>
        <c:crossBetween val="midCat"/>
      </c:valAx>
      <c:valAx>
        <c:axId val="2012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2 Gauss Straggling </a:t>
            </a:r>
            <a:r>
              <a:rPr lang="el-GR" sz="1800" baseline="0"/>
              <a:t>Δ</a:t>
            </a:r>
            <a:r>
              <a:rPr lang="en-GB" sz="1800" baseline="0"/>
              <a:t>E=1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Gauss 1'!$F$3:$F$15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Gauss 1'!$D$3:$D$15</c:f>
              <c:numCache>
                <c:formatCode>General</c:formatCode>
                <c:ptCount val="13"/>
                <c:pt idx="0">
                  <c:v>2.7826E-2</c:v>
                </c:pt>
                <c:pt idx="1">
                  <c:v>5.1804999999999997E-2</c:v>
                </c:pt>
                <c:pt idx="2">
                  <c:v>8.3502000000000007E-2</c:v>
                </c:pt>
                <c:pt idx="3">
                  <c:v>0.116921</c:v>
                </c:pt>
                <c:pt idx="4">
                  <c:v>0.14003599999999999</c:v>
                </c:pt>
                <c:pt idx="5">
                  <c:v>0.15765100000000001</c:v>
                </c:pt>
                <c:pt idx="6">
                  <c:v>0.16772699999999999</c:v>
                </c:pt>
                <c:pt idx="7">
                  <c:v>0.17244000000000001</c:v>
                </c:pt>
                <c:pt idx="8">
                  <c:v>0.17360500000000001</c:v>
                </c:pt>
                <c:pt idx="9">
                  <c:v>0.174979</c:v>
                </c:pt>
                <c:pt idx="10">
                  <c:v>0.174119</c:v>
                </c:pt>
                <c:pt idx="11">
                  <c:v>0.174979</c:v>
                </c:pt>
                <c:pt idx="12">
                  <c:v>0.174181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41-45B5-8C97-1C93DBC2F62F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Gauss 1'!$F$3:$F$15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Gauss 1'!$G$3:$G$15</c:f>
              <c:numCache>
                <c:formatCode>0.0000000000</c:formatCode>
                <c:ptCount val="13"/>
                <c:pt idx="0">
                  <c:v>9.0565104000000004E-3</c:v>
                </c:pt>
                <c:pt idx="1">
                  <c:v>1.0281139E-2</c:v>
                </c:pt>
                <c:pt idx="2">
                  <c:v>1.1667231E-2</c:v>
                </c:pt>
                <c:pt idx="3">
                  <c:v>1.3252603E-2</c:v>
                </c:pt>
                <c:pt idx="4">
                  <c:v>1.5054674000000001E-2</c:v>
                </c:pt>
                <c:pt idx="5">
                  <c:v>1.7098840000000001E-2</c:v>
                </c:pt>
                <c:pt idx="6">
                  <c:v>1.9403158E-2</c:v>
                </c:pt>
                <c:pt idx="7">
                  <c:v>2.1977310999999999E-2</c:v>
                </c:pt>
                <c:pt idx="8">
                  <c:v>2.4867671000000001E-2</c:v>
                </c:pt>
                <c:pt idx="9">
                  <c:v>2.8065125999999999E-2</c:v>
                </c:pt>
                <c:pt idx="10">
                  <c:v>3.1611594999999999E-2</c:v>
                </c:pt>
                <c:pt idx="11">
                  <c:v>3.552578E-2</c:v>
                </c:pt>
                <c:pt idx="12">
                  <c:v>3.9738752000000002E-2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41-45B5-8C97-1C93DBC2F62F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Gauss 1'!$F$3:$F$15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Gauss 1'!$J$3:$J$16</c:f>
              <c:numCache>
                <c:formatCode>0.0000000000</c:formatCode>
                <c:ptCount val="14"/>
                <c:pt idx="0">
                  <c:v>8.9983707940257604E-3</c:v>
                </c:pt>
                <c:pt idx="1">
                  <c:v>3.1492062088931599E-2</c:v>
                </c:pt>
                <c:pt idx="2">
                  <c:v>8.4775701990849106E-2</c:v>
                </c:pt>
                <c:pt idx="3">
                  <c:v>0.14334422374040201</c:v>
                </c:pt>
                <c:pt idx="4">
                  <c:v>0.16869943162009299</c:v>
                </c:pt>
                <c:pt idx="5">
                  <c:v>0.17333072983016301</c:v>
                </c:pt>
                <c:pt idx="6">
                  <c:v>0.17412796311877901</c:v>
                </c:pt>
                <c:pt idx="7">
                  <c:v>0.174479325955084</c:v>
                </c:pt>
                <c:pt idx="8">
                  <c:v>0.17468574050867</c:v>
                </c:pt>
                <c:pt idx="9">
                  <c:v>0.17482905516741701</c:v>
                </c:pt>
                <c:pt idx="10">
                  <c:v>0.174937296386562</c:v>
                </c:pt>
                <c:pt idx="11">
                  <c:v>0.175011743026393</c:v>
                </c:pt>
                <c:pt idx="12">
                  <c:v>0.17505949057148601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41-45B5-8C97-1C93DBC2F62F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2 Gauss 1'!$Y$3:$Y$15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Gauss 1'!$Z$3:$Z$15</c:f>
              <c:numCache>
                <c:formatCode>0.0000000000000</c:formatCode>
                <c:ptCount val="13"/>
                <c:pt idx="0">
                  <c:v>1.2352397795488701E-3</c:v>
                </c:pt>
                <c:pt idx="1">
                  <c:v>5.0202693819145104E-3</c:v>
                </c:pt>
                <c:pt idx="2">
                  <c:v>2.5584615568896199E-2</c:v>
                </c:pt>
                <c:pt idx="3">
                  <c:v>6.2254040229661502E-2</c:v>
                </c:pt>
                <c:pt idx="4">
                  <c:v>8.0949883048273399E-2</c:v>
                </c:pt>
                <c:pt idx="5">
                  <c:v>9.6469196243387706E-2</c:v>
                </c:pt>
                <c:pt idx="6">
                  <c:v>0.115975632395154</c:v>
                </c:pt>
                <c:pt idx="7">
                  <c:v>0.12806900671500601</c:v>
                </c:pt>
                <c:pt idx="8">
                  <c:v>0.14082519171102001</c:v>
                </c:pt>
                <c:pt idx="9">
                  <c:v>0.152196102543175</c:v>
                </c:pt>
                <c:pt idx="10">
                  <c:v>0.15757995848550299</c:v>
                </c:pt>
                <c:pt idx="11">
                  <c:v>0.16141575207490999</c:v>
                </c:pt>
                <c:pt idx="12">
                  <c:v>0.16416158538898901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B-4EAB-9D38-37B2A91FA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40896"/>
        <c:axId val="201721728"/>
      </c:scatterChart>
      <c:valAx>
        <c:axId val="20184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21728"/>
        <c:crossesAt val="1.0000000000000002E-3"/>
        <c:crossBetween val="midCat"/>
      </c:valAx>
      <c:valAx>
        <c:axId val="201721728"/>
        <c:scaling>
          <c:orientation val="minMax"/>
          <c:max val="0.21000000000000002"/>
          <c:min val="9.0000000000000028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4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Gauss 1'!$F$3:$F$15</c:f>
              <c:numCache>
                <c:formatCode>0.00</c:formatCode>
                <c:ptCount val="13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</c:numCache>
            </c:numRef>
          </c:xVal>
          <c:yVal>
            <c:numRef>
              <c:f>'Ex 2 Gauss 1'!$L$3:$L$15</c:f>
              <c:numCache>
                <c:formatCode>General</c:formatCode>
                <c:ptCount val="13"/>
                <c:pt idx="0">
                  <c:v>3.0724858439957181</c:v>
                </c:pt>
                <c:pt idx="1">
                  <c:v>5.0388385956069648</c:v>
                </c:pt>
                <c:pt idx="2">
                  <c:v>7.1569680929433908</c:v>
                </c:pt>
                <c:pt idx="3">
                  <c:v>8.8224932113336525</c:v>
                </c:pt>
                <c:pt idx="4">
                  <c:v>9.301828787524725</c:v>
                </c:pt>
                <c:pt idx="5">
                  <c:v>9.2199821742293633</c:v>
                </c:pt>
                <c:pt idx="6">
                  <c:v>8.6443144976709458</c:v>
                </c:pt>
                <c:pt idx="7">
                  <c:v>7.8462738230350393</c:v>
                </c:pt>
                <c:pt idx="8">
                  <c:v>6.981152356406839</c:v>
                </c:pt>
                <c:pt idx="9">
                  <c:v>6.2347484205130597</c:v>
                </c:pt>
                <c:pt idx="10">
                  <c:v>5.50807385707681</c:v>
                </c:pt>
                <c:pt idx="11">
                  <c:v>4.9254090972809044</c:v>
                </c:pt>
                <c:pt idx="12">
                  <c:v>4.3831522439355917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C-4875-8E2E-AC17C3E69BE2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Gauss 1'!$A$3:$A$15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Gauss 1'!$N$3:$N$15</c:f>
              <c:numCache>
                <c:formatCode>General</c:formatCode>
                <c:ptCount val="13"/>
                <c:pt idx="0">
                  <c:v>0.99358035232044339</c:v>
                </c:pt>
                <c:pt idx="1">
                  <c:v>3.0630907809856085</c:v>
                </c:pt>
                <c:pt idx="2">
                  <c:v>7.2661372686329004</c:v>
                </c:pt>
                <c:pt idx="3">
                  <c:v>10.816307086268411</c:v>
                </c:pt>
                <c:pt idx="4">
                  <c:v>11.205784437450653</c:v>
                </c:pt>
                <c:pt idx="5">
                  <c:v>10.136987645370271</c:v>
                </c:pt>
                <c:pt idx="6">
                  <c:v>8.9742073490706513</c:v>
                </c:pt>
                <c:pt idx="7">
                  <c:v>7.9390661557769286</c:v>
                </c:pt>
                <c:pt idx="8">
                  <c:v>7.0246120156837364</c:v>
                </c:pt>
                <c:pt idx="9">
                  <c:v>6.2294056747657933</c:v>
                </c:pt>
                <c:pt idx="10">
                  <c:v>5.5339598140037536</c:v>
                </c:pt>
                <c:pt idx="11">
                  <c:v>4.9263307667387739</c:v>
                </c:pt>
                <c:pt idx="12">
                  <c:v>4.4052588911570751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7-4541-9399-3E54B1063DAE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Gauss 1'!$Y$3:$Y$15</c:f>
              <c:numCache>
                <c:formatCode>General</c:formatCode>
                <c:ptCount val="13"/>
                <c:pt idx="0">
                  <c:v>1682</c:v>
                </c:pt>
                <c:pt idx="1">
                  <c:v>1682.5</c:v>
                </c:pt>
                <c:pt idx="2">
                  <c:v>1683</c:v>
                </c:pt>
                <c:pt idx="3">
                  <c:v>1683.5</c:v>
                </c:pt>
                <c:pt idx="4">
                  <c:v>1684</c:v>
                </c:pt>
                <c:pt idx="5">
                  <c:v>1684.5</c:v>
                </c:pt>
                <c:pt idx="6">
                  <c:v>1685</c:v>
                </c:pt>
                <c:pt idx="7">
                  <c:v>1685.5</c:v>
                </c:pt>
                <c:pt idx="8">
                  <c:v>1686</c:v>
                </c:pt>
                <c:pt idx="9">
                  <c:v>1686.5</c:v>
                </c:pt>
                <c:pt idx="10">
                  <c:v>1687</c:v>
                </c:pt>
                <c:pt idx="11">
                  <c:v>1687.5</c:v>
                </c:pt>
                <c:pt idx="12">
                  <c:v>1688</c:v>
                </c:pt>
              </c:numCache>
            </c:numRef>
          </c:xVal>
          <c:yVal>
            <c:numRef>
              <c:f>'Ex 2 Gauss 1'!$AA$3:$AA$15</c:f>
              <c:numCache>
                <c:formatCode>General</c:formatCode>
                <c:ptCount val="13"/>
                <c:pt idx="0">
                  <c:v>0.13639246519817058</c:v>
                </c:pt>
                <c:pt idx="1">
                  <c:v>0.48829895033172011</c:v>
                </c:pt>
                <c:pt idx="2">
                  <c:v>2.1928609769444178</c:v>
                </c:pt>
                <c:pt idx="3">
                  <c:v>4.6974952942951287</c:v>
                </c:pt>
                <c:pt idx="4">
                  <c:v>5.3770598452197236</c:v>
                </c:pt>
                <c:pt idx="5">
                  <c:v>5.641856186933599</c:v>
                </c:pt>
                <c:pt idx="6">
                  <c:v>5.9771523993750915</c:v>
                </c:pt>
                <c:pt idx="7">
                  <c:v>5.8273283166901546</c:v>
                </c:pt>
                <c:pt idx="8">
                  <c:v>5.6629827421723569</c:v>
                </c:pt>
                <c:pt idx="9">
                  <c:v>5.4229616693392009</c:v>
                </c:pt>
                <c:pt idx="10">
                  <c:v>4.9848784436692615</c:v>
                </c:pt>
                <c:pt idx="11">
                  <c:v>4.5436230274158653</c:v>
                </c:pt>
                <c:pt idx="12">
                  <c:v>4.1310201535516011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91-40B8-AA4C-670567B4C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67936"/>
        <c:axId val="201774592"/>
      </c:scatterChart>
      <c:valAx>
        <c:axId val="20176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</a:t>
                </a:r>
                <a:r>
                  <a:rPr lang="en-GB" sz="1600" baseline="0"/>
                  <a:t> energy (keV)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74592"/>
        <c:crosses val="autoZero"/>
        <c:crossBetween val="midCat"/>
      </c:valAx>
      <c:valAx>
        <c:axId val="201774592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over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6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2 Full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0 50 eV'!$E$3:$E$123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0 50 eV'!$F$3:$F$123</c:f>
              <c:numCache>
                <c:formatCode>0.0000000000</c:formatCode>
                <c:ptCount val="121"/>
                <c:pt idx="0">
                  <c:v>2.0776745E-3</c:v>
                </c:pt>
                <c:pt idx="1">
                  <c:v>2.2027320000000002E-3</c:v>
                </c:pt>
                <c:pt idx="2">
                  <c:v>2.3390132000000001E-3</c:v>
                </c:pt>
                <c:pt idx="3">
                  <c:v>2.4896807E-3</c:v>
                </c:pt>
                <c:pt idx="4">
                  <c:v>2.6560158000000001E-3</c:v>
                </c:pt>
                <c:pt idx="5">
                  <c:v>2.8411839E-3</c:v>
                </c:pt>
                <c:pt idx="6">
                  <c:v>3.0485208000000001E-3</c:v>
                </c:pt>
                <c:pt idx="7">
                  <c:v>3.2803791E-3</c:v>
                </c:pt>
                <c:pt idx="8">
                  <c:v>3.5431311000000002E-3</c:v>
                </c:pt>
                <c:pt idx="9">
                  <c:v>3.8431601E-3</c:v>
                </c:pt>
                <c:pt idx="10">
                  <c:v>4.1881161999999996E-3</c:v>
                </c:pt>
                <c:pt idx="11">
                  <c:v>4.5890076999999998E-3</c:v>
                </c:pt>
                <c:pt idx="12">
                  <c:v>5.0570737000000003E-3</c:v>
                </c:pt>
                <c:pt idx="13">
                  <c:v>5.6165722000000003E-3</c:v>
                </c:pt>
                <c:pt idx="14">
                  <c:v>6.2856791000000002E-3</c:v>
                </c:pt>
                <c:pt idx="15">
                  <c:v>7.1109970999999996E-3</c:v>
                </c:pt>
                <c:pt idx="16">
                  <c:v>8.1463874999999995E-3</c:v>
                </c:pt>
                <c:pt idx="17">
                  <c:v>9.4757126999999997E-3</c:v>
                </c:pt>
                <c:pt idx="18">
                  <c:v>1.1237403999999999E-2</c:v>
                </c:pt>
                <c:pt idx="19">
                  <c:v>1.3667609000000001E-2</c:v>
                </c:pt>
                <c:pt idx="20">
                  <c:v>1.7196759999999998E-2</c:v>
                </c:pt>
                <c:pt idx="21">
                  <c:v>2.2769365E-2</c:v>
                </c:pt>
                <c:pt idx="22">
                  <c:v>3.2487745999999998E-2</c:v>
                </c:pt>
                <c:pt idx="23">
                  <c:v>5.2492737999999997E-2</c:v>
                </c:pt>
                <c:pt idx="24">
                  <c:v>9.7877353E-2</c:v>
                </c:pt>
                <c:pt idx="25">
                  <c:v>0.18590569000000001</c:v>
                </c:pt>
                <c:pt idx="26">
                  <c:v>0.28274336</c:v>
                </c:pt>
                <c:pt idx="27">
                  <c:v>0.30596441000000002</c:v>
                </c:pt>
                <c:pt idx="28">
                  <c:v>0.26946869000000001</c:v>
                </c:pt>
                <c:pt idx="29">
                  <c:v>0.23140484</c:v>
                </c:pt>
                <c:pt idx="30">
                  <c:v>0.20889969</c:v>
                </c:pt>
                <c:pt idx="31">
                  <c:v>0.19693793000000001</c:v>
                </c:pt>
                <c:pt idx="32">
                  <c:v>0.19006819999999999</c:v>
                </c:pt>
                <c:pt idx="33">
                  <c:v>0.18564718999999999</c:v>
                </c:pt>
                <c:pt idx="34">
                  <c:v>0.18253274</c:v>
                </c:pt>
                <c:pt idx="35">
                  <c:v>0.18037934999999999</c:v>
                </c:pt>
                <c:pt idx="36">
                  <c:v>0.17881755999999999</c:v>
                </c:pt>
                <c:pt idx="37">
                  <c:v>0.17765750999999999</c:v>
                </c:pt>
                <c:pt idx="38">
                  <c:v>0.17688666</c:v>
                </c:pt>
                <c:pt idx="39">
                  <c:v>0.17613303999999999</c:v>
                </c:pt>
                <c:pt idx="40">
                  <c:v>0.17561863</c:v>
                </c:pt>
                <c:pt idx="41">
                  <c:v>0.17519699</c:v>
                </c:pt>
                <c:pt idx="42">
                  <c:v>0.17500863999999999</c:v>
                </c:pt>
                <c:pt idx="43">
                  <c:v>0.17473538</c:v>
                </c:pt>
                <c:pt idx="44">
                  <c:v>0.17448949999999999</c:v>
                </c:pt>
                <c:pt idx="45">
                  <c:v>0.17436299</c:v>
                </c:pt>
                <c:pt idx="46">
                  <c:v>0.17425291000000001</c:v>
                </c:pt>
                <c:pt idx="47">
                  <c:v>0.17420262</c:v>
                </c:pt>
                <c:pt idx="48">
                  <c:v>0.17412654999999999</c:v>
                </c:pt>
                <c:pt idx="49">
                  <c:v>0.17411381000000001</c:v>
                </c:pt>
                <c:pt idx="50">
                  <c:v>0.17409754999999999</c:v>
                </c:pt>
                <c:pt idx="51">
                  <c:v>0.17409379999999999</c:v>
                </c:pt>
                <c:pt idx="52">
                  <c:v>0.1740873</c:v>
                </c:pt>
                <c:pt idx="53">
                  <c:v>0.17412612</c:v>
                </c:pt>
                <c:pt idx="54">
                  <c:v>0.17411272</c:v>
                </c:pt>
                <c:pt idx="55">
                  <c:v>0.17412604000000001</c:v>
                </c:pt>
                <c:pt idx="56">
                  <c:v>0.17415367000000001</c:v>
                </c:pt>
                <c:pt idx="57">
                  <c:v>0.17417784</c:v>
                </c:pt>
                <c:pt idx="58">
                  <c:v>0.17422362999999999</c:v>
                </c:pt>
                <c:pt idx="59">
                  <c:v>0.17423000999999999</c:v>
                </c:pt>
                <c:pt idx="60">
                  <c:v>0.17426610000000001</c:v>
                </c:pt>
                <c:pt idx="61">
                  <c:v>0.17430572</c:v>
                </c:pt>
                <c:pt idx="62">
                  <c:v>0.17434375999999999</c:v>
                </c:pt>
                <c:pt idx="63">
                  <c:v>0.17437021</c:v>
                </c:pt>
                <c:pt idx="64">
                  <c:v>0.17440085</c:v>
                </c:pt>
                <c:pt idx="65">
                  <c:v>0.17444204999999999</c:v>
                </c:pt>
                <c:pt idx="66">
                  <c:v>0.17448099</c:v>
                </c:pt>
                <c:pt idx="67">
                  <c:v>0.17452566</c:v>
                </c:pt>
                <c:pt idx="68">
                  <c:v>0.17454995000000001</c:v>
                </c:pt>
                <c:pt idx="69">
                  <c:v>0.17458022000000001</c:v>
                </c:pt>
                <c:pt idx="70">
                  <c:v>0.17461247999999999</c:v>
                </c:pt>
                <c:pt idx="71">
                  <c:v>0.17463819999999999</c:v>
                </c:pt>
                <c:pt idx="72">
                  <c:v>0.17467352999999999</c:v>
                </c:pt>
                <c:pt idx="73">
                  <c:v>0.17470136</c:v>
                </c:pt>
                <c:pt idx="74">
                  <c:v>0.17471941999999999</c:v>
                </c:pt>
                <c:pt idx="75">
                  <c:v>0.17474160999999999</c:v>
                </c:pt>
                <c:pt idx="76">
                  <c:v>0.17477413</c:v>
                </c:pt>
                <c:pt idx="77">
                  <c:v>0.17480572999999999</c:v>
                </c:pt>
                <c:pt idx="78">
                  <c:v>0.17482391999999999</c:v>
                </c:pt>
                <c:pt idx="79">
                  <c:v>0.17483172999999999</c:v>
                </c:pt>
                <c:pt idx="80">
                  <c:v>0.17484209000000001</c:v>
                </c:pt>
                <c:pt idx="81">
                  <c:v>0.17485382999999999</c:v>
                </c:pt>
                <c:pt idx="82">
                  <c:v>0.17486731999999999</c:v>
                </c:pt>
                <c:pt idx="83">
                  <c:v>0.17489115999999999</c:v>
                </c:pt>
                <c:pt idx="84">
                  <c:v>0.17488734</c:v>
                </c:pt>
                <c:pt idx="85">
                  <c:v>0.17490163</c:v>
                </c:pt>
                <c:pt idx="86">
                  <c:v>0.17489875999999999</c:v>
                </c:pt>
                <c:pt idx="87">
                  <c:v>0.17490827</c:v>
                </c:pt>
                <c:pt idx="88">
                  <c:v>0.17491393999999999</c:v>
                </c:pt>
                <c:pt idx="89">
                  <c:v>0.17490701</c:v>
                </c:pt>
                <c:pt idx="90">
                  <c:v>0.17489579</c:v>
                </c:pt>
                <c:pt idx="91">
                  <c:v>0.17489663</c:v>
                </c:pt>
                <c:pt idx="92">
                  <c:v>0.17488818</c:v>
                </c:pt>
                <c:pt idx="93">
                  <c:v>0.17488993999999999</c:v>
                </c:pt>
                <c:pt idx="94">
                  <c:v>0.17488565</c:v>
                </c:pt>
                <c:pt idx="95">
                  <c:v>0.17487897999999999</c:v>
                </c:pt>
                <c:pt idx="96">
                  <c:v>0.17486209999999999</c:v>
                </c:pt>
                <c:pt idx="97">
                  <c:v>0.17485212</c:v>
                </c:pt>
                <c:pt idx="98">
                  <c:v>0.17484189999999999</c:v>
                </c:pt>
                <c:pt idx="99">
                  <c:v>0.17483926</c:v>
                </c:pt>
                <c:pt idx="100">
                  <c:v>0.17482258000000001</c:v>
                </c:pt>
                <c:pt idx="101">
                  <c:v>0.17480977</c:v>
                </c:pt>
                <c:pt idx="102">
                  <c:v>0.17480385000000001</c:v>
                </c:pt>
                <c:pt idx="103">
                  <c:v>0.17478543999999999</c:v>
                </c:pt>
                <c:pt idx="104">
                  <c:v>0.17477508999999999</c:v>
                </c:pt>
                <c:pt idx="105">
                  <c:v>0.17477988</c:v>
                </c:pt>
                <c:pt idx="106">
                  <c:v>0.17477706000000001</c:v>
                </c:pt>
                <c:pt idx="107">
                  <c:v>0.17476781</c:v>
                </c:pt>
                <c:pt idx="108">
                  <c:v>0.17475495999999999</c:v>
                </c:pt>
                <c:pt idx="109">
                  <c:v>0.17475319</c:v>
                </c:pt>
                <c:pt idx="110">
                  <c:v>0.17475122000000001</c:v>
                </c:pt>
                <c:pt idx="111">
                  <c:v>0.17474307</c:v>
                </c:pt>
                <c:pt idx="112">
                  <c:v>0.17473959999999999</c:v>
                </c:pt>
                <c:pt idx="113">
                  <c:v>0.17472599</c:v>
                </c:pt>
                <c:pt idx="114">
                  <c:v>0.17471965</c:v>
                </c:pt>
                <c:pt idx="115">
                  <c:v>0.17472199999999999</c:v>
                </c:pt>
                <c:pt idx="116">
                  <c:v>0.1747351</c:v>
                </c:pt>
                <c:pt idx="117">
                  <c:v>0.17472945000000001</c:v>
                </c:pt>
                <c:pt idx="118">
                  <c:v>0.17473274</c:v>
                </c:pt>
                <c:pt idx="119">
                  <c:v>0.17475889999999999</c:v>
                </c:pt>
                <c:pt idx="120">
                  <c:v>0.17475057999999999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B-4A24-BBCB-A7EEB99C11BF}"/>
            </c:ext>
          </c:extLst>
        </c:ser>
        <c:ser>
          <c:idx val="2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0 50 eV'!$H$3:$H$143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full 0 50 eV'!$I$3:$I$143</c:f>
              <c:numCache>
                <c:formatCode>0.000000000000</c:formatCode>
                <c:ptCount val="141"/>
                <c:pt idx="0">
                  <c:v>3.74091520410559E-4</c:v>
                </c:pt>
                <c:pt idx="1">
                  <c:v>3.9023001645449899E-4</c:v>
                </c:pt>
                <c:pt idx="2">
                  <c:v>4.0704280560760302E-4</c:v>
                </c:pt>
                <c:pt idx="3">
                  <c:v>4.2458217078235701E-4</c:v>
                </c:pt>
                <c:pt idx="4">
                  <c:v>4.4290011642464302E-4</c:v>
                </c:pt>
                <c:pt idx="5">
                  <c:v>4.6204810612417098E-4</c:v>
                </c:pt>
                <c:pt idx="6">
                  <c:v>4.8207696214517902E-4</c:v>
                </c:pt>
                <c:pt idx="7">
                  <c:v>5.03039289758478E-4</c:v>
                </c:pt>
                <c:pt idx="8">
                  <c:v>5.2498771501457303E-4</c:v>
                </c:pt>
                <c:pt idx="9">
                  <c:v>5.4798122588016105E-4</c:v>
                </c:pt>
                <c:pt idx="10">
                  <c:v>5.7208456965975496E-4</c:v>
                </c:pt>
                <c:pt idx="11">
                  <c:v>5.9738791492591899E-4</c:v>
                </c:pt>
                <c:pt idx="12">
                  <c:v>6.2399549890673701E-4</c:v>
                </c:pt>
                <c:pt idx="13">
                  <c:v>6.52020260303684E-4</c:v>
                </c:pt>
                <c:pt idx="14">
                  <c:v>6.8158726854587802E-4</c:v>
                </c:pt>
                <c:pt idx="15">
                  <c:v>7.1283550993907099E-4</c:v>
                </c:pt>
                <c:pt idx="16">
                  <c:v>7.4591770054690002E-4</c:v>
                </c:pt>
                <c:pt idx="17">
                  <c:v>7.8100250461271504E-4</c:v>
                </c:pt>
                <c:pt idx="18">
                  <c:v>8.1827856956434705E-4</c:v>
                </c:pt>
                <c:pt idx="19">
                  <c:v>8.5796094146985602E-4</c:v>
                </c:pt>
                <c:pt idx="20">
                  <c:v>9.0029265274522898E-4</c:v>
                </c:pt>
                <c:pt idx="21">
                  <c:v>9.4554818513691399E-4</c:v>
                </c:pt>
                <c:pt idx="22">
                  <c:v>9.9404304305122991E-4</c:v>
                </c:pt>
                <c:pt idx="23">
                  <c:v>1.04614661512582E-3</c:v>
                </c:pt>
                <c:pt idx="24">
                  <c:v>1.10229319120476E-3</c:v>
                </c:pt>
                <c:pt idx="25">
                  <c:v>1.16299893277711E-3</c:v>
                </c:pt>
                <c:pt idx="26">
                  <c:v>1.2288721348627299E-3</c:v>
                </c:pt>
                <c:pt idx="27">
                  <c:v>1.3006374381994599E-3</c:v>
                </c:pt>
                <c:pt idx="28">
                  <c:v>1.3791606240181099E-3</c:v>
                </c:pt>
                <c:pt idx="29">
                  <c:v>1.46548999357481E-3</c:v>
                </c:pt>
                <c:pt idx="30">
                  <c:v>1.5609055712896801E-3</c:v>
                </c:pt>
                <c:pt idx="31">
                  <c:v>1.66699228210496E-3</c:v>
                </c:pt>
                <c:pt idx="32">
                  <c:v>1.7857323469418101E-3</c:v>
                </c:pt>
                <c:pt idx="33">
                  <c:v>1.9196475698750001E-3</c:v>
                </c:pt>
                <c:pt idx="34">
                  <c:v>2.0720012756369399E-3</c:v>
                </c:pt>
                <c:pt idx="35">
                  <c:v>2.2470869836756901E-3</c:v>
                </c:pt>
                <c:pt idx="36">
                  <c:v>2.4506875237186102E-3</c:v>
                </c:pt>
                <c:pt idx="37">
                  <c:v>2.69079800568177E-3</c:v>
                </c:pt>
                <c:pt idx="38">
                  <c:v>2.9788147702929399E-3</c:v>
                </c:pt>
                <c:pt idx="39">
                  <c:v>3.3315804231673499E-3</c:v>
                </c:pt>
                <c:pt idx="40">
                  <c:v>3.7751434579460798E-3</c:v>
                </c:pt>
                <c:pt idx="41">
                  <c:v>4.3521633713521799E-3</c:v>
                </c:pt>
                <c:pt idx="42">
                  <c:v>5.1378866992433303E-3</c:v>
                </c:pt>
                <c:pt idx="43">
                  <c:v>6.2789332442297497E-3</c:v>
                </c:pt>
                <c:pt idx="44">
                  <c:v>8.10331730583079E-3</c:v>
                </c:pt>
                <c:pt idx="45">
                  <c:v>1.14986739589941E-2</c:v>
                </c:pt>
                <c:pt idx="46">
                  <c:v>1.9273846291587501E-2</c:v>
                </c:pt>
                <c:pt idx="47">
                  <c:v>3.4998757580747802E-2</c:v>
                </c:pt>
                <c:pt idx="48">
                  <c:v>4.8502954366634203E-2</c:v>
                </c:pt>
                <c:pt idx="49">
                  <c:v>5.5907362932790097E-2</c:v>
                </c:pt>
                <c:pt idx="50">
                  <c:v>6.4144789881577E-2</c:v>
                </c:pt>
                <c:pt idx="51">
                  <c:v>7.6480002969855104E-2</c:v>
                </c:pt>
                <c:pt idx="52">
                  <c:v>8.1970953507714606E-2</c:v>
                </c:pt>
                <c:pt idx="53">
                  <c:v>8.1909934778324298E-2</c:v>
                </c:pt>
                <c:pt idx="54">
                  <c:v>8.0489156116416993E-2</c:v>
                </c:pt>
                <c:pt idx="55">
                  <c:v>8.1242818120158503E-2</c:v>
                </c:pt>
                <c:pt idx="56">
                  <c:v>8.7432181606668199E-2</c:v>
                </c:pt>
                <c:pt idx="57">
                  <c:v>9.3068862956294907E-2</c:v>
                </c:pt>
                <c:pt idx="58">
                  <c:v>9.3757171134354195E-2</c:v>
                </c:pt>
                <c:pt idx="59">
                  <c:v>9.25735871936198E-2</c:v>
                </c:pt>
                <c:pt idx="60">
                  <c:v>9.2058050207282693E-2</c:v>
                </c:pt>
                <c:pt idx="61">
                  <c:v>9.4535705137519702E-2</c:v>
                </c:pt>
                <c:pt idx="62">
                  <c:v>9.9701007549667306E-2</c:v>
                </c:pt>
                <c:pt idx="63">
                  <c:v>0.10175440948984101</c:v>
                </c:pt>
                <c:pt idx="64">
                  <c:v>0.102206632421214</c:v>
                </c:pt>
                <c:pt idx="65">
                  <c:v>0.103789440924084</c:v>
                </c:pt>
                <c:pt idx="66">
                  <c:v>0.10664347974911199</c:v>
                </c:pt>
                <c:pt idx="67">
                  <c:v>0.10965515825516101</c:v>
                </c:pt>
                <c:pt idx="68">
                  <c:v>0.11194688191862601</c:v>
                </c:pt>
                <c:pt idx="69">
                  <c:v>0.112525742907056</c:v>
                </c:pt>
                <c:pt idx="70">
                  <c:v>0.113084359477653</c:v>
                </c:pt>
                <c:pt idx="71">
                  <c:v>0.115111601620073</c:v>
                </c:pt>
                <c:pt idx="72">
                  <c:v>0.11855878879453</c:v>
                </c:pt>
                <c:pt idx="73">
                  <c:v>0.12155904854296599</c:v>
                </c:pt>
                <c:pt idx="74">
                  <c:v>0.122331947445668</c:v>
                </c:pt>
                <c:pt idx="75">
                  <c:v>0.12153704224326101</c:v>
                </c:pt>
                <c:pt idx="76">
                  <c:v>0.12055834366121</c:v>
                </c:pt>
                <c:pt idx="77">
                  <c:v>0.120287403771279</c:v>
                </c:pt>
                <c:pt idx="78">
                  <c:v>0.12123726288871201</c:v>
                </c:pt>
                <c:pt idx="79">
                  <c:v>0.123439610061572</c:v>
                </c:pt>
                <c:pt idx="80">
                  <c:v>0.12621375262416001</c:v>
                </c:pt>
                <c:pt idx="81">
                  <c:v>0.12833712347561599</c:v>
                </c:pt>
                <c:pt idx="82">
                  <c:v>0.12891878185338301</c:v>
                </c:pt>
                <c:pt idx="83">
                  <c:v>0.12836210819754601</c:v>
                </c:pt>
                <c:pt idx="84">
                  <c:v>0.127681074367296</c:v>
                </c:pt>
                <c:pt idx="85">
                  <c:v>0.127502112115112</c:v>
                </c:pt>
                <c:pt idx="86">
                  <c:v>0.12808944111540199</c:v>
                </c:pt>
                <c:pt idx="87">
                  <c:v>0.12940288295914601</c:v>
                </c:pt>
                <c:pt idx="88">
                  <c:v>0.13110224831530601</c:v>
                </c:pt>
                <c:pt idx="89">
                  <c:v>0.13266987408810901</c:v>
                </c:pt>
                <c:pt idx="90">
                  <c:v>0.133729474203653</c:v>
                </c:pt>
                <c:pt idx="91">
                  <c:v>0.13442737932139301</c:v>
                </c:pt>
                <c:pt idx="92">
                  <c:v>0.13527827871888101</c:v>
                </c:pt>
                <c:pt idx="93">
                  <c:v>0.13651930575475099</c:v>
                </c:pt>
                <c:pt idx="94">
                  <c:v>0.13806786281911301</c:v>
                </c:pt>
                <c:pt idx="95">
                  <c:v>0.13969276191709601</c:v>
                </c:pt>
                <c:pt idx="96">
                  <c:v>0.14119129431764099</c:v>
                </c:pt>
                <c:pt idx="97">
                  <c:v>0.13728746181975299</c:v>
                </c:pt>
                <c:pt idx="98">
                  <c:v>0.138219034843727</c:v>
                </c:pt>
                <c:pt idx="99">
                  <c:v>0.139166738168159</c:v>
                </c:pt>
                <c:pt idx="100">
                  <c:v>0.140119884797821</c:v>
                </c:pt>
                <c:pt idx="101">
                  <c:v>0.14107097547881101</c:v>
                </c:pt>
                <c:pt idx="102">
                  <c:v>0.142017245394366</c:v>
                </c:pt>
                <c:pt idx="103">
                  <c:v>0.14295132415126</c:v>
                </c:pt>
                <c:pt idx="104">
                  <c:v>0.14386691960694201</c:v>
                </c:pt>
                <c:pt idx="105">
                  <c:v>0.14751115154984501</c:v>
                </c:pt>
                <c:pt idx="106">
                  <c:v>0.148136240056192</c:v>
                </c:pt>
                <c:pt idx="107">
                  <c:v>0.14899133821802199</c:v>
                </c:pt>
                <c:pt idx="108">
                  <c:v>0.14981976597020999</c:v>
                </c:pt>
                <c:pt idx="109">
                  <c:v>0.15062144910973599</c:v>
                </c:pt>
                <c:pt idx="110">
                  <c:v>0.151397119608842</c:v>
                </c:pt>
                <c:pt idx="111">
                  <c:v>0.151997567835641</c:v>
                </c:pt>
                <c:pt idx="112">
                  <c:v>0.1526597547596</c:v>
                </c:pt>
                <c:pt idx="113">
                  <c:v>0.15329863429193599</c:v>
                </c:pt>
                <c:pt idx="114">
                  <c:v>0.15391675905888599</c:v>
                </c:pt>
                <c:pt idx="115">
                  <c:v>0.15451454097241099</c:v>
                </c:pt>
                <c:pt idx="116">
                  <c:v>0.155091522504788</c:v>
                </c:pt>
                <c:pt idx="117">
                  <c:v>0.15564856694835799</c:v>
                </c:pt>
                <c:pt idx="118">
                  <c:v>0.15618580022668299</c:v>
                </c:pt>
                <c:pt idx="119">
                  <c:v>0.15670411307760701</c:v>
                </c:pt>
                <c:pt idx="120">
                  <c:v>0.157204289270408</c:v>
                </c:pt>
                <c:pt idx="121">
                  <c:v>0.157686599793288</c:v>
                </c:pt>
                <c:pt idx="122">
                  <c:v>0.15815197202661199</c:v>
                </c:pt>
                <c:pt idx="123">
                  <c:v>0.15860074045268999</c:v>
                </c:pt>
                <c:pt idx="124">
                  <c:v>0.15903372971257301</c:v>
                </c:pt>
                <c:pt idx="125">
                  <c:v>0.15945086377072001</c:v>
                </c:pt>
                <c:pt idx="126">
                  <c:v>0.15985293703230799</c:v>
                </c:pt>
                <c:pt idx="127">
                  <c:v>0.16024160588822101</c:v>
                </c:pt>
                <c:pt idx="128">
                  <c:v>0.160617441255443</c:v>
                </c:pt>
                <c:pt idx="129">
                  <c:v>0.16093428533300499</c:v>
                </c:pt>
                <c:pt idx="130">
                  <c:v>0.16128638011652499</c:v>
                </c:pt>
                <c:pt idx="131">
                  <c:v>0.161626403433656</c:v>
                </c:pt>
                <c:pt idx="132">
                  <c:v>0.16195459958608699</c:v>
                </c:pt>
                <c:pt idx="133">
                  <c:v>0.162271515526132</c:v>
                </c:pt>
                <c:pt idx="134">
                  <c:v>0.16257758917154999</c:v>
                </c:pt>
                <c:pt idx="135">
                  <c:v>0.16287324536226599</c:v>
                </c:pt>
                <c:pt idx="136">
                  <c:v>0.16315885606493799</c:v>
                </c:pt>
                <c:pt idx="137">
                  <c:v>0.163434903031351</c:v>
                </c:pt>
                <c:pt idx="138">
                  <c:v>0.16370175132359199</c:v>
                </c:pt>
                <c:pt idx="139">
                  <c:v>0.16395961531323999</c:v>
                </c:pt>
                <c:pt idx="140">
                  <c:v>0.16420906599395699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E-4095-81BC-5549F93F7157}"/>
            </c:ext>
          </c:extLst>
        </c:ser>
        <c:ser>
          <c:idx val="1"/>
          <c:order val="2"/>
          <c:tx>
            <c:v>SPACES-renorm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0 50 eV'!$A$3:$A$144</c:f>
              <c:numCache>
                <c:formatCode>General</c:formatCode>
                <c:ptCount val="142"/>
                <c:pt idx="0">
                  <c:v>1681.3562507183101</c:v>
                </c:pt>
                <c:pt idx="1">
                  <c:v>1681.42498410903</c:v>
                </c:pt>
                <c:pt idx="2">
                  <c:v>1681.4937174997499</c:v>
                </c:pt>
                <c:pt idx="3">
                  <c:v>1681.56245089048</c:v>
                </c:pt>
                <c:pt idx="4">
                  <c:v>1681.6311842811999</c:v>
                </c:pt>
                <c:pt idx="5">
                  <c:v>1681.69991767192</c:v>
                </c:pt>
                <c:pt idx="6">
                  <c:v>1681.7686510626399</c:v>
                </c:pt>
                <c:pt idx="7">
                  <c:v>1681.8373844533601</c:v>
                </c:pt>
                <c:pt idx="8">
                  <c:v>1681.90611784408</c:v>
                </c:pt>
                <c:pt idx="9">
                  <c:v>1681.9748512348001</c:v>
                </c:pt>
                <c:pt idx="10">
                  <c:v>1682.04358462552</c:v>
                </c:pt>
                <c:pt idx="11">
                  <c:v>1682.1123180162399</c:v>
                </c:pt>
                <c:pt idx="12">
                  <c:v>1682.18105140696</c:v>
                </c:pt>
                <c:pt idx="13">
                  <c:v>1682.2497847976799</c:v>
                </c:pt>
                <c:pt idx="14">
                  <c:v>1682.3185181884</c:v>
                </c:pt>
                <c:pt idx="15">
                  <c:v>1682.3872515791199</c:v>
                </c:pt>
                <c:pt idx="16">
                  <c:v>1682.4559849698401</c:v>
                </c:pt>
                <c:pt idx="17">
                  <c:v>1682.52471836056</c:v>
                </c:pt>
                <c:pt idx="18">
                  <c:v>1682.5934517512801</c:v>
                </c:pt>
                <c:pt idx="19">
                  <c:v>1682.66218514201</c:v>
                </c:pt>
                <c:pt idx="20">
                  <c:v>1682.7309185327299</c:v>
                </c:pt>
                <c:pt idx="21">
                  <c:v>1682.79965192345</c:v>
                </c:pt>
                <c:pt idx="22">
                  <c:v>1682.8683853141699</c:v>
                </c:pt>
                <c:pt idx="23">
                  <c:v>1682.9371187048901</c:v>
                </c:pt>
                <c:pt idx="24">
                  <c:v>1682.9943965304899</c:v>
                </c:pt>
                <c:pt idx="25">
                  <c:v>1683.0287632258501</c:v>
                </c:pt>
                <c:pt idx="26">
                  <c:v>1683.05167435609</c:v>
                </c:pt>
                <c:pt idx="27">
                  <c:v>1683.0745854863301</c:v>
                </c:pt>
                <c:pt idx="28">
                  <c:v>1683.0917688340101</c:v>
                </c:pt>
                <c:pt idx="29">
                  <c:v>1683.10895218169</c:v>
                </c:pt>
                <c:pt idx="30">
                  <c:v>1683.12613552937</c:v>
                </c:pt>
                <c:pt idx="31">
                  <c:v>1683.1375910944901</c:v>
                </c:pt>
                <c:pt idx="32">
                  <c:v>1683.1490466596099</c:v>
                </c:pt>
                <c:pt idx="33">
                  <c:v>1683.16050222473</c:v>
                </c:pt>
                <c:pt idx="34">
                  <c:v>1683.17195778985</c:v>
                </c:pt>
                <c:pt idx="35">
                  <c:v>1683.1834133549701</c:v>
                </c:pt>
                <c:pt idx="36">
                  <c:v>1683.1948689200899</c:v>
                </c:pt>
                <c:pt idx="37">
                  <c:v>1683.20632448521</c:v>
                </c:pt>
                <c:pt idx="38">
                  <c:v>1683.21778005033</c:v>
                </c:pt>
                <c:pt idx="39">
                  <c:v>1683.2292356154501</c:v>
                </c:pt>
                <c:pt idx="40">
                  <c:v>1683.2406911805699</c:v>
                </c:pt>
                <c:pt idx="41">
                  <c:v>1683.25214674569</c:v>
                </c:pt>
                <c:pt idx="42">
                  <c:v>1683.26360231081</c:v>
                </c:pt>
                <c:pt idx="43">
                  <c:v>1683.2750578759301</c:v>
                </c:pt>
                <c:pt idx="44">
                  <c:v>1683.2865134410499</c:v>
                </c:pt>
                <c:pt idx="45">
                  <c:v>1683.29796900617</c:v>
                </c:pt>
                <c:pt idx="46">
                  <c:v>1683.30942457129</c:v>
                </c:pt>
                <c:pt idx="47">
                  <c:v>1683.3208801364101</c:v>
                </c:pt>
                <c:pt idx="48">
                  <c:v>1683.3323357015299</c:v>
                </c:pt>
                <c:pt idx="49">
                  <c:v>1683.34379126665</c:v>
                </c:pt>
                <c:pt idx="50">
                  <c:v>1683.36097461433</c:v>
                </c:pt>
                <c:pt idx="51">
                  <c:v>1683.35524683177</c:v>
                </c:pt>
                <c:pt idx="52">
                  <c:v>1683.3781579620099</c:v>
                </c:pt>
                <c:pt idx="53">
                  <c:v>1683.3953413096899</c:v>
                </c:pt>
                <c:pt idx="54">
                  <c:v>1683.41825243993</c:v>
                </c:pt>
                <c:pt idx="55">
                  <c:v>1683.4468913527301</c:v>
                </c:pt>
                <c:pt idx="56">
                  <c:v>1683.49844139577</c:v>
                </c:pt>
                <c:pt idx="57">
                  <c:v>1683.5557192213701</c:v>
                </c:pt>
                <c:pt idx="58">
                  <c:v>1683.6015414818501</c:v>
                </c:pt>
                <c:pt idx="59">
                  <c:v>1683.6473637423301</c:v>
                </c:pt>
                <c:pt idx="60">
                  <c:v>1683.69891378537</c:v>
                </c:pt>
                <c:pt idx="61">
                  <c:v>1683.76191939354</c:v>
                </c:pt>
                <c:pt idx="62">
                  <c:v>1683.8306527842601</c:v>
                </c:pt>
                <c:pt idx="63">
                  <c:v>1683.89938617498</c:v>
                </c:pt>
                <c:pt idx="64">
                  <c:v>1683.9681195656999</c:v>
                </c:pt>
                <c:pt idx="65">
                  <c:v>1684.03685295642</c:v>
                </c:pt>
                <c:pt idx="66">
                  <c:v>1684.1055863471399</c:v>
                </c:pt>
                <c:pt idx="67">
                  <c:v>1684.1743197378601</c:v>
                </c:pt>
                <c:pt idx="68">
                  <c:v>1684.24305312858</c:v>
                </c:pt>
                <c:pt idx="69">
                  <c:v>1684.3117865193001</c:v>
                </c:pt>
                <c:pt idx="70">
                  <c:v>1684.38051991002</c:v>
                </c:pt>
                <c:pt idx="71">
                  <c:v>1684.4492533007401</c:v>
                </c:pt>
                <c:pt idx="72">
                  <c:v>1684.51798669146</c:v>
                </c:pt>
                <c:pt idx="73">
                  <c:v>1684.5867200821799</c:v>
                </c:pt>
                <c:pt idx="74">
                  <c:v>1684.6554534729</c:v>
                </c:pt>
                <c:pt idx="75">
                  <c:v>1684.7241868636199</c:v>
                </c:pt>
                <c:pt idx="76">
                  <c:v>1684.7929202543401</c:v>
                </c:pt>
                <c:pt idx="77">
                  <c:v>1684.86165364506</c:v>
                </c:pt>
                <c:pt idx="78">
                  <c:v>1684.9303870357901</c:v>
                </c:pt>
                <c:pt idx="79">
                  <c:v>1684.99912042651</c:v>
                </c:pt>
                <c:pt idx="80">
                  <c:v>1685.0678538172299</c:v>
                </c:pt>
                <c:pt idx="81">
                  <c:v>1685.13658720795</c:v>
                </c:pt>
                <c:pt idx="82">
                  <c:v>1685.2053205986699</c:v>
                </c:pt>
                <c:pt idx="83">
                  <c:v>1685.27405398939</c:v>
                </c:pt>
                <c:pt idx="84">
                  <c:v>1685.3427873801099</c:v>
                </c:pt>
                <c:pt idx="85">
                  <c:v>1685.4115207708301</c:v>
                </c:pt>
                <c:pt idx="86">
                  <c:v>1685.48025416155</c:v>
                </c:pt>
                <c:pt idx="87">
                  <c:v>1685.5489875522701</c:v>
                </c:pt>
                <c:pt idx="88">
                  <c:v>1685.61772094299</c:v>
                </c:pt>
                <c:pt idx="89">
                  <c:v>1685.6864543337099</c:v>
                </c:pt>
                <c:pt idx="90">
                  <c:v>1685.75518772443</c:v>
                </c:pt>
                <c:pt idx="91">
                  <c:v>1685.8239211151499</c:v>
                </c:pt>
                <c:pt idx="92">
                  <c:v>1685.89265450587</c:v>
                </c:pt>
                <c:pt idx="93">
                  <c:v>1685.9613878965899</c:v>
                </c:pt>
                <c:pt idx="94">
                  <c:v>1686.0301212873201</c:v>
                </c:pt>
                <c:pt idx="95">
                  <c:v>1686.09885467804</c:v>
                </c:pt>
                <c:pt idx="96">
                  <c:v>1686.1675880687601</c:v>
                </c:pt>
                <c:pt idx="97">
                  <c:v>1686.23632145948</c:v>
                </c:pt>
                <c:pt idx="98">
                  <c:v>1686.3050548501999</c:v>
                </c:pt>
                <c:pt idx="99">
                  <c:v>1686.37378824092</c:v>
                </c:pt>
                <c:pt idx="100">
                  <c:v>1686.4425216316399</c:v>
                </c:pt>
                <c:pt idx="101">
                  <c:v>1686.51125502236</c:v>
                </c:pt>
                <c:pt idx="102">
                  <c:v>1686.5799884130799</c:v>
                </c:pt>
                <c:pt idx="103">
                  <c:v>1686.6487218038001</c:v>
                </c:pt>
                <c:pt idx="104">
                  <c:v>1686.71745519452</c:v>
                </c:pt>
                <c:pt idx="105">
                  <c:v>1686.7861885852401</c:v>
                </c:pt>
                <c:pt idx="106">
                  <c:v>1686.85492197596</c:v>
                </c:pt>
                <c:pt idx="107">
                  <c:v>1686.9236553666799</c:v>
                </c:pt>
                <c:pt idx="108">
                  <c:v>1686.9923887574</c:v>
                </c:pt>
                <c:pt idx="109">
                  <c:v>1687.0611221481199</c:v>
                </c:pt>
                <c:pt idx="110">
                  <c:v>1687.1298555388501</c:v>
                </c:pt>
                <c:pt idx="111">
                  <c:v>1687.19858892957</c:v>
                </c:pt>
                <c:pt idx="112">
                  <c:v>1687.2673223202901</c:v>
                </c:pt>
                <c:pt idx="113">
                  <c:v>1687.33605571101</c:v>
                </c:pt>
                <c:pt idx="114">
                  <c:v>1687.4047891017301</c:v>
                </c:pt>
                <c:pt idx="115">
                  <c:v>1687.47352249245</c:v>
                </c:pt>
                <c:pt idx="116">
                  <c:v>1687.5422558831699</c:v>
                </c:pt>
                <c:pt idx="117">
                  <c:v>1687.61098927389</c:v>
                </c:pt>
                <c:pt idx="118">
                  <c:v>1687.6797226646099</c:v>
                </c:pt>
                <c:pt idx="119">
                  <c:v>1687.7484560553301</c:v>
                </c:pt>
                <c:pt idx="120">
                  <c:v>1687.81718944605</c:v>
                </c:pt>
                <c:pt idx="121">
                  <c:v>1687.8859228367701</c:v>
                </c:pt>
                <c:pt idx="122">
                  <c:v>1687.95465622749</c:v>
                </c:pt>
                <c:pt idx="123">
                  <c:v>1688.0233896182101</c:v>
                </c:pt>
                <c:pt idx="124">
                  <c:v>1688.09212300893</c:v>
                </c:pt>
                <c:pt idx="125">
                  <c:v>1688.1608563996499</c:v>
                </c:pt>
                <c:pt idx="126">
                  <c:v>1688.22958979038</c:v>
                </c:pt>
                <c:pt idx="127">
                  <c:v>1688.2983231810999</c:v>
                </c:pt>
                <c:pt idx="128">
                  <c:v>1688.3670565718201</c:v>
                </c:pt>
                <c:pt idx="129">
                  <c:v>1688.43578996254</c:v>
                </c:pt>
                <c:pt idx="130">
                  <c:v>1688.5045233532601</c:v>
                </c:pt>
                <c:pt idx="131">
                  <c:v>1688.57325674398</c:v>
                </c:pt>
                <c:pt idx="132">
                  <c:v>1688.6419901347001</c:v>
                </c:pt>
                <c:pt idx="133">
                  <c:v>1688.71072352542</c:v>
                </c:pt>
                <c:pt idx="134">
                  <c:v>1688.7794569161399</c:v>
                </c:pt>
                <c:pt idx="135">
                  <c:v>1688.84819030686</c:v>
                </c:pt>
                <c:pt idx="136">
                  <c:v>1688.9169236975799</c:v>
                </c:pt>
                <c:pt idx="137">
                  <c:v>1688.9856570883001</c:v>
                </c:pt>
                <c:pt idx="138">
                  <c:v>1689.05439047902</c:v>
                </c:pt>
                <c:pt idx="139">
                  <c:v>1689.1231238697401</c:v>
                </c:pt>
                <c:pt idx="140">
                  <c:v>1689.19185726046</c:v>
                </c:pt>
                <c:pt idx="141">
                  <c:v>1689.2605906511801</c:v>
                </c:pt>
              </c:numCache>
            </c:numRef>
          </c:xVal>
          <c:yVal>
            <c:numRef>
              <c:f>'Ex 2 full 0 50 eV'!$C$3:$C$144</c:f>
              <c:numCache>
                <c:formatCode>General</c:formatCode>
                <c:ptCount val="142"/>
                <c:pt idx="0">
                  <c:v>1.1917660267458893E-3</c:v>
                </c:pt>
                <c:pt idx="1">
                  <c:v>1.1917660267458893E-3</c:v>
                </c:pt>
                <c:pt idx="2">
                  <c:v>1.1917660267458893E-3</c:v>
                </c:pt>
                <c:pt idx="3">
                  <c:v>1.1917660267458893E-3</c:v>
                </c:pt>
                <c:pt idx="4">
                  <c:v>1.6960311809701225E-3</c:v>
                </c:pt>
                <c:pt idx="5">
                  <c:v>1.7968842118149619E-3</c:v>
                </c:pt>
                <c:pt idx="6">
                  <c:v>1.7968842118149619E-3</c:v>
                </c:pt>
                <c:pt idx="7">
                  <c:v>1.7968842118149619E-3</c:v>
                </c:pt>
                <c:pt idx="8">
                  <c:v>1.7968842118149619E-3</c:v>
                </c:pt>
                <c:pt idx="9">
                  <c:v>2.0490167889270867E-3</c:v>
                </c:pt>
                <c:pt idx="10">
                  <c:v>2.4020023968840507E-3</c:v>
                </c:pt>
                <c:pt idx="11">
                  <c:v>2.4020023968840507E-3</c:v>
                </c:pt>
                <c:pt idx="12">
                  <c:v>2.4524289123064613E-3</c:v>
                </c:pt>
                <c:pt idx="13">
                  <c:v>3.0071205819531392E-3</c:v>
                </c:pt>
                <c:pt idx="14">
                  <c:v>3.0071205819531392E-3</c:v>
                </c:pt>
                <c:pt idx="15">
                  <c:v>3.5113857361773891E-3</c:v>
                </c:pt>
                <c:pt idx="16">
                  <c:v>3.7635183132894959E-3</c:v>
                </c:pt>
                <c:pt idx="17">
                  <c:v>4.2173569520913166E-3</c:v>
                </c:pt>
                <c:pt idx="18">
                  <c:v>4.822475137160406E-3</c:v>
                </c:pt>
                <c:pt idx="19">
                  <c:v>5.5788728684967627E-3</c:v>
                </c:pt>
                <c:pt idx="20">
                  <c:v>6.3856971152555292E-3</c:v>
                </c:pt>
                <c:pt idx="21">
                  <c:v>7.6967865162385464E-3</c:v>
                </c:pt>
                <c:pt idx="22">
                  <c:v>9.4112880406009552E-3</c:v>
                </c:pt>
                <c:pt idx="23">
                  <c:v>1.2285599419679149E-2</c:v>
                </c:pt>
                <c:pt idx="24">
                  <c:v>1.6168441107205788E-2</c:v>
                </c:pt>
                <c:pt idx="25">
                  <c:v>1.9647870671352981E-2</c:v>
                </c:pt>
                <c:pt idx="26">
                  <c:v>2.3429859328034767E-2</c:v>
                </c:pt>
                <c:pt idx="27">
                  <c:v>2.7816966169785726E-2</c:v>
                </c:pt>
                <c:pt idx="28">
                  <c:v>3.1750234372734755E-2</c:v>
                </c:pt>
                <c:pt idx="29">
                  <c:v>3.6742459399554714E-2</c:v>
                </c:pt>
                <c:pt idx="30">
                  <c:v>4.2944920796512853E-2</c:v>
                </c:pt>
                <c:pt idx="31">
                  <c:v>4.6575629906927381E-2</c:v>
                </c:pt>
                <c:pt idx="32">
                  <c:v>5.2626811757618276E-2</c:v>
                </c:pt>
                <c:pt idx="33">
                  <c:v>5.6862639053101807E-2</c:v>
                </c:pt>
                <c:pt idx="34">
                  <c:v>6.3821498181396374E-2</c:v>
                </c:pt>
                <c:pt idx="35">
                  <c:v>6.896500275448357E-2</c:v>
                </c:pt>
                <c:pt idx="36">
                  <c:v>7.7134098252916311E-2</c:v>
                </c:pt>
                <c:pt idx="37">
                  <c:v>8.3185280103607206E-2</c:v>
                </c:pt>
                <c:pt idx="38">
                  <c:v>9.256461197217794E-2</c:v>
                </c:pt>
                <c:pt idx="39">
                  <c:v>9.922091200793802E-2</c:v>
                </c:pt>
                <c:pt idx="40">
                  <c:v>0.10920536206157794</c:v>
                </c:pt>
                <c:pt idx="41">
                  <c:v>0.11979493030028686</c:v>
                </c:pt>
                <c:pt idx="42">
                  <c:v>0.12645123033604691</c:v>
                </c:pt>
                <c:pt idx="43">
                  <c:v>0.13734335766729053</c:v>
                </c:pt>
                <c:pt idx="44">
                  <c:v>0.14430221679558508</c:v>
                </c:pt>
                <c:pt idx="45">
                  <c:v>0.1545892259417595</c:v>
                </c:pt>
                <c:pt idx="46">
                  <c:v>0.16124552597751937</c:v>
                </c:pt>
                <c:pt idx="47">
                  <c:v>0.17032229875355581</c:v>
                </c:pt>
                <c:pt idx="48">
                  <c:v>0.17637348060424668</c:v>
                </c:pt>
                <c:pt idx="49">
                  <c:v>0.18484513519521251</c:v>
                </c:pt>
                <c:pt idx="50">
                  <c:v>0.19649366025779252</c:v>
                </c:pt>
                <c:pt idx="51">
                  <c:v>0.1899886397683008</c:v>
                </c:pt>
                <c:pt idx="52">
                  <c:v>0.20148588528461356</c:v>
                </c:pt>
                <c:pt idx="53">
                  <c:v>0.20844474441290708</c:v>
                </c:pt>
                <c:pt idx="54">
                  <c:v>0.21510104444866784</c:v>
                </c:pt>
                <c:pt idx="55">
                  <c:v>0.22014369599091069</c:v>
                </c:pt>
                <c:pt idx="56">
                  <c:v>0.22195905054611767</c:v>
                </c:pt>
                <c:pt idx="57">
                  <c:v>0.21956379106355173</c:v>
                </c:pt>
                <c:pt idx="58">
                  <c:v>0.21578180240687048</c:v>
                </c:pt>
                <c:pt idx="59">
                  <c:v>0.21207545352332283</c:v>
                </c:pt>
                <c:pt idx="60">
                  <c:v>0.20838423259440017</c:v>
                </c:pt>
                <c:pt idx="61">
                  <c:v>0.20451147620995858</c:v>
                </c:pt>
                <c:pt idx="62">
                  <c:v>0.20098162013038823</c:v>
                </c:pt>
                <c:pt idx="63">
                  <c:v>0.19800645572046502</c:v>
                </c:pt>
                <c:pt idx="64">
                  <c:v>0.19548512994934539</c:v>
                </c:pt>
                <c:pt idx="65">
                  <c:v>0.19336721630160211</c:v>
                </c:pt>
                <c:pt idx="66">
                  <c:v>0.19150143523097329</c:v>
                </c:pt>
                <c:pt idx="67">
                  <c:v>0.18988778673745535</c:v>
                </c:pt>
                <c:pt idx="68">
                  <c:v>0.18852627082105011</c:v>
                </c:pt>
                <c:pt idx="69">
                  <c:v>0.18726560793549027</c:v>
                </c:pt>
                <c:pt idx="70">
                  <c:v>0.18610579808077413</c:v>
                </c:pt>
                <c:pt idx="71">
                  <c:v>0.18524854731859244</c:v>
                </c:pt>
                <c:pt idx="72">
                  <c:v>0.18429044352556712</c:v>
                </c:pt>
                <c:pt idx="73">
                  <c:v>0.18348361927880727</c:v>
                </c:pt>
                <c:pt idx="74">
                  <c:v>0.18282807457831643</c:v>
                </c:pt>
                <c:pt idx="75">
                  <c:v>0.18212210336240203</c:v>
                </c:pt>
                <c:pt idx="76">
                  <c:v>0.18156741169275484</c:v>
                </c:pt>
                <c:pt idx="77">
                  <c:v>0.18106314653853126</c:v>
                </c:pt>
                <c:pt idx="78">
                  <c:v>0.1805588813843077</c:v>
                </c:pt>
                <c:pt idx="79">
                  <c:v>0.18025632229177319</c:v>
                </c:pt>
                <c:pt idx="80">
                  <c:v>0.17970163062212602</c:v>
                </c:pt>
                <c:pt idx="81">
                  <c:v>0.17949992456043695</c:v>
                </c:pt>
                <c:pt idx="82">
                  <c:v>0.17909651243705701</c:v>
                </c:pt>
                <c:pt idx="83">
                  <c:v>0.17894523289078976</c:v>
                </c:pt>
                <c:pt idx="84">
                  <c:v>0.17849139425198801</c:v>
                </c:pt>
                <c:pt idx="85">
                  <c:v>0.17849139425198801</c:v>
                </c:pt>
                <c:pt idx="86">
                  <c:v>0.17813840864402994</c:v>
                </c:pt>
                <c:pt idx="87">
                  <c:v>0.17788627606691904</c:v>
                </c:pt>
                <c:pt idx="88">
                  <c:v>0.17788627606691904</c:v>
                </c:pt>
                <c:pt idx="89">
                  <c:v>0.17788627606691904</c:v>
                </c:pt>
                <c:pt idx="90">
                  <c:v>0.17768457000522819</c:v>
                </c:pt>
                <c:pt idx="91">
                  <c:v>0.1772811578818502</c:v>
                </c:pt>
                <c:pt idx="92">
                  <c:v>0.1772811578818502</c:v>
                </c:pt>
                <c:pt idx="93">
                  <c:v>0.1772811578818502</c:v>
                </c:pt>
                <c:pt idx="94">
                  <c:v>0.1772811578818502</c:v>
                </c:pt>
                <c:pt idx="95">
                  <c:v>0.1772811578818502</c:v>
                </c:pt>
                <c:pt idx="96">
                  <c:v>0.1772811578818502</c:v>
                </c:pt>
                <c:pt idx="97">
                  <c:v>0.1772811578818502</c:v>
                </c:pt>
                <c:pt idx="98">
                  <c:v>0.1772811578818502</c:v>
                </c:pt>
                <c:pt idx="99">
                  <c:v>0.1772811578818502</c:v>
                </c:pt>
                <c:pt idx="100">
                  <c:v>0.1772811578818502</c:v>
                </c:pt>
                <c:pt idx="101">
                  <c:v>0.1772811578818502</c:v>
                </c:pt>
                <c:pt idx="102">
                  <c:v>0.1772811578818502</c:v>
                </c:pt>
                <c:pt idx="103">
                  <c:v>0.1772811578818502</c:v>
                </c:pt>
                <c:pt idx="104">
                  <c:v>0.1772811578818502</c:v>
                </c:pt>
                <c:pt idx="105">
                  <c:v>0.17748286394353996</c:v>
                </c:pt>
                <c:pt idx="106">
                  <c:v>0.17788627606691904</c:v>
                </c:pt>
                <c:pt idx="107">
                  <c:v>0.17788627606691904</c:v>
                </c:pt>
                <c:pt idx="108">
                  <c:v>0.17798712909776265</c:v>
                </c:pt>
                <c:pt idx="109">
                  <c:v>0.17788627606691904</c:v>
                </c:pt>
                <c:pt idx="110">
                  <c:v>0.17788627606691904</c:v>
                </c:pt>
                <c:pt idx="111">
                  <c:v>0.17788627606691904</c:v>
                </c:pt>
                <c:pt idx="112">
                  <c:v>0.17788627606691904</c:v>
                </c:pt>
                <c:pt idx="113">
                  <c:v>0.17788627606691904</c:v>
                </c:pt>
                <c:pt idx="114">
                  <c:v>0.17788627606691904</c:v>
                </c:pt>
                <c:pt idx="115">
                  <c:v>0.17788627606691904</c:v>
                </c:pt>
                <c:pt idx="116">
                  <c:v>0.17788627606691904</c:v>
                </c:pt>
                <c:pt idx="117">
                  <c:v>0.17788627606691904</c:v>
                </c:pt>
                <c:pt idx="118">
                  <c:v>0.17788627606691904</c:v>
                </c:pt>
                <c:pt idx="119">
                  <c:v>0.17788627606691904</c:v>
                </c:pt>
                <c:pt idx="120">
                  <c:v>0.17788627606691904</c:v>
                </c:pt>
                <c:pt idx="121">
                  <c:v>0.17788627606691904</c:v>
                </c:pt>
                <c:pt idx="122">
                  <c:v>0.17788627606691904</c:v>
                </c:pt>
                <c:pt idx="123">
                  <c:v>0.17798712909776265</c:v>
                </c:pt>
                <c:pt idx="124">
                  <c:v>0.17788627606691904</c:v>
                </c:pt>
                <c:pt idx="125">
                  <c:v>0.17788627606691904</c:v>
                </c:pt>
                <c:pt idx="126">
                  <c:v>0.17788627606691904</c:v>
                </c:pt>
                <c:pt idx="127">
                  <c:v>0.17788627606691904</c:v>
                </c:pt>
                <c:pt idx="128">
                  <c:v>0.17788627606691904</c:v>
                </c:pt>
                <c:pt idx="129">
                  <c:v>0.17788627606691904</c:v>
                </c:pt>
                <c:pt idx="130">
                  <c:v>0.17788627606691904</c:v>
                </c:pt>
                <c:pt idx="131">
                  <c:v>0.17788627606691904</c:v>
                </c:pt>
                <c:pt idx="132">
                  <c:v>0.17788627606691904</c:v>
                </c:pt>
                <c:pt idx="133">
                  <c:v>0.17788627606691904</c:v>
                </c:pt>
                <c:pt idx="134">
                  <c:v>0.17788627606691904</c:v>
                </c:pt>
                <c:pt idx="135">
                  <c:v>0.17788627606691904</c:v>
                </c:pt>
                <c:pt idx="136">
                  <c:v>0.17788627606691904</c:v>
                </c:pt>
                <c:pt idx="137">
                  <c:v>0.17793670258234084</c:v>
                </c:pt>
                <c:pt idx="138">
                  <c:v>0.17793670258234084</c:v>
                </c:pt>
                <c:pt idx="139">
                  <c:v>0.17788627606691904</c:v>
                </c:pt>
                <c:pt idx="140">
                  <c:v>0.17788627606691904</c:v>
                </c:pt>
                <c:pt idx="141">
                  <c:v>0.17788627606691904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9E-4095-81BC-5549F93F7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37056"/>
        <c:axId val="202239360"/>
      </c:scatterChart>
      <c:valAx>
        <c:axId val="20223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9360"/>
        <c:crosses val="autoZero"/>
        <c:crossBetween val="midCat"/>
      </c:valAx>
      <c:valAx>
        <c:axId val="20223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3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2 Full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0 50 eV'!$E$3:$E$123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0 50 eV'!$F$3:$F$123</c:f>
              <c:numCache>
                <c:formatCode>0.0000000000</c:formatCode>
                <c:ptCount val="121"/>
                <c:pt idx="0">
                  <c:v>2.0776745E-3</c:v>
                </c:pt>
                <c:pt idx="1">
                  <c:v>2.2027320000000002E-3</c:v>
                </c:pt>
                <c:pt idx="2">
                  <c:v>2.3390132000000001E-3</c:v>
                </c:pt>
                <c:pt idx="3">
                  <c:v>2.4896807E-3</c:v>
                </c:pt>
                <c:pt idx="4">
                  <c:v>2.6560158000000001E-3</c:v>
                </c:pt>
                <c:pt idx="5">
                  <c:v>2.8411839E-3</c:v>
                </c:pt>
                <c:pt idx="6">
                  <c:v>3.0485208000000001E-3</c:v>
                </c:pt>
                <c:pt idx="7">
                  <c:v>3.2803791E-3</c:v>
                </c:pt>
                <c:pt idx="8">
                  <c:v>3.5431311000000002E-3</c:v>
                </c:pt>
                <c:pt idx="9">
                  <c:v>3.8431601E-3</c:v>
                </c:pt>
                <c:pt idx="10">
                  <c:v>4.1881161999999996E-3</c:v>
                </c:pt>
                <c:pt idx="11">
                  <c:v>4.5890076999999998E-3</c:v>
                </c:pt>
                <c:pt idx="12">
                  <c:v>5.0570737000000003E-3</c:v>
                </c:pt>
                <c:pt idx="13">
                  <c:v>5.6165722000000003E-3</c:v>
                </c:pt>
                <c:pt idx="14">
                  <c:v>6.2856791000000002E-3</c:v>
                </c:pt>
                <c:pt idx="15">
                  <c:v>7.1109970999999996E-3</c:v>
                </c:pt>
                <c:pt idx="16">
                  <c:v>8.1463874999999995E-3</c:v>
                </c:pt>
                <c:pt idx="17">
                  <c:v>9.4757126999999997E-3</c:v>
                </c:pt>
                <c:pt idx="18">
                  <c:v>1.1237403999999999E-2</c:v>
                </c:pt>
                <c:pt idx="19">
                  <c:v>1.3667609000000001E-2</c:v>
                </c:pt>
                <c:pt idx="20">
                  <c:v>1.7196759999999998E-2</c:v>
                </c:pt>
                <c:pt idx="21">
                  <c:v>2.2769365E-2</c:v>
                </c:pt>
                <c:pt idx="22">
                  <c:v>3.2487745999999998E-2</c:v>
                </c:pt>
                <c:pt idx="23">
                  <c:v>5.2492737999999997E-2</c:v>
                </c:pt>
                <c:pt idx="24">
                  <c:v>9.7877353E-2</c:v>
                </c:pt>
                <c:pt idx="25">
                  <c:v>0.18590569000000001</c:v>
                </c:pt>
                <c:pt idx="26">
                  <c:v>0.28274336</c:v>
                </c:pt>
                <c:pt idx="27">
                  <c:v>0.30596441000000002</c:v>
                </c:pt>
                <c:pt idx="28">
                  <c:v>0.26946869000000001</c:v>
                </c:pt>
                <c:pt idx="29">
                  <c:v>0.23140484</c:v>
                </c:pt>
                <c:pt idx="30">
                  <c:v>0.20889969</c:v>
                </c:pt>
                <c:pt idx="31">
                  <c:v>0.19693793000000001</c:v>
                </c:pt>
                <c:pt idx="32">
                  <c:v>0.19006819999999999</c:v>
                </c:pt>
                <c:pt idx="33">
                  <c:v>0.18564718999999999</c:v>
                </c:pt>
                <c:pt idx="34">
                  <c:v>0.18253274</c:v>
                </c:pt>
                <c:pt idx="35">
                  <c:v>0.18037934999999999</c:v>
                </c:pt>
                <c:pt idx="36">
                  <c:v>0.17881755999999999</c:v>
                </c:pt>
                <c:pt idx="37">
                  <c:v>0.17765750999999999</c:v>
                </c:pt>
                <c:pt idx="38">
                  <c:v>0.17688666</c:v>
                </c:pt>
                <c:pt idx="39">
                  <c:v>0.17613303999999999</c:v>
                </c:pt>
                <c:pt idx="40">
                  <c:v>0.17561863</c:v>
                </c:pt>
                <c:pt idx="41">
                  <c:v>0.17519699</c:v>
                </c:pt>
                <c:pt idx="42">
                  <c:v>0.17500863999999999</c:v>
                </c:pt>
                <c:pt idx="43">
                  <c:v>0.17473538</c:v>
                </c:pt>
                <c:pt idx="44">
                  <c:v>0.17448949999999999</c:v>
                </c:pt>
                <c:pt idx="45">
                  <c:v>0.17436299</c:v>
                </c:pt>
                <c:pt idx="46">
                  <c:v>0.17425291000000001</c:v>
                </c:pt>
                <c:pt idx="47">
                  <c:v>0.17420262</c:v>
                </c:pt>
                <c:pt idx="48">
                  <c:v>0.17412654999999999</c:v>
                </c:pt>
                <c:pt idx="49">
                  <c:v>0.17411381000000001</c:v>
                </c:pt>
                <c:pt idx="50">
                  <c:v>0.17409754999999999</c:v>
                </c:pt>
                <c:pt idx="51">
                  <c:v>0.17409379999999999</c:v>
                </c:pt>
                <c:pt idx="52">
                  <c:v>0.1740873</c:v>
                </c:pt>
                <c:pt idx="53">
                  <c:v>0.17412612</c:v>
                </c:pt>
                <c:pt idx="54">
                  <c:v>0.17411272</c:v>
                </c:pt>
                <c:pt idx="55">
                  <c:v>0.17412604000000001</c:v>
                </c:pt>
                <c:pt idx="56">
                  <c:v>0.17415367000000001</c:v>
                </c:pt>
                <c:pt idx="57">
                  <c:v>0.17417784</c:v>
                </c:pt>
                <c:pt idx="58">
                  <c:v>0.17422362999999999</c:v>
                </c:pt>
                <c:pt idx="59">
                  <c:v>0.17423000999999999</c:v>
                </c:pt>
                <c:pt idx="60">
                  <c:v>0.17426610000000001</c:v>
                </c:pt>
                <c:pt idx="61">
                  <c:v>0.17430572</c:v>
                </c:pt>
                <c:pt idx="62">
                  <c:v>0.17434375999999999</c:v>
                </c:pt>
                <c:pt idx="63">
                  <c:v>0.17437021</c:v>
                </c:pt>
                <c:pt idx="64">
                  <c:v>0.17440085</c:v>
                </c:pt>
                <c:pt idx="65">
                  <c:v>0.17444204999999999</c:v>
                </c:pt>
                <c:pt idx="66">
                  <c:v>0.17448099</c:v>
                </c:pt>
                <c:pt idx="67">
                  <c:v>0.17452566</c:v>
                </c:pt>
                <c:pt idx="68">
                  <c:v>0.17454995000000001</c:v>
                </c:pt>
                <c:pt idx="69">
                  <c:v>0.17458022000000001</c:v>
                </c:pt>
                <c:pt idx="70">
                  <c:v>0.17461247999999999</c:v>
                </c:pt>
                <c:pt idx="71">
                  <c:v>0.17463819999999999</c:v>
                </c:pt>
                <c:pt idx="72">
                  <c:v>0.17467352999999999</c:v>
                </c:pt>
                <c:pt idx="73">
                  <c:v>0.17470136</c:v>
                </c:pt>
                <c:pt idx="74">
                  <c:v>0.17471941999999999</c:v>
                </c:pt>
                <c:pt idx="75">
                  <c:v>0.17474160999999999</c:v>
                </c:pt>
                <c:pt idx="76">
                  <c:v>0.17477413</c:v>
                </c:pt>
                <c:pt idx="77">
                  <c:v>0.17480572999999999</c:v>
                </c:pt>
                <c:pt idx="78">
                  <c:v>0.17482391999999999</c:v>
                </c:pt>
                <c:pt idx="79">
                  <c:v>0.17483172999999999</c:v>
                </c:pt>
                <c:pt idx="80">
                  <c:v>0.17484209000000001</c:v>
                </c:pt>
                <c:pt idx="81">
                  <c:v>0.17485382999999999</c:v>
                </c:pt>
                <c:pt idx="82">
                  <c:v>0.17486731999999999</c:v>
                </c:pt>
                <c:pt idx="83">
                  <c:v>0.17489115999999999</c:v>
                </c:pt>
                <c:pt idx="84">
                  <c:v>0.17488734</c:v>
                </c:pt>
                <c:pt idx="85">
                  <c:v>0.17490163</c:v>
                </c:pt>
                <c:pt idx="86">
                  <c:v>0.17489875999999999</c:v>
                </c:pt>
                <c:pt idx="87">
                  <c:v>0.17490827</c:v>
                </c:pt>
                <c:pt idx="88">
                  <c:v>0.17491393999999999</c:v>
                </c:pt>
                <c:pt idx="89">
                  <c:v>0.17490701</c:v>
                </c:pt>
                <c:pt idx="90">
                  <c:v>0.17489579</c:v>
                </c:pt>
                <c:pt idx="91">
                  <c:v>0.17489663</c:v>
                </c:pt>
                <c:pt idx="92">
                  <c:v>0.17488818</c:v>
                </c:pt>
                <c:pt idx="93">
                  <c:v>0.17488993999999999</c:v>
                </c:pt>
                <c:pt idx="94">
                  <c:v>0.17488565</c:v>
                </c:pt>
                <c:pt idx="95">
                  <c:v>0.17487897999999999</c:v>
                </c:pt>
                <c:pt idx="96">
                  <c:v>0.17486209999999999</c:v>
                </c:pt>
                <c:pt idx="97">
                  <c:v>0.17485212</c:v>
                </c:pt>
                <c:pt idx="98">
                  <c:v>0.17484189999999999</c:v>
                </c:pt>
                <c:pt idx="99">
                  <c:v>0.17483926</c:v>
                </c:pt>
                <c:pt idx="100">
                  <c:v>0.17482258000000001</c:v>
                </c:pt>
                <c:pt idx="101">
                  <c:v>0.17480977</c:v>
                </c:pt>
                <c:pt idx="102">
                  <c:v>0.17480385000000001</c:v>
                </c:pt>
                <c:pt idx="103">
                  <c:v>0.17478543999999999</c:v>
                </c:pt>
                <c:pt idx="104">
                  <c:v>0.17477508999999999</c:v>
                </c:pt>
                <c:pt idx="105">
                  <c:v>0.17477988</c:v>
                </c:pt>
                <c:pt idx="106">
                  <c:v>0.17477706000000001</c:v>
                </c:pt>
                <c:pt idx="107">
                  <c:v>0.17476781</c:v>
                </c:pt>
                <c:pt idx="108">
                  <c:v>0.17475495999999999</c:v>
                </c:pt>
                <c:pt idx="109">
                  <c:v>0.17475319</c:v>
                </c:pt>
                <c:pt idx="110">
                  <c:v>0.17475122000000001</c:v>
                </c:pt>
                <c:pt idx="111">
                  <c:v>0.17474307</c:v>
                </c:pt>
                <c:pt idx="112">
                  <c:v>0.17473959999999999</c:v>
                </c:pt>
                <c:pt idx="113">
                  <c:v>0.17472599</c:v>
                </c:pt>
                <c:pt idx="114">
                  <c:v>0.17471965</c:v>
                </c:pt>
                <c:pt idx="115">
                  <c:v>0.17472199999999999</c:v>
                </c:pt>
                <c:pt idx="116">
                  <c:v>0.1747351</c:v>
                </c:pt>
                <c:pt idx="117">
                  <c:v>0.17472945000000001</c:v>
                </c:pt>
                <c:pt idx="118">
                  <c:v>0.17473274</c:v>
                </c:pt>
                <c:pt idx="119">
                  <c:v>0.17475889999999999</c:v>
                </c:pt>
                <c:pt idx="120">
                  <c:v>0.17475057999999999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CB-45CB-AB22-C70AD99D5E7B}"/>
            </c:ext>
          </c:extLst>
        </c:ser>
        <c:ser>
          <c:idx val="2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0 50 eV'!$H$3:$H$143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full 0 50 eV'!$I$3:$I$143</c:f>
              <c:numCache>
                <c:formatCode>0.000000000000</c:formatCode>
                <c:ptCount val="141"/>
                <c:pt idx="0">
                  <c:v>3.74091520410559E-4</c:v>
                </c:pt>
                <c:pt idx="1">
                  <c:v>3.9023001645449899E-4</c:v>
                </c:pt>
                <c:pt idx="2">
                  <c:v>4.0704280560760302E-4</c:v>
                </c:pt>
                <c:pt idx="3">
                  <c:v>4.2458217078235701E-4</c:v>
                </c:pt>
                <c:pt idx="4">
                  <c:v>4.4290011642464302E-4</c:v>
                </c:pt>
                <c:pt idx="5">
                  <c:v>4.6204810612417098E-4</c:v>
                </c:pt>
                <c:pt idx="6">
                  <c:v>4.8207696214517902E-4</c:v>
                </c:pt>
                <c:pt idx="7">
                  <c:v>5.03039289758478E-4</c:v>
                </c:pt>
                <c:pt idx="8">
                  <c:v>5.2498771501457303E-4</c:v>
                </c:pt>
                <c:pt idx="9">
                  <c:v>5.4798122588016105E-4</c:v>
                </c:pt>
                <c:pt idx="10">
                  <c:v>5.7208456965975496E-4</c:v>
                </c:pt>
                <c:pt idx="11">
                  <c:v>5.9738791492591899E-4</c:v>
                </c:pt>
                <c:pt idx="12">
                  <c:v>6.2399549890673701E-4</c:v>
                </c:pt>
                <c:pt idx="13">
                  <c:v>6.52020260303684E-4</c:v>
                </c:pt>
                <c:pt idx="14">
                  <c:v>6.8158726854587802E-4</c:v>
                </c:pt>
                <c:pt idx="15">
                  <c:v>7.1283550993907099E-4</c:v>
                </c:pt>
                <c:pt idx="16">
                  <c:v>7.4591770054690002E-4</c:v>
                </c:pt>
                <c:pt idx="17">
                  <c:v>7.8100250461271504E-4</c:v>
                </c:pt>
                <c:pt idx="18">
                  <c:v>8.1827856956434705E-4</c:v>
                </c:pt>
                <c:pt idx="19">
                  <c:v>8.5796094146985602E-4</c:v>
                </c:pt>
                <c:pt idx="20">
                  <c:v>9.0029265274522898E-4</c:v>
                </c:pt>
                <c:pt idx="21">
                  <c:v>9.4554818513691399E-4</c:v>
                </c:pt>
                <c:pt idx="22">
                  <c:v>9.9404304305122991E-4</c:v>
                </c:pt>
                <c:pt idx="23">
                  <c:v>1.04614661512582E-3</c:v>
                </c:pt>
                <c:pt idx="24">
                  <c:v>1.10229319120476E-3</c:v>
                </c:pt>
                <c:pt idx="25">
                  <c:v>1.16299893277711E-3</c:v>
                </c:pt>
                <c:pt idx="26">
                  <c:v>1.2288721348627299E-3</c:v>
                </c:pt>
                <c:pt idx="27">
                  <c:v>1.3006374381994599E-3</c:v>
                </c:pt>
                <c:pt idx="28">
                  <c:v>1.3791606240181099E-3</c:v>
                </c:pt>
                <c:pt idx="29">
                  <c:v>1.46548999357481E-3</c:v>
                </c:pt>
                <c:pt idx="30">
                  <c:v>1.5609055712896801E-3</c:v>
                </c:pt>
                <c:pt idx="31">
                  <c:v>1.66699228210496E-3</c:v>
                </c:pt>
                <c:pt idx="32">
                  <c:v>1.7857323469418101E-3</c:v>
                </c:pt>
                <c:pt idx="33">
                  <c:v>1.9196475698750001E-3</c:v>
                </c:pt>
                <c:pt idx="34">
                  <c:v>2.0720012756369399E-3</c:v>
                </c:pt>
                <c:pt idx="35">
                  <c:v>2.2470869836756901E-3</c:v>
                </c:pt>
                <c:pt idx="36">
                  <c:v>2.4506875237186102E-3</c:v>
                </c:pt>
                <c:pt idx="37">
                  <c:v>2.69079800568177E-3</c:v>
                </c:pt>
                <c:pt idx="38">
                  <c:v>2.9788147702929399E-3</c:v>
                </c:pt>
                <c:pt idx="39">
                  <c:v>3.3315804231673499E-3</c:v>
                </c:pt>
                <c:pt idx="40">
                  <c:v>3.7751434579460798E-3</c:v>
                </c:pt>
                <c:pt idx="41">
                  <c:v>4.3521633713521799E-3</c:v>
                </c:pt>
                <c:pt idx="42">
                  <c:v>5.1378866992433303E-3</c:v>
                </c:pt>
                <c:pt idx="43">
                  <c:v>6.2789332442297497E-3</c:v>
                </c:pt>
                <c:pt idx="44">
                  <c:v>8.10331730583079E-3</c:v>
                </c:pt>
                <c:pt idx="45">
                  <c:v>1.14986739589941E-2</c:v>
                </c:pt>
                <c:pt idx="46">
                  <c:v>1.9273846291587501E-2</c:v>
                </c:pt>
                <c:pt idx="47">
                  <c:v>3.4998757580747802E-2</c:v>
                </c:pt>
                <c:pt idx="48">
                  <c:v>4.8502954366634203E-2</c:v>
                </c:pt>
                <c:pt idx="49">
                  <c:v>5.5907362932790097E-2</c:v>
                </c:pt>
                <c:pt idx="50">
                  <c:v>6.4144789881577E-2</c:v>
                </c:pt>
                <c:pt idx="51">
                  <c:v>7.6480002969855104E-2</c:v>
                </c:pt>
                <c:pt idx="52">
                  <c:v>8.1970953507714606E-2</c:v>
                </c:pt>
                <c:pt idx="53">
                  <c:v>8.1909934778324298E-2</c:v>
                </c:pt>
                <c:pt idx="54">
                  <c:v>8.0489156116416993E-2</c:v>
                </c:pt>
                <c:pt idx="55">
                  <c:v>8.1242818120158503E-2</c:v>
                </c:pt>
                <c:pt idx="56">
                  <c:v>8.7432181606668199E-2</c:v>
                </c:pt>
                <c:pt idx="57">
                  <c:v>9.3068862956294907E-2</c:v>
                </c:pt>
                <c:pt idx="58">
                  <c:v>9.3757171134354195E-2</c:v>
                </c:pt>
                <c:pt idx="59">
                  <c:v>9.25735871936198E-2</c:v>
                </c:pt>
                <c:pt idx="60">
                  <c:v>9.2058050207282693E-2</c:v>
                </c:pt>
                <c:pt idx="61">
                  <c:v>9.4535705137519702E-2</c:v>
                </c:pt>
                <c:pt idx="62">
                  <c:v>9.9701007549667306E-2</c:v>
                </c:pt>
                <c:pt idx="63">
                  <c:v>0.10175440948984101</c:v>
                </c:pt>
                <c:pt idx="64">
                  <c:v>0.102206632421214</c:v>
                </c:pt>
                <c:pt idx="65">
                  <c:v>0.103789440924084</c:v>
                </c:pt>
                <c:pt idx="66">
                  <c:v>0.10664347974911199</c:v>
                </c:pt>
                <c:pt idx="67">
                  <c:v>0.10965515825516101</c:v>
                </c:pt>
                <c:pt idx="68">
                  <c:v>0.11194688191862601</c:v>
                </c:pt>
                <c:pt idx="69">
                  <c:v>0.112525742907056</c:v>
                </c:pt>
                <c:pt idx="70">
                  <c:v>0.113084359477653</c:v>
                </c:pt>
                <c:pt idx="71">
                  <c:v>0.115111601620073</c:v>
                </c:pt>
                <c:pt idx="72">
                  <c:v>0.11855878879453</c:v>
                </c:pt>
                <c:pt idx="73">
                  <c:v>0.12155904854296599</c:v>
                </c:pt>
                <c:pt idx="74">
                  <c:v>0.122331947445668</c:v>
                </c:pt>
                <c:pt idx="75">
                  <c:v>0.12153704224326101</c:v>
                </c:pt>
                <c:pt idx="76">
                  <c:v>0.12055834366121</c:v>
                </c:pt>
                <c:pt idx="77">
                  <c:v>0.120287403771279</c:v>
                </c:pt>
                <c:pt idx="78">
                  <c:v>0.12123726288871201</c:v>
                </c:pt>
                <c:pt idx="79">
                  <c:v>0.123439610061572</c:v>
                </c:pt>
                <c:pt idx="80">
                  <c:v>0.12621375262416001</c:v>
                </c:pt>
                <c:pt idx="81">
                  <c:v>0.12833712347561599</c:v>
                </c:pt>
                <c:pt idx="82">
                  <c:v>0.12891878185338301</c:v>
                </c:pt>
                <c:pt idx="83">
                  <c:v>0.12836210819754601</c:v>
                </c:pt>
                <c:pt idx="84">
                  <c:v>0.127681074367296</c:v>
                </c:pt>
                <c:pt idx="85">
                  <c:v>0.127502112115112</c:v>
                </c:pt>
                <c:pt idx="86">
                  <c:v>0.12808944111540199</c:v>
                </c:pt>
                <c:pt idx="87">
                  <c:v>0.12940288295914601</c:v>
                </c:pt>
                <c:pt idx="88">
                  <c:v>0.13110224831530601</c:v>
                </c:pt>
                <c:pt idx="89">
                  <c:v>0.13266987408810901</c:v>
                </c:pt>
                <c:pt idx="90">
                  <c:v>0.133729474203653</c:v>
                </c:pt>
                <c:pt idx="91">
                  <c:v>0.13442737932139301</c:v>
                </c:pt>
                <c:pt idx="92">
                  <c:v>0.13527827871888101</c:v>
                </c:pt>
                <c:pt idx="93">
                  <c:v>0.13651930575475099</c:v>
                </c:pt>
                <c:pt idx="94">
                  <c:v>0.13806786281911301</c:v>
                </c:pt>
                <c:pt idx="95">
                  <c:v>0.13969276191709601</c:v>
                </c:pt>
                <c:pt idx="96">
                  <c:v>0.14119129431764099</c:v>
                </c:pt>
                <c:pt idx="97">
                  <c:v>0.13728746181975299</c:v>
                </c:pt>
                <c:pt idx="98">
                  <c:v>0.138219034843727</c:v>
                </c:pt>
                <c:pt idx="99">
                  <c:v>0.139166738168159</c:v>
                </c:pt>
                <c:pt idx="100">
                  <c:v>0.140119884797821</c:v>
                </c:pt>
                <c:pt idx="101">
                  <c:v>0.14107097547881101</c:v>
                </c:pt>
                <c:pt idx="102">
                  <c:v>0.142017245394366</c:v>
                </c:pt>
                <c:pt idx="103">
                  <c:v>0.14295132415126</c:v>
                </c:pt>
                <c:pt idx="104">
                  <c:v>0.14386691960694201</c:v>
                </c:pt>
                <c:pt idx="105">
                  <c:v>0.14751115154984501</c:v>
                </c:pt>
                <c:pt idx="106">
                  <c:v>0.148136240056192</c:v>
                </c:pt>
                <c:pt idx="107">
                  <c:v>0.14899133821802199</c:v>
                </c:pt>
                <c:pt idx="108">
                  <c:v>0.14981976597020999</c:v>
                </c:pt>
                <c:pt idx="109">
                  <c:v>0.15062144910973599</c:v>
                </c:pt>
                <c:pt idx="110">
                  <c:v>0.151397119608842</c:v>
                </c:pt>
                <c:pt idx="111">
                  <c:v>0.151997567835641</c:v>
                </c:pt>
                <c:pt idx="112">
                  <c:v>0.1526597547596</c:v>
                </c:pt>
                <c:pt idx="113">
                  <c:v>0.15329863429193599</c:v>
                </c:pt>
                <c:pt idx="114">
                  <c:v>0.15391675905888599</c:v>
                </c:pt>
                <c:pt idx="115">
                  <c:v>0.15451454097241099</c:v>
                </c:pt>
                <c:pt idx="116">
                  <c:v>0.155091522504788</c:v>
                </c:pt>
                <c:pt idx="117">
                  <c:v>0.15564856694835799</c:v>
                </c:pt>
                <c:pt idx="118">
                  <c:v>0.15618580022668299</c:v>
                </c:pt>
                <c:pt idx="119">
                  <c:v>0.15670411307760701</c:v>
                </c:pt>
                <c:pt idx="120">
                  <c:v>0.157204289270408</c:v>
                </c:pt>
                <c:pt idx="121">
                  <c:v>0.157686599793288</c:v>
                </c:pt>
                <c:pt idx="122">
                  <c:v>0.15815197202661199</c:v>
                </c:pt>
                <c:pt idx="123">
                  <c:v>0.15860074045268999</c:v>
                </c:pt>
                <c:pt idx="124">
                  <c:v>0.15903372971257301</c:v>
                </c:pt>
                <c:pt idx="125">
                  <c:v>0.15945086377072001</c:v>
                </c:pt>
                <c:pt idx="126">
                  <c:v>0.15985293703230799</c:v>
                </c:pt>
                <c:pt idx="127">
                  <c:v>0.16024160588822101</c:v>
                </c:pt>
                <c:pt idx="128">
                  <c:v>0.160617441255443</c:v>
                </c:pt>
                <c:pt idx="129">
                  <c:v>0.16093428533300499</c:v>
                </c:pt>
                <c:pt idx="130">
                  <c:v>0.16128638011652499</c:v>
                </c:pt>
                <c:pt idx="131">
                  <c:v>0.161626403433656</c:v>
                </c:pt>
                <c:pt idx="132">
                  <c:v>0.16195459958608699</c:v>
                </c:pt>
                <c:pt idx="133">
                  <c:v>0.162271515526132</c:v>
                </c:pt>
                <c:pt idx="134">
                  <c:v>0.16257758917154999</c:v>
                </c:pt>
                <c:pt idx="135">
                  <c:v>0.16287324536226599</c:v>
                </c:pt>
                <c:pt idx="136">
                  <c:v>0.16315885606493799</c:v>
                </c:pt>
                <c:pt idx="137">
                  <c:v>0.163434903031351</c:v>
                </c:pt>
                <c:pt idx="138">
                  <c:v>0.16370175132359199</c:v>
                </c:pt>
                <c:pt idx="139">
                  <c:v>0.16395961531323999</c:v>
                </c:pt>
                <c:pt idx="140">
                  <c:v>0.16420906599395699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7-48AF-A8C2-4399E258DABE}"/>
            </c:ext>
          </c:extLst>
        </c:ser>
        <c:ser>
          <c:idx val="1"/>
          <c:order val="2"/>
          <c:tx>
            <c:v>SPACES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0 50 eV'!$A$3:$A$144</c:f>
              <c:numCache>
                <c:formatCode>General</c:formatCode>
                <c:ptCount val="142"/>
                <c:pt idx="0">
                  <c:v>1681.3562507183101</c:v>
                </c:pt>
                <c:pt idx="1">
                  <c:v>1681.42498410903</c:v>
                </c:pt>
                <c:pt idx="2">
                  <c:v>1681.4937174997499</c:v>
                </c:pt>
                <c:pt idx="3">
                  <c:v>1681.56245089048</c:v>
                </c:pt>
                <c:pt idx="4">
                  <c:v>1681.6311842811999</c:v>
                </c:pt>
                <c:pt idx="5">
                  <c:v>1681.69991767192</c:v>
                </c:pt>
                <c:pt idx="6">
                  <c:v>1681.7686510626399</c:v>
                </c:pt>
                <c:pt idx="7">
                  <c:v>1681.8373844533601</c:v>
                </c:pt>
                <c:pt idx="8">
                  <c:v>1681.90611784408</c:v>
                </c:pt>
                <c:pt idx="9">
                  <c:v>1681.9748512348001</c:v>
                </c:pt>
                <c:pt idx="10">
                  <c:v>1682.04358462552</c:v>
                </c:pt>
                <c:pt idx="11">
                  <c:v>1682.1123180162399</c:v>
                </c:pt>
                <c:pt idx="12">
                  <c:v>1682.18105140696</c:v>
                </c:pt>
                <c:pt idx="13">
                  <c:v>1682.2497847976799</c:v>
                </c:pt>
                <c:pt idx="14">
                  <c:v>1682.3185181884</c:v>
                </c:pt>
                <c:pt idx="15">
                  <c:v>1682.3872515791199</c:v>
                </c:pt>
                <c:pt idx="16">
                  <c:v>1682.4559849698401</c:v>
                </c:pt>
                <c:pt idx="17">
                  <c:v>1682.52471836056</c:v>
                </c:pt>
                <c:pt idx="18">
                  <c:v>1682.5934517512801</c:v>
                </c:pt>
                <c:pt idx="19">
                  <c:v>1682.66218514201</c:v>
                </c:pt>
                <c:pt idx="20">
                  <c:v>1682.7309185327299</c:v>
                </c:pt>
                <c:pt idx="21">
                  <c:v>1682.79965192345</c:v>
                </c:pt>
                <c:pt idx="22">
                  <c:v>1682.8683853141699</c:v>
                </c:pt>
                <c:pt idx="23">
                  <c:v>1682.9371187048901</c:v>
                </c:pt>
                <c:pt idx="24">
                  <c:v>1682.9943965304899</c:v>
                </c:pt>
                <c:pt idx="25">
                  <c:v>1683.0287632258501</c:v>
                </c:pt>
                <c:pt idx="26">
                  <c:v>1683.05167435609</c:v>
                </c:pt>
                <c:pt idx="27">
                  <c:v>1683.0745854863301</c:v>
                </c:pt>
                <c:pt idx="28">
                  <c:v>1683.0917688340101</c:v>
                </c:pt>
                <c:pt idx="29">
                  <c:v>1683.10895218169</c:v>
                </c:pt>
                <c:pt idx="30">
                  <c:v>1683.12613552937</c:v>
                </c:pt>
                <c:pt idx="31">
                  <c:v>1683.1375910944901</c:v>
                </c:pt>
                <c:pt idx="32">
                  <c:v>1683.1490466596099</c:v>
                </c:pt>
                <c:pt idx="33">
                  <c:v>1683.16050222473</c:v>
                </c:pt>
                <c:pt idx="34">
                  <c:v>1683.17195778985</c:v>
                </c:pt>
                <c:pt idx="35">
                  <c:v>1683.1834133549701</c:v>
                </c:pt>
                <c:pt idx="36">
                  <c:v>1683.1948689200899</c:v>
                </c:pt>
                <c:pt idx="37">
                  <c:v>1683.20632448521</c:v>
                </c:pt>
                <c:pt idx="38">
                  <c:v>1683.21778005033</c:v>
                </c:pt>
                <c:pt idx="39">
                  <c:v>1683.2292356154501</c:v>
                </c:pt>
                <c:pt idx="40">
                  <c:v>1683.2406911805699</c:v>
                </c:pt>
                <c:pt idx="41">
                  <c:v>1683.25214674569</c:v>
                </c:pt>
                <c:pt idx="42">
                  <c:v>1683.26360231081</c:v>
                </c:pt>
                <c:pt idx="43">
                  <c:v>1683.2750578759301</c:v>
                </c:pt>
                <c:pt idx="44">
                  <c:v>1683.2865134410499</c:v>
                </c:pt>
                <c:pt idx="45">
                  <c:v>1683.29796900617</c:v>
                </c:pt>
                <c:pt idx="46">
                  <c:v>1683.30942457129</c:v>
                </c:pt>
                <c:pt idx="47">
                  <c:v>1683.3208801364101</c:v>
                </c:pt>
                <c:pt idx="48">
                  <c:v>1683.3323357015299</c:v>
                </c:pt>
                <c:pt idx="49">
                  <c:v>1683.34379126665</c:v>
                </c:pt>
                <c:pt idx="50">
                  <c:v>1683.36097461433</c:v>
                </c:pt>
                <c:pt idx="51">
                  <c:v>1683.35524683177</c:v>
                </c:pt>
                <c:pt idx="52">
                  <c:v>1683.3781579620099</c:v>
                </c:pt>
                <c:pt idx="53">
                  <c:v>1683.3953413096899</c:v>
                </c:pt>
                <c:pt idx="54">
                  <c:v>1683.41825243993</c:v>
                </c:pt>
                <c:pt idx="55">
                  <c:v>1683.4468913527301</c:v>
                </c:pt>
                <c:pt idx="56">
                  <c:v>1683.49844139577</c:v>
                </c:pt>
                <c:pt idx="57">
                  <c:v>1683.5557192213701</c:v>
                </c:pt>
                <c:pt idx="58">
                  <c:v>1683.6015414818501</c:v>
                </c:pt>
                <c:pt idx="59">
                  <c:v>1683.6473637423301</c:v>
                </c:pt>
                <c:pt idx="60">
                  <c:v>1683.69891378537</c:v>
                </c:pt>
                <c:pt idx="61">
                  <c:v>1683.76191939354</c:v>
                </c:pt>
                <c:pt idx="62">
                  <c:v>1683.8306527842601</c:v>
                </c:pt>
                <c:pt idx="63">
                  <c:v>1683.89938617498</c:v>
                </c:pt>
                <c:pt idx="64">
                  <c:v>1683.9681195656999</c:v>
                </c:pt>
                <c:pt idx="65">
                  <c:v>1684.03685295642</c:v>
                </c:pt>
                <c:pt idx="66">
                  <c:v>1684.1055863471399</c:v>
                </c:pt>
                <c:pt idx="67">
                  <c:v>1684.1743197378601</c:v>
                </c:pt>
                <c:pt idx="68">
                  <c:v>1684.24305312858</c:v>
                </c:pt>
                <c:pt idx="69">
                  <c:v>1684.3117865193001</c:v>
                </c:pt>
                <c:pt idx="70">
                  <c:v>1684.38051991002</c:v>
                </c:pt>
                <c:pt idx="71">
                  <c:v>1684.4492533007401</c:v>
                </c:pt>
                <c:pt idx="72">
                  <c:v>1684.51798669146</c:v>
                </c:pt>
                <c:pt idx="73">
                  <c:v>1684.5867200821799</c:v>
                </c:pt>
                <c:pt idx="74">
                  <c:v>1684.6554534729</c:v>
                </c:pt>
                <c:pt idx="75">
                  <c:v>1684.7241868636199</c:v>
                </c:pt>
                <c:pt idx="76">
                  <c:v>1684.7929202543401</c:v>
                </c:pt>
                <c:pt idx="77">
                  <c:v>1684.86165364506</c:v>
                </c:pt>
                <c:pt idx="78">
                  <c:v>1684.9303870357901</c:v>
                </c:pt>
                <c:pt idx="79">
                  <c:v>1684.99912042651</c:v>
                </c:pt>
                <c:pt idx="80">
                  <c:v>1685.0678538172299</c:v>
                </c:pt>
                <c:pt idx="81">
                  <c:v>1685.13658720795</c:v>
                </c:pt>
                <c:pt idx="82">
                  <c:v>1685.2053205986699</c:v>
                </c:pt>
                <c:pt idx="83">
                  <c:v>1685.27405398939</c:v>
                </c:pt>
                <c:pt idx="84">
                  <c:v>1685.3427873801099</c:v>
                </c:pt>
                <c:pt idx="85">
                  <c:v>1685.4115207708301</c:v>
                </c:pt>
                <c:pt idx="86">
                  <c:v>1685.48025416155</c:v>
                </c:pt>
                <c:pt idx="87">
                  <c:v>1685.5489875522701</c:v>
                </c:pt>
                <c:pt idx="88">
                  <c:v>1685.61772094299</c:v>
                </c:pt>
                <c:pt idx="89">
                  <c:v>1685.6864543337099</c:v>
                </c:pt>
                <c:pt idx="90">
                  <c:v>1685.75518772443</c:v>
                </c:pt>
                <c:pt idx="91">
                  <c:v>1685.8239211151499</c:v>
                </c:pt>
                <c:pt idx="92">
                  <c:v>1685.89265450587</c:v>
                </c:pt>
                <c:pt idx="93">
                  <c:v>1685.9613878965899</c:v>
                </c:pt>
                <c:pt idx="94">
                  <c:v>1686.0301212873201</c:v>
                </c:pt>
                <c:pt idx="95">
                  <c:v>1686.09885467804</c:v>
                </c:pt>
                <c:pt idx="96">
                  <c:v>1686.1675880687601</c:v>
                </c:pt>
                <c:pt idx="97">
                  <c:v>1686.23632145948</c:v>
                </c:pt>
                <c:pt idx="98">
                  <c:v>1686.3050548501999</c:v>
                </c:pt>
                <c:pt idx="99">
                  <c:v>1686.37378824092</c:v>
                </c:pt>
                <c:pt idx="100">
                  <c:v>1686.4425216316399</c:v>
                </c:pt>
                <c:pt idx="101">
                  <c:v>1686.51125502236</c:v>
                </c:pt>
                <c:pt idx="102">
                  <c:v>1686.5799884130799</c:v>
                </c:pt>
                <c:pt idx="103">
                  <c:v>1686.6487218038001</c:v>
                </c:pt>
                <c:pt idx="104">
                  <c:v>1686.71745519452</c:v>
                </c:pt>
                <c:pt idx="105">
                  <c:v>1686.7861885852401</c:v>
                </c:pt>
                <c:pt idx="106">
                  <c:v>1686.85492197596</c:v>
                </c:pt>
                <c:pt idx="107">
                  <c:v>1686.9236553666799</c:v>
                </c:pt>
                <c:pt idx="108">
                  <c:v>1686.9923887574</c:v>
                </c:pt>
                <c:pt idx="109">
                  <c:v>1687.0611221481199</c:v>
                </c:pt>
                <c:pt idx="110">
                  <c:v>1687.1298555388501</c:v>
                </c:pt>
                <c:pt idx="111">
                  <c:v>1687.19858892957</c:v>
                </c:pt>
                <c:pt idx="112">
                  <c:v>1687.2673223202901</c:v>
                </c:pt>
                <c:pt idx="113">
                  <c:v>1687.33605571101</c:v>
                </c:pt>
                <c:pt idx="114">
                  <c:v>1687.4047891017301</c:v>
                </c:pt>
                <c:pt idx="115">
                  <c:v>1687.47352249245</c:v>
                </c:pt>
                <c:pt idx="116">
                  <c:v>1687.5422558831699</c:v>
                </c:pt>
                <c:pt idx="117">
                  <c:v>1687.61098927389</c:v>
                </c:pt>
                <c:pt idx="118">
                  <c:v>1687.6797226646099</c:v>
                </c:pt>
                <c:pt idx="119">
                  <c:v>1687.7484560553301</c:v>
                </c:pt>
                <c:pt idx="120">
                  <c:v>1687.81718944605</c:v>
                </c:pt>
                <c:pt idx="121">
                  <c:v>1687.8859228367701</c:v>
                </c:pt>
                <c:pt idx="122">
                  <c:v>1687.95465622749</c:v>
                </c:pt>
                <c:pt idx="123">
                  <c:v>1688.0233896182101</c:v>
                </c:pt>
                <c:pt idx="124">
                  <c:v>1688.09212300893</c:v>
                </c:pt>
                <c:pt idx="125">
                  <c:v>1688.1608563996499</c:v>
                </c:pt>
                <c:pt idx="126">
                  <c:v>1688.22958979038</c:v>
                </c:pt>
                <c:pt idx="127">
                  <c:v>1688.2983231810999</c:v>
                </c:pt>
                <c:pt idx="128">
                  <c:v>1688.3670565718201</c:v>
                </c:pt>
                <c:pt idx="129">
                  <c:v>1688.43578996254</c:v>
                </c:pt>
                <c:pt idx="130">
                  <c:v>1688.5045233532601</c:v>
                </c:pt>
                <c:pt idx="131">
                  <c:v>1688.57325674398</c:v>
                </c:pt>
                <c:pt idx="132">
                  <c:v>1688.6419901347001</c:v>
                </c:pt>
                <c:pt idx="133">
                  <c:v>1688.71072352542</c:v>
                </c:pt>
                <c:pt idx="134">
                  <c:v>1688.7794569161399</c:v>
                </c:pt>
                <c:pt idx="135">
                  <c:v>1688.84819030686</c:v>
                </c:pt>
                <c:pt idx="136">
                  <c:v>1688.9169236975799</c:v>
                </c:pt>
                <c:pt idx="137">
                  <c:v>1688.9856570883001</c:v>
                </c:pt>
                <c:pt idx="138">
                  <c:v>1689.05439047902</c:v>
                </c:pt>
                <c:pt idx="139">
                  <c:v>1689.1231238697401</c:v>
                </c:pt>
                <c:pt idx="140">
                  <c:v>1689.19185726046</c:v>
                </c:pt>
                <c:pt idx="141">
                  <c:v>1689.2605906511801</c:v>
                </c:pt>
              </c:numCache>
            </c:numRef>
          </c:xVal>
          <c:yVal>
            <c:numRef>
              <c:f>'Ex 2 full 0 50 eV'!$B$3:$B$144</c:f>
              <c:numCache>
                <c:formatCode>General</c:formatCode>
                <c:ptCount val="142"/>
                <c:pt idx="0">
                  <c:v>6.7141747985683901E-3</c:v>
                </c:pt>
                <c:pt idx="1">
                  <c:v>6.7141747985683901E-3</c:v>
                </c:pt>
                <c:pt idx="2">
                  <c:v>6.7141747985683901E-3</c:v>
                </c:pt>
                <c:pt idx="3">
                  <c:v>6.7141747985683901E-3</c:v>
                </c:pt>
                <c:pt idx="4">
                  <c:v>9.5551052449020998E-3</c:v>
                </c:pt>
                <c:pt idx="5">
                  <c:v>1.01232913341688E-2</c:v>
                </c:pt>
                <c:pt idx="6">
                  <c:v>1.01232913341688E-2</c:v>
                </c:pt>
                <c:pt idx="7">
                  <c:v>1.01232913341688E-2</c:v>
                </c:pt>
                <c:pt idx="8">
                  <c:v>1.01232913341688E-2</c:v>
                </c:pt>
                <c:pt idx="9">
                  <c:v>1.1543756557335701E-2</c:v>
                </c:pt>
                <c:pt idx="10">
                  <c:v>1.35324078697693E-2</c:v>
                </c:pt>
                <c:pt idx="11">
                  <c:v>1.35324078697693E-2</c:v>
                </c:pt>
                <c:pt idx="12">
                  <c:v>1.3816500914402599E-2</c:v>
                </c:pt>
                <c:pt idx="13">
                  <c:v>1.69415244053698E-2</c:v>
                </c:pt>
                <c:pt idx="14">
                  <c:v>1.69415244053698E-2</c:v>
                </c:pt>
                <c:pt idx="15">
                  <c:v>1.9782454851703601E-2</c:v>
                </c:pt>
                <c:pt idx="16">
                  <c:v>2.1202920074870402E-2</c:v>
                </c:pt>
                <c:pt idx="17">
                  <c:v>2.37597574765708E-2</c:v>
                </c:pt>
                <c:pt idx="18">
                  <c:v>2.7168874012171301E-2</c:v>
                </c:pt>
                <c:pt idx="19">
                  <c:v>3.1430269681671903E-2</c:v>
                </c:pt>
                <c:pt idx="20">
                  <c:v>3.5975758395805801E-2</c:v>
                </c:pt>
                <c:pt idx="21">
                  <c:v>4.3362177556273501E-2</c:v>
                </c:pt>
                <c:pt idx="22">
                  <c:v>5.3021341073808202E-2</c:v>
                </c:pt>
                <c:pt idx="23">
                  <c:v>6.9214644617910701E-2</c:v>
                </c:pt>
                <c:pt idx="24">
                  <c:v>9.1089809054680504E-2</c:v>
                </c:pt>
                <c:pt idx="25">
                  <c:v>0.11069222913438299</c:v>
                </c:pt>
                <c:pt idx="26">
                  <c:v>0.13199920748188601</c:v>
                </c:pt>
                <c:pt idx="27">
                  <c:v>0.15671530236499001</c:v>
                </c:pt>
                <c:pt idx="28">
                  <c:v>0.178874559846393</c:v>
                </c:pt>
                <c:pt idx="29">
                  <c:v>0.206999771265097</c:v>
                </c:pt>
                <c:pt idx="30">
                  <c:v>0.24194321575500199</c:v>
                </c:pt>
                <c:pt idx="31">
                  <c:v>0.26239791496860498</c:v>
                </c:pt>
                <c:pt idx="32">
                  <c:v>0.29648908032461002</c:v>
                </c:pt>
                <c:pt idx="33">
                  <c:v>0.32035289607381301</c:v>
                </c:pt>
                <c:pt idx="34">
                  <c:v>0.35955773623321902</c:v>
                </c:pt>
                <c:pt idx="35">
                  <c:v>0.38853522678582297</c:v>
                </c:pt>
                <c:pt idx="36">
                  <c:v>0.43455830001642998</c:v>
                </c:pt>
                <c:pt idx="37">
                  <c:v>0.46864946537243501</c:v>
                </c:pt>
                <c:pt idx="38">
                  <c:v>0.52149077167424196</c:v>
                </c:pt>
                <c:pt idx="39">
                  <c:v>0.558991053565848</c:v>
                </c:pt>
                <c:pt idx="40">
                  <c:v>0.61524147640325599</c:v>
                </c:pt>
                <c:pt idx="41">
                  <c:v>0.67490101577626405</c:v>
                </c:pt>
                <c:pt idx="42">
                  <c:v>0.71240129766786997</c:v>
                </c:pt>
                <c:pt idx="43">
                  <c:v>0.77376539530867905</c:v>
                </c:pt>
                <c:pt idx="44">
                  <c:v>0.812970235468085</c:v>
                </c:pt>
                <c:pt idx="45">
                  <c:v>0.87092521657329303</c:v>
                </c:pt>
                <c:pt idx="46">
                  <c:v>0.90842549846489795</c:v>
                </c:pt>
                <c:pt idx="47">
                  <c:v>0.95956224649890598</c:v>
                </c:pt>
                <c:pt idx="48">
                  <c:v>0.99365341185491096</c:v>
                </c:pt>
                <c:pt idx="49">
                  <c:v>1.0413810433533099</c:v>
                </c:pt>
                <c:pt idx="50">
                  <c:v>1.1070065366636199</c:v>
                </c:pt>
                <c:pt idx="51">
                  <c:v>1.0703585339059201</c:v>
                </c:pt>
                <c:pt idx="52">
                  <c:v>1.13513174808233</c:v>
                </c:pt>
                <c:pt idx="53">
                  <c:v>1.17433658824173</c:v>
                </c:pt>
                <c:pt idx="54">
                  <c:v>1.21183687013334</c:v>
                </c:pt>
                <c:pt idx="55">
                  <c:v>1.24024617459668</c:v>
                </c:pt>
                <c:pt idx="56">
                  <c:v>1.2504735242034799</c:v>
                </c:pt>
                <c:pt idx="57">
                  <c:v>1.23697910458339</c:v>
                </c:pt>
                <c:pt idx="58">
                  <c:v>1.21567212623589</c:v>
                </c:pt>
                <c:pt idx="59">
                  <c:v>1.1947912874553399</c:v>
                </c:pt>
                <c:pt idx="60">
                  <c:v>1.1739956765881701</c:v>
                </c:pt>
                <c:pt idx="61">
                  <c:v>1.15217733076033</c:v>
                </c:pt>
                <c:pt idx="62">
                  <c:v>1.13229081763599</c:v>
                </c:pt>
                <c:pt idx="63">
                  <c:v>1.1155293280026199</c:v>
                </c:pt>
                <c:pt idx="64">
                  <c:v>1.10132467577096</c:v>
                </c:pt>
                <c:pt idx="65">
                  <c:v>1.08939276789635</c:v>
                </c:pt>
                <c:pt idx="66">
                  <c:v>1.0788813252449201</c:v>
                </c:pt>
                <c:pt idx="67">
                  <c:v>1.0697903478166499</c:v>
                </c:pt>
                <c:pt idx="68">
                  <c:v>1.06211983561155</c:v>
                </c:pt>
                <c:pt idx="69">
                  <c:v>1.0550175094957199</c:v>
                </c:pt>
                <c:pt idx="70">
                  <c:v>1.04848336946915</c:v>
                </c:pt>
                <c:pt idx="71">
                  <c:v>1.04365378771038</c:v>
                </c:pt>
                <c:pt idx="72">
                  <c:v>1.0382560198623501</c:v>
                </c:pt>
                <c:pt idx="73">
                  <c:v>1.03371053114821</c:v>
                </c:pt>
                <c:pt idx="74">
                  <c:v>1.03001732156798</c:v>
                </c:pt>
                <c:pt idx="75">
                  <c:v>1.02604001894311</c:v>
                </c:pt>
                <c:pt idx="76">
                  <c:v>1.0229149954521399</c:v>
                </c:pt>
                <c:pt idx="77">
                  <c:v>1.02007406500581</c:v>
                </c:pt>
                <c:pt idx="78">
                  <c:v>1.0172331345594801</c:v>
                </c:pt>
                <c:pt idx="79">
                  <c:v>1.0155285762916799</c:v>
                </c:pt>
                <c:pt idx="80">
                  <c:v>1.01240355280071</c:v>
                </c:pt>
                <c:pt idx="81">
                  <c:v>1.01126718062218</c:v>
                </c:pt>
                <c:pt idx="82">
                  <c:v>1.00899443626511</c:v>
                </c:pt>
                <c:pt idx="83">
                  <c:v>1.0081421571312099</c:v>
                </c:pt>
                <c:pt idx="84">
                  <c:v>1.0055853197295099</c:v>
                </c:pt>
                <c:pt idx="85">
                  <c:v>1.0055853197295099</c:v>
                </c:pt>
                <c:pt idx="86">
                  <c:v>1.0035966684170701</c:v>
                </c:pt>
                <c:pt idx="87">
                  <c:v>1.0021762031939101</c:v>
                </c:pt>
                <c:pt idx="88">
                  <c:v>1.0021762031939101</c:v>
                </c:pt>
                <c:pt idx="89">
                  <c:v>1.0021762031939101</c:v>
                </c:pt>
                <c:pt idx="90">
                  <c:v>1.0010398310153701</c:v>
                </c:pt>
                <c:pt idx="91">
                  <c:v>0.99876708665831104</c:v>
                </c:pt>
                <c:pt idx="92">
                  <c:v>0.99876708665831104</c:v>
                </c:pt>
                <c:pt idx="93">
                  <c:v>0.99876708665831104</c:v>
                </c:pt>
                <c:pt idx="94">
                  <c:v>0.99876708665831104</c:v>
                </c:pt>
                <c:pt idx="95">
                  <c:v>0.99876708665831104</c:v>
                </c:pt>
                <c:pt idx="96">
                  <c:v>0.99876708665831104</c:v>
                </c:pt>
                <c:pt idx="97">
                  <c:v>0.99876708665831104</c:v>
                </c:pt>
                <c:pt idx="98">
                  <c:v>0.99876708665831104</c:v>
                </c:pt>
                <c:pt idx="99">
                  <c:v>0.99876708665831104</c:v>
                </c:pt>
                <c:pt idx="100">
                  <c:v>0.99876708665831104</c:v>
                </c:pt>
                <c:pt idx="101">
                  <c:v>0.99876708665831104</c:v>
                </c:pt>
                <c:pt idx="102">
                  <c:v>0.99876708665831104</c:v>
                </c:pt>
                <c:pt idx="103">
                  <c:v>0.99876708665831104</c:v>
                </c:pt>
                <c:pt idx="104">
                  <c:v>0.99876708665831104</c:v>
                </c:pt>
                <c:pt idx="105">
                  <c:v>0.99990345883684495</c:v>
                </c:pt>
                <c:pt idx="106">
                  <c:v>1.0021762031939101</c:v>
                </c:pt>
                <c:pt idx="107">
                  <c:v>1.0021762031939101</c:v>
                </c:pt>
                <c:pt idx="108">
                  <c:v>1.00274438928317</c:v>
                </c:pt>
                <c:pt idx="109">
                  <c:v>1.0021762031939101</c:v>
                </c:pt>
                <c:pt idx="110">
                  <c:v>1.0021762031939101</c:v>
                </c:pt>
                <c:pt idx="111">
                  <c:v>1.0021762031939101</c:v>
                </c:pt>
                <c:pt idx="112">
                  <c:v>1.0021762031939101</c:v>
                </c:pt>
                <c:pt idx="113">
                  <c:v>1.0021762031939101</c:v>
                </c:pt>
                <c:pt idx="114">
                  <c:v>1.0021762031939101</c:v>
                </c:pt>
                <c:pt idx="115">
                  <c:v>1.0021762031939101</c:v>
                </c:pt>
                <c:pt idx="116">
                  <c:v>1.0021762031939101</c:v>
                </c:pt>
                <c:pt idx="117">
                  <c:v>1.0021762031939101</c:v>
                </c:pt>
                <c:pt idx="118">
                  <c:v>1.0021762031939101</c:v>
                </c:pt>
                <c:pt idx="119">
                  <c:v>1.0021762031939101</c:v>
                </c:pt>
                <c:pt idx="120">
                  <c:v>1.0021762031939101</c:v>
                </c:pt>
                <c:pt idx="121">
                  <c:v>1.0021762031939101</c:v>
                </c:pt>
                <c:pt idx="122">
                  <c:v>1.0021762031939101</c:v>
                </c:pt>
                <c:pt idx="123">
                  <c:v>1.00274438928317</c:v>
                </c:pt>
                <c:pt idx="124">
                  <c:v>1.0021762031939101</c:v>
                </c:pt>
                <c:pt idx="125">
                  <c:v>1.0021762031939101</c:v>
                </c:pt>
                <c:pt idx="126">
                  <c:v>1.0021762031939101</c:v>
                </c:pt>
                <c:pt idx="127">
                  <c:v>1.0021762031939101</c:v>
                </c:pt>
                <c:pt idx="128">
                  <c:v>1.0021762031939101</c:v>
                </c:pt>
                <c:pt idx="129">
                  <c:v>1.0021762031939101</c:v>
                </c:pt>
                <c:pt idx="130">
                  <c:v>1.0021762031939101</c:v>
                </c:pt>
                <c:pt idx="131">
                  <c:v>1.0021762031939101</c:v>
                </c:pt>
                <c:pt idx="132">
                  <c:v>1.0021762031939101</c:v>
                </c:pt>
                <c:pt idx="133">
                  <c:v>1.0021762031939101</c:v>
                </c:pt>
                <c:pt idx="134">
                  <c:v>1.0021762031939101</c:v>
                </c:pt>
                <c:pt idx="135">
                  <c:v>1.0021762031939101</c:v>
                </c:pt>
                <c:pt idx="136">
                  <c:v>1.0021762031939101</c:v>
                </c:pt>
                <c:pt idx="137">
                  <c:v>1.00246029623854</c:v>
                </c:pt>
                <c:pt idx="138">
                  <c:v>1.00246029623854</c:v>
                </c:pt>
                <c:pt idx="139">
                  <c:v>1.0021762031939101</c:v>
                </c:pt>
                <c:pt idx="140">
                  <c:v>1.0021762031939101</c:v>
                </c:pt>
                <c:pt idx="141">
                  <c:v>1.0021762031939101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C7-48AF-A8C2-4399E258D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29792"/>
        <c:axId val="180540544"/>
      </c:scatterChart>
      <c:valAx>
        <c:axId val="180529792"/>
        <c:scaling>
          <c:orientation val="minMax"/>
          <c:max val="1684"/>
          <c:min val="168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40544"/>
        <c:crosses val="autoZero"/>
        <c:crossBetween val="midCat"/>
      </c:valAx>
      <c:valAx>
        <c:axId val="1805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2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2 Full Straggling </a:t>
            </a:r>
            <a:r>
              <a:rPr lang="el-GR" sz="2000"/>
              <a:t>Δ</a:t>
            </a:r>
            <a:r>
              <a:rPr lang="en-GB" sz="20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1 50 eV'!$E$2:$E$122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1 50 eV'!$F$2:$F$122</c:f>
              <c:numCache>
                <c:formatCode>0.0000000000</c:formatCode>
                <c:ptCount val="121"/>
                <c:pt idx="0">
                  <c:v>2.7370939000000002E-3</c:v>
                </c:pt>
                <c:pt idx="1">
                  <c:v>3.0524591E-3</c:v>
                </c:pt>
                <c:pt idx="2">
                  <c:v>3.4754708999999999E-3</c:v>
                </c:pt>
                <c:pt idx="3">
                  <c:v>4.0102499000000003E-3</c:v>
                </c:pt>
                <c:pt idx="4">
                  <c:v>4.6990863000000004E-3</c:v>
                </c:pt>
                <c:pt idx="5">
                  <c:v>5.5869403E-3</c:v>
                </c:pt>
                <c:pt idx="6">
                  <c:v>6.7232302000000002E-3</c:v>
                </c:pt>
                <c:pt idx="7">
                  <c:v>8.1897759999999993E-3</c:v>
                </c:pt>
                <c:pt idx="8">
                  <c:v>1.0013273E-2</c:v>
                </c:pt>
                <c:pt idx="9">
                  <c:v>1.2274212E-2</c:v>
                </c:pt>
                <c:pt idx="10">
                  <c:v>1.5064162000000001E-2</c:v>
                </c:pt>
                <c:pt idx="11">
                  <c:v>1.8513373999999999E-2</c:v>
                </c:pt>
                <c:pt idx="12">
                  <c:v>2.2551112000000002E-2</c:v>
                </c:pt>
                <c:pt idx="13">
                  <c:v>2.7459839E-2</c:v>
                </c:pt>
                <c:pt idx="14">
                  <c:v>3.3179183000000001E-2</c:v>
                </c:pt>
                <c:pt idx="15">
                  <c:v>3.9814572999999999E-2</c:v>
                </c:pt>
                <c:pt idx="16">
                  <c:v>4.7403421000000001E-2</c:v>
                </c:pt>
                <c:pt idx="17">
                  <c:v>5.5631558999999997E-2</c:v>
                </c:pt>
                <c:pt idx="18">
                  <c:v>6.4110473000000001E-2</c:v>
                </c:pt>
                <c:pt idx="19">
                  <c:v>7.2848774000000005E-2</c:v>
                </c:pt>
                <c:pt idx="20">
                  <c:v>8.2017295000000004E-2</c:v>
                </c:pt>
                <c:pt idx="21">
                  <c:v>9.1680355000000005E-2</c:v>
                </c:pt>
                <c:pt idx="22">
                  <c:v>0.10195029999999999</c:v>
                </c:pt>
                <c:pt idx="23">
                  <c:v>0.1119132</c:v>
                </c:pt>
                <c:pt idx="24">
                  <c:v>0.12131079</c:v>
                </c:pt>
                <c:pt idx="25">
                  <c:v>0.13020799</c:v>
                </c:pt>
                <c:pt idx="26">
                  <c:v>0.13859434000000001</c:v>
                </c:pt>
                <c:pt idx="27">
                  <c:v>0.14634345000000001</c:v>
                </c:pt>
                <c:pt idx="28">
                  <c:v>0.15329222000000001</c:v>
                </c:pt>
                <c:pt idx="29">
                  <c:v>0.15941312999999999</c:v>
                </c:pt>
                <c:pt idx="30">
                  <c:v>0.16428645</c:v>
                </c:pt>
                <c:pt idx="31">
                  <c:v>0.16807900000000001</c:v>
                </c:pt>
                <c:pt idx="32">
                  <c:v>0.17151153</c:v>
                </c:pt>
                <c:pt idx="33">
                  <c:v>0.17441438000000001</c:v>
                </c:pt>
                <c:pt idx="34">
                  <c:v>0.17664406999999999</c:v>
                </c:pt>
                <c:pt idx="35">
                  <c:v>0.17803273</c:v>
                </c:pt>
                <c:pt idx="36">
                  <c:v>0.17852177</c:v>
                </c:pt>
                <c:pt idx="37">
                  <c:v>0.17841741</c:v>
                </c:pt>
                <c:pt idx="38">
                  <c:v>0.17827045999999999</c:v>
                </c:pt>
                <c:pt idx="39">
                  <c:v>0.17794119999999999</c:v>
                </c:pt>
                <c:pt idx="40">
                  <c:v>0.17751847000000001</c:v>
                </c:pt>
                <c:pt idx="41">
                  <c:v>0.17716961000000001</c:v>
                </c:pt>
                <c:pt idx="42">
                  <c:v>0.17672081000000001</c:v>
                </c:pt>
                <c:pt idx="43">
                  <c:v>0.17629126000000001</c:v>
                </c:pt>
                <c:pt idx="44">
                  <c:v>0.17587838</c:v>
                </c:pt>
                <c:pt idx="45">
                  <c:v>0.17552669000000001</c:v>
                </c:pt>
                <c:pt idx="46">
                  <c:v>0.17519355</c:v>
                </c:pt>
                <c:pt idx="47">
                  <c:v>0.17493705000000001</c:v>
                </c:pt>
                <c:pt idx="48">
                  <c:v>0.17473833</c:v>
                </c:pt>
                <c:pt idx="49">
                  <c:v>0.17453416999999999</c:v>
                </c:pt>
                <c:pt idx="50">
                  <c:v>0.17441699999999999</c:v>
                </c:pt>
                <c:pt idx="51">
                  <c:v>0.17426474</c:v>
                </c:pt>
                <c:pt idx="52">
                  <c:v>0.17417803000000001</c:v>
                </c:pt>
                <c:pt idx="53">
                  <c:v>0.17418742000000001</c:v>
                </c:pt>
                <c:pt idx="54">
                  <c:v>0.17412730000000001</c:v>
                </c:pt>
                <c:pt idx="55">
                  <c:v>0.17415041000000001</c:v>
                </c:pt>
                <c:pt idx="56">
                  <c:v>0.17410444999999999</c:v>
                </c:pt>
                <c:pt idx="57">
                  <c:v>0.17410967999999999</c:v>
                </c:pt>
                <c:pt idx="58">
                  <c:v>0.17416243000000001</c:v>
                </c:pt>
                <c:pt idx="59">
                  <c:v>0.17417161</c:v>
                </c:pt>
                <c:pt idx="60">
                  <c:v>0.17417605</c:v>
                </c:pt>
                <c:pt idx="61">
                  <c:v>0.1742108</c:v>
                </c:pt>
                <c:pt idx="62">
                  <c:v>0.1742484</c:v>
                </c:pt>
                <c:pt idx="63">
                  <c:v>0.17428927</c:v>
                </c:pt>
                <c:pt idx="64">
                  <c:v>0.17431190999999999</c:v>
                </c:pt>
                <c:pt idx="65">
                  <c:v>0.17434031</c:v>
                </c:pt>
                <c:pt idx="66">
                  <c:v>0.17438139</c:v>
                </c:pt>
                <c:pt idx="67">
                  <c:v>0.17442439000000001</c:v>
                </c:pt>
                <c:pt idx="68">
                  <c:v>0.17444836999999999</c:v>
                </c:pt>
                <c:pt idx="69">
                  <c:v>0.17449586</c:v>
                </c:pt>
                <c:pt idx="70">
                  <c:v>0.17452546999999999</c:v>
                </c:pt>
                <c:pt idx="71">
                  <c:v>0.17454185999999999</c:v>
                </c:pt>
                <c:pt idx="72">
                  <c:v>0.17458604</c:v>
                </c:pt>
                <c:pt idx="73">
                  <c:v>0.17460084000000001</c:v>
                </c:pt>
                <c:pt idx="74">
                  <c:v>0.17462697999999999</c:v>
                </c:pt>
                <c:pt idx="75">
                  <c:v>0.17464880999999999</c:v>
                </c:pt>
                <c:pt idx="76">
                  <c:v>0.17467329000000001</c:v>
                </c:pt>
                <c:pt idx="77">
                  <c:v>0.17470911</c:v>
                </c:pt>
                <c:pt idx="78">
                  <c:v>0.17472373999999999</c:v>
                </c:pt>
                <c:pt idx="79">
                  <c:v>0.17474824</c:v>
                </c:pt>
                <c:pt idx="80">
                  <c:v>0.17475961000000001</c:v>
                </c:pt>
                <c:pt idx="81">
                  <c:v>0.17476837000000001</c:v>
                </c:pt>
                <c:pt idx="82">
                  <c:v>0.17479033999999999</c:v>
                </c:pt>
                <c:pt idx="83">
                  <c:v>0.17480856</c:v>
                </c:pt>
                <c:pt idx="84">
                  <c:v>0.17481828999999999</c:v>
                </c:pt>
                <c:pt idx="85">
                  <c:v>0.17481959999999999</c:v>
                </c:pt>
                <c:pt idx="86">
                  <c:v>0.17482734</c:v>
                </c:pt>
                <c:pt idx="87">
                  <c:v>0.17483322000000001</c:v>
                </c:pt>
                <c:pt idx="88">
                  <c:v>0.17484568</c:v>
                </c:pt>
                <c:pt idx="89">
                  <c:v>0.17484417999999999</c:v>
                </c:pt>
                <c:pt idx="90">
                  <c:v>0.17484197000000001</c:v>
                </c:pt>
                <c:pt idx="91">
                  <c:v>0.17484533999999999</c:v>
                </c:pt>
                <c:pt idx="92">
                  <c:v>0.17483908000000001</c:v>
                </c:pt>
                <c:pt idx="93">
                  <c:v>0.17484875</c:v>
                </c:pt>
                <c:pt idx="94">
                  <c:v>0.17484986999999999</c:v>
                </c:pt>
                <c:pt idx="95">
                  <c:v>0.17483040999999999</c:v>
                </c:pt>
                <c:pt idx="96">
                  <c:v>0.17483209</c:v>
                </c:pt>
                <c:pt idx="97">
                  <c:v>0.17482545999999999</c:v>
                </c:pt>
                <c:pt idx="98">
                  <c:v>0.17482165</c:v>
                </c:pt>
                <c:pt idx="99">
                  <c:v>0.17481352</c:v>
                </c:pt>
                <c:pt idx="100">
                  <c:v>0.17481147999999999</c:v>
                </c:pt>
                <c:pt idx="101">
                  <c:v>0.17480551999999999</c:v>
                </c:pt>
                <c:pt idx="102">
                  <c:v>0.17480560000000001</c:v>
                </c:pt>
                <c:pt idx="103">
                  <c:v>0.17479285999999999</c:v>
                </c:pt>
                <c:pt idx="104">
                  <c:v>0.1747988</c:v>
                </c:pt>
                <c:pt idx="105">
                  <c:v>0.17478668999999999</c:v>
                </c:pt>
                <c:pt idx="106">
                  <c:v>0.17477672</c:v>
                </c:pt>
                <c:pt idx="107">
                  <c:v>0.17477012</c:v>
                </c:pt>
                <c:pt idx="108">
                  <c:v>0.17476311</c:v>
                </c:pt>
                <c:pt idx="109">
                  <c:v>0.17476778000000001</c:v>
                </c:pt>
                <c:pt idx="110">
                  <c:v>0.1747908</c:v>
                </c:pt>
                <c:pt idx="111">
                  <c:v>0.17477264000000001</c:v>
                </c:pt>
                <c:pt idx="112">
                  <c:v>0.17476555999999999</c:v>
                </c:pt>
                <c:pt idx="113">
                  <c:v>0.17476771999999999</c:v>
                </c:pt>
                <c:pt idx="114">
                  <c:v>0.17476082000000001</c:v>
                </c:pt>
                <c:pt idx="115">
                  <c:v>0.17476506999999999</c:v>
                </c:pt>
                <c:pt idx="116">
                  <c:v>0.17476699000000001</c:v>
                </c:pt>
                <c:pt idx="117">
                  <c:v>0.17476347</c:v>
                </c:pt>
                <c:pt idx="118">
                  <c:v>0.17476644999999999</c:v>
                </c:pt>
                <c:pt idx="119">
                  <c:v>0.17478518000000001</c:v>
                </c:pt>
                <c:pt idx="120">
                  <c:v>0.17478136999999999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D7-4394-B73B-7E7200C09F13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1 50 eV'!$H$2:$H$142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full 1 50 eV'!$I$2:$I$142</c:f>
              <c:numCache>
                <c:formatCode>0.00000000000000</c:formatCode>
                <c:ptCount val="141"/>
                <c:pt idx="0">
                  <c:v>4.1187765270390498E-4</c:v>
                </c:pt>
                <c:pt idx="1">
                  <c:v>4.3074033196855398E-4</c:v>
                </c:pt>
                <c:pt idx="2">
                  <c:v>4.5055863084544402E-4</c:v>
                </c:pt>
                <c:pt idx="3">
                  <c:v>4.7140553351383401E-4</c:v>
                </c:pt>
                <c:pt idx="4">
                  <c:v>4.9336194875331603E-4</c:v>
                </c:pt>
                <c:pt idx="5">
                  <c:v>5.1652777517824898E-4</c:v>
                </c:pt>
                <c:pt idx="6">
                  <c:v>5.4102320001088E-4</c:v>
                </c:pt>
                <c:pt idx="7">
                  <c:v>5.6698563852130505E-4</c:v>
                </c:pt>
                <c:pt idx="8">
                  <c:v>5.9457497653654396E-4</c:v>
                </c:pt>
                <c:pt idx="9">
                  <c:v>6.2398095500473805E-4</c:v>
                </c:pt>
                <c:pt idx="10">
                  <c:v>6.5543784974748302E-4</c:v>
                </c:pt>
                <c:pt idx="11">
                  <c:v>6.8925554921889102E-4</c:v>
                </c:pt>
                <c:pt idx="12">
                  <c:v>7.2590323741042397E-4</c:v>
                </c:pt>
                <c:pt idx="13">
                  <c:v>7.6626189671175299E-4</c:v>
                </c:pt>
                <c:pt idx="14">
                  <c:v>8.1164041822081299E-4</c:v>
                </c:pt>
                <c:pt idx="15">
                  <c:v>8.6210559817467196E-4</c:v>
                </c:pt>
                <c:pt idx="16">
                  <c:v>9.1841091787617701E-4</c:v>
                </c:pt>
                <c:pt idx="17">
                  <c:v>9.82375599448107E-4</c:v>
                </c:pt>
                <c:pt idx="18">
                  <c:v>1.05625295540058E-3</c:v>
                </c:pt>
                <c:pt idx="19">
                  <c:v>1.14296184060807E-3</c:v>
                </c:pt>
                <c:pt idx="20">
                  <c:v>1.2466904743202601E-3</c:v>
                </c:pt>
                <c:pt idx="21">
                  <c:v>1.37316725711931E-3</c:v>
                </c:pt>
                <c:pt idx="22">
                  <c:v>1.5271416087962E-3</c:v>
                </c:pt>
                <c:pt idx="23">
                  <c:v>1.7152062632417599E-3</c:v>
                </c:pt>
                <c:pt idx="24">
                  <c:v>1.94689789809544E-3</c:v>
                </c:pt>
                <c:pt idx="25">
                  <c:v>2.2336251920829298E-3</c:v>
                </c:pt>
                <c:pt idx="26">
                  <c:v>2.5888278990825199E-3</c:v>
                </c:pt>
                <c:pt idx="27">
                  <c:v>3.02821109518344E-3</c:v>
                </c:pt>
                <c:pt idx="28">
                  <c:v>3.5697768471184602E-3</c:v>
                </c:pt>
                <c:pt idx="29">
                  <c:v>4.2336417253289599E-3</c:v>
                </c:pt>
                <c:pt idx="30">
                  <c:v>5.0417868961885404E-3</c:v>
                </c:pt>
                <c:pt idx="31">
                  <c:v>6.0185577444321799E-3</c:v>
                </c:pt>
                <c:pt idx="32">
                  <c:v>7.18972903871284E-3</c:v>
                </c:pt>
                <c:pt idx="33">
                  <c:v>8.57843637832785E-3</c:v>
                </c:pt>
                <c:pt idx="34">
                  <c:v>1.02053394552331E-2</c:v>
                </c:pt>
                <c:pt idx="35">
                  <c:v>1.20894125217474E-2</c:v>
                </c:pt>
                <c:pt idx="36">
                  <c:v>1.42458242635765E-2</c:v>
                </c:pt>
                <c:pt idx="37">
                  <c:v>1.6683718398283202E-2</c:v>
                </c:pt>
                <c:pt idx="38">
                  <c:v>1.9403935639706601E-2</c:v>
                </c:pt>
                <c:pt idx="39">
                  <c:v>2.2398823940408701E-2</c:v>
                </c:pt>
                <c:pt idx="40">
                  <c:v>2.5651520453456901E-2</c:v>
                </c:pt>
                <c:pt idx="41">
                  <c:v>2.9135408078239899E-2</c:v>
                </c:pt>
                <c:pt idx="42">
                  <c:v>3.2813853723179499E-2</c:v>
                </c:pt>
                <c:pt idx="43">
                  <c:v>3.6640335096916297E-2</c:v>
                </c:pt>
                <c:pt idx="44">
                  <c:v>4.0560033988983099E-2</c:v>
                </c:pt>
                <c:pt idx="45">
                  <c:v>4.4510866701976702E-2</c:v>
                </c:pt>
                <c:pt idx="46">
                  <c:v>4.8423759329372998E-2</c:v>
                </c:pt>
                <c:pt idx="47">
                  <c:v>5.22294116113136E-2</c:v>
                </c:pt>
                <c:pt idx="48">
                  <c:v>5.5868402655866699E-2</c:v>
                </c:pt>
                <c:pt idx="49">
                  <c:v>5.92853054890412E-2</c:v>
                </c:pt>
                <c:pt idx="50">
                  <c:v>6.2433647031302698E-2</c:v>
                </c:pt>
                <c:pt idx="51">
                  <c:v>6.5307450008981402E-2</c:v>
                </c:pt>
                <c:pt idx="52">
                  <c:v>6.79506937874121E-2</c:v>
                </c:pt>
                <c:pt idx="53">
                  <c:v>7.0391089436849102E-2</c:v>
                </c:pt>
                <c:pt idx="54">
                  <c:v>7.2623258985133499E-2</c:v>
                </c:pt>
                <c:pt idx="55">
                  <c:v>7.46291302177476E-2</c:v>
                </c:pt>
                <c:pt idx="56">
                  <c:v>7.6404429357829304E-2</c:v>
                </c:pt>
                <c:pt idx="57">
                  <c:v>7.7986326670756598E-2</c:v>
                </c:pt>
                <c:pt idx="58">
                  <c:v>7.9375282276280407E-2</c:v>
                </c:pt>
                <c:pt idx="59">
                  <c:v>8.0486985957197194E-2</c:v>
                </c:pt>
                <c:pt idx="60">
                  <c:v>8.12647689611702E-2</c:v>
                </c:pt>
                <c:pt idx="61">
                  <c:v>8.1805221676110304E-2</c:v>
                </c:pt>
                <c:pt idx="62">
                  <c:v>8.2402741617606898E-2</c:v>
                </c:pt>
                <c:pt idx="63">
                  <c:v>8.3347104539093997E-2</c:v>
                </c:pt>
                <c:pt idx="64">
                  <c:v>8.4656363881362898E-2</c:v>
                </c:pt>
                <c:pt idx="65">
                  <c:v>8.6452022868604705E-2</c:v>
                </c:pt>
                <c:pt idx="66">
                  <c:v>8.9202475305687007E-2</c:v>
                </c:pt>
                <c:pt idx="67">
                  <c:v>9.2478814308673996E-2</c:v>
                </c:pt>
                <c:pt idx="68">
                  <c:v>9.4917820382420595E-2</c:v>
                </c:pt>
                <c:pt idx="69">
                  <c:v>9.6855670973731406E-2</c:v>
                </c:pt>
                <c:pt idx="70">
                  <c:v>9.9317199260597802E-2</c:v>
                </c:pt>
                <c:pt idx="71">
                  <c:v>0.10256505902839801</c:v>
                </c:pt>
                <c:pt idx="72">
                  <c:v>0.106096334980992</c:v>
                </c:pt>
                <c:pt idx="73">
                  <c:v>0.108994574376419</c:v>
                </c:pt>
                <c:pt idx="74">
                  <c:v>0.110615215748594</c:v>
                </c:pt>
                <c:pt idx="75">
                  <c:v>0.11130014905684001</c:v>
                </c:pt>
                <c:pt idx="76">
                  <c:v>0.111902566925314</c:v>
                </c:pt>
                <c:pt idx="77">
                  <c:v>0.112927229712301</c:v>
                </c:pt>
                <c:pt idx="78">
                  <c:v>0.114546797468665</c:v>
                </c:pt>
                <c:pt idx="79">
                  <c:v>0.116707211869399</c:v>
                </c:pt>
                <c:pt idx="80">
                  <c:v>0.11916302112659</c:v>
                </c:pt>
                <c:pt idx="81">
                  <c:v>0.12152858081347299</c:v>
                </c:pt>
                <c:pt idx="82">
                  <c:v>0.123394966068513</c:v>
                </c:pt>
                <c:pt idx="83">
                  <c:v>0.12452257962673299</c:v>
                </c:pt>
                <c:pt idx="84">
                  <c:v>0.125069717455848</c:v>
                </c:pt>
                <c:pt idx="85">
                  <c:v>0.12553038338351899</c:v>
                </c:pt>
                <c:pt idx="86">
                  <c:v>0.12623960683500299</c:v>
                </c:pt>
                <c:pt idx="87">
                  <c:v>0.12730470662820101</c:v>
                </c:pt>
                <c:pt idx="88">
                  <c:v>0.128701817562445</c:v>
                </c:pt>
                <c:pt idx="89">
                  <c:v>0.12960489648446999</c:v>
                </c:pt>
                <c:pt idx="90">
                  <c:v>0.13111390491025901</c:v>
                </c:pt>
                <c:pt idx="91">
                  <c:v>0.132499876253731</c:v>
                </c:pt>
                <c:pt idx="92">
                  <c:v>0.13364259657313499</c:v>
                </c:pt>
                <c:pt idx="93">
                  <c:v>0.13455200905623599</c:v>
                </c:pt>
                <c:pt idx="94">
                  <c:v>0.13541300167102999</c:v>
                </c:pt>
                <c:pt idx="95">
                  <c:v>0.13638396838504899</c:v>
                </c:pt>
                <c:pt idx="96">
                  <c:v>0.13748539021223</c:v>
                </c:pt>
                <c:pt idx="97">
                  <c:v>0.14056154669019699</c:v>
                </c:pt>
                <c:pt idx="98">
                  <c:v>0.14177601600166301</c:v>
                </c:pt>
                <c:pt idx="99">
                  <c:v>0.142950378132217</c:v>
                </c:pt>
                <c:pt idx="100">
                  <c:v>0.144082498113179</c:v>
                </c:pt>
                <c:pt idx="101">
                  <c:v>0.14517159463477899</c:v>
                </c:pt>
                <c:pt idx="102">
                  <c:v>0.14621855763441299</c:v>
                </c:pt>
                <c:pt idx="103">
                  <c:v>0.14722454590908701</c:v>
                </c:pt>
                <c:pt idx="104">
                  <c:v>0.148190696123216</c:v>
                </c:pt>
                <c:pt idx="105">
                  <c:v>0.149118420818036</c:v>
                </c:pt>
                <c:pt idx="106">
                  <c:v>0.15272762894296099</c:v>
                </c:pt>
                <c:pt idx="107">
                  <c:v>0.153060049365847</c:v>
                </c:pt>
                <c:pt idx="108">
                  <c:v>0.15369395779698899</c:v>
                </c:pt>
                <c:pt idx="109">
                  <c:v>0.15430478037731801</c:v>
                </c:pt>
                <c:pt idx="110">
                  <c:v>0.154893562746582</c:v>
                </c:pt>
                <c:pt idx="111">
                  <c:v>0.155461420515138</c:v>
                </c:pt>
                <c:pt idx="112">
                  <c:v>0.156008784031645</c:v>
                </c:pt>
                <c:pt idx="113">
                  <c:v>0.156536633051612</c:v>
                </c:pt>
                <c:pt idx="114">
                  <c:v>0.15704517656099001</c:v>
                </c:pt>
                <c:pt idx="115">
                  <c:v>0.15753543964263</c:v>
                </c:pt>
                <c:pt idx="116">
                  <c:v>0.158008457493023</c:v>
                </c:pt>
                <c:pt idx="117">
                  <c:v>0.15846442563505</c:v>
                </c:pt>
                <c:pt idx="118">
                  <c:v>0.15890416879956001</c:v>
                </c:pt>
                <c:pt idx="119">
                  <c:v>0.15932806358183699</c:v>
                </c:pt>
                <c:pt idx="120">
                  <c:v>0.159737121060293</c:v>
                </c:pt>
                <c:pt idx="121">
                  <c:v>0.16013152854176299</c:v>
                </c:pt>
                <c:pt idx="122">
                  <c:v>0.16051203662985999</c:v>
                </c:pt>
                <c:pt idx="123">
                  <c:v>0.160879167393054</c:v>
                </c:pt>
                <c:pt idx="124">
                  <c:v>0.16123329333070399</c:v>
                </c:pt>
                <c:pt idx="125">
                  <c:v>0.16157524331342599</c:v>
                </c:pt>
                <c:pt idx="126">
                  <c:v>0.16190524181600299</c:v>
                </c:pt>
                <c:pt idx="127">
                  <c:v>0.16222381421934901</c:v>
                </c:pt>
                <c:pt idx="128">
                  <c:v>0.162531421190207</c:v>
                </c:pt>
                <c:pt idx="129">
                  <c:v>0.16282851807079499</c:v>
                </c:pt>
                <c:pt idx="130">
                  <c:v>0.16311548281416999</c:v>
                </c:pt>
                <c:pt idx="131">
                  <c:v>0.16339280264216199</c:v>
                </c:pt>
                <c:pt idx="132">
                  <c:v>0.163660832538811</c:v>
                </c:pt>
                <c:pt idx="133">
                  <c:v>0.16391980479892501</c:v>
                </c:pt>
                <c:pt idx="134">
                  <c:v>0.164170283861268</c:v>
                </c:pt>
                <c:pt idx="135">
                  <c:v>0.16441242250212099</c:v>
                </c:pt>
                <c:pt idx="136">
                  <c:v>0.16464673416521</c:v>
                </c:pt>
                <c:pt idx="137">
                  <c:v>0.164873523917342</c:v>
                </c:pt>
                <c:pt idx="138">
                  <c:v>0.16509296230032999</c:v>
                </c:pt>
                <c:pt idx="139">
                  <c:v>0.16530548278935001</c:v>
                </c:pt>
                <c:pt idx="140">
                  <c:v>0.16551129516947299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D7-4394-B73B-7E7200C09F13}"/>
            </c:ext>
          </c:extLst>
        </c:ser>
        <c:ser>
          <c:idx val="3"/>
          <c:order val="2"/>
          <c:tx>
            <c:v>SPACES NORM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2 full 1 50 eV'!$A$2:$A$140</c:f>
              <c:numCache>
                <c:formatCode>General</c:formatCode>
                <c:ptCount val="139"/>
                <c:pt idx="0">
                  <c:v>1681.3582986592601</c:v>
                </c:pt>
                <c:pt idx="1">
                  <c:v>1681.4267221451601</c:v>
                </c:pt>
                <c:pt idx="2">
                  <c:v>1681.49514563106</c:v>
                </c:pt>
                <c:pt idx="3">
                  <c:v>1681.56356911696</c:v>
                </c:pt>
                <c:pt idx="4">
                  <c:v>1681.63199260286</c:v>
                </c:pt>
                <c:pt idx="5">
                  <c:v>1681.70041608876</c:v>
                </c:pt>
                <c:pt idx="6">
                  <c:v>1681.76883957466</c:v>
                </c:pt>
                <c:pt idx="7">
                  <c:v>1681.83726306056</c:v>
                </c:pt>
                <c:pt idx="8">
                  <c:v>1681.9056865464599</c:v>
                </c:pt>
                <c:pt idx="9">
                  <c:v>1681.9741100323599</c:v>
                </c:pt>
                <c:pt idx="10">
                  <c:v>1682.0425335182599</c:v>
                </c:pt>
                <c:pt idx="11">
                  <c:v>1682.1109570041599</c:v>
                </c:pt>
                <c:pt idx="12">
                  <c:v>1682.1793804900601</c:v>
                </c:pt>
                <c:pt idx="13">
                  <c:v>1682.2478039759501</c:v>
                </c:pt>
                <c:pt idx="14">
                  <c:v>1682.3162274618501</c:v>
                </c:pt>
                <c:pt idx="15">
                  <c:v>1682.3846509477501</c:v>
                </c:pt>
                <c:pt idx="16">
                  <c:v>1682.45307443365</c:v>
                </c:pt>
                <c:pt idx="17">
                  <c:v>1682.51579596239</c:v>
                </c:pt>
                <c:pt idx="18">
                  <c:v>1682.56711357682</c:v>
                </c:pt>
                <c:pt idx="19">
                  <c:v>1682.61272923408</c:v>
                </c:pt>
                <c:pt idx="20">
                  <c:v>1682.65834489135</c:v>
                </c:pt>
                <c:pt idx="21">
                  <c:v>1682.69825859146</c:v>
                </c:pt>
                <c:pt idx="22">
                  <c:v>1682.73247033441</c:v>
                </c:pt>
                <c:pt idx="23">
                  <c:v>1682.76668207736</c:v>
                </c:pt>
                <c:pt idx="24">
                  <c:v>1682.80089382031</c:v>
                </c:pt>
                <c:pt idx="25">
                  <c:v>1682.83510556326</c:v>
                </c:pt>
                <c:pt idx="26">
                  <c:v>1682.86931730621</c:v>
                </c:pt>
                <c:pt idx="27">
                  <c:v>1682.9035290491599</c:v>
                </c:pt>
                <c:pt idx="28">
                  <c:v>1682.9320388349499</c:v>
                </c:pt>
                <c:pt idx="29">
                  <c:v>1682.9605486207399</c:v>
                </c:pt>
                <c:pt idx="30">
                  <c:v>1682.9890584065299</c:v>
                </c:pt>
                <c:pt idx="31">
                  <c:v>1683.0118662351599</c:v>
                </c:pt>
                <c:pt idx="32">
                  <c:v>1683.0346740637999</c:v>
                </c:pt>
                <c:pt idx="33">
                  <c:v>1683.0574818924299</c:v>
                </c:pt>
                <c:pt idx="34">
                  <c:v>1683.0802897210599</c:v>
                </c:pt>
                <c:pt idx="35">
                  <c:v>1683.1030975496899</c:v>
                </c:pt>
                <c:pt idx="36">
                  <c:v>1683.1259053783299</c:v>
                </c:pt>
                <c:pt idx="37">
                  <c:v>1683.1487132069601</c:v>
                </c:pt>
                <c:pt idx="38">
                  <c:v>1683.1715210355901</c:v>
                </c:pt>
                <c:pt idx="39">
                  <c:v>1683.1943288642301</c:v>
                </c:pt>
                <c:pt idx="40">
                  <c:v>1683.2171366928601</c:v>
                </c:pt>
                <c:pt idx="41">
                  <c:v>1683.2399445214901</c:v>
                </c:pt>
                <c:pt idx="42">
                  <c:v>1683.2627523501301</c:v>
                </c:pt>
                <c:pt idx="43">
                  <c:v>1683.2855601787601</c:v>
                </c:pt>
                <c:pt idx="44">
                  <c:v>1683.3083680073901</c:v>
                </c:pt>
                <c:pt idx="45">
                  <c:v>1683.3311758360301</c:v>
                </c:pt>
                <c:pt idx="46">
                  <c:v>1683.3539836646601</c:v>
                </c:pt>
                <c:pt idx="47">
                  <c:v>1683.3767914932901</c:v>
                </c:pt>
                <c:pt idx="48">
                  <c:v>1683.39959932192</c:v>
                </c:pt>
                <c:pt idx="49">
                  <c:v>1683.42810910772</c:v>
                </c:pt>
                <c:pt idx="50">
                  <c:v>1683.46232085067</c:v>
                </c:pt>
                <c:pt idx="51">
                  <c:v>1683.49653259362</c:v>
                </c:pt>
                <c:pt idx="52">
                  <c:v>1683.53074433656</c:v>
                </c:pt>
                <c:pt idx="53">
                  <c:v>1683.56495607951</c:v>
                </c:pt>
                <c:pt idx="54">
                  <c:v>1683.60486977962</c:v>
                </c:pt>
                <c:pt idx="55">
                  <c:v>1683.65048543689</c:v>
                </c:pt>
                <c:pt idx="56">
                  <c:v>1683.69610109415</c:v>
                </c:pt>
                <c:pt idx="57">
                  <c:v>1683.74171675142</c:v>
                </c:pt>
                <c:pt idx="58">
                  <c:v>1683.798736323</c:v>
                </c:pt>
                <c:pt idx="59">
                  <c:v>1683.8671598088999</c:v>
                </c:pt>
                <c:pt idx="60">
                  <c:v>1683.9355832947999</c:v>
                </c:pt>
                <c:pt idx="61">
                  <c:v>1684.0040067806999</c:v>
                </c:pt>
                <c:pt idx="62">
                  <c:v>1684.0724302665999</c:v>
                </c:pt>
                <c:pt idx="63">
                  <c:v>1684.1408537525001</c:v>
                </c:pt>
                <c:pt idx="64">
                  <c:v>1684.2092772384001</c:v>
                </c:pt>
                <c:pt idx="65">
                  <c:v>1684.2777007243001</c:v>
                </c:pt>
                <c:pt idx="66">
                  <c:v>1684.3461242102001</c:v>
                </c:pt>
                <c:pt idx="67">
                  <c:v>1684.4145476961</c:v>
                </c:pt>
                <c:pt idx="68">
                  <c:v>1684.482971182</c:v>
                </c:pt>
                <c:pt idx="69">
                  <c:v>1684.55139466789</c:v>
                </c:pt>
                <c:pt idx="70">
                  <c:v>1684.61981815379</c:v>
                </c:pt>
                <c:pt idx="71">
                  <c:v>1684.68824163969</c:v>
                </c:pt>
                <c:pt idx="72">
                  <c:v>1684.75666512559</c:v>
                </c:pt>
                <c:pt idx="73">
                  <c:v>1684.8250886114899</c:v>
                </c:pt>
                <c:pt idx="74">
                  <c:v>1684.8935120973899</c:v>
                </c:pt>
                <c:pt idx="75">
                  <c:v>1684.9619355832899</c:v>
                </c:pt>
                <c:pt idx="76">
                  <c:v>1685.0303590691899</c:v>
                </c:pt>
                <c:pt idx="77">
                  <c:v>1685.0987825550901</c:v>
                </c:pt>
                <c:pt idx="78">
                  <c:v>1685.1672060409901</c:v>
                </c:pt>
                <c:pt idx="79">
                  <c:v>1685.2356295268901</c:v>
                </c:pt>
                <c:pt idx="80">
                  <c:v>1685.3040530127901</c:v>
                </c:pt>
                <c:pt idx="81">
                  <c:v>1685.37247649869</c:v>
                </c:pt>
                <c:pt idx="82">
                  <c:v>1685.44089998458</c:v>
                </c:pt>
                <c:pt idx="83">
                  <c:v>1685.50932347048</c:v>
                </c:pt>
                <c:pt idx="84">
                  <c:v>1685.57774695638</c:v>
                </c:pt>
                <c:pt idx="85">
                  <c:v>1685.64617044228</c:v>
                </c:pt>
                <c:pt idx="86">
                  <c:v>1685.71459392818</c:v>
                </c:pt>
                <c:pt idx="87">
                  <c:v>1685.7830174140799</c:v>
                </c:pt>
                <c:pt idx="88">
                  <c:v>1685.8514408999799</c:v>
                </c:pt>
                <c:pt idx="89">
                  <c:v>1685.9198643858799</c:v>
                </c:pt>
                <c:pt idx="90">
                  <c:v>1685.9882878717799</c:v>
                </c:pt>
                <c:pt idx="91">
                  <c:v>1686.0567113576799</c:v>
                </c:pt>
                <c:pt idx="92">
                  <c:v>1686.1251348435801</c:v>
                </c:pt>
                <c:pt idx="93">
                  <c:v>1686.1935583294801</c:v>
                </c:pt>
                <c:pt idx="94">
                  <c:v>1686.2619818153701</c:v>
                </c:pt>
                <c:pt idx="95">
                  <c:v>1686.33040530127</c:v>
                </c:pt>
                <c:pt idx="96">
                  <c:v>1686.39882878717</c:v>
                </c:pt>
                <c:pt idx="97">
                  <c:v>1686.46725227307</c:v>
                </c:pt>
                <c:pt idx="98">
                  <c:v>1686.53567575897</c:v>
                </c:pt>
                <c:pt idx="99">
                  <c:v>1686.60409924487</c:v>
                </c:pt>
                <c:pt idx="100">
                  <c:v>1686.67252273077</c:v>
                </c:pt>
                <c:pt idx="101">
                  <c:v>1686.74094621667</c:v>
                </c:pt>
                <c:pt idx="102">
                  <c:v>1686.8093697025699</c:v>
                </c:pt>
                <c:pt idx="103">
                  <c:v>1686.8777931884699</c:v>
                </c:pt>
                <c:pt idx="104">
                  <c:v>1686.9462166743699</c:v>
                </c:pt>
                <c:pt idx="105">
                  <c:v>1687.0146401602699</c:v>
                </c:pt>
                <c:pt idx="106">
                  <c:v>1687.0830636461701</c:v>
                </c:pt>
                <c:pt idx="107">
                  <c:v>1687.1514871320601</c:v>
                </c:pt>
                <c:pt idx="108">
                  <c:v>1687.2199106179601</c:v>
                </c:pt>
                <c:pt idx="109">
                  <c:v>1687.2883341038601</c:v>
                </c:pt>
                <c:pt idx="110">
                  <c:v>1687.35675758976</c:v>
                </c:pt>
                <c:pt idx="111">
                  <c:v>1687.42518107566</c:v>
                </c:pt>
                <c:pt idx="112">
                  <c:v>1687.49360456156</c:v>
                </c:pt>
                <c:pt idx="113">
                  <c:v>1687.56202804746</c:v>
                </c:pt>
                <c:pt idx="114">
                  <c:v>1687.63045153336</c:v>
                </c:pt>
                <c:pt idx="115">
                  <c:v>1687.69887501926</c:v>
                </c:pt>
                <c:pt idx="116">
                  <c:v>1687.7672985051599</c:v>
                </c:pt>
                <c:pt idx="117">
                  <c:v>1687.8357219910599</c:v>
                </c:pt>
                <c:pt idx="118">
                  <c:v>1687.9041454769599</c:v>
                </c:pt>
                <c:pt idx="119">
                  <c:v>1687.9725689628599</c:v>
                </c:pt>
                <c:pt idx="120">
                  <c:v>1688.0409924487501</c:v>
                </c:pt>
                <c:pt idx="121">
                  <c:v>1688.1094159346501</c:v>
                </c:pt>
                <c:pt idx="122">
                  <c:v>1688.1778394205501</c:v>
                </c:pt>
                <c:pt idx="123">
                  <c:v>1688.2462629064501</c:v>
                </c:pt>
                <c:pt idx="124">
                  <c:v>1688.31468639235</c:v>
                </c:pt>
                <c:pt idx="125">
                  <c:v>1688.38310987825</c:v>
                </c:pt>
                <c:pt idx="126">
                  <c:v>1688.45153336415</c:v>
                </c:pt>
                <c:pt idx="127">
                  <c:v>1688.51995685005</c:v>
                </c:pt>
                <c:pt idx="128">
                  <c:v>1688.58838033595</c:v>
                </c:pt>
                <c:pt idx="129">
                  <c:v>1688.65680382185</c:v>
                </c:pt>
                <c:pt idx="130">
                  <c:v>1688.7252273077499</c:v>
                </c:pt>
                <c:pt idx="131">
                  <c:v>1688.7936507936499</c:v>
                </c:pt>
                <c:pt idx="132">
                  <c:v>1688.8620742795499</c:v>
                </c:pt>
                <c:pt idx="133">
                  <c:v>1688.9304977654399</c:v>
                </c:pt>
                <c:pt idx="134">
                  <c:v>1688.9989212513401</c:v>
                </c:pt>
                <c:pt idx="135">
                  <c:v>1689.0673447372401</c:v>
                </c:pt>
                <c:pt idx="136">
                  <c:v>1689.1357682231401</c:v>
                </c:pt>
                <c:pt idx="137">
                  <c:v>1689.2041917090401</c:v>
                </c:pt>
                <c:pt idx="138">
                  <c:v>1689.2498073663101</c:v>
                </c:pt>
              </c:numCache>
            </c:numRef>
          </c:xVal>
          <c:yVal>
            <c:numRef>
              <c:f>'Ex 2 full 1 50 eV'!$C$2:$C$140</c:f>
              <c:numCache>
                <c:formatCode>General</c:formatCode>
                <c:ptCount val="139"/>
                <c:pt idx="0">
                  <c:v>2.3147769178675916E-3</c:v>
                </c:pt>
                <c:pt idx="1">
                  <c:v>2.4186841451549796E-3</c:v>
                </c:pt>
                <c:pt idx="2">
                  <c:v>2.9226827522778652E-3</c:v>
                </c:pt>
                <c:pt idx="3">
                  <c:v>2.9265671346063965E-3</c:v>
                </c:pt>
                <c:pt idx="4">
                  <c:v>2.9304515169348922E-3</c:v>
                </c:pt>
                <c:pt idx="5">
                  <c:v>3.034358744222262E-3</c:v>
                </c:pt>
                <c:pt idx="6">
                  <c:v>3.5383573513451476E-3</c:v>
                </c:pt>
                <c:pt idx="7">
                  <c:v>3.5922531561530628E-3</c:v>
                </c:pt>
                <c:pt idx="8">
                  <c:v>4.1462631857554213E-3</c:v>
                </c:pt>
                <c:pt idx="9">
                  <c:v>4.6002503703988697E-3</c:v>
                </c:pt>
                <c:pt idx="10">
                  <c:v>5.2042718224806477E-3</c:v>
                </c:pt>
                <c:pt idx="11">
                  <c:v>6.1583732319184861E-3</c:v>
                </c:pt>
                <c:pt idx="12">
                  <c:v>7.2124974863152528E-3</c:v>
                </c:pt>
                <c:pt idx="13">
                  <c:v>8.7167245430269189E-3</c:v>
                </c:pt>
                <c:pt idx="14">
                  <c:v>1.0671054402053537E-2</c:v>
                </c:pt>
                <c:pt idx="15">
                  <c:v>1.3175509908354055E-2</c:v>
                </c:pt>
                <c:pt idx="16">
                  <c:v>1.6380125329366696E-2</c:v>
                </c:pt>
                <c:pt idx="17">
                  <c:v>1.9844476448744958E-2</c:v>
                </c:pt>
                <c:pt idx="18">
                  <c:v>2.3163147045878175E-2</c:v>
                </c:pt>
                <c:pt idx="19">
                  <c:v>2.6541507651459351E-2</c:v>
                </c:pt>
                <c:pt idx="20">
                  <c:v>3.0294953925636272E-2</c:v>
                </c:pt>
                <c:pt idx="21">
                  <c:v>3.4098087923765327E-2</c:v>
                </c:pt>
                <c:pt idx="22">
                  <c:v>3.7400783998572523E-2</c:v>
                </c:pt>
                <c:pt idx="23">
                  <c:v>4.1203594298174266E-2</c:v>
                </c:pt>
                <c:pt idx="24">
                  <c:v>4.5006404597775829E-2</c:v>
                </c:pt>
                <c:pt idx="25">
                  <c:v>4.9409351967130859E-2</c:v>
                </c:pt>
                <c:pt idx="26">
                  <c:v>5.3812299336485715E-2</c:v>
                </c:pt>
                <c:pt idx="27">
                  <c:v>5.8415292395758378E-2</c:v>
                </c:pt>
                <c:pt idx="28">
                  <c:v>6.2267790419312088E-2</c:v>
                </c:pt>
                <c:pt idx="29">
                  <c:v>6.6420356977742526E-2</c:v>
                </c:pt>
                <c:pt idx="30">
                  <c:v>7.0822980648570066E-2</c:v>
                </c:pt>
                <c:pt idx="31">
                  <c:v>7.4225052171281378E-2</c:v>
                </c:pt>
                <c:pt idx="32">
                  <c:v>7.8027215073828315E-2</c:v>
                </c:pt>
                <c:pt idx="33">
                  <c:v>8.1629332286457426E-2</c:v>
                </c:pt>
                <c:pt idx="34">
                  <c:v>8.5381483766524921E-2</c:v>
                </c:pt>
                <c:pt idx="35">
                  <c:v>8.9133635246592416E-2</c:v>
                </c:pt>
                <c:pt idx="36">
                  <c:v>9.2885786726659883E-2</c:v>
                </c:pt>
                <c:pt idx="37">
                  <c:v>9.6637938206727378E-2</c:v>
                </c:pt>
                <c:pt idx="38">
                  <c:v>0.10054012395423306</c:v>
                </c:pt>
                <c:pt idx="39">
                  <c:v>0.10429227543430072</c:v>
                </c:pt>
                <c:pt idx="40">
                  <c:v>0.10834449544924477</c:v>
                </c:pt>
                <c:pt idx="41">
                  <c:v>0.11224668119675062</c:v>
                </c:pt>
                <c:pt idx="42">
                  <c:v>0.11599883267681792</c:v>
                </c:pt>
                <c:pt idx="43">
                  <c:v>0.11990101842432377</c:v>
                </c:pt>
                <c:pt idx="44">
                  <c:v>0.12380320417182963</c:v>
                </c:pt>
                <c:pt idx="45">
                  <c:v>0.12710525284958202</c:v>
                </c:pt>
                <c:pt idx="46">
                  <c:v>0.13085740432964951</c:v>
                </c:pt>
                <c:pt idx="47">
                  <c:v>0.13430948727484027</c:v>
                </c:pt>
                <c:pt idx="48">
                  <c:v>0.13776157022003119</c:v>
                </c:pt>
                <c:pt idx="49">
                  <c:v>0.14196414820094092</c:v>
                </c:pt>
                <c:pt idx="50">
                  <c:v>0.1466671641051725</c:v>
                </c:pt>
                <c:pt idx="51">
                  <c:v>0.15107011147452751</c:v>
                </c:pt>
                <c:pt idx="52">
                  <c:v>0.15567310453380018</c:v>
                </c:pt>
                <c:pt idx="53">
                  <c:v>0.15967596052331959</c:v>
                </c:pt>
                <c:pt idx="54">
                  <c:v>0.16417925443616083</c:v>
                </c:pt>
                <c:pt idx="55">
                  <c:v>0.16868287204752938</c:v>
                </c:pt>
                <c:pt idx="56">
                  <c:v>0.17273638685658285</c:v>
                </c:pt>
                <c:pt idx="57">
                  <c:v>0.17626478172960242</c:v>
                </c:pt>
                <c:pt idx="58">
                  <c:v>0.17979382399967586</c:v>
                </c:pt>
                <c:pt idx="59">
                  <c:v>0.18319848511060549</c:v>
                </c:pt>
                <c:pt idx="60">
                  <c:v>0.18565292919442689</c:v>
                </c:pt>
                <c:pt idx="61">
                  <c:v>0.18730719051857739</c:v>
                </c:pt>
                <c:pt idx="62">
                  <c:v>0.18821128050553601</c:v>
                </c:pt>
                <c:pt idx="63">
                  <c:v>0.18851523342274015</c:v>
                </c:pt>
                <c:pt idx="64">
                  <c:v>0.18851911780506966</c:v>
                </c:pt>
                <c:pt idx="65">
                  <c:v>0.18812291080756283</c:v>
                </c:pt>
                <c:pt idx="66">
                  <c:v>0.18762668096509605</c:v>
                </c:pt>
                <c:pt idx="67">
                  <c:v>0.18693040543271283</c:v>
                </c:pt>
                <c:pt idx="68">
                  <c:v>0.18613410705536965</c:v>
                </c:pt>
                <c:pt idx="69">
                  <c:v>0.18528779725554914</c:v>
                </c:pt>
                <c:pt idx="70">
                  <c:v>0.18454151030068511</c:v>
                </c:pt>
                <c:pt idx="71">
                  <c:v>0.18379522334582279</c:v>
                </c:pt>
                <c:pt idx="72">
                  <c:v>0.18304893639095871</c:v>
                </c:pt>
                <c:pt idx="73">
                  <c:v>0.18240267228105461</c:v>
                </c:pt>
                <c:pt idx="74">
                  <c:v>0.18180641959362961</c:v>
                </c:pt>
                <c:pt idx="75">
                  <c:v>0.18126017832868549</c:v>
                </c:pt>
                <c:pt idx="76">
                  <c:v>0.18076394848621868</c:v>
                </c:pt>
                <c:pt idx="77">
                  <c:v>0.18026771864375365</c:v>
                </c:pt>
                <c:pt idx="78">
                  <c:v>0.17997153449120504</c:v>
                </c:pt>
                <c:pt idx="79">
                  <c:v>0.1795753274936982</c:v>
                </c:pt>
                <c:pt idx="80">
                  <c:v>0.17922913191867049</c:v>
                </c:pt>
                <c:pt idx="81">
                  <c:v>0.17898295918860097</c:v>
                </c:pt>
                <c:pt idx="82">
                  <c:v>0.17878679788101234</c:v>
                </c:pt>
                <c:pt idx="83">
                  <c:v>0.17839059088350548</c:v>
                </c:pt>
                <c:pt idx="84">
                  <c:v>0.17839447526583321</c:v>
                </c:pt>
                <c:pt idx="85">
                  <c:v>0.17824832538072369</c:v>
                </c:pt>
                <c:pt idx="86">
                  <c:v>0.17780210696073778</c:v>
                </c:pt>
                <c:pt idx="87">
                  <c:v>0.17780599134306552</c:v>
                </c:pt>
                <c:pt idx="88">
                  <c:v>0.17780987572539506</c:v>
                </c:pt>
                <c:pt idx="89">
                  <c:v>0.17781376010772279</c:v>
                </c:pt>
                <c:pt idx="90">
                  <c:v>0.17791766733501052</c:v>
                </c:pt>
                <c:pt idx="91">
                  <c:v>0.17772150602742184</c:v>
                </c:pt>
                <c:pt idx="92">
                  <c:v>0.17722527618495595</c:v>
                </c:pt>
                <c:pt idx="93">
                  <c:v>0.17722916056728441</c:v>
                </c:pt>
                <c:pt idx="94">
                  <c:v>0.17723304494961287</c:v>
                </c:pt>
                <c:pt idx="95">
                  <c:v>0.17723692933194132</c:v>
                </c:pt>
                <c:pt idx="96">
                  <c:v>0.17724081371426997</c:v>
                </c:pt>
                <c:pt idx="97">
                  <c:v>0.17724469809659843</c:v>
                </c:pt>
                <c:pt idx="98">
                  <c:v>0.17724858247892689</c:v>
                </c:pt>
                <c:pt idx="99">
                  <c:v>0.17725246686125534</c:v>
                </c:pt>
                <c:pt idx="100">
                  <c:v>0.17740638551102217</c:v>
                </c:pt>
                <c:pt idx="101">
                  <c:v>0.17786037269566468</c:v>
                </c:pt>
                <c:pt idx="102">
                  <c:v>0.17786425707799419</c:v>
                </c:pt>
                <c:pt idx="103">
                  <c:v>0.17786814146032193</c:v>
                </c:pt>
                <c:pt idx="104">
                  <c:v>0.17787202584264969</c:v>
                </c:pt>
                <c:pt idx="105">
                  <c:v>0.17797593306993742</c:v>
                </c:pt>
                <c:pt idx="106">
                  <c:v>0.17787979460730699</c:v>
                </c:pt>
                <c:pt idx="107">
                  <c:v>0.1778836789896365</c:v>
                </c:pt>
                <c:pt idx="108">
                  <c:v>0.17788756337196424</c:v>
                </c:pt>
                <c:pt idx="109">
                  <c:v>0.17789144775429375</c:v>
                </c:pt>
                <c:pt idx="110">
                  <c:v>0.17789533213662154</c:v>
                </c:pt>
                <c:pt idx="111">
                  <c:v>0.17789921651894927</c:v>
                </c:pt>
                <c:pt idx="112">
                  <c:v>0.17790310090127878</c:v>
                </c:pt>
                <c:pt idx="113">
                  <c:v>0.17790698528360654</c:v>
                </c:pt>
                <c:pt idx="114">
                  <c:v>0.17791086966593606</c:v>
                </c:pt>
                <c:pt idx="115">
                  <c:v>0.17791475404826382</c:v>
                </c:pt>
                <c:pt idx="116">
                  <c:v>0.17791863843059158</c:v>
                </c:pt>
                <c:pt idx="117">
                  <c:v>0.17792252281292109</c:v>
                </c:pt>
                <c:pt idx="118">
                  <c:v>0.17792640719524883</c:v>
                </c:pt>
                <c:pt idx="119">
                  <c:v>0.17803031442253658</c:v>
                </c:pt>
                <c:pt idx="120">
                  <c:v>0.17793417595990613</c:v>
                </c:pt>
                <c:pt idx="121">
                  <c:v>0.17793806034223564</c:v>
                </c:pt>
                <c:pt idx="122">
                  <c:v>0.1779419447245634</c:v>
                </c:pt>
                <c:pt idx="123">
                  <c:v>0.17794582910689113</c:v>
                </c:pt>
                <c:pt idx="124">
                  <c:v>0.17794971348922065</c:v>
                </c:pt>
                <c:pt idx="125">
                  <c:v>0.17795359787154844</c:v>
                </c:pt>
                <c:pt idx="126">
                  <c:v>0.17795748225387795</c:v>
                </c:pt>
                <c:pt idx="127">
                  <c:v>0.17796136663620568</c:v>
                </c:pt>
                <c:pt idx="128">
                  <c:v>0.17796525101853519</c:v>
                </c:pt>
                <c:pt idx="129">
                  <c:v>0.17796913540086298</c:v>
                </c:pt>
                <c:pt idx="130">
                  <c:v>0.17797301978319072</c:v>
                </c:pt>
                <c:pt idx="131">
                  <c:v>0.17797690416552026</c:v>
                </c:pt>
                <c:pt idx="132">
                  <c:v>0.17798078854784799</c:v>
                </c:pt>
                <c:pt idx="133">
                  <c:v>0.1779846729301775</c:v>
                </c:pt>
                <c:pt idx="134">
                  <c:v>0.17808858015746346</c:v>
                </c:pt>
                <c:pt idx="135">
                  <c:v>0.1779924416948348</c:v>
                </c:pt>
                <c:pt idx="136">
                  <c:v>0.17799632607716254</c:v>
                </c:pt>
                <c:pt idx="137">
                  <c:v>0.17800021045949027</c:v>
                </c:pt>
                <c:pt idx="138">
                  <c:v>0.17800280004771057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2-4E20-842C-13E4700DA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32736"/>
        <c:axId val="202543488"/>
      </c:scatterChart>
      <c:valAx>
        <c:axId val="202532736"/>
        <c:scaling>
          <c:orientation val="minMax"/>
          <c:max val="1690"/>
          <c:min val="16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3488"/>
        <c:crosses val="autoZero"/>
        <c:crossBetween val="midCat"/>
      </c:valAx>
      <c:valAx>
        <c:axId val="202543488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2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2 Full Straggling </a:t>
            </a:r>
            <a:r>
              <a:rPr lang="el-GR" sz="2000"/>
              <a:t>Δ</a:t>
            </a:r>
            <a:r>
              <a:rPr lang="en-GB" sz="20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2 full 1 50 eV'!$E$2:$E$122</c:f>
              <c:numCache>
                <c:formatCode>0.00</c:formatCode>
                <c:ptCount val="121"/>
                <c:pt idx="0">
                  <c:v>1682</c:v>
                </c:pt>
                <c:pt idx="1">
                  <c:v>1682.05</c:v>
                </c:pt>
                <c:pt idx="2">
                  <c:v>1682.1</c:v>
                </c:pt>
                <c:pt idx="3">
                  <c:v>1682.15</c:v>
                </c:pt>
                <c:pt idx="4">
                  <c:v>1682.2</c:v>
                </c:pt>
                <c:pt idx="5">
                  <c:v>1682.25</c:v>
                </c:pt>
                <c:pt idx="6">
                  <c:v>1682.3</c:v>
                </c:pt>
                <c:pt idx="7">
                  <c:v>1682.35</c:v>
                </c:pt>
                <c:pt idx="8">
                  <c:v>1682.4</c:v>
                </c:pt>
                <c:pt idx="9">
                  <c:v>1682.45</c:v>
                </c:pt>
                <c:pt idx="10">
                  <c:v>1682.5</c:v>
                </c:pt>
                <c:pt idx="11">
                  <c:v>1682.55</c:v>
                </c:pt>
                <c:pt idx="12">
                  <c:v>1682.6</c:v>
                </c:pt>
                <c:pt idx="13">
                  <c:v>1682.65</c:v>
                </c:pt>
                <c:pt idx="14">
                  <c:v>1682.7</c:v>
                </c:pt>
                <c:pt idx="15">
                  <c:v>1682.75</c:v>
                </c:pt>
                <c:pt idx="16">
                  <c:v>1682.8</c:v>
                </c:pt>
                <c:pt idx="17">
                  <c:v>1682.85</c:v>
                </c:pt>
                <c:pt idx="18">
                  <c:v>1682.9</c:v>
                </c:pt>
                <c:pt idx="19">
                  <c:v>1682.95</c:v>
                </c:pt>
                <c:pt idx="20">
                  <c:v>1683</c:v>
                </c:pt>
                <c:pt idx="21">
                  <c:v>1683.05</c:v>
                </c:pt>
                <c:pt idx="22">
                  <c:v>1683.1</c:v>
                </c:pt>
                <c:pt idx="23">
                  <c:v>1683.15</c:v>
                </c:pt>
                <c:pt idx="24">
                  <c:v>1683.2</c:v>
                </c:pt>
                <c:pt idx="25">
                  <c:v>1683.25</c:v>
                </c:pt>
                <c:pt idx="26">
                  <c:v>1683.3</c:v>
                </c:pt>
                <c:pt idx="27">
                  <c:v>1683.35</c:v>
                </c:pt>
                <c:pt idx="28">
                  <c:v>1683.4</c:v>
                </c:pt>
                <c:pt idx="29">
                  <c:v>1683.45</c:v>
                </c:pt>
                <c:pt idx="30">
                  <c:v>1683.5</c:v>
                </c:pt>
                <c:pt idx="31">
                  <c:v>1683.55</c:v>
                </c:pt>
                <c:pt idx="32">
                  <c:v>1683.6</c:v>
                </c:pt>
                <c:pt idx="33">
                  <c:v>1683.65</c:v>
                </c:pt>
                <c:pt idx="34">
                  <c:v>1683.7</c:v>
                </c:pt>
                <c:pt idx="35">
                  <c:v>1683.75</c:v>
                </c:pt>
                <c:pt idx="36">
                  <c:v>1683.8</c:v>
                </c:pt>
                <c:pt idx="37">
                  <c:v>1683.85</c:v>
                </c:pt>
                <c:pt idx="38">
                  <c:v>1683.9</c:v>
                </c:pt>
                <c:pt idx="39">
                  <c:v>1683.95</c:v>
                </c:pt>
                <c:pt idx="40">
                  <c:v>1684</c:v>
                </c:pt>
                <c:pt idx="41">
                  <c:v>1684.05</c:v>
                </c:pt>
                <c:pt idx="42">
                  <c:v>1684.1</c:v>
                </c:pt>
                <c:pt idx="43">
                  <c:v>1684.15</c:v>
                </c:pt>
                <c:pt idx="44">
                  <c:v>1684.2</c:v>
                </c:pt>
                <c:pt idx="45">
                  <c:v>1684.25</c:v>
                </c:pt>
                <c:pt idx="46">
                  <c:v>1684.3</c:v>
                </c:pt>
                <c:pt idx="47">
                  <c:v>1684.35</c:v>
                </c:pt>
                <c:pt idx="48">
                  <c:v>1684.4</c:v>
                </c:pt>
                <c:pt idx="49">
                  <c:v>1684.45</c:v>
                </c:pt>
                <c:pt idx="50">
                  <c:v>1684.5</c:v>
                </c:pt>
                <c:pt idx="51">
                  <c:v>1684.55</c:v>
                </c:pt>
                <c:pt idx="52">
                  <c:v>1684.6</c:v>
                </c:pt>
                <c:pt idx="53">
                  <c:v>1684.65</c:v>
                </c:pt>
                <c:pt idx="54">
                  <c:v>1684.7</c:v>
                </c:pt>
                <c:pt idx="55">
                  <c:v>1684.75</c:v>
                </c:pt>
                <c:pt idx="56">
                  <c:v>1684.8</c:v>
                </c:pt>
                <c:pt idx="57">
                  <c:v>1684.85</c:v>
                </c:pt>
                <c:pt idx="58">
                  <c:v>1684.9</c:v>
                </c:pt>
                <c:pt idx="59">
                  <c:v>1684.95</c:v>
                </c:pt>
                <c:pt idx="60">
                  <c:v>1685</c:v>
                </c:pt>
                <c:pt idx="61">
                  <c:v>1685.05</c:v>
                </c:pt>
                <c:pt idx="62">
                  <c:v>1685.1</c:v>
                </c:pt>
                <c:pt idx="63">
                  <c:v>1685.15</c:v>
                </c:pt>
                <c:pt idx="64">
                  <c:v>1685.2</c:v>
                </c:pt>
                <c:pt idx="65">
                  <c:v>1685.25</c:v>
                </c:pt>
                <c:pt idx="66">
                  <c:v>1685.3</c:v>
                </c:pt>
                <c:pt idx="67">
                  <c:v>1685.35</c:v>
                </c:pt>
                <c:pt idx="68">
                  <c:v>1685.4</c:v>
                </c:pt>
                <c:pt idx="69">
                  <c:v>1685.45</c:v>
                </c:pt>
                <c:pt idx="70">
                  <c:v>1685.5</c:v>
                </c:pt>
                <c:pt idx="71">
                  <c:v>1685.55</c:v>
                </c:pt>
                <c:pt idx="72">
                  <c:v>1685.6</c:v>
                </c:pt>
                <c:pt idx="73">
                  <c:v>1685.65</c:v>
                </c:pt>
                <c:pt idx="74">
                  <c:v>1685.7</c:v>
                </c:pt>
                <c:pt idx="75">
                  <c:v>1685.75</c:v>
                </c:pt>
                <c:pt idx="76">
                  <c:v>1685.8</c:v>
                </c:pt>
                <c:pt idx="77">
                  <c:v>1685.85</c:v>
                </c:pt>
                <c:pt idx="78">
                  <c:v>1685.9</c:v>
                </c:pt>
                <c:pt idx="79">
                  <c:v>1685.95</c:v>
                </c:pt>
                <c:pt idx="80">
                  <c:v>1686</c:v>
                </c:pt>
                <c:pt idx="81">
                  <c:v>1686.05</c:v>
                </c:pt>
                <c:pt idx="82">
                  <c:v>1686.1</c:v>
                </c:pt>
                <c:pt idx="83">
                  <c:v>1686.15</c:v>
                </c:pt>
                <c:pt idx="84">
                  <c:v>1686.2</c:v>
                </c:pt>
                <c:pt idx="85">
                  <c:v>1686.25</c:v>
                </c:pt>
                <c:pt idx="86">
                  <c:v>1686.3</c:v>
                </c:pt>
                <c:pt idx="87">
                  <c:v>1686.35</c:v>
                </c:pt>
                <c:pt idx="88">
                  <c:v>1686.4</c:v>
                </c:pt>
                <c:pt idx="89">
                  <c:v>1686.45</c:v>
                </c:pt>
                <c:pt idx="90">
                  <c:v>1686.5</c:v>
                </c:pt>
                <c:pt idx="91">
                  <c:v>1686.55</c:v>
                </c:pt>
                <c:pt idx="92">
                  <c:v>1686.6</c:v>
                </c:pt>
                <c:pt idx="93">
                  <c:v>1686.65</c:v>
                </c:pt>
                <c:pt idx="94">
                  <c:v>1686.7</c:v>
                </c:pt>
                <c:pt idx="95">
                  <c:v>1686.75</c:v>
                </c:pt>
                <c:pt idx="96">
                  <c:v>1686.8</c:v>
                </c:pt>
                <c:pt idx="97">
                  <c:v>1686.85</c:v>
                </c:pt>
                <c:pt idx="98">
                  <c:v>1686.9</c:v>
                </c:pt>
                <c:pt idx="99">
                  <c:v>1686.95</c:v>
                </c:pt>
                <c:pt idx="100">
                  <c:v>1687</c:v>
                </c:pt>
                <c:pt idx="101">
                  <c:v>1687.05</c:v>
                </c:pt>
                <c:pt idx="102">
                  <c:v>1687.1</c:v>
                </c:pt>
                <c:pt idx="103">
                  <c:v>1687.15</c:v>
                </c:pt>
                <c:pt idx="104">
                  <c:v>1687.2</c:v>
                </c:pt>
                <c:pt idx="105">
                  <c:v>1687.25</c:v>
                </c:pt>
                <c:pt idx="106">
                  <c:v>1687.3</c:v>
                </c:pt>
                <c:pt idx="107">
                  <c:v>1687.35</c:v>
                </c:pt>
                <c:pt idx="108">
                  <c:v>1687.4</c:v>
                </c:pt>
                <c:pt idx="109">
                  <c:v>1687.45</c:v>
                </c:pt>
                <c:pt idx="110">
                  <c:v>1687.5</c:v>
                </c:pt>
                <c:pt idx="111">
                  <c:v>1687.55</c:v>
                </c:pt>
                <c:pt idx="112">
                  <c:v>1687.6</c:v>
                </c:pt>
                <c:pt idx="113">
                  <c:v>1687.65</c:v>
                </c:pt>
                <c:pt idx="114">
                  <c:v>1687.7</c:v>
                </c:pt>
                <c:pt idx="115">
                  <c:v>1687.75</c:v>
                </c:pt>
                <c:pt idx="116">
                  <c:v>1687.8</c:v>
                </c:pt>
                <c:pt idx="117">
                  <c:v>1687.85</c:v>
                </c:pt>
                <c:pt idx="118">
                  <c:v>1687.9</c:v>
                </c:pt>
                <c:pt idx="119">
                  <c:v>1687.95</c:v>
                </c:pt>
                <c:pt idx="120">
                  <c:v>1688</c:v>
                </c:pt>
              </c:numCache>
            </c:numRef>
          </c:xVal>
          <c:yVal>
            <c:numRef>
              <c:f>'Ex 2 full 1 50 eV'!$F$2:$F$122</c:f>
              <c:numCache>
                <c:formatCode>0.0000000000</c:formatCode>
                <c:ptCount val="121"/>
                <c:pt idx="0">
                  <c:v>2.7370939000000002E-3</c:v>
                </c:pt>
                <c:pt idx="1">
                  <c:v>3.0524591E-3</c:v>
                </c:pt>
                <c:pt idx="2">
                  <c:v>3.4754708999999999E-3</c:v>
                </c:pt>
                <c:pt idx="3">
                  <c:v>4.0102499000000003E-3</c:v>
                </c:pt>
                <c:pt idx="4">
                  <c:v>4.6990863000000004E-3</c:v>
                </c:pt>
                <c:pt idx="5">
                  <c:v>5.5869403E-3</c:v>
                </c:pt>
                <c:pt idx="6">
                  <c:v>6.7232302000000002E-3</c:v>
                </c:pt>
                <c:pt idx="7">
                  <c:v>8.1897759999999993E-3</c:v>
                </c:pt>
                <c:pt idx="8">
                  <c:v>1.0013273E-2</c:v>
                </c:pt>
                <c:pt idx="9">
                  <c:v>1.2274212E-2</c:v>
                </c:pt>
                <c:pt idx="10">
                  <c:v>1.5064162000000001E-2</c:v>
                </c:pt>
                <c:pt idx="11">
                  <c:v>1.8513373999999999E-2</c:v>
                </c:pt>
                <c:pt idx="12">
                  <c:v>2.2551112000000002E-2</c:v>
                </c:pt>
                <c:pt idx="13">
                  <c:v>2.7459839E-2</c:v>
                </c:pt>
                <c:pt idx="14">
                  <c:v>3.3179183000000001E-2</c:v>
                </c:pt>
                <c:pt idx="15">
                  <c:v>3.9814572999999999E-2</c:v>
                </c:pt>
                <c:pt idx="16">
                  <c:v>4.7403421000000001E-2</c:v>
                </c:pt>
                <c:pt idx="17">
                  <c:v>5.5631558999999997E-2</c:v>
                </c:pt>
                <c:pt idx="18">
                  <c:v>6.4110473000000001E-2</c:v>
                </c:pt>
                <c:pt idx="19">
                  <c:v>7.2848774000000005E-2</c:v>
                </c:pt>
                <c:pt idx="20">
                  <c:v>8.2017295000000004E-2</c:v>
                </c:pt>
                <c:pt idx="21">
                  <c:v>9.1680355000000005E-2</c:v>
                </c:pt>
                <c:pt idx="22">
                  <c:v>0.10195029999999999</c:v>
                </c:pt>
                <c:pt idx="23">
                  <c:v>0.1119132</c:v>
                </c:pt>
                <c:pt idx="24">
                  <c:v>0.12131079</c:v>
                </c:pt>
                <c:pt idx="25">
                  <c:v>0.13020799</c:v>
                </c:pt>
                <c:pt idx="26">
                  <c:v>0.13859434000000001</c:v>
                </c:pt>
                <c:pt idx="27">
                  <c:v>0.14634345000000001</c:v>
                </c:pt>
                <c:pt idx="28">
                  <c:v>0.15329222000000001</c:v>
                </c:pt>
                <c:pt idx="29">
                  <c:v>0.15941312999999999</c:v>
                </c:pt>
                <c:pt idx="30">
                  <c:v>0.16428645</c:v>
                </c:pt>
                <c:pt idx="31">
                  <c:v>0.16807900000000001</c:v>
                </c:pt>
                <c:pt idx="32">
                  <c:v>0.17151153</c:v>
                </c:pt>
                <c:pt idx="33">
                  <c:v>0.17441438000000001</c:v>
                </c:pt>
                <c:pt idx="34">
                  <c:v>0.17664406999999999</c:v>
                </c:pt>
                <c:pt idx="35">
                  <c:v>0.17803273</c:v>
                </c:pt>
                <c:pt idx="36">
                  <c:v>0.17852177</c:v>
                </c:pt>
                <c:pt idx="37">
                  <c:v>0.17841741</c:v>
                </c:pt>
                <c:pt idx="38">
                  <c:v>0.17827045999999999</c:v>
                </c:pt>
                <c:pt idx="39">
                  <c:v>0.17794119999999999</c:v>
                </c:pt>
                <c:pt idx="40">
                  <c:v>0.17751847000000001</c:v>
                </c:pt>
                <c:pt idx="41">
                  <c:v>0.17716961000000001</c:v>
                </c:pt>
                <c:pt idx="42">
                  <c:v>0.17672081000000001</c:v>
                </c:pt>
                <c:pt idx="43">
                  <c:v>0.17629126000000001</c:v>
                </c:pt>
                <c:pt idx="44">
                  <c:v>0.17587838</c:v>
                </c:pt>
                <c:pt idx="45">
                  <c:v>0.17552669000000001</c:v>
                </c:pt>
                <c:pt idx="46">
                  <c:v>0.17519355</c:v>
                </c:pt>
                <c:pt idx="47">
                  <c:v>0.17493705000000001</c:v>
                </c:pt>
                <c:pt idx="48">
                  <c:v>0.17473833</c:v>
                </c:pt>
                <c:pt idx="49">
                  <c:v>0.17453416999999999</c:v>
                </c:pt>
                <c:pt idx="50">
                  <c:v>0.17441699999999999</c:v>
                </c:pt>
                <c:pt idx="51">
                  <c:v>0.17426474</c:v>
                </c:pt>
                <c:pt idx="52">
                  <c:v>0.17417803000000001</c:v>
                </c:pt>
                <c:pt idx="53">
                  <c:v>0.17418742000000001</c:v>
                </c:pt>
                <c:pt idx="54">
                  <c:v>0.17412730000000001</c:v>
                </c:pt>
                <c:pt idx="55">
                  <c:v>0.17415041000000001</c:v>
                </c:pt>
                <c:pt idx="56">
                  <c:v>0.17410444999999999</c:v>
                </c:pt>
                <c:pt idx="57">
                  <c:v>0.17410967999999999</c:v>
                </c:pt>
                <c:pt idx="58">
                  <c:v>0.17416243000000001</c:v>
                </c:pt>
                <c:pt idx="59">
                  <c:v>0.17417161</c:v>
                </c:pt>
                <c:pt idx="60">
                  <c:v>0.17417605</c:v>
                </c:pt>
                <c:pt idx="61">
                  <c:v>0.1742108</c:v>
                </c:pt>
                <c:pt idx="62">
                  <c:v>0.1742484</c:v>
                </c:pt>
                <c:pt idx="63">
                  <c:v>0.17428927</c:v>
                </c:pt>
                <c:pt idx="64">
                  <c:v>0.17431190999999999</c:v>
                </c:pt>
                <c:pt idx="65">
                  <c:v>0.17434031</c:v>
                </c:pt>
                <c:pt idx="66">
                  <c:v>0.17438139</c:v>
                </c:pt>
                <c:pt idx="67">
                  <c:v>0.17442439000000001</c:v>
                </c:pt>
                <c:pt idx="68">
                  <c:v>0.17444836999999999</c:v>
                </c:pt>
                <c:pt idx="69">
                  <c:v>0.17449586</c:v>
                </c:pt>
                <c:pt idx="70">
                  <c:v>0.17452546999999999</c:v>
                </c:pt>
                <c:pt idx="71">
                  <c:v>0.17454185999999999</c:v>
                </c:pt>
                <c:pt idx="72">
                  <c:v>0.17458604</c:v>
                </c:pt>
                <c:pt idx="73">
                  <c:v>0.17460084000000001</c:v>
                </c:pt>
                <c:pt idx="74">
                  <c:v>0.17462697999999999</c:v>
                </c:pt>
                <c:pt idx="75">
                  <c:v>0.17464880999999999</c:v>
                </c:pt>
                <c:pt idx="76">
                  <c:v>0.17467329000000001</c:v>
                </c:pt>
                <c:pt idx="77">
                  <c:v>0.17470911</c:v>
                </c:pt>
                <c:pt idx="78">
                  <c:v>0.17472373999999999</c:v>
                </c:pt>
                <c:pt idx="79">
                  <c:v>0.17474824</c:v>
                </c:pt>
                <c:pt idx="80">
                  <c:v>0.17475961000000001</c:v>
                </c:pt>
                <c:pt idx="81">
                  <c:v>0.17476837000000001</c:v>
                </c:pt>
                <c:pt idx="82">
                  <c:v>0.17479033999999999</c:v>
                </c:pt>
                <c:pt idx="83">
                  <c:v>0.17480856</c:v>
                </c:pt>
                <c:pt idx="84">
                  <c:v>0.17481828999999999</c:v>
                </c:pt>
                <c:pt idx="85">
                  <c:v>0.17481959999999999</c:v>
                </c:pt>
                <c:pt idx="86">
                  <c:v>0.17482734</c:v>
                </c:pt>
                <c:pt idx="87">
                  <c:v>0.17483322000000001</c:v>
                </c:pt>
                <c:pt idx="88">
                  <c:v>0.17484568</c:v>
                </c:pt>
                <c:pt idx="89">
                  <c:v>0.17484417999999999</c:v>
                </c:pt>
                <c:pt idx="90">
                  <c:v>0.17484197000000001</c:v>
                </c:pt>
                <c:pt idx="91">
                  <c:v>0.17484533999999999</c:v>
                </c:pt>
                <c:pt idx="92">
                  <c:v>0.17483908000000001</c:v>
                </c:pt>
                <c:pt idx="93">
                  <c:v>0.17484875</c:v>
                </c:pt>
                <c:pt idx="94">
                  <c:v>0.17484986999999999</c:v>
                </c:pt>
                <c:pt idx="95">
                  <c:v>0.17483040999999999</c:v>
                </c:pt>
                <c:pt idx="96">
                  <c:v>0.17483209</c:v>
                </c:pt>
                <c:pt idx="97">
                  <c:v>0.17482545999999999</c:v>
                </c:pt>
                <c:pt idx="98">
                  <c:v>0.17482165</c:v>
                </c:pt>
                <c:pt idx="99">
                  <c:v>0.17481352</c:v>
                </c:pt>
                <c:pt idx="100">
                  <c:v>0.17481147999999999</c:v>
                </c:pt>
                <c:pt idx="101">
                  <c:v>0.17480551999999999</c:v>
                </c:pt>
                <c:pt idx="102">
                  <c:v>0.17480560000000001</c:v>
                </c:pt>
                <c:pt idx="103">
                  <c:v>0.17479285999999999</c:v>
                </c:pt>
                <c:pt idx="104">
                  <c:v>0.1747988</c:v>
                </c:pt>
                <c:pt idx="105">
                  <c:v>0.17478668999999999</c:v>
                </c:pt>
                <c:pt idx="106">
                  <c:v>0.17477672</c:v>
                </c:pt>
                <c:pt idx="107">
                  <c:v>0.17477012</c:v>
                </c:pt>
                <c:pt idx="108">
                  <c:v>0.17476311</c:v>
                </c:pt>
                <c:pt idx="109">
                  <c:v>0.17476778000000001</c:v>
                </c:pt>
                <c:pt idx="110">
                  <c:v>0.1747908</c:v>
                </c:pt>
                <c:pt idx="111">
                  <c:v>0.17477264000000001</c:v>
                </c:pt>
                <c:pt idx="112">
                  <c:v>0.17476555999999999</c:v>
                </c:pt>
                <c:pt idx="113">
                  <c:v>0.17476771999999999</c:v>
                </c:pt>
                <c:pt idx="114">
                  <c:v>0.17476082000000001</c:v>
                </c:pt>
                <c:pt idx="115">
                  <c:v>0.17476506999999999</c:v>
                </c:pt>
                <c:pt idx="116">
                  <c:v>0.17476699000000001</c:v>
                </c:pt>
                <c:pt idx="117">
                  <c:v>0.17476347</c:v>
                </c:pt>
                <c:pt idx="118">
                  <c:v>0.17476644999999999</c:v>
                </c:pt>
                <c:pt idx="119">
                  <c:v>0.17478518000000001</c:v>
                </c:pt>
                <c:pt idx="120">
                  <c:v>0.17478136999999999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79-4E31-AF1A-38B8CB825A7D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2 full 1 50 eV'!$H$2:$H$142</c:f>
              <c:numCache>
                <c:formatCode>General</c:formatCode>
                <c:ptCount val="141"/>
                <c:pt idx="0">
                  <c:v>1681</c:v>
                </c:pt>
                <c:pt idx="1">
                  <c:v>1681.05</c:v>
                </c:pt>
                <c:pt idx="2">
                  <c:v>1681.1</c:v>
                </c:pt>
                <c:pt idx="3">
                  <c:v>1681.15</c:v>
                </c:pt>
                <c:pt idx="4">
                  <c:v>1681.2</c:v>
                </c:pt>
                <c:pt idx="5">
                  <c:v>1681.25</c:v>
                </c:pt>
                <c:pt idx="6">
                  <c:v>1681.3</c:v>
                </c:pt>
                <c:pt idx="7">
                  <c:v>1681.35</c:v>
                </c:pt>
                <c:pt idx="8">
                  <c:v>1681.4</c:v>
                </c:pt>
                <c:pt idx="9">
                  <c:v>1681.45</c:v>
                </c:pt>
                <c:pt idx="10">
                  <c:v>1681.5</c:v>
                </c:pt>
                <c:pt idx="11">
                  <c:v>1681.55</c:v>
                </c:pt>
                <c:pt idx="12">
                  <c:v>1681.6</c:v>
                </c:pt>
                <c:pt idx="13">
                  <c:v>1681.65</c:v>
                </c:pt>
                <c:pt idx="14">
                  <c:v>1681.7</c:v>
                </c:pt>
                <c:pt idx="15">
                  <c:v>1681.75</c:v>
                </c:pt>
                <c:pt idx="16">
                  <c:v>1681.8</c:v>
                </c:pt>
                <c:pt idx="17">
                  <c:v>1681.85</c:v>
                </c:pt>
                <c:pt idx="18">
                  <c:v>1681.9</c:v>
                </c:pt>
                <c:pt idx="19">
                  <c:v>1681.95</c:v>
                </c:pt>
                <c:pt idx="20">
                  <c:v>1682</c:v>
                </c:pt>
                <c:pt idx="21">
                  <c:v>1682.05</c:v>
                </c:pt>
                <c:pt idx="22">
                  <c:v>1682.1</c:v>
                </c:pt>
                <c:pt idx="23">
                  <c:v>1682.15</c:v>
                </c:pt>
                <c:pt idx="24">
                  <c:v>1682.2</c:v>
                </c:pt>
                <c:pt idx="25">
                  <c:v>1682.25</c:v>
                </c:pt>
                <c:pt idx="26">
                  <c:v>1682.3</c:v>
                </c:pt>
                <c:pt idx="27">
                  <c:v>1682.35</c:v>
                </c:pt>
                <c:pt idx="28">
                  <c:v>1682.4</c:v>
                </c:pt>
                <c:pt idx="29">
                  <c:v>1682.45</c:v>
                </c:pt>
                <c:pt idx="30">
                  <c:v>1682.5</c:v>
                </c:pt>
                <c:pt idx="31">
                  <c:v>1682.55</c:v>
                </c:pt>
                <c:pt idx="32">
                  <c:v>1682.6</c:v>
                </c:pt>
                <c:pt idx="33">
                  <c:v>1682.65</c:v>
                </c:pt>
                <c:pt idx="34">
                  <c:v>1682.7</c:v>
                </c:pt>
                <c:pt idx="35">
                  <c:v>1682.75</c:v>
                </c:pt>
                <c:pt idx="36">
                  <c:v>1682.8</c:v>
                </c:pt>
                <c:pt idx="37">
                  <c:v>1682.85</c:v>
                </c:pt>
                <c:pt idx="38">
                  <c:v>1682.9</c:v>
                </c:pt>
                <c:pt idx="39">
                  <c:v>1682.95</c:v>
                </c:pt>
                <c:pt idx="40">
                  <c:v>1683</c:v>
                </c:pt>
                <c:pt idx="41">
                  <c:v>1683.05</c:v>
                </c:pt>
                <c:pt idx="42">
                  <c:v>1683.1</c:v>
                </c:pt>
                <c:pt idx="43">
                  <c:v>1683.15</c:v>
                </c:pt>
                <c:pt idx="44">
                  <c:v>1683.2</c:v>
                </c:pt>
                <c:pt idx="45">
                  <c:v>1683.25</c:v>
                </c:pt>
                <c:pt idx="46">
                  <c:v>1683.3</c:v>
                </c:pt>
                <c:pt idx="47">
                  <c:v>1683.35</c:v>
                </c:pt>
                <c:pt idx="48">
                  <c:v>1683.4</c:v>
                </c:pt>
                <c:pt idx="49">
                  <c:v>1683.45</c:v>
                </c:pt>
                <c:pt idx="50">
                  <c:v>1683.5</c:v>
                </c:pt>
                <c:pt idx="51">
                  <c:v>1683.55</c:v>
                </c:pt>
                <c:pt idx="52">
                  <c:v>1683.6</c:v>
                </c:pt>
                <c:pt idx="53">
                  <c:v>1683.65</c:v>
                </c:pt>
                <c:pt idx="54">
                  <c:v>1683.7</c:v>
                </c:pt>
                <c:pt idx="55">
                  <c:v>1683.75</c:v>
                </c:pt>
                <c:pt idx="56">
                  <c:v>1683.8</c:v>
                </c:pt>
                <c:pt idx="57">
                  <c:v>1683.85</c:v>
                </c:pt>
                <c:pt idx="58">
                  <c:v>1683.9</c:v>
                </c:pt>
                <c:pt idx="59">
                  <c:v>1683.95</c:v>
                </c:pt>
                <c:pt idx="60">
                  <c:v>1684</c:v>
                </c:pt>
                <c:pt idx="61">
                  <c:v>1684.05</c:v>
                </c:pt>
                <c:pt idx="62">
                  <c:v>1684.1</c:v>
                </c:pt>
                <c:pt idx="63">
                  <c:v>1684.15</c:v>
                </c:pt>
                <c:pt idx="64">
                  <c:v>1684.2</c:v>
                </c:pt>
                <c:pt idx="65">
                  <c:v>1684.25</c:v>
                </c:pt>
                <c:pt idx="66">
                  <c:v>1684.3</c:v>
                </c:pt>
                <c:pt idx="67">
                  <c:v>1684.35</c:v>
                </c:pt>
                <c:pt idx="68">
                  <c:v>1684.4</c:v>
                </c:pt>
                <c:pt idx="69">
                  <c:v>1684.45</c:v>
                </c:pt>
                <c:pt idx="70">
                  <c:v>1684.5</c:v>
                </c:pt>
                <c:pt idx="71">
                  <c:v>1684.55</c:v>
                </c:pt>
                <c:pt idx="72">
                  <c:v>1684.6</c:v>
                </c:pt>
                <c:pt idx="73">
                  <c:v>1684.65</c:v>
                </c:pt>
                <c:pt idx="74">
                  <c:v>1684.7</c:v>
                </c:pt>
                <c:pt idx="75">
                  <c:v>1684.75</c:v>
                </c:pt>
                <c:pt idx="76">
                  <c:v>1684.8</c:v>
                </c:pt>
                <c:pt idx="77">
                  <c:v>1684.85</c:v>
                </c:pt>
                <c:pt idx="78">
                  <c:v>1684.9</c:v>
                </c:pt>
                <c:pt idx="79">
                  <c:v>1684.95</c:v>
                </c:pt>
                <c:pt idx="80">
                  <c:v>1685</c:v>
                </c:pt>
                <c:pt idx="81">
                  <c:v>1685.05</c:v>
                </c:pt>
                <c:pt idx="82">
                  <c:v>1685.1</c:v>
                </c:pt>
                <c:pt idx="83">
                  <c:v>1685.15</c:v>
                </c:pt>
                <c:pt idx="84">
                  <c:v>1685.2</c:v>
                </c:pt>
                <c:pt idx="85">
                  <c:v>1685.25</c:v>
                </c:pt>
                <c:pt idx="86">
                  <c:v>1685.3</c:v>
                </c:pt>
                <c:pt idx="87">
                  <c:v>1685.35</c:v>
                </c:pt>
                <c:pt idx="88">
                  <c:v>1685.4</c:v>
                </c:pt>
                <c:pt idx="89">
                  <c:v>1685.45</c:v>
                </c:pt>
                <c:pt idx="90">
                  <c:v>1685.5</c:v>
                </c:pt>
                <c:pt idx="91">
                  <c:v>1685.55</c:v>
                </c:pt>
                <c:pt idx="92">
                  <c:v>1685.6</c:v>
                </c:pt>
                <c:pt idx="93">
                  <c:v>1685.65</c:v>
                </c:pt>
                <c:pt idx="94">
                  <c:v>1685.7</c:v>
                </c:pt>
                <c:pt idx="95">
                  <c:v>1685.75</c:v>
                </c:pt>
                <c:pt idx="96">
                  <c:v>1685.8</c:v>
                </c:pt>
                <c:pt idx="97">
                  <c:v>1685.85</c:v>
                </c:pt>
                <c:pt idx="98">
                  <c:v>1685.9</c:v>
                </c:pt>
                <c:pt idx="99">
                  <c:v>1685.95</c:v>
                </c:pt>
                <c:pt idx="100">
                  <c:v>1686</c:v>
                </c:pt>
                <c:pt idx="101">
                  <c:v>1686.05</c:v>
                </c:pt>
                <c:pt idx="102">
                  <c:v>1686.1</c:v>
                </c:pt>
                <c:pt idx="103">
                  <c:v>1686.15</c:v>
                </c:pt>
                <c:pt idx="104">
                  <c:v>1686.2</c:v>
                </c:pt>
                <c:pt idx="105">
                  <c:v>1686.25</c:v>
                </c:pt>
                <c:pt idx="106">
                  <c:v>1686.3</c:v>
                </c:pt>
                <c:pt idx="107">
                  <c:v>1686.35</c:v>
                </c:pt>
                <c:pt idx="108">
                  <c:v>1686.4</c:v>
                </c:pt>
                <c:pt idx="109">
                  <c:v>1686.45</c:v>
                </c:pt>
                <c:pt idx="110">
                  <c:v>1686.5</c:v>
                </c:pt>
                <c:pt idx="111">
                  <c:v>1686.55</c:v>
                </c:pt>
                <c:pt idx="112">
                  <c:v>1686.6</c:v>
                </c:pt>
                <c:pt idx="113">
                  <c:v>1686.65</c:v>
                </c:pt>
                <c:pt idx="114">
                  <c:v>1686.7</c:v>
                </c:pt>
                <c:pt idx="115">
                  <c:v>1686.75</c:v>
                </c:pt>
                <c:pt idx="116">
                  <c:v>1686.8</c:v>
                </c:pt>
                <c:pt idx="117">
                  <c:v>1686.85</c:v>
                </c:pt>
                <c:pt idx="118">
                  <c:v>1686.9</c:v>
                </c:pt>
                <c:pt idx="119">
                  <c:v>1686.95</c:v>
                </c:pt>
                <c:pt idx="120">
                  <c:v>1687</c:v>
                </c:pt>
                <c:pt idx="121">
                  <c:v>1687.05</c:v>
                </c:pt>
                <c:pt idx="122">
                  <c:v>1687.1</c:v>
                </c:pt>
                <c:pt idx="123">
                  <c:v>1687.15</c:v>
                </c:pt>
                <c:pt idx="124">
                  <c:v>1687.2</c:v>
                </c:pt>
                <c:pt idx="125">
                  <c:v>1687.25</c:v>
                </c:pt>
                <c:pt idx="126">
                  <c:v>1687.3</c:v>
                </c:pt>
                <c:pt idx="127">
                  <c:v>1687.35</c:v>
                </c:pt>
                <c:pt idx="128">
                  <c:v>1687.4</c:v>
                </c:pt>
                <c:pt idx="129">
                  <c:v>1687.45</c:v>
                </c:pt>
                <c:pt idx="130">
                  <c:v>1687.5</c:v>
                </c:pt>
                <c:pt idx="131">
                  <c:v>1687.55</c:v>
                </c:pt>
                <c:pt idx="132">
                  <c:v>1687.6</c:v>
                </c:pt>
                <c:pt idx="133">
                  <c:v>1687.65</c:v>
                </c:pt>
                <c:pt idx="134">
                  <c:v>1687.7</c:v>
                </c:pt>
                <c:pt idx="135">
                  <c:v>1687.75</c:v>
                </c:pt>
                <c:pt idx="136">
                  <c:v>1687.8</c:v>
                </c:pt>
                <c:pt idx="137">
                  <c:v>1687.85</c:v>
                </c:pt>
                <c:pt idx="138">
                  <c:v>1687.9</c:v>
                </c:pt>
                <c:pt idx="139">
                  <c:v>1687.95</c:v>
                </c:pt>
                <c:pt idx="140">
                  <c:v>1688</c:v>
                </c:pt>
              </c:numCache>
            </c:numRef>
          </c:xVal>
          <c:yVal>
            <c:numRef>
              <c:f>'Ex 2 full 1 50 eV'!$I$2:$I$142</c:f>
              <c:numCache>
                <c:formatCode>0.00000000000000</c:formatCode>
                <c:ptCount val="141"/>
                <c:pt idx="0">
                  <c:v>4.1187765270390498E-4</c:v>
                </c:pt>
                <c:pt idx="1">
                  <c:v>4.3074033196855398E-4</c:v>
                </c:pt>
                <c:pt idx="2">
                  <c:v>4.5055863084544402E-4</c:v>
                </c:pt>
                <c:pt idx="3">
                  <c:v>4.7140553351383401E-4</c:v>
                </c:pt>
                <c:pt idx="4">
                  <c:v>4.9336194875331603E-4</c:v>
                </c:pt>
                <c:pt idx="5">
                  <c:v>5.1652777517824898E-4</c:v>
                </c:pt>
                <c:pt idx="6">
                  <c:v>5.4102320001088E-4</c:v>
                </c:pt>
                <c:pt idx="7">
                  <c:v>5.6698563852130505E-4</c:v>
                </c:pt>
                <c:pt idx="8">
                  <c:v>5.9457497653654396E-4</c:v>
                </c:pt>
                <c:pt idx="9">
                  <c:v>6.2398095500473805E-4</c:v>
                </c:pt>
                <c:pt idx="10">
                  <c:v>6.5543784974748302E-4</c:v>
                </c:pt>
                <c:pt idx="11">
                  <c:v>6.8925554921889102E-4</c:v>
                </c:pt>
                <c:pt idx="12">
                  <c:v>7.2590323741042397E-4</c:v>
                </c:pt>
                <c:pt idx="13">
                  <c:v>7.6626189671175299E-4</c:v>
                </c:pt>
                <c:pt idx="14">
                  <c:v>8.1164041822081299E-4</c:v>
                </c:pt>
                <c:pt idx="15">
                  <c:v>8.6210559817467196E-4</c:v>
                </c:pt>
                <c:pt idx="16">
                  <c:v>9.1841091787617701E-4</c:v>
                </c:pt>
                <c:pt idx="17">
                  <c:v>9.82375599448107E-4</c:v>
                </c:pt>
                <c:pt idx="18">
                  <c:v>1.05625295540058E-3</c:v>
                </c:pt>
                <c:pt idx="19">
                  <c:v>1.14296184060807E-3</c:v>
                </c:pt>
                <c:pt idx="20">
                  <c:v>1.2466904743202601E-3</c:v>
                </c:pt>
                <c:pt idx="21">
                  <c:v>1.37316725711931E-3</c:v>
                </c:pt>
                <c:pt idx="22">
                  <c:v>1.5271416087962E-3</c:v>
                </c:pt>
                <c:pt idx="23">
                  <c:v>1.7152062632417599E-3</c:v>
                </c:pt>
                <c:pt idx="24">
                  <c:v>1.94689789809544E-3</c:v>
                </c:pt>
                <c:pt idx="25">
                  <c:v>2.2336251920829298E-3</c:v>
                </c:pt>
                <c:pt idx="26">
                  <c:v>2.5888278990825199E-3</c:v>
                </c:pt>
                <c:pt idx="27">
                  <c:v>3.02821109518344E-3</c:v>
                </c:pt>
                <c:pt idx="28">
                  <c:v>3.5697768471184602E-3</c:v>
                </c:pt>
                <c:pt idx="29">
                  <c:v>4.2336417253289599E-3</c:v>
                </c:pt>
                <c:pt idx="30">
                  <c:v>5.0417868961885404E-3</c:v>
                </c:pt>
                <c:pt idx="31">
                  <c:v>6.0185577444321799E-3</c:v>
                </c:pt>
                <c:pt idx="32">
                  <c:v>7.18972903871284E-3</c:v>
                </c:pt>
                <c:pt idx="33">
                  <c:v>8.57843637832785E-3</c:v>
                </c:pt>
                <c:pt idx="34">
                  <c:v>1.02053394552331E-2</c:v>
                </c:pt>
                <c:pt idx="35">
                  <c:v>1.20894125217474E-2</c:v>
                </c:pt>
                <c:pt idx="36">
                  <c:v>1.42458242635765E-2</c:v>
                </c:pt>
                <c:pt idx="37">
                  <c:v>1.6683718398283202E-2</c:v>
                </c:pt>
                <c:pt idx="38">
                  <c:v>1.9403935639706601E-2</c:v>
                </c:pt>
                <c:pt idx="39">
                  <c:v>2.2398823940408701E-2</c:v>
                </c:pt>
                <c:pt idx="40">
                  <c:v>2.5651520453456901E-2</c:v>
                </c:pt>
                <c:pt idx="41">
                  <c:v>2.9135408078239899E-2</c:v>
                </c:pt>
                <c:pt idx="42">
                  <c:v>3.2813853723179499E-2</c:v>
                </c:pt>
                <c:pt idx="43">
                  <c:v>3.6640335096916297E-2</c:v>
                </c:pt>
                <c:pt idx="44">
                  <c:v>4.0560033988983099E-2</c:v>
                </c:pt>
                <c:pt idx="45">
                  <c:v>4.4510866701976702E-2</c:v>
                </c:pt>
                <c:pt idx="46">
                  <c:v>4.8423759329372998E-2</c:v>
                </c:pt>
                <c:pt idx="47">
                  <c:v>5.22294116113136E-2</c:v>
                </c:pt>
                <c:pt idx="48">
                  <c:v>5.5868402655866699E-2</c:v>
                </c:pt>
                <c:pt idx="49">
                  <c:v>5.92853054890412E-2</c:v>
                </c:pt>
                <c:pt idx="50">
                  <c:v>6.2433647031302698E-2</c:v>
                </c:pt>
                <c:pt idx="51">
                  <c:v>6.5307450008981402E-2</c:v>
                </c:pt>
                <c:pt idx="52">
                  <c:v>6.79506937874121E-2</c:v>
                </c:pt>
                <c:pt idx="53">
                  <c:v>7.0391089436849102E-2</c:v>
                </c:pt>
                <c:pt idx="54">
                  <c:v>7.2623258985133499E-2</c:v>
                </c:pt>
                <c:pt idx="55">
                  <c:v>7.46291302177476E-2</c:v>
                </c:pt>
                <c:pt idx="56">
                  <c:v>7.6404429357829304E-2</c:v>
                </c:pt>
                <c:pt idx="57">
                  <c:v>7.7986326670756598E-2</c:v>
                </c:pt>
                <c:pt idx="58">
                  <c:v>7.9375282276280407E-2</c:v>
                </c:pt>
                <c:pt idx="59">
                  <c:v>8.0486985957197194E-2</c:v>
                </c:pt>
                <c:pt idx="60">
                  <c:v>8.12647689611702E-2</c:v>
                </c:pt>
                <c:pt idx="61">
                  <c:v>8.1805221676110304E-2</c:v>
                </c:pt>
                <c:pt idx="62">
                  <c:v>8.2402741617606898E-2</c:v>
                </c:pt>
                <c:pt idx="63">
                  <c:v>8.3347104539093997E-2</c:v>
                </c:pt>
                <c:pt idx="64">
                  <c:v>8.4656363881362898E-2</c:v>
                </c:pt>
                <c:pt idx="65">
                  <c:v>8.6452022868604705E-2</c:v>
                </c:pt>
                <c:pt idx="66">
                  <c:v>8.9202475305687007E-2</c:v>
                </c:pt>
                <c:pt idx="67">
                  <c:v>9.2478814308673996E-2</c:v>
                </c:pt>
                <c:pt idx="68">
                  <c:v>9.4917820382420595E-2</c:v>
                </c:pt>
                <c:pt idx="69">
                  <c:v>9.6855670973731406E-2</c:v>
                </c:pt>
                <c:pt idx="70">
                  <c:v>9.9317199260597802E-2</c:v>
                </c:pt>
                <c:pt idx="71">
                  <c:v>0.10256505902839801</c:v>
                </c:pt>
                <c:pt idx="72">
                  <c:v>0.106096334980992</c:v>
                </c:pt>
                <c:pt idx="73">
                  <c:v>0.108994574376419</c:v>
                </c:pt>
                <c:pt idx="74">
                  <c:v>0.110615215748594</c:v>
                </c:pt>
                <c:pt idx="75">
                  <c:v>0.11130014905684001</c:v>
                </c:pt>
                <c:pt idx="76">
                  <c:v>0.111902566925314</c:v>
                </c:pt>
                <c:pt idx="77">
                  <c:v>0.112927229712301</c:v>
                </c:pt>
                <c:pt idx="78">
                  <c:v>0.114546797468665</c:v>
                </c:pt>
                <c:pt idx="79">
                  <c:v>0.116707211869399</c:v>
                </c:pt>
                <c:pt idx="80">
                  <c:v>0.11916302112659</c:v>
                </c:pt>
                <c:pt idx="81">
                  <c:v>0.12152858081347299</c:v>
                </c:pt>
                <c:pt idx="82">
                  <c:v>0.123394966068513</c:v>
                </c:pt>
                <c:pt idx="83">
                  <c:v>0.12452257962673299</c:v>
                </c:pt>
                <c:pt idx="84">
                  <c:v>0.125069717455848</c:v>
                </c:pt>
                <c:pt idx="85">
                  <c:v>0.12553038338351899</c:v>
                </c:pt>
                <c:pt idx="86">
                  <c:v>0.12623960683500299</c:v>
                </c:pt>
                <c:pt idx="87">
                  <c:v>0.12730470662820101</c:v>
                </c:pt>
                <c:pt idx="88">
                  <c:v>0.128701817562445</c:v>
                </c:pt>
                <c:pt idx="89">
                  <c:v>0.12960489648446999</c:v>
                </c:pt>
                <c:pt idx="90">
                  <c:v>0.13111390491025901</c:v>
                </c:pt>
                <c:pt idx="91">
                  <c:v>0.132499876253731</c:v>
                </c:pt>
                <c:pt idx="92">
                  <c:v>0.13364259657313499</c:v>
                </c:pt>
                <c:pt idx="93">
                  <c:v>0.13455200905623599</c:v>
                </c:pt>
                <c:pt idx="94">
                  <c:v>0.13541300167102999</c:v>
                </c:pt>
                <c:pt idx="95">
                  <c:v>0.13638396838504899</c:v>
                </c:pt>
                <c:pt idx="96">
                  <c:v>0.13748539021223</c:v>
                </c:pt>
                <c:pt idx="97">
                  <c:v>0.14056154669019699</c:v>
                </c:pt>
                <c:pt idx="98">
                  <c:v>0.14177601600166301</c:v>
                </c:pt>
                <c:pt idx="99">
                  <c:v>0.142950378132217</c:v>
                </c:pt>
                <c:pt idx="100">
                  <c:v>0.144082498113179</c:v>
                </c:pt>
                <c:pt idx="101">
                  <c:v>0.14517159463477899</c:v>
                </c:pt>
                <c:pt idx="102">
                  <c:v>0.14621855763441299</c:v>
                </c:pt>
                <c:pt idx="103">
                  <c:v>0.14722454590908701</c:v>
                </c:pt>
                <c:pt idx="104">
                  <c:v>0.148190696123216</c:v>
                </c:pt>
                <c:pt idx="105">
                  <c:v>0.149118420818036</c:v>
                </c:pt>
                <c:pt idx="106">
                  <c:v>0.15272762894296099</c:v>
                </c:pt>
                <c:pt idx="107">
                  <c:v>0.153060049365847</c:v>
                </c:pt>
                <c:pt idx="108">
                  <c:v>0.15369395779698899</c:v>
                </c:pt>
                <c:pt idx="109">
                  <c:v>0.15430478037731801</c:v>
                </c:pt>
                <c:pt idx="110">
                  <c:v>0.154893562746582</c:v>
                </c:pt>
                <c:pt idx="111">
                  <c:v>0.155461420515138</c:v>
                </c:pt>
                <c:pt idx="112">
                  <c:v>0.156008784031645</c:v>
                </c:pt>
                <c:pt idx="113">
                  <c:v>0.156536633051612</c:v>
                </c:pt>
                <c:pt idx="114">
                  <c:v>0.15704517656099001</c:v>
                </c:pt>
                <c:pt idx="115">
                  <c:v>0.15753543964263</c:v>
                </c:pt>
                <c:pt idx="116">
                  <c:v>0.158008457493023</c:v>
                </c:pt>
                <c:pt idx="117">
                  <c:v>0.15846442563505</c:v>
                </c:pt>
                <c:pt idx="118">
                  <c:v>0.15890416879956001</c:v>
                </c:pt>
                <c:pt idx="119">
                  <c:v>0.15932806358183699</c:v>
                </c:pt>
                <c:pt idx="120">
                  <c:v>0.159737121060293</c:v>
                </c:pt>
                <c:pt idx="121">
                  <c:v>0.16013152854176299</c:v>
                </c:pt>
                <c:pt idx="122">
                  <c:v>0.16051203662985999</c:v>
                </c:pt>
                <c:pt idx="123">
                  <c:v>0.160879167393054</c:v>
                </c:pt>
                <c:pt idx="124">
                  <c:v>0.16123329333070399</c:v>
                </c:pt>
                <c:pt idx="125">
                  <c:v>0.16157524331342599</c:v>
                </c:pt>
                <c:pt idx="126">
                  <c:v>0.16190524181600299</c:v>
                </c:pt>
                <c:pt idx="127">
                  <c:v>0.16222381421934901</c:v>
                </c:pt>
                <c:pt idx="128">
                  <c:v>0.162531421190207</c:v>
                </c:pt>
                <c:pt idx="129">
                  <c:v>0.16282851807079499</c:v>
                </c:pt>
                <c:pt idx="130">
                  <c:v>0.16311548281416999</c:v>
                </c:pt>
                <c:pt idx="131">
                  <c:v>0.16339280264216199</c:v>
                </c:pt>
                <c:pt idx="132">
                  <c:v>0.163660832538811</c:v>
                </c:pt>
                <c:pt idx="133">
                  <c:v>0.16391980479892501</c:v>
                </c:pt>
                <c:pt idx="134">
                  <c:v>0.164170283861268</c:v>
                </c:pt>
                <c:pt idx="135">
                  <c:v>0.16441242250212099</c:v>
                </c:pt>
                <c:pt idx="136">
                  <c:v>0.16464673416521</c:v>
                </c:pt>
                <c:pt idx="137">
                  <c:v>0.164873523917342</c:v>
                </c:pt>
                <c:pt idx="138">
                  <c:v>0.16509296230032999</c:v>
                </c:pt>
                <c:pt idx="139">
                  <c:v>0.16530548278935001</c:v>
                </c:pt>
                <c:pt idx="140">
                  <c:v>0.16551129516947299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79-4E31-AF1A-38B8CB825A7D}"/>
            </c:ext>
          </c:extLst>
        </c:ser>
        <c:ser>
          <c:idx val="2"/>
          <c:order val="2"/>
          <c:tx>
            <c:v>SPACES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2 full 1 50 eV'!$A$2:$A$140</c:f>
              <c:numCache>
                <c:formatCode>General</c:formatCode>
                <c:ptCount val="139"/>
                <c:pt idx="0">
                  <c:v>1681.3582986592601</c:v>
                </c:pt>
                <c:pt idx="1">
                  <c:v>1681.4267221451601</c:v>
                </c:pt>
                <c:pt idx="2">
                  <c:v>1681.49514563106</c:v>
                </c:pt>
                <c:pt idx="3">
                  <c:v>1681.56356911696</c:v>
                </c:pt>
                <c:pt idx="4">
                  <c:v>1681.63199260286</c:v>
                </c:pt>
                <c:pt idx="5">
                  <c:v>1681.70041608876</c:v>
                </c:pt>
                <c:pt idx="6">
                  <c:v>1681.76883957466</c:v>
                </c:pt>
                <c:pt idx="7">
                  <c:v>1681.83726306056</c:v>
                </c:pt>
                <c:pt idx="8">
                  <c:v>1681.9056865464599</c:v>
                </c:pt>
                <c:pt idx="9">
                  <c:v>1681.9741100323599</c:v>
                </c:pt>
                <c:pt idx="10">
                  <c:v>1682.0425335182599</c:v>
                </c:pt>
                <c:pt idx="11">
                  <c:v>1682.1109570041599</c:v>
                </c:pt>
                <c:pt idx="12">
                  <c:v>1682.1793804900601</c:v>
                </c:pt>
                <c:pt idx="13">
                  <c:v>1682.2478039759501</c:v>
                </c:pt>
                <c:pt idx="14">
                  <c:v>1682.3162274618501</c:v>
                </c:pt>
                <c:pt idx="15">
                  <c:v>1682.3846509477501</c:v>
                </c:pt>
                <c:pt idx="16">
                  <c:v>1682.45307443365</c:v>
                </c:pt>
                <c:pt idx="17">
                  <c:v>1682.51579596239</c:v>
                </c:pt>
                <c:pt idx="18">
                  <c:v>1682.56711357682</c:v>
                </c:pt>
                <c:pt idx="19">
                  <c:v>1682.61272923408</c:v>
                </c:pt>
                <c:pt idx="20">
                  <c:v>1682.65834489135</c:v>
                </c:pt>
                <c:pt idx="21">
                  <c:v>1682.69825859146</c:v>
                </c:pt>
                <c:pt idx="22">
                  <c:v>1682.73247033441</c:v>
                </c:pt>
                <c:pt idx="23">
                  <c:v>1682.76668207736</c:v>
                </c:pt>
                <c:pt idx="24">
                  <c:v>1682.80089382031</c:v>
                </c:pt>
                <c:pt idx="25">
                  <c:v>1682.83510556326</c:v>
                </c:pt>
                <c:pt idx="26">
                  <c:v>1682.86931730621</c:v>
                </c:pt>
                <c:pt idx="27">
                  <c:v>1682.9035290491599</c:v>
                </c:pt>
                <c:pt idx="28">
                  <c:v>1682.9320388349499</c:v>
                </c:pt>
                <c:pt idx="29">
                  <c:v>1682.9605486207399</c:v>
                </c:pt>
                <c:pt idx="30">
                  <c:v>1682.9890584065299</c:v>
                </c:pt>
                <c:pt idx="31">
                  <c:v>1683.0118662351599</c:v>
                </c:pt>
                <c:pt idx="32">
                  <c:v>1683.0346740637999</c:v>
                </c:pt>
                <c:pt idx="33">
                  <c:v>1683.0574818924299</c:v>
                </c:pt>
                <c:pt idx="34">
                  <c:v>1683.0802897210599</c:v>
                </c:pt>
                <c:pt idx="35">
                  <c:v>1683.1030975496899</c:v>
                </c:pt>
                <c:pt idx="36">
                  <c:v>1683.1259053783299</c:v>
                </c:pt>
                <c:pt idx="37">
                  <c:v>1683.1487132069601</c:v>
                </c:pt>
                <c:pt idx="38">
                  <c:v>1683.1715210355901</c:v>
                </c:pt>
                <c:pt idx="39">
                  <c:v>1683.1943288642301</c:v>
                </c:pt>
                <c:pt idx="40">
                  <c:v>1683.2171366928601</c:v>
                </c:pt>
                <c:pt idx="41">
                  <c:v>1683.2399445214901</c:v>
                </c:pt>
                <c:pt idx="42">
                  <c:v>1683.2627523501301</c:v>
                </c:pt>
                <c:pt idx="43">
                  <c:v>1683.2855601787601</c:v>
                </c:pt>
                <c:pt idx="44">
                  <c:v>1683.3083680073901</c:v>
                </c:pt>
                <c:pt idx="45">
                  <c:v>1683.3311758360301</c:v>
                </c:pt>
                <c:pt idx="46">
                  <c:v>1683.3539836646601</c:v>
                </c:pt>
                <c:pt idx="47">
                  <c:v>1683.3767914932901</c:v>
                </c:pt>
                <c:pt idx="48">
                  <c:v>1683.39959932192</c:v>
                </c:pt>
                <c:pt idx="49">
                  <c:v>1683.42810910772</c:v>
                </c:pt>
                <c:pt idx="50">
                  <c:v>1683.46232085067</c:v>
                </c:pt>
                <c:pt idx="51">
                  <c:v>1683.49653259362</c:v>
                </c:pt>
                <c:pt idx="52">
                  <c:v>1683.53074433656</c:v>
                </c:pt>
                <c:pt idx="53">
                  <c:v>1683.56495607951</c:v>
                </c:pt>
                <c:pt idx="54">
                  <c:v>1683.60486977962</c:v>
                </c:pt>
                <c:pt idx="55">
                  <c:v>1683.65048543689</c:v>
                </c:pt>
                <c:pt idx="56">
                  <c:v>1683.69610109415</c:v>
                </c:pt>
                <c:pt idx="57">
                  <c:v>1683.74171675142</c:v>
                </c:pt>
                <c:pt idx="58">
                  <c:v>1683.798736323</c:v>
                </c:pt>
                <c:pt idx="59">
                  <c:v>1683.8671598088999</c:v>
                </c:pt>
                <c:pt idx="60">
                  <c:v>1683.9355832947999</c:v>
                </c:pt>
                <c:pt idx="61">
                  <c:v>1684.0040067806999</c:v>
                </c:pt>
                <c:pt idx="62">
                  <c:v>1684.0724302665999</c:v>
                </c:pt>
                <c:pt idx="63">
                  <c:v>1684.1408537525001</c:v>
                </c:pt>
                <c:pt idx="64">
                  <c:v>1684.2092772384001</c:v>
                </c:pt>
                <c:pt idx="65">
                  <c:v>1684.2777007243001</c:v>
                </c:pt>
                <c:pt idx="66">
                  <c:v>1684.3461242102001</c:v>
                </c:pt>
                <c:pt idx="67">
                  <c:v>1684.4145476961</c:v>
                </c:pt>
                <c:pt idx="68">
                  <c:v>1684.482971182</c:v>
                </c:pt>
                <c:pt idx="69">
                  <c:v>1684.55139466789</c:v>
                </c:pt>
                <c:pt idx="70">
                  <c:v>1684.61981815379</c:v>
                </c:pt>
                <c:pt idx="71">
                  <c:v>1684.68824163969</c:v>
                </c:pt>
                <c:pt idx="72">
                  <c:v>1684.75666512559</c:v>
                </c:pt>
                <c:pt idx="73">
                  <c:v>1684.8250886114899</c:v>
                </c:pt>
                <c:pt idx="74">
                  <c:v>1684.8935120973899</c:v>
                </c:pt>
                <c:pt idx="75">
                  <c:v>1684.9619355832899</c:v>
                </c:pt>
                <c:pt idx="76">
                  <c:v>1685.0303590691899</c:v>
                </c:pt>
                <c:pt idx="77">
                  <c:v>1685.0987825550901</c:v>
                </c:pt>
                <c:pt idx="78">
                  <c:v>1685.1672060409901</c:v>
                </c:pt>
                <c:pt idx="79">
                  <c:v>1685.2356295268901</c:v>
                </c:pt>
                <c:pt idx="80">
                  <c:v>1685.3040530127901</c:v>
                </c:pt>
                <c:pt idx="81">
                  <c:v>1685.37247649869</c:v>
                </c:pt>
                <c:pt idx="82">
                  <c:v>1685.44089998458</c:v>
                </c:pt>
                <c:pt idx="83">
                  <c:v>1685.50932347048</c:v>
                </c:pt>
                <c:pt idx="84">
                  <c:v>1685.57774695638</c:v>
                </c:pt>
                <c:pt idx="85">
                  <c:v>1685.64617044228</c:v>
                </c:pt>
                <c:pt idx="86">
                  <c:v>1685.71459392818</c:v>
                </c:pt>
                <c:pt idx="87">
                  <c:v>1685.7830174140799</c:v>
                </c:pt>
                <c:pt idx="88">
                  <c:v>1685.8514408999799</c:v>
                </c:pt>
                <c:pt idx="89">
                  <c:v>1685.9198643858799</c:v>
                </c:pt>
                <c:pt idx="90">
                  <c:v>1685.9882878717799</c:v>
                </c:pt>
                <c:pt idx="91">
                  <c:v>1686.0567113576799</c:v>
                </c:pt>
                <c:pt idx="92">
                  <c:v>1686.1251348435801</c:v>
                </c:pt>
                <c:pt idx="93">
                  <c:v>1686.1935583294801</c:v>
                </c:pt>
                <c:pt idx="94">
                  <c:v>1686.2619818153701</c:v>
                </c:pt>
                <c:pt idx="95">
                  <c:v>1686.33040530127</c:v>
                </c:pt>
                <c:pt idx="96">
                  <c:v>1686.39882878717</c:v>
                </c:pt>
                <c:pt idx="97">
                  <c:v>1686.46725227307</c:v>
                </c:pt>
                <c:pt idx="98">
                  <c:v>1686.53567575897</c:v>
                </c:pt>
                <c:pt idx="99">
                  <c:v>1686.60409924487</c:v>
                </c:pt>
                <c:pt idx="100">
                  <c:v>1686.67252273077</c:v>
                </c:pt>
                <c:pt idx="101">
                  <c:v>1686.74094621667</c:v>
                </c:pt>
                <c:pt idx="102">
                  <c:v>1686.8093697025699</c:v>
                </c:pt>
                <c:pt idx="103">
                  <c:v>1686.8777931884699</c:v>
                </c:pt>
                <c:pt idx="104">
                  <c:v>1686.9462166743699</c:v>
                </c:pt>
                <c:pt idx="105">
                  <c:v>1687.0146401602699</c:v>
                </c:pt>
                <c:pt idx="106">
                  <c:v>1687.0830636461701</c:v>
                </c:pt>
                <c:pt idx="107">
                  <c:v>1687.1514871320601</c:v>
                </c:pt>
                <c:pt idx="108">
                  <c:v>1687.2199106179601</c:v>
                </c:pt>
                <c:pt idx="109">
                  <c:v>1687.2883341038601</c:v>
                </c:pt>
                <c:pt idx="110">
                  <c:v>1687.35675758976</c:v>
                </c:pt>
                <c:pt idx="111">
                  <c:v>1687.42518107566</c:v>
                </c:pt>
                <c:pt idx="112">
                  <c:v>1687.49360456156</c:v>
                </c:pt>
                <c:pt idx="113">
                  <c:v>1687.56202804746</c:v>
                </c:pt>
                <c:pt idx="114">
                  <c:v>1687.63045153336</c:v>
                </c:pt>
                <c:pt idx="115">
                  <c:v>1687.69887501926</c:v>
                </c:pt>
                <c:pt idx="116">
                  <c:v>1687.7672985051599</c:v>
                </c:pt>
                <c:pt idx="117">
                  <c:v>1687.8357219910599</c:v>
                </c:pt>
                <c:pt idx="118">
                  <c:v>1687.9041454769599</c:v>
                </c:pt>
                <c:pt idx="119">
                  <c:v>1687.9725689628599</c:v>
                </c:pt>
                <c:pt idx="120">
                  <c:v>1688.0409924487501</c:v>
                </c:pt>
                <c:pt idx="121">
                  <c:v>1688.1094159346501</c:v>
                </c:pt>
                <c:pt idx="122">
                  <c:v>1688.1778394205501</c:v>
                </c:pt>
                <c:pt idx="123">
                  <c:v>1688.2462629064501</c:v>
                </c:pt>
                <c:pt idx="124">
                  <c:v>1688.31468639235</c:v>
                </c:pt>
                <c:pt idx="125">
                  <c:v>1688.38310987825</c:v>
                </c:pt>
                <c:pt idx="126">
                  <c:v>1688.45153336415</c:v>
                </c:pt>
                <c:pt idx="127">
                  <c:v>1688.51995685005</c:v>
                </c:pt>
                <c:pt idx="128">
                  <c:v>1688.58838033595</c:v>
                </c:pt>
                <c:pt idx="129">
                  <c:v>1688.65680382185</c:v>
                </c:pt>
                <c:pt idx="130">
                  <c:v>1688.7252273077499</c:v>
                </c:pt>
                <c:pt idx="131">
                  <c:v>1688.7936507936499</c:v>
                </c:pt>
                <c:pt idx="132">
                  <c:v>1688.8620742795499</c:v>
                </c:pt>
                <c:pt idx="133">
                  <c:v>1688.9304977654399</c:v>
                </c:pt>
                <c:pt idx="134">
                  <c:v>1688.9989212513401</c:v>
                </c:pt>
                <c:pt idx="135">
                  <c:v>1689.0673447372401</c:v>
                </c:pt>
                <c:pt idx="136">
                  <c:v>1689.1357682231401</c:v>
                </c:pt>
                <c:pt idx="137">
                  <c:v>1689.2041917090401</c:v>
                </c:pt>
                <c:pt idx="138">
                  <c:v>1689.2498073663101</c:v>
                </c:pt>
              </c:numCache>
            </c:numRef>
          </c:xVal>
          <c:yVal>
            <c:numRef>
              <c:f>'Ex 2 full 1 50 eV'!$B$2:$B$140</c:f>
              <c:numCache>
                <c:formatCode>General</c:formatCode>
                <c:ptCount val="139"/>
                <c:pt idx="0">
                  <c:v>1.3040996720380799E-2</c:v>
                </c:pt>
                <c:pt idx="1">
                  <c:v>1.3626389550168899E-2</c:v>
                </c:pt>
                <c:pt idx="2">
                  <c:v>1.6465818322692199E-2</c:v>
                </c:pt>
                <c:pt idx="3">
                  <c:v>1.6487702166796601E-2</c:v>
                </c:pt>
                <c:pt idx="4">
                  <c:v>1.6509586010900801E-2</c:v>
                </c:pt>
                <c:pt idx="5">
                  <c:v>1.70949788406888E-2</c:v>
                </c:pt>
                <c:pt idx="6">
                  <c:v>1.99344076132121E-2</c:v>
                </c:pt>
                <c:pt idx="7">
                  <c:v>2.0238045950158101E-2</c:v>
                </c:pt>
                <c:pt idx="8">
                  <c:v>2.3359229215523501E-2</c:v>
                </c:pt>
                <c:pt idx="9">
                  <c:v>2.5916903495204899E-2</c:v>
                </c:pt>
                <c:pt idx="10">
                  <c:v>2.93198412534121E-2</c:v>
                </c:pt>
                <c:pt idx="11">
                  <c:v>3.4695060461512599E-2</c:v>
                </c:pt>
                <c:pt idx="12">
                  <c:v>4.0633788655297202E-2</c:v>
                </c:pt>
                <c:pt idx="13">
                  <c:v>4.9108307284658703E-2</c:v>
                </c:pt>
                <c:pt idx="14">
                  <c:v>6.0118616349597399E-2</c:v>
                </c:pt>
                <c:pt idx="15">
                  <c:v>7.4228224835797496E-2</c:v>
                </c:pt>
                <c:pt idx="16">
                  <c:v>9.2282396221784205E-2</c:v>
                </c:pt>
                <c:pt idx="17">
                  <c:v>0.111799867316873</c:v>
                </c:pt>
                <c:pt idx="18">
                  <c:v>0.13049660307537</c:v>
                </c:pt>
                <c:pt idx="19">
                  <c:v>0.14952962057160199</c:v>
                </c:pt>
                <c:pt idx="20">
                  <c:v>0.17067579676414801</c:v>
                </c:pt>
                <c:pt idx="21">
                  <c:v>0.19210190379586101</c:v>
                </c:pt>
                <c:pt idx="22">
                  <c:v>0.210708642245479</c:v>
                </c:pt>
                <c:pt idx="23">
                  <c:v>0.23213292562351701</c:v>
                </c:pt>
                <c:pt idx="24">
                  <c:v>0.25355720900155398</c:v>
                </c:pt>
                <c:pt idx="25">
                  <c:v>0.278362546293695</c:v>
                </c:pt>
                <c:pt idx="26">
                  <c:v>0.30316788358583502</c:v>
                </c:pt>
                <c:pt idx="27">
                  <c:v>0.32910023884934297</c:v>
                </c:pt>
                <c:pt idx="28">
                  <c:v>0.35080445306654701</c:v>
                </c:pt>
                <c:pt idx="29">
                  <c:v>0.374199194240803</c:v>
                </c:pt>
                <c:pt idx="30">
                  <c:v>0.399002707879268</c:v>
                </c:pt>
                <c:pt idx="31">
                  <c:v>0.41816930800721902</c:v>
                </c:pt>
                <c:pt idx="32">
                  <c:v>0.43958994407790603</c:v>
                </c:pt>
                <c:pt idx="33">
                  <c:v>0.45988356217722498</c:v>
                </c:pt>
                <c:pt idx="34">
                  <c:v>0.48102244375506997</c:v>
                </c:pt>
                <c:pt idx="35">
                  <c:v>0.50216132533291502</c:v>
                </c:pt>
                <c:pt idx="36">
                  <c:v>0.52330020691075996</c:v>
                </c:pt>
                <c:pt idx="37">
                  <c:v>0.54443908848860501</c:v>
                </c:pt>
                <c:pt idx="38">
                  <c:v>0.56642323354497504</c:v>
                </c:pt>
                <c:pt idx="39">
                  <c:v>0.58756211512282097</c:v>
                </c:pt>
                <c:pt idx="40">
                  <c:v>0.61039152365771698</c:v>
                </c:pt>
                <c:pt idx="41">
                  <c:v>0.63237566871408801</c:v>
                </c:pt>
                <c:pt idx="42">
                  <c:v>0.65351455029193195</c:v>
                </c:pt>
                <c:pt idx="43">
                  <c:v>0.67549869534830298</c:v>
                </c:pt>
                <c:pt idx="44">
                  <c:v>0.69748284040467401</c:v>
                </c:pt>
                <c:pt idx="45">
                  <c:v>0.716085931546941</c:v>
                </c:pt>
                <c:pt idx="46">
                  <c:v>0.73722481312478605</c:v>
                </c:pt>
                <c:pt idx="47">
                  <c:v>0.75667316774557902</c:v>
                </c:pt>
                <c:pt idx="48">
                  <c:v>0.776121522366373</c:v>
                </c:pt>
                <c:pt idx="49">
                  <c:v>0.79979801803346995</c:v>
                </c:pt>
                <c:pt idx="50">
                  <c:v>0.82629388228266198</c:v>
                </c:pt>
                <c:pt idx="51">
                  <c:v>0.85109921957480295</c:v>
                </c:pt>
                <c:pt idx="52">
                  <c:v>0.87703157483831096</c:v>
                </c:pt>
                <c:pt idx="53">
                  <c:v>0.89958287618771604</c:v>
                </c:pt>
                <c:pt idx="54">
                  <c:v>0.92495354611921599</c:v>
                </c:pt>
                <c:pt idx="55">
                  <c:v>0.950326039704391</c:v>
                </c:pt>
                <c:pt idx="56">
                  <c:v>0.97316274285398796</c:v>
                </c:pt>
                <c:pt idx="57">
                  <c:v>0.99304102382874604</c:v>
                </c:pt>
                <c:pt idx="58">
                  <c:v>1.01292295211085</c:v>
                </c:pt>
                <c:pt idx="59">
                  <c:v>1.0321041414682</c:v>
                </c:pt>
                <c:pt idx="60">
                  <c:v>1.04593199546156</c:v>
                </c:pt>
                <c:pt idx="61">
                  <c:v>1.0552517775694501</c:v>
                </c:pt>
                <c:pt idx="62">
                  <c:v>1.0603452422847099</c:v>
                </c:pt>
                <c:pt idx="63">
                  <c:v>1.0620576530858601</c:v>
                </c:pt>
                <c:pt idx="64">
                  <c:v>1.06207953692997</c:v>
                </c:pt>
                <c:pt idx="65">
                  <c:v>1.0598473848313399</c:v>
                </c:pt>
                <c:pt idx="66">
                  <c:v>1.0570517237470201</c:v>
                </c:pt>
                <c:pt idx="67">
                  <c:v>1.0531290446913399</c:v>
                </c:pt>
                <c:pt idx="68">
                  <c:v>1.0486428566499699</c:v>
                </c:pt>
                <c:pt idx="69">
                  <c:v>1.0438749141157699</c:v>
                </c:pt>
                <c:pt idx="70">
                  <c:v>1.0396704805672401</c:v>
                </c:pt>
                <c:pt idx="71">
                  <c:v>1.03546604701872</c:v>
                </c:pt>
                <c:pt idx="72">
                  <c:v>1.03126161347019</c:v>
                </c:pt>
                <c:pt idx="73">
                  <c:v>1.02762068890735</c:v>
                </c:pt>
                <c:pt idx="74">
                  <c:v>1.0242615188373501</c:v>
                </c:pt>
                <c:pt idx="75">
                  <c:v>1.0211841032602</c:v>
                </c:pt>
                <c:pt idx="76">
                  <c:v>1.01838844217588</c:v>
                </c:pt>
                <c:pt idx="77">
                  <c:v>1.0155927810915699</c:v>
                </c:pt>
                <c:pt idx="78">
                  <c:v>1.0139241379786199</c:v>
                </c:pt>
                <c:pt idx="79">
                  <c:v>1.01169198587999</c:v>
                </c:pt>
                <c:pt idx="80">
                  <c:v>1.0097415882742</c:v>
                </c:pt>
                <c:pt idx="81">
                  <c:v>1.00835469965409</c:v>
                </c:pt>
                <c:pt idx="82">
                  <c:v>1.0072495655268301</c:v>
                </c:pt>
                <c:pt idx="83">
                  <c:v>1.0050174134281999</c:v>
                </c:pt>
                <c:pt idx="84">
                  <c:v>1.0050392972722999</c:v>
                </c:pt>
                <c:pt idx="85">
                  <c:v>1.00421591763788</c:v>
                </c:pt>
                <c:pt idx="86">
                  <c:v>1.0017020110464101</c:v>
                </c:pt>
                <c:pt idx="87">
                  <c:v>1.0017238948905101</c:v>
                </c:pt>
                <c:pt idx="88">
                  <c:v>1.00174577873462</c:v>
                </c:pt>
                <c:pt idx="89">
                  <c:v>1.00176766257872</c:v>
                </c:pt>
                <c:pt idx="90">
                  <c:v>1.0023530554085101</c:v>
                </c:pt>
                <c:pt idx="91">
                  <c:v>1.00124792128125</c:v>
                </c:pt>
                <c:pt idx="92">
                  <c:v>0.998452260196935</c:v>
                </c:pt>
                <c:pt idx="93">
                  <c:v>0.99847414404103896</c:v>
                </c:pt>
                <c:pt idx="94">
                  <c:v>0.99849602788514302</c:v>
                </c:pt>
                <c:pt idx="95">
                  <c:v>0.99851791172924698</c:v>
                </c:pt>
                <c:pt idx="96">
                  <c:v>0.99853979557335204</c:v>
                </c:pt>
                <c:pt idx="97">
                  <c:v>0.99856167941745599</c:v>
                </c:pt>
                <c:pt idx="98">
                  <c:v>0.99858356326155995</c:v>
                </c:pt>
                <c:pt idx="99">
                  <c:v>0.99860544710566401</c:v>
                </c:pt>
                <c:pt idx="100">
                  <c:v>0.99947259442829395</c:v>
                </c:pt>
                <c:pt idx="101">
                  <c:v>1.0020302687079701</c:v>
                </c:pt>
                <c:pt idx="102">
                  <c:v>1.00205215255208</c:v>
                </c:pt>
                <c:pt idx="103">
                  <c:v>1.00207403639618</c:v>
                </c:pt>
                <c:pt idx="104">
                  <c:v>1.0020959202402799</c:v>
                </c:pt>
                <c:pt idx="105">
                  <c:v>1.00268131307007</c:v>
                </c:pt>
                <c:pt idx="106">
                  <c:v>1.0021396879284901</c:v>
                </c:pt>
                <c:pt idx="107">
                  <c:v>1.0021615717726</c:v>
                </c:pt>
                <c:pt idx="108">
                  <c:v>1.0021834556167</c:v>
                </c:pt>
                <c:pt idx="109">
                  <c:v>1.0022053394608099</c:v>
                </c:pt>
                <c:pt idx="110">
                  <c:v>1.0022272233049101</c:v>
                </c:pt>
                <c:pt idx="111">
                  <c:v>1.0022491071490101</c:v>
                </c:pt>
                <c:pt idx="112">
                  <c:v>1.00227099099312</c:v>
                </c:pt>
                <c:pt idx="113">
                  <c:v>1.00229287483722</c:v>
                </c:pt>
                <c:pt idx="114">
                  <c:v>1.0023147586813299</c:v>
                </c:pt>
                <c:pt idx="115">
                  <c:v>1.0023366425254301</c:v>
                </c:pt>
                <c:pt idx="116">
                  <c:v>1.00235852636953</c:v>
                </c:pt>
                <c:pt idx="117">
                  <c:v>1.00238041021364</c:v>
                </c:pt>
                <c:pt idx="118">
                  <c:v>1.00240229405774</c:v>
                </c:pt>
                <c:pt idx="119">
                  <c:v>1.00298768688753</c:v>
                </c:pt>
                <c:pt idx="120">
                  <c:v>1.0024460617459501</c:v>
                </c:pt>
                <c:pt idx="121">
                  <c:v>1.00246794559006</c:v>
                </c:pt>
                <c:pt idx="122">
                  <c:v>1.00248982943416</c:v>
                </c:pt>
                <c:pt idx="123">
                  <c:v>1.0025117132782599</c:v>
                </c:pt>
                <c:pt idx="124">
                  <c:v>1.0025335971223699</c:v>
                </c:pt>
                <c:pt idx="125">
                  <c:v>1.0025554809664701</c:v>
                </c:pt>
                <c:pt idx="126">
                  <c:v>1.00257736481058</c:v>
                </c:pt>
                <c:pt idx="127">
                  <c:v>1.00259924865468</c:v>
                </c:pt>
                <c:pt idx="128">
                  <c:v>1.0026211324987899</c:v>
                </c:pt>
                <c:pt idx="129">
                  <c:v>1.0026430163428901</c:v>
                </c:pt>
                <c:pt idx="130">
                  <c:v>1.0026649001869901</c:v>
                </c:pt>
                <c:pt idx="131">
                  <c:v>1.0026867840311</c:v>
                </c:pt>
                <c:pt idx="132">
                  <c:v>1.0027086678752</c:v>
                </c:pt>
                <c:pt idx="133">
                  <c:v>1.0027305517193099</c:v>
                </c:pt>
                <c:pt idx="134">
                  <c:v>1.00331594454909</c:v>
                </c:pt>
                <c:pt idx="135">
                  <c:v>1.00277431940752</c:v>
                </c:pt>
                <c:pt idx="136">
                  <c:v>1.00279620325162</c:v>
                </c:pt>
                <c:pt idx="137">
                  <c:v>1.00281808709572</c:v>
                </c:pt>
                <c:pt idx="138">
                  <c:v>1.0028326763251301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79-4E31-AF1A-38B8CB825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79968"/>
        <c:axId val="202582272"/>
      </c:scatterChart>
      <c:valAx>
        <c:axId val="202579968"/>
        <c:scaling>
          <c:orientation val="minMax"/>
          <c:max val="1685"/>
          <c:min val="168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82272"/>
        <c:crosses val="autoZero"/>
        <c:crossBetween val="midCat"/>
      </c:valAx>
      <c:valAx>
        <c:axId val="20258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7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420872</xdr:colOff>
      <xdr:row>0</xdr:row>
      <xdr:rowOff>88605</xdr:rowOff>
    </xdr:from>
    <xdr:to>
      <xdr:col>18</xdr:col>
      <xdr:colOff>1444698</xdr:colOff>
      <xdr:row>22</xdr:row>
      <xdr:rowOff>55379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F5777-F113-631B-190A-F1ED3B4B6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498401</xdr:colOff>
      <xdr:row>22</xdr:row>
      <xdr:rowOff>122495</xdr:rowOff>
    </xdr:from>
    <xdr:to>
      <xdr:col>18</xdr:col>
      <xdr:colOff>1435172</xdr:colOff>
      <xdr:row>42</xdr:row>
      <xdr:rowOff>110754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D521EA-6786-4D78-C79B-D1CB75DB8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219320</xdr:colOff>
      <xdr:row>0</xdr:row>
      <xdr:rowOff>12455</xdr:rowOff>
    </xdr:from>
    <xdr:to>
      <xdr:col>23</xdr:col>
      <xdr:colOff>645991</xdr:colOff>
      <xdr:row>21</xdr:row>
      <xdr:rowOff>179266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FC839-C0A2-DD0D-BDF0-175295295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219808</xdr:colOff>
      <xdr:row>22</xdr:row>
      <xdr:rowOff>5615</xdr:rowOff>
    </xdr:from>
    <xdr:to>
      <xdr:col>23</xdr:col>
      <xdr:colOff>658202</xdr:colOff>
      <xdr:row>43</xdr:row>
      <xdr:rowOff>36634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95C815-5C25-9E45-EF2C-EEA34C0EF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277925</xdr:colOff>
      <xdr:row>0</xdr:row>
      <xdr:rowOff>0</xdr:rowOff>
    </xdr:from>
    <xdr:to>
      <xdr:col>25</xdr:col>
      <xdr:colOff>998962</xdr:colOff>
      <xdr:row>25</xdr:row>
      <xdr:rowOff>174238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36A50D4A-36C4-6991-61C3-63EF8F01C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81310</xdr:colOff>
      <xdr:row>26</xdr:row>
      <xdr:rowOff>41354</xdr:rowOff>
    </xdr:from>
    <xdr:to>
      <xdr:col>24</xdr:col>
      <xdr:colOff>545944</xdr:colOff>
      <xdr:row>51</xdr:row>
      <xdr:rowOff>185854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B93062-F32E-E7FA-BCA8-B6EEFAAF0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49685</xdr:colOff>
      <xdr:row>25</xdr:row>
      <xdr:rowOff>71628</xdr:rowOff>
    </xdr:from>
    <xdr:to>
      <xdr:col>14</xdr:col>
      <xdr:colOff>191628</xdr:colOff>
      <xdr:row>39</xdr:row>
      <xdr:rowOff>1337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C4AAD086-10AF-EF58-6AB7-68993B94A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210512</xdr:colOff>
      <xdr:row>0</xdr:row>
      <xdr:rowOff>0</xdr:rowOff>
    </xdr:from>
    <xdr:to>
      <xdr:col>23</xdr:col>
      <xdr:colOff>258138</xdr:colOff>
      <xdr:row>22</xdr:row>
      <xdr:rowOff>19049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31A48243-7B08-57A1-10C2-C0F377B47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222393</xdr:colOff>
      <xdr:row>22</xdr:row>
      <xdr:rowOff>5992</xdr:rowOff>
    </xdr:from>
    <xdr:to>
      <xdr:col>23</xdr:col>
      <xdr:colOff>272365</xdr:colOff>
      <xdr:row>42</xdr:row>
      <xdr:rowOff>92132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46CD4B91-3AEB-DF31-1AC0-2F5F36739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95250</xdr:rowOff>
    </xdr:from>
    <xdr:to>
      <xdr:col>17</xdr:col>
      <xdr:colOff>523875</xdr:colOff>
      <xdr:row>23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14671-7F9C-7600-760D-003167801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571500</xdr:colOff>
      <xdr:row>1</xdr:row>
      <xdr:rowOff>95250</xdr:rowOff>
    </xdr:from>
    <xdr:to>
      <xdr:col>26</xdr:col>
      <xdr:colOff>285750</xdr:colOff>
      <xdr:row>23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368CAC-4E7E-44C3-A103-3DD740BC6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276225</xdr:colOff>
      <xdr:row>4</xdr:row>
      <xdr:rowOff>28575</xdr:rowOff>
    </xdr:from>
    <xdr:to>
      <xdr:col>14</xdr:col>
      <xdr:colOff>152400</xdr:colOff>
      <xdr:row>18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839405B-32DC-C67C-9CCB-3D8C2E1B6607}"/>
            </a:ext>
          </a:extLst>
        </xdr:cNvPr>
        <xdr:cNvSpPr/>
      </xdr:nvSpPr>
      <xdr:spPr>
        <a:xfrm>
          <a:off x="14182725" y="828675"/>
          <a:ext cx="1247775" cy="2781300"/>
        </a:xfrm>
        <a:prstGeom prst="rect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133350</xdr:colOff>
      <xdr:row>10</xdr:row>
      <xdr:rowOff>95250</xdr:rowOff>
    </xdr:from>
    <xdr:to>
      <xdr:col>19</xdr:col>
      <xdr:colOff>28575</xdr:colOff>
      <xdr:row>10</xdr:row>
      <xdr:rowOff>104775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C6B2DB1-EA9E-3215-1D20-DA775F225C95}"/>
            </a:ext>
          </a:extLst>
        </xdr:cNvPr>
        <xdr:cNvCxnSpPr/>
      </xdr:nvCxnSpPr>
      <xdr:spPr>
        <a:xfrm>
          <a:off x="15411450" y="2095500"/>
          <a:ext cx="3324225" cy="9525"/>
        </a:xfrm>
        <a:prstGeom prst="straightConnector1">
          <a:avLst/>
        </a:prstGeom>
        <a:ln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80961</xdr:colOff>
      <xdr:row>0</xdr:row>
      <xdr:rowOff>114300</xdr:rowOff>
    </xdr:from>
    <xdr:to>
      <xdr:col>18</xdr:col>
      <xdr:colOff>371474</xdr:colOff>
      <xdr:row>23</xdr:row>
      <xdr:rowOff>142875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AE8E5DA4-8088-AF01-6F64-C2EE9D719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390525</xdr:colOff>
      <xdr:row>0</xdr:row>
      <xdr:rowOff>114300</xdr:rowOff>
    </xdr:from>
    <xdr:to>
      <xdr:col>26</xdr:col>
      <xdr:colOff>681038</xdr:colOff>
      <xdr:row>23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A3FEBD-2015-4CC1-A932-A1F84F08D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447675</xdr:colOff>
      <xdr:row>3</xdr:row>
      <xdr:rowOff>9525</xdr:rowOff>
    </xdr:from>
    <xdr:to>
      <xdr:col>14</xdr:col>
      <xdr:colOff>476250</xdr:colOff>
      <xdr:row>18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0E64BF0-A3BE-52AB-5FDE-1832D5B3400C}"/>
            </a:ext>
          </a:extLst>
        </xdr:cNvPr>
        <xdr:cNvSpPr/>
      </xdr:nvSpPr>
      <xdr:spPr>
        <a:xfrm>
          <a:off x="11772900" y="609600"/>
          <a:ext cx="1400175" cy="3028950"/>
        </a:xfrm>
        <a:prstGeom prst="rect">
          <a:avLst/>
        </a:prstGeom>
        <a:noFill/>
        <a:ln>
          <a:solidFill>
            <a:schemeClr val="accent6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466725</xdr:colOff>
      <xdr:row>10</xdr:row>
      <xdr:rowOff>38100</xdr:rowOff>
    </xdr:from>
    <xdr:to>
      <xdr:col>19</xdr:col>
      <xdr:colOff>266700</xdr:colOff>
      <xdr:row>10</xdr:row>
      <xdr:rowOff>38100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0CC69EC-7F3A-270C-11BC-FB364FEE2163}"/>
            </a:ext>
          </a:extLst>
        </xdr:cNvPr>
        <xdr:cNvCxnSpPr/>
      </xdr:nvCxnSpPr>
      <xdr:spPr>
        <a:xfrm>
          <a:off x="13163550" y="2038350"/>
          <a:ext cx="3228975" cy="0"/>
        </a:xfrm>
        <a:prstGeom prst="straightConnector1">
          <a:avLst/>
        </a:prstGeom>
        <a:ln>
          <a:solidFill>
            <a:schemeClr val="accent6">
              <a:lumMod val="40000"/>
              <a:lumOff val="6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"/>
  <sheetViews>
    <sheetView topLeftCell="C1" zoomScale="86" zoomScaleNormal="86" workbookViewId="0">
      <selection activeCell="G3" sqref="G3:G123"/>
    </sheetView>
  </sheetViews>
  <sheetFormatPr defaultColWidth="20.625" defaultRowHeight="15.75" x14ac:dyDescent="0.25"/>
  <cols>
    <col min="1" max="1" width="16.125" customWidth="1"/>
    <col min="2" max="2" width="17.25" customWidth="1"/>
    <col min="3" max="3" width="16.75" customWidth="1"/>
    <col min="4" max="4" width="17.125" customWidth="1"/>
    <col min="5" max="5" width="11" customWidth="1"/>
    <col min="6" max="6" width="18.25" style="1" customWidth="1"/>
    <col min="7" max="7" width="17" style="3" customWidth="1"/>
    <col min="8" max="8" width="10.75" customWidth="1"/>
    <col min="9" max="9" width="15.125" customWidth="1"/>
    <col min="10" max="10" width="15.625" customWidth="1"/>
    <col min="11" max="11" width="11.5" customWidth="1"/>
    <col min="12" max="12" width="16.5" customWidth="1"/>
    <col min="13" max="13" width="12.625" customWidth="1"/>
    <col min="14" max="14" width="18" customWidth="1"/>
    <col min="15" max="15" width="12.625" customWidth="1"/>
  </cols>
  <sheetData>
    <row r="1" spans="1:15" x14ac:dyDescent="0.25">
      <c r="D1" t="s">
        <v>0</v>
      </c>
      <c r="G1" s="3" t="s">
        <v>1</v>
      </c>
      <c r="J1" t="s">
        <v>2</v>
      </c>
      <c r="L1" t="s">
        <v>3</v>
      </c>
      <c r="M1" t="s">
        <v>4</v>
      </c>
      <c r="N1" t="s">
        <v>5</v>
      </c>
      <c r="O1" t="s">
        <v>4</v>
      </c>
    </row>
    <row r="2" spans="1:15" x14ac:dyDescent="0.25">
      <c r="A2" t="s">
        <v>6</v>
      </c>
      <c r="B2" t="s">
        <v>7</v>
      </c>
      <c r="C2" t="s">
        <v>8</v>
      </c>
      <c r="D2" t="s">
        <v>9</v>
      </c>
      <c r="F2" t="s">
        <v>6</v>
      </c>
      <c r="G2" t="s">
        <v>9</v>
      </c>
      <c r="I2" t="s">
        <v>6</v>
      </c>
      <c r="J2" t="s">
        <v>9</v>
      </c>
    </row>
    <row r="3" spans="1:15" x14ac:dyDescent="0.25">
      <c r="A3">
        <v>1682</v>
      </c>
      <c r="B3">
        <v>0</v>
      </c>
      <c r="C3">
        <f t="shared" ref="C3:C15" si="0">B3*4*PI()/(0.0064886478302)</f>
        <v>0</v>
      </c>
      <c r="D3">
        <f t="shared" ref="D3:D15" si="1">C3/(4000*PI())</f>
        <v>0</v>
      </c>
      <c r="F3" s="1">
        <v>1682</v>
      </c>
      <c r="G3" s="3">
        <v>2.0776745E-3</v>
      </c>
      <c r="I3">
        <v>1682</v>
      </c>
      <c r="J3" s="2">
        <v>9.0029265274522898E-4</v>
      </c>
      <c r="L3">
        <f>D3/G3</f>
        <v>0</v>
      </c>
      <c r="M3">
        <f>1-L3</f>
        <v>1</v>
      </c>
      <c r="N3">
        <f>J3/G3</f>
        <v>0.43331746755578365</v>
      </c>
      <c r="O3">
        <f>1-N3</f>
        <v>0.5666825324442164</v>
      </c>
    </row>
    <row r="4" spans="1:15" x14ac:dyDescent="0.25">
      <c r="A4">
        <v>1682.5</v>
      </c>
      <c r="B4">
        <v>6.9999999999999999E-6</v>
      </c>
      <c r="C4">
        <f t="shared" si="0"/>
        <v>1.3556691101511495E-2</v>
      </c>
      <c r="D4">
        <f t="shared" si="1"/>
        <v>1.0788072003877329E-6</v>
      </c>
      <c r="F4" s="1">
        <v>1682.05</v>
      </c>
      <c r="G4" s="3">
        <v>2.2027320000000002E-3</v>
      </c>
      <c r="I4">
        <v>1682.5</v>
      </c>
      <c r="J4" s="2">
        <v>1.5609055712896801E-3</v>
      </c>
      <c r="L4">
        <f t="shared" ref="L4:L15" si="2">D4/G4</f>
        <v>4.8975871798645173E-4</v>
      </c>
      <c r="M4">
        <f t="shared" ref="M4:M15" si="3">1-L4</f>
        <v>0.9995102412820136</v>
      </c>
      <c r="N4">
        <f t="shared" ref="N4:N15" si="4">J4/G4</f>
        <v>0.70862255203523616</v>
      </c>
      <c r="O4">
        <f t="shared" ref="O4:O15" si="5">1-N4</f>
        <v>0.29137744796476384</v>
      </c>
    </row>
    <row r="5" spans="1:15" x14ac:dyDescent="0.25">
      <c r="A5">
        <v>1683</v>
      </c>
      <c r="B5">
        <v>5.8561000000000002E-2</v>
      </c>
      <c r="C5">
        <f t="shared" si="0"/>
        <v>113.41334108508781</v>
      </c>
      <c r="D5">
        <f t="shared" si="1"/>
        <v>9.0251469231294335E-3</v>
      </c>
      <c r="F5" s="1">
        <v>1682.1</v>
      </c>
      <c r="G5" s="3">
        <v>2.3390132000000001E-3</v>
      </c>
      <c r="I5">
        <v>1683</v>
      </c>
      <c r="J5" s="2">
        <v>3.7751434579460798E-3</v>
      </c>
      <c r="L5">
        <f t="shared" si="2"/>
        <v>3.8585275718535632</v>
      </c>
      <c r="M5">
        <f t="shared" si="3"/>
        <v>-2.8585275718535632</v>
      </c>
      <c r="N5">
        <f t="shared" si="4"/>
        <v>1.613989804737348</v>
      </c>
      <c r="O5">
        <f t="shared" si="5"/>
        <v>-0.61398980473734799</v>
      </c>
    </row>
    <row r="6" spans="1:15" x14ac:dyDescent="0.25">
      <c r="A6">
        <v>1683.5</v>
      </c>
      <c r="B6">
        <v>1.297091</v>
      </c>
      <c r="C6">
        <f t="shared" si="0"/>
        <v>2512.0374310786638</v>
      </c>
      <c r="D6">
        <f t="shared" si="1"/>
        <v>0.19990158719401785</v>
      </c>
      <c r="F6" s="1">
        <v>1682.15</v>
      </c>
      <c r="G6" s="3">
        <v>2.4896807E-3</v>
      </c>
      <c r="I6">
        <v>1683.5</v>
      </c>
      <c r="J6" s="2">
        <v>6.4144789881577E-2</v>
      </c>
      <c r="L6">
        <f t="shared" si="2"/>
        <v>80.292058011301549</v>
      </c>
      <c r="M6">
        <f t="shared" si="3"/>
        <v>-79.292058011301549</v>
      </c>
      <c r="N6">
        <f t="shared" si="4"/>
        <v>25.764263618855622</v>
      </c>
      <c r="O6">
        <f t="shared" si="5"/>
        <v>-24.764263618855622</v>
      </c>
    </row>
    <row r="7" spans="1:15" x14ac:dyDescent="0.25">
      <c r="A7">
        <v>1684</v>
      </c>
      <c r="B7">
        <v>1.2081109999999999</v>
      </c>
      <c r="C7">
        <f t="shared" si="0"/>
        <v>2339.712520476879</v>
      </c>
      <c r="D7">
        <f t="shared" si="1"/>
        <v>0.18618840652394636</v>
      </c>
      <c r="F7" s="1">
        <v>1682.2</v>
      </c>
      <c r="G7" s="3">
        <v>2.6560158000000001E-3</v>
      </c>
      <c r="I7">
        <v>1684</v>
      </c>
      <c r="J7" s="2">
        <v>9.2058050207282693E-2</v>
      </c>
      <c r="L7">
        <f t="shared" si="2"/>
        <v>70.100639658825202</v>
      </c>
      <c r="M7">
        <f t="shared" si="3"/>
        <v>-69.100639658825202</v>
      </c>
      <c r="N7">
        <f t="shared" si="4"/>
        <v>34.660204283153242</v>
      </c>
      <c r="O7">
        <f t="shared" si="5"/>
        <v>-33.660204283153242</v>
      </c>
    </row>
    <row r="8" spans="1:15" x14ac:dyDescent="0.25">
      <c r="A8">
        <v>1684.5</v>
      </c>
      <c r="B8">
        <v>1.123909</v>
      </c>
      <c r="C8">
        <f t="shared" si="0"/>
        <v>2176.6410198869548</v>
      </c>
      <c r="D8">
        <f t="shared" si="1"/>
        <v>0.17321158882579668</v>
      </c>
      <c r="F8" s="1">
        <v>1682.25</v>
      </c>
      <c r="G8" s="3">
        <v>2.8411839E-3</v>
      </c>
      <c r="I8">
        <v>1684.5</v>
      </c>
      <c r="J8" s="2">
        <v>0.113084359477653</v>
      </c>
      <c r="L8">
        <f t="shared" si="2"/>
        <v>60.96458199196352</v>
      </c>
      <c r="M8">
        <f t="shared" si="3"/>
        <v>-59.96458199196352</v>
      </c>
      <c r="N8">
        <f t="shared" si="4"/>
        <v>39.801844392280621</v>
      </c>
      <c r="O8">
        <f t="shared" si="5"/>
        <v>-38.801844392280621</v>
      </c>
    </row>
    <row r="9" spans="1:15" x14ac:dyDescent="0.25">
      <c r="A9">
        <v>1685</v>
      </c>
      <c r="B9">
        <v>1.0825450000000001</v>
      </c>
      <c r="C9">
        <f t="shared" si="0"/>
        <v>2096.5325954979658</v>
      </c>
      <c r="D9">
        <f t="shared" si="1"/>
        <v>0.1668367629633912</v>
      </c>
      <c r="F9" s="1">
        <v>1682.3</v>
      </c>
      <c r="G9" s="3">
        <v>3.0485208000000001E-3</v>
      </c>
      <c r="I9">
        <v>1685</v>
      </c>
      <c r="J9" s="2">
        <v>0.12621375262416001</v>
      </c>
      <c r="L9">
        <f t="shared" si="2"/>
        <v>54.727119776709806</v>
      </c>
      <c r="M9">
        <f t="shared" si="3"/>
        <v>-53.727119776709806</v>
      </c>
      <c r="N9">
        <f t="shared" si="4"/>
        <v>41.401637352830264</v>
      </c>
      <c r="O9">
        <f t="shared" si="5"/>
        <v>-40.401637352830264</v>
      </c>
    </row>
    <row r="10" spans="1:15" x14ac:dyDescent="0.25">
      <c r="A10">
        <v>1685.5</v>
      </c>
      <c r="B10">
        <v>1.0588310000000001</v>
      </c>
      <c r="C10">
        <f t="shared" si="0"/>
        <v>2050.60639938636</v>
      </c>
      <c r="D10">
        <f t="shared" si="1"/>
        <v>0.16318207239910629</v>
      </c>
      <c r="F10" s="1">
        <v>1682.35</v>
      </c>
      <c r="G10" s="3">
        <v>3.2803791E-3</v>
      </c>
      <c r="I10">
        <v>1685.5</v>
      </c>
      <c r="J10" s="2">
        <v>0.133729474203653</v>
      </c>
      <c r="L10">
        <f t="shared" si="2"/>
        <v>49.744882351892279</v>
      </c>
      <c r="M10">
        <f t="shared" si="3"/>
        <v>-48.744882351892279</v>
      </c>
      <c r="N10">
        <f t="shared" si="4"/>
        <v>40.766469400946065</v>
      </c>
      <c r="O10">
        <f t="shared" si="5"/>
        <v>-39.766469400946065</v>
      </c>
    </row>
    <row r="11" spans="1:15" x14ac:dyDescent="0.25">
      <c r="A11">
        <v>1686</v>
      </c>
      <c r="B11">
        <v>1.0532550000000001</v>
      </c>
      <c r="C11">
        <f t="shared" si="0"/>
        <v>2039.8075265889272</v>
      </c>
      <c r="D11">
        <f t="shared" si="1"/>
        <v>0.16232272540634027</v>
      </c>
      <c r="F11" s="1">
        <v>1682.4</v>
      </c>
      <c r="G11" s="3">
        <v>3.5431311000000002E-3</v>
      </c>
      <c r="I11">
        <v>1686</v>
      </c>
      <c r="J11" s="2">
        <v>0.140119884797821</v>
      </c>
      <c r="L11">
        <f t="shared" si="2"/>
        <v>45.813355708554013</v>
      </c>
      <c r="M11">
        <f t="shared" si="3"/>
        <v>-44.813355708554013</v>
      </c>
      <c r="N11">
        <f t="shared" si="4"/>
        <v>39.546909454697001</v>
      </c>
      <c r="O11">
        <f t="shared" si="5"/>
        <v>-38.546909454697001</v>
      </c>
    </row>
    <row r="12" spans="1:15" x14ac:dyDescent="0.25">
      <c r="A12">
        <v>1686.5</v>
      </c>
      <c r="B12">
        <v>1.0758570000000001</v>
      </c>
      <c r="C12">
        <f t="shared" si="0"/>
        <v>2083.5801454855505</v>
      </c>
      <c r="D12">
        <f t="shared" si="1"/>
        <v>0.16580603974107791</v>
      </c>
      <c r="F12" s="1">
        <v>1682.45</v>
      </c>
      <c r="G12" s="3">
        <v>3.8431601E-3</v>
      </c>
      <c r="I12">
        <v>1686.5</v>
      </c>
      <c r="J12" s="2">
        <v>0.151397119608842</v>
      </c>
      <c r="L12">
        <f t="shared" si="2"/>
        <v>43.143151840350839</v>
      </c>
      <c r="M12">
        <f t="shared" si="3"/>
        <v>-42.143151840350839</v>
      </c>
      <c r="N12">
        <f t="shared" si="4"/>
        <v>39.393914296945894</v>
      </c>
      <c r="O12">
        <f t="shared" si="5"/>
        <v>-38.393914296945894</v>
      </c>
    </row>
    <row r="13" spans="1:15" x14ac:dyDescent="0.25">
      <c r="A13">
        <v>1687</v>
      </c>
      <c r="B13">
        <v>1.100503</v>
      </c>
      <c r="C13">
        <f t="shared" si="0"/>
        <v>2131.3113181838148</v>
      </c>
      <c r="D13">
        <f t="shared" si="1"/>
        <v>0.16960436577832877</v>
      </c>
      <c r="F13" s="1">
        <v>1682.5</v>
      </c>
      <c r="G13" s="3">
        <v>4.1881161999999996E-3</v>
      </c>
      <c r="I13">
        <v>1687</v>
      </c>
      <c r="J13" s="2">
        <v>0.157204289270408</v>
      </c>
      <c r="L13">
        <f t="shared" si="2"/>
        <v>40.496575949427758</v>
      </c>
      <c r="M13">
        <f t="shared" si="3"/>
        <v>-39.496575949427758</v>
      </c>
      <c r="N13">
        <f t="shared" si="4"/>
        <v>37.535799333936346</v>
      </c>
      <c r="O13">
        <f t="shared" si="5"/>
        <v>-36.535799333936346</v>
      </c>
    </row>
    <row r="14" spans="1:15" x14ac:dyDescent="0.25">
      <c r="A14">
        <v>1687.5</v>
      </c>
      <c r="B14">
        <v>1.117021</v>
      </c>
      <c r="C14">
        <f t="shared" si="0"/>
        <v>2163.3012358430674</v>
      </c>
      <c r="D14">
        <f t="shared" si="1"/>
        <v>0.17215004254061514</v>
      </c>
      <c r="F14" s="1">
        <v>1682.55</v>
      </c>
      <c r="G14" s="3">
        <v>4.5890076999999998E-3</v>
      </c>
      <c r="I14">
        <v>1687.5</v>
      </c>
      <c r="J14" s="2">
        <v>0.16128638011652499</v>
      </c>
      <c r="L14">
        <f t="shared" si="2"/>
        <v>37.513565850110723</v>
      </c>
      <c r="M14">
        <f t="shared" si="3"/>
        <v>-36.513565850110723</v>
      </c>
      <c r="N14">
        <f t="shared" si="4"/>
        <v>35.146243079200978</v>
      </c>
      <c r="O14">
        <f t="shared" si="5"/>
        <v>-34.146243079200978</v>
      </c>
    </row>
    <row r="15" spans="1:15" x14ac:dyDescent="0.25">
      <c r="A15">
        <v>1688</v>
      </c>
      <c r="B15">
        <v>1.1116969999999999</v>
      </c>
      <c r="C15">
        <f t="shared" si="0"/>
        <v>2152.9904039252888</v>
      </c>
      <c r="D15">
        <f t="shared" si="1"/>
        <v>0.17132953260706307</v>
      </c>
      <c r="F15" s="1">
        <v>1682.6</v>
      </c>
      <c r="G15" s="3">
        <v>5.0570737000000003E-3</v>
      </c>
      <c r="I15">
        <v>1688</v>
      </c>
      <c r="J15" s="2">
        <v>0.16420906599395699</v>
      </c>
      <c r="L15">
        <f t="shared" si="2"/>
        <v>33.879184439622279</v>
      </c>
      <c r="M15">
        <f t="shared" si="3"/>
        <v>-32.879184439622279</v>
      </c>
      <c r="N15">
        <f t="shared" si="4"/>
        <v>32.471163312086389</v>
      </c>
      <c r="O15">
        <f t="shared" si="5"/>
        <v>-31.471163312086389</v>
      </c>
    </row>
    <row r="16" spans="1:15" x14ac:dyDescent="0.25">
      <c r="F16" s="1">
        <v>1682.65</v>
      </c>
      <c r="G16" s="3">
        <v>5.6165722000000003E-3</v>
      </c>
    </row>
    <row r="17" spans="6:7" x14ac:dyDescent="0.25">
      <c r="F17" s="1">
        <v>1682.7</v>
      </c>
      <c r="G17" s="3">
        <v>6.2856791000000002E-3</v>
      </c>
    </row>
    <row r="18" spans="6:7" x14ac:dyDescent="0.25">
      <c r="F18" s="1">
        <v>1682.75</v>
      </c>
      <c r="G18" s="3">
        <v>7.1109970999999996E-3</v>
      </c>
    </row>
    <row r="19" spans="6:7" x14ac:dyDescent="0.25">
      <c r="F19" s="1">
        <v>1682.8</v>
      </c>
      <c r="G19" s="3">
        <v>8.1463874999999995E-3</v>
      </c>
    </row>
    <row r="20" spans="6:7" x14ac:dyDescent="0.25">
      <c r="F20" s="1">
        <v>1682.85</v>
      </c>
      <c r="G20" s="3">
        <v>9.4757126999999997E-3</v>
      </c>
    </row>
    <row r="21" spans="6:7" x14ac:dyDescent="0.25">
      <c r="F21" s="1">
        <v>1682.9</v>
      </c>
      <c r="G21" s="3">
        <v>1.1237403999999999E-2</v>
      </c>
    </row>
    <row r="22" spans="6:7" x14ac:dyDescent="0.25">
      <c r="F22" s="1">
        <v>1682.95</v>
      </c>
      <c r="G22" s="3">
        <v>1.3667609000000001E-2</v>
      </c>
    </row>
    <row r="23" spans="6:7" x14ac:dyDescent="0.25">
      <c r="F23" s="1">
        <v>1683</v>
      </c>
      <c r="G23" s="3">
        <v>1.7196759999999998E-2</v>
      </c>
    </row>
    <row r="24" spans="6:7" x14ac:dyDescent="0.25">
      <c r="F24" s="1">
        <v>1683.05</v>
      </c>
      <c r="G24" s="3">
        <v>2.2769365E-2</v>
      </c>
    </row>
    <row r="25" spans="6:7" x14ac:dyDescent="0.25">
      <c r="F25" s="1">
        <v>1683.1</v>
      </c>
      <c r="G25" s="3">
        <v>3.2487745999999998E-2</v>
      </c>
    </row>
    <row r="26" spans="6:7" x14ac:dyDescent="0.25">
      <c r="F26" s="1">
        <v>1683.15</v>
      </c>
      <c r="G26" s="3">
        <v>5.2492737999999997E-2</v>
      </c>
    </row>
    <row r="27" spans="6:7" x14ac:dyDescent="0.25">
      <c r="F27" s="1">
        <v>1683.2</v>
      </c>
      <c r="G27" s="3">
        <v>9.7877353E-2</v>
      </c>
    </row>
    <row r="28" spans="6:7" x14ac:dyDescent="0.25">
      <c r="F28" s="1">
        <v>1683.25</v>
      </c>
      <c r="G28" s="3">
        <v>0.18590569000000001</v>
      </c>
    </row>
    <row r="29" spans="6:7" x14ac:dyDescent="0.25">
      <c r="F29" s="1">
        <v>1683.3</v>
      </c>
      <c r="G29" s="3">
        <v>0.28274336</v>
      </c>
    </row>
    <row r="30" spans="6:7" x14ac:dyDescent="0.25">
      <c r="F30" s="1">
        <v>1683.35</v>
      </c>
      <c r="G30" s="3">
        <v>0.30596441000000002</v>
      </c>
    </row>
    <row r="31" spans="6:7" x14ac:dyDescent="0.25">
      <c r="F31" s="1">
        <v>1683.4</v>
      </c>
      <c r="G31" s="3">
        <v>0.26946869000000001</v>
      </c>
    </row>
    <row r="32" spans="6:7" x14ac:dyDescent="0.25">
      <c r="F32" s="1">
        <v>1683.45</v>
      </c>
      <c r="G32" s="3">
        <v>0.23140484</v>
      </c>
    </row>
    <row r="33" spans="6:7" x14ac:dyDescent="0.25">
      <c r="F33" s="1">
        <v>1683.5</v>
      </c>
      <c r="G33" s="3">
        <v>0.20889969</v>
      </c>
    </row>
    <row r="34" spans="6:7" x14ac:dyDescent="0.25">
      <c r="F34" s="1">
        <v>1683.55</v>
      </c>
      <c r="G34" s="3">
        <v>0.19693793000000001</v>
      </c>
    </row>
    <row r="35" spans="6:7" x14ac:dyDescent="0.25">
      <c r="F35" s="1">
        <v>1683.6</v>
      </c>
      <c r="G35" s="3">
        <v>0.19006819999999999</v>
      </c>
    </row>
    <row r="36" spans="6:7" x14ac:dyDescent="0.25">
      <c r="F36" s="1">
        <v>1683.65</v>
      </c>
      <c r="G36" s="3">
        <v>0.18564718999999999</v>
      </c>
    </row>
    <row r="37" spans="6:7" x14ac:dyDescent="0.25">
      <c r="F37" s="1">
        <v>1683.7</v>
      </c>
      <c r="G37" s="3">
        <v>0.18253274</v>
      </c>
    </row>
    <row r="38" spans="6:7" x14ac:dyDescent="0.25">
      <c r="F38" s="1">
        <v>1683.75</v>
      </c>
      <c r="G38" s="3">
        <v>0.18037934999999999</v>
      </c>
    </row>
    <row r="39" spans="6:7" x14ac:dyDescent="0.25">
      <c r="F39" s="1">
        <v>1683.8</v>
      </c>
      <c r="G39" s="3">
        <v>0.17881755999999999</v>
      </c>
    </row>
    <row r="40" spans="6:7" x14ac:dyDescent="0.25">
      <c r="F40" s="1">
        <v>1683.85</v>
      </c>
      <c r="G40" s="3">
        <v>0.17765750999999999</v>
      </c>
    </row>
    <row r="41" spans="6:7" x14ac:dyDescent="0.25">
      <c r="F41" s="1">
        <v>1683.9</v>
      </c>
      <c r="G41" s="3">
        <v>0.17688666</v>
      </c>
    </row>
    <row r="42" spans="6:7" x14ac:dyDescent="0.25">
      <c r="F42" s="1">
        <v>1683.95</v>
      </c>
      <c r="G42" s="3">
        <v>0.17613303999999999</v>
      </c>
    </row>
    <row r="43" spans="6:7" x14ac:dyDescent="0.25">
      <c r="F43" s="1">
        <v>1684</v>
      </c>
      <c r="G43" s="3">
        <v>0.17561863</v>
      </c>
    </row>
    <row r="44" spans="6:7" x14ac:dyDescent="0.25">
      <c r="F44" s="1">
        <v>1684.05</v>
      </c>
      <c r="G44" s="3">
        <v>0.17519699</v>
      </c>
    </row>
    <row r="45" spans="6:7" x14ac:dyDescent="0.25">
      <c r="F45" s="1">
        <v>1684.1</v>
      </c>
      <c r="G45" s="3">
        <v>0.17500863999999999</v>
      </c>
    </row>
    <row r="46" spans="6:7" x14ac:dyDescent="0.25">
      <c r="F46" s="1">
        <v>1684.15</v>
      </c>
      <c r="G46" s="3">
        <v>0.17473538</v>
      </c>
    </row>
    <row r="47" spans="6:7" x14ac:dyDescent="0.25">
      <c r="F47" s="1">
        <v>1684.2</v>
      </c>
      <c r="G47" s="3">
        <v>0.17448949999999999</v>
      </c>
    </row>
    <row r="48" spans="6:7" x14ac:dyDescent="0.25">
      <c r="F48" s="1">
        <v>1684.25</v>
      </c>
      <c r="G48" s="3">
        <v>0.17436299</v>
      </c>
    </row>
    <row r="49" spans="6:7" x14ac:dyDescent="0.25">
      <c r="F49" s="1">
        <v>1684.3</v>
      </c>
      <c r="G49" s="3">
        <v>0.17425291000000001</v>
      </c>
    </row>
    <row r="50" spans="6:7" x14ac:dyDescent="0.25">
      <c r="F50" s="1">
        <v>1684.35</v>
      </c>
      <c r="G50" s="3">
        <v>0.17420262</v>
      </c>
    </row>
    <row r="51" spans="6:7" x14ac:dyDescent="0.25">
      <c r="F51" s="1">
        <v>1684.4</v>
      </c>
      <c r="G51" s="3">
        <v>0.17412654999999999</v>
      </c>
    </row>
    <row r="52" spans="6:7" x14ac:dyDescent="0.25">
      <c r="F52" s="1">
        <v>1684.45</v>
      </c>
      <c r="G52" s="3">
        <v>0.17411381000000001</v>
      </c>
    </row>
    <row r="53" spans="6:7" x14ac:dyDescent="0.25">
      <c r="F53" s="1">
        <v>1684.5</v>
      </c>
      <c r="G53" s="3">
        <v>0.17409754999999999</v>
      </c>
    </row>
    <row r="54" spans="6:7" x14ac:dyDescent="0.25">
      <c r="F54" s="1">
        <v>1684.55</v>
      </c>
      <c r="G54" s="3">
        <v>0.17409379999999999</v>
      </c>
    </row>
    <row r="55" spans="6:7" x14ac:dyDescent="0.25">
      <c r="F55" s="1">
        <v>1684.6</v>
      </c>
      <c r="G55" s="3">
        <v>0.1740873</v>
      </c>
    </row>
    <row r="56" spans="6:7" x14ac:dyDescent="0.25">
      <c r="F56" s="1">
        <v>1684.65</v>
      </c>
      <c r="G56" s="3">
        <v>0.17412612</v>
      </c>
    </row>
    <row r="57" spans="6:7" x14ac:dyDescent="0.25">
      <c r="F57" s="1">
        <v>1684.7</v>
      </c>
      <c r="G57" s="3">
        <v>0.17411272</v>
      </c>
    </row>
    <row r="58" spans="6:7" x14ac:dyDescent="0.25">
      <c r="F58" s="1">
        <v>1684.75</v>
      </c>
      <c r="G58" s="3">
        <v>0.17412604000000001</v>
      </c>
    </row>
    <row r="59" spans="6:7" x14ac:dyDescent="0.25">
      <c r="F59" s="1">
        <v>1684.8</v>
      </c>
      <c r="G59" s="3">
        <v>0.17415367000000001</v>
      </c>
    </row>
    <row r="60" spans="6:7" x14ac:dyDescent="0.25">
      <c r="F60" s="1">
        <v>1684.85</v>
      </c>
      <c r="G60" s="3">
        <v>0.17417784</v>
      </c>
    </row>
    <row r="61" spans="6:7" x14ac:dyDescent="0.25">
      <c r="F61" s="1">
        <v>1684.9</v>
      </c>
      <c r="G61" s="3">
        <v>0.17422362999999999</v>
      </c>
    </row>
    <row r="62" spans="6:7" x14ac:dyDescent="0.25">
      <c r="F62" s="1">
        <v>1684.95</v>
      </c>
      <c r="G62" s="3">
        <v>0.17423000999999999</v>
      </c>
    </row>
    <row r="63" spans="6:7" x14ac:dyDescent="0.25">
      <c r="F63" s="1">
        <v>1685</v>
      </c>
      <c r="G63" s="3">
        <v>0.17426610000000001</v>
      </c>
    </row>
    <row r="64" spans="6:7" x14ac:dyDescent="0.25">
      <c r="F64" s="1">
        <v>1685.05</v>
      </c>
      <c r="G64" s="3">
        <v>0.17430572</v>
      </c>
    </row>
    <row r="65" spans="6:7" x14ac:dyDescent="0.25">
      <c r="F65" s="1">
        <v>1685.1</v>
      </c>
      <c r="G65" s="3">
        <v>0.17434375999999999</v>
      </c>
    </row>
    <row r="66" spans="6:7" x14ac:dyDescent="0.25">
      <c r="F66" s="1">
        <v>1685.15</v>
      </c>
      <c r="G66" s="3">
        <v>0.17437021</v>
      </c>
    </row>
    <row r="67" spans="6:7" x14ac:dyDescent="0.25">
      <c r="F67" s="1">
        <v>1685.2</v>
      </c>
      <c r="G67" s="3">
        <v>0.17440085</v>
      </c>
    </row>
    <row r="68" spans="6:7" x14ac:dyDescent="0.25">
      <c r="F68" s="1">
        <v>1685.25</v>
      </c>
      <c r="G68" s="3">
        <v>0.17444204999999999</v>
      </c>
    </row>
    <row r="69" spans="6:7" x14ac:dyDescent="0.25">
      <c r="F69" s="1">
        <v>1685.3</v>
      </c>
      <c r="G69" s="3">
        <v>0.17448099</v>
      </c>
    </row>
    <row r="70" spans="6:7" x14ac:dyDescent="0.25">
      <c r="F70" s="1">
        <v>1685.35</v>
      </c>
      <c r="G70" s="3">
        <v>0.17452566</v>
      </c>
    </row>
    <row r="71" spans="6:7" x14ac:dyDescent="0.25">
      <c r="F71" s="1">
        <v>1685.4</v>
      </c>
      <c r="G71" s="3">
        <v>0.17454995000000001</v>
      </c>
    </row>
    <row r="72" spans="6:7" x14ac:dyDescent="0.25">
      <c r="F72" s="1">
        <v>1685.45</v>
      </c>
      <c r="G72" s="3">
        <v>0.17458022000000001</v>
      </c>
    </row>
    <row r="73" spans="6:7" x14ac:dyDescent="0.25">
      <c r="F73" s="1">
        <v>1685.5</v>
      </c>
      <c r="G73" s="3">
        <v>0.17461247999999999</v>
      </c>
    </row>
    <row r="74" spans="6:7" x14ac:dyDescent="0.25">
      <c r="F74" s="1">
        <v>1685.55</v>
      </c>
      <c r="G74" s="3">
        <v>0.17463819999999999</v>
      </c>
    </row>
    <row r="75" spans="6:7" x14ac:dyDescent="0.25">
      <c r="F75" s="1">
        <v>1685.6</v>
      </c>
      <c r="G75" s="3">
        <v>0.17467352999999999</v>
      </c>
    </row>
    <row r="76" spans="6:7" x14ac:dyDescent="0.25">
      <c r="F76" s="1">
        <v>1685.65</v>
      </c>
      <c r="G76" s="3">
        <v>0.17470136</v>
      </c>
    </row>
    <row r="77" spans="6:7" x14ac:dyDescent="0.25">
      <c r="F77" s="1">
        <v>1685.7</v>
      </c>
      <c r="G77" s="3">
        <v>0.17471941999999999</v>
      </c>
    </row>
    <row r="78" spans="6:7" x14ac:dyDescent="0.25">
      <c r="F78" s="1">
        <v>1685.75</v>
      </c>
      <c r="G78" s="3">
        <v>0.17474160999999999</v>
      </c>
    </row>
    <row r="79" spans="6:7" x14ac:dyDescent="0.25">
      <c r="F79" s="1">
        <v>1685.8</v>
      </c>
      <c r="G79" s="3">
        <v>0.17477413</v>
      </c>
    </row>
    <row r="80" spans="6:7" x14ac:dyDescent="0.25">
      <c r="F80" s="1">
        <v>1685.85</v>
      </c>
      <c r="G80" s="3">
        <v>0.17480572999999999</v>
      </c>
    </row>
    <row r="81" spans="6:7" x14ac:dyDescent="0.25">
      <c r="F81" s="1">
        <v>1685.9</v>
      </c>
      <c r="G81" s="3">
        <v>0.17482391999999999</v>
      </c>
    </row>
    <row r="82" spans="6:7" x14ac:dyDescent="0.25">
      <c r="F82" s="1">
        <v>1685.95</v>
      </c>
      <c r="G82" s="3">
        <v>0.17483172999999999</v>
      </c>
    </row>
    <row r="83" spans="6:7" x14ac:dyDescent="0.25">
      <c r="F83" s="1">
        <v>1686</v>
      </c>
      <c r="G83" s="3">
        <v>0.17484209000000001</v>
      </c>
    </row>
    <row r="84" spans="6:7" x14ac:dyDescent="0.25">
      <c r="F84" s="1">
        <v>1686.05</v>
      </c>
      <c r="G84" s="3">
        <v>0.17485382999999999</v>
      </c>
    </row>
    <row r="85" spans="6:7" x14ac:dyDescent="0.25">
      <c r="F85" s="1">
        <v>1686.1</v>
      </c>
      <c r="G85" s="3">
        <v>0.17486731999999999</v>
      </c>
    </row>
    <row r="86" spans="6:7" x14ac:dyDescent="0.25">
      <c r="F86" s="1">
        <v>1686.15</v>
      </c>
      <c r="G86" s="3">
        <v>0.17489115999999999</v>
      </c>
    </row>
    <row r="87" spans="6:7" x14ac:dyDescent="0.25">
      <c r="F87" s="1">
        <v>1686.2</v>
      </c>
      <c r="G87" s="3">
        <v>0.17488734</v>
      </c>
    </row>
    <row r="88" spans="6:7" x14ac:dyDescent="0.25">
      <c r="F88" s="1">
        <v>1686.25</v>
      </c>
      <c r="G88" s="3">
        <v>0.17490163</v>
      </c>
    </row>
    <row r="89" spans="6:7" x14ac:dyDescent="0.25">
      <c r="F89" s="1">
        <v>1686.3</v>
      </c>
      <c r="G89" s="3">
        <v>0.17489875999999999</v>
      </c>
    </row>
    <row r="90" spans="6:7" x14ac:dyDescent="0.25">
      <c r="F90" s="1">
        <v>1686.35</v>
      </c>
      <c r="G90" s="3">
        <v>0.17490827</v>
      </c>
    </row>
    <row r="91" spans="6:7" x14ac:dyDescent="0.25">
      <c r="F91" s="1">
        <v>1686.4</v>
      </c>
      <c r="G91" s="3">
        <v>0.17491393999999999</v>
      </c>
    </row>
    <row r="92" spans="6:7" x14ac:dyDescent="0.25">
      <c r="F92" s="1">
        <v>1686.45</v>
      </c>
      <c r="G92" s="3">
        <v>0.17490701</v>
      </c>
    </row>
    <row r="93" spans="6:7" x14ac:dyDescent="0.25">
      <c r="F93" s="1">
        <v>1686.5</v>
      </c>
      <c r="G93" s="3">
        <v>0.17489579</v>
      </c>
    </row>
    <row r="94" spans="6:7" x14ac:dyDescent="0.25">
      <c r="F94" s="1">
        <v>1686.55</v>
      </c>
      <c r="G94" s="3">
        <v>0.17489663</v>
      </c>
    </row>
    <row r="95" spans="6:7" x14ac:dyDescent="0.25">
      <c r="F95" s="1">
        <v>1686.6</v>
      </c>
      <c r="G95" s="3">
        <v>0.17488818</v>
      </c>
    </row>
    <row r="96" spans="6:7" x14ac:dyDescent="0.25">
      <c r="F96" s="1">
        <v>1686.65</v>
      </c>
      <c r="G96" s="3">
        <v>0.17488993999999999</v>
      </c>
    </row>
    <row r="97" spans="6:7" x14ac:dyDescent="0.25">
      <c r="F97" s="1">
        <v>1686.7</v>
      </c>
      <c r="G97" s="3">
        <v>0.17488565</v>
      </c>
    </row>
    <row r="98" spans="6:7" x14ac:dyDescent="0.25">
      <c r="F98" s="1">
        <v>1686.75</v>
      </c>
      <c r="G98" s="3">
        <v>0.17487897999999999</v>
      </c>
    </row>
    <row r="99" spans="6:7" x14ac:dyDescent="0.25">
      <c r="F99" s="1">
        <v>1686.8</v>
      </c>
      <c r="G99" s="3">
        <v>0.17486209999999999</v>
      </c>
    </row>
    <row r="100" spans="6:7" x14ac:dyDescent="0.25">
      <c r="F100" s="1">
        <v>1686.85</v>
      </c>
      <c r="G100" s="3">
        <v>0.17485212</v>
      </c>
    </row>
    <row r="101" spans="6:7" x14ac:dyDescent="0.25">
      <c r="F101" s="1">
        <v>1686.9</v>
      </c>
      <c r="G101" s="3">
        <v>0.17484189999999999</v>
      </c>
    </row>
    <row r="102" spans="6:7" x14ac:dyDescent="0.25">
      <c r="F102" s="1">
        <v>1686.95</v>
      </c>
      <c r="G102" s="3">
        <v>0.17483926</v>
      </c>
    </row>
    <row r="103" spans="6:7" x14ac:dyDescent="0.25">
      <c r="F103" s="1">
        <v>1687</v>
      </c>
      <c r="G103" s="3">
        <v>0.17482258000000001</v>
      </c>
    </row>
    <row r="104" spans="6:7" x14ac:dyDescent="0.25">
      <c r="F104" s="1">
        <v>1687.05</v>
      </c>
      <c r="G104" s="3">
        <v>0.17480977</v>
      </c>
    </row>
    <row r="105" spans="6:7" x14ac:dyDescent="0.25">
      <c r="F105" s="1">
        <v>1687.1</v>
      </c>
      <c r="G105" s="3">
        <v>0.17480385000000001</v>
      </c>
    </row>
    <row r="106" spans="6:7" x14ac:dyDescent="0.25">
      <c r="F106" s="1">
        <v>1687.15</v>
      </c>
      <c r="G106" s="3">
        <v>0.17478543999999999</v>
      </c>
    </row>
    <row r="107" spans="6:7" x14ac:dyDescent="0.25">
      <c r="F107" s="1">
        <v>1687.2</v>
      </c>
      <c r="G107" s="3">
        <v>0.17477508999999999</v>
      </c>
    </row>
    <row r="108" spans="6:7" x14ac:dyDescent="0.25">
      <c r="F108" s="1">
        <v>1687.25</v>
      </c>
      <c r="G108" s="3">
        <v>0.17477988</v>
      </c>
    </row>
    <row r="109" spans="6:7" x14ac:dyDescent="0.25">
      <c r="F109" s="1">
        <v>1687.3</v>
      </c>
      <c r="G109" s="3">
        <v>0.17477706000000001</v>
      </c>
    </row>
    <row r="110" spans="6:7" x14ac:dyDescent="0.25">
      <c r="F110" s="1">
        <v>1687.35</v>
      </c>
      <c r="G110" s="3">
        <v>0.17476781</v>
      </c>
    </row>
    <row r="111" spans="6:7" x14ac:dyDescent="0.25">
      <c r="F111" s="1">
        <v>1687.4</v>
      </c>
      <c r="G111" s="3">
        <v>0.17475495999999999</v>
      </c>
    </row>
    <row r="112" spans="6:7" x14ac:dyDescent="0.25">
      <c r="F112" s="1">
        <v>1687.45</v>
      </c>
      <c r="G112" s="3">
        <v>0.17475319</v>
      </c>
    </row>
    <row r="113" spans="6:7" x14ac:dyDescent="0.25">
      <c r="F113" s="1">
        <v>1687.5</v>
      </c>
      <c r="G113" s="3">
        <v>0.17475122000000001</v>
      </c>
    </row>
    <row r="114" spans="6:7" x14ac:dyDescent="0.25">
      <c r="F114" s="1">
        <v>1687.55</v>
      </c>
      <c r="G114" s="3">
        <v>0.17474307</v>
      </c>
    </row>
    <row r="115" spans="6:7" x14ac:dyDescent="0.25">
      <c r="F115" s="1">
        <v>1687.6</v>
      </c>
      <c r="G115" s="3">
        <v>0.17473959999999999</v>
      </c>
    </row>
    <row r="116" spans="6:7" x14ac:dyDescent="0.25">
      <c r="F116" s="1">
        <v>1687.65</v>
      </c>
      <c r="G116" s="3">
        <v>0.17472599</v>
      </c>
    </row>
    <row r="117" spans="6:7" x14ac:dyDescent="0.25">
      <c r="F117" s="1">
        <v>1687.7</v>
      </c>
      <c r="G117" s="3">
        <v>0.17471965</v>
      </c>
    </row>
    <row r="118" spans="6:7" x14ac:dyDescent="0.25">
      <c r="F118" s="1">
        <v>1687.75</v>
      </c>
      <c r="G118" s="3">
        <v>0.17472199999999999</v>
      </c>
    </row>
    <row r="119" spans="6:7" x14ac:dyDescent="0.25">
      <c r="F119" s="1">
        <v>1687.8</v>
      </c>
      <c r="G119" s="3">
        <v>0.1747351</v>
      </c>
    </row>
    <row r="120" spans="6:7" x14ac:dyDescent="0.25">
      <c r="F120" s="1">
        <v>1687.85</v>
      </c>
      <c r="G120" s="3">
        <v>0.17472945000000001</v>
      </c>
    </row>
    <row r="121" spans="6:7" x14ac:dyDescent="0.25">
      <c r="F121" s="1">
        <v>1687.9</v>
      </c>
      <c r="G121" s="3">
        <v>0.17473274</v>
      </c>
    </row>
    <row r="122" spans="6:7" x14ac:dyDescent="0.25">
      <c r="F122" s="1">
        <v>1687.95</v>
      </c>
      <c r="G122" s="3">
        <v>0.17475889999999999</v>
      </c>
    </row>
    <row r="123" spans="6:7" x14ac:dyDescent="0.25">
      <c r="F123" s="1">
        <v>1688</v>
      </c>
      <c r="G123" s="3">
        <v>0.17475057999999999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3"/>
  <sheetViews>
    <sheetView zoomScale="90" zoomScaleNormal="90" workbookViewId="0">
      <selection activeCell="G3" sqref="G3:G123"/>
    </sheetView>
  </sheetViews>
  <sheetFormatPr defaultRowHeight="15.75" x14ac:dyDescent="0.25"/>
  <cols>
    <col min="1" max="1" width="12.625" customWidth="1"/>
    <col min="2" max="2" width="9" customWidth="1"/>
    <col min="3" max="3" width="15.25" customWidth="1"/>
    <col min="6" max="6" width="13.125" style="1" customWidth="1"/>
    <col min="7" max="7" width="11.375" style="3" bestFit="1" customWidth="1"/>
    <col min="9" max="9" width="12.5" customWidth="1"/>
    <col min="10" max="10" width="11.375" bestFit="1" customWidth="1"/>
    <col min="12" max="13" width="14" customWidth="1"/>
    <col min="14" max="14" width="16.125" customWidth="1"/>
    <col min="15" max="15" width="12.5" customWidth="1"/>
  </cols>
  <sheetData>
    <row r="1" spans="1:15" x14ac:dyDescent="0.25">
      <c r="C1" t="s">
        <v>0</v>
      </c>
      <c r="G1" s="3" t="s">
        <v>1</v>
      </c>
      <c r="J1" t="s">
        <v>2</v>
      </c>
      <c r="L1" t="s">
        <v>3</v>
      </c>
      <c r="N1" t="s">
        <v>5</v>
      </c>
    </row>
    <row r="2" spans="1:15" x14ac:dyDescent="0.25">
      <c r="A2" t="s">
        <v>6</v>
      </c>
      <c r="B2" t="s">
        <v>7</v>
      </c>
      <c r="C2" t="s">
        <v>8</v>
      </c>
      <c r="D2" t="s">
        <v>9</v>
      </c>
      <c r="F2" t="s">
        <v>6</v>
      </c>
      <c r="G2" t="s">
        <v>9</v>
      </c>
      <c r="I2" t="s">
        <v>6</v>
      </c>
      <c r="J2" t="s">
        <v>9</v>
      </c>
    </row>
    <row r="3" spans="1:15" x14ac:dyDescent="0.25">
      <c r="A3">
        <v>1682</v>
      </c>
      <c r="B3">
        <v>0.12932399999999999</v>
      </c>
      <c r="C3">
        <f t="shared" ref="C3:C15" si="0">B3*4*PI()/(0.0064886478302)</f>
        <v>250.45793143026748</v>
      </c>
      <c r="D3">
        <f t="shared" ref="D3:D15" si="1">C3/(4000*PI())</f>
        <v>1.9930808911849025E-2</v>
      </c>
      <c r="F3" s="1">
        <v>1682</v>
      </c>
      <c r="G3" s="3">
        <v>2.7370939000000002E-3</v>
      </c>
      <c r="I3">
        <v>1682</v>
      </c>
      <c r="J3" s="3">
        <v>1.2466904743202601E-3</v>
      </c>
      <c r="L3">
        <f>D3/G3</f>
        <v>7.2817410143835488</v>
      </c>
      <c r="M3">
        <f>1-L3</f>
        <v>-6.2817410143835488</v>
      </c>
      <c r="N3">
        <f>J3/G3</f>
        <v>0.45547961446271901</v>
      </c>
      <c r="O3">
        <f>1-N3</f>
        <v>0.54452038553728099</v>
      </c>
    </row>
    <row r="4" spans="1:15" x14ac:dyDescent="0.25">
      <c r="A4">
        <v>1682.5</v>
      </c>
      <c r="B4">
        <v>0.27382400000000001</v>
      </c>
      <c r="C4">
        <f t="shared" si="0"/>
        <v>530.30676916861194</v>
      </c>
      <c r="D4">
        <f t="shared" si="1"/>
        <v>4.2200471834138657E-2</v>
      </c>
      <c r="F4" s="1">
        <v>1682.05</v>
      </c>
      <c r="G4" s="3">
        <v>3.0524591E-3</v>
      </c>
      <c r="I4">
        <v>1682.5</v>
      </c>
      <c r="J4" s="3">
        <v>5.0417868961885404E-3</v>
      </c>
      <c r="L4">
        <f t="shared" ref="L4:L15" si="2">D4/G4</f>
        <v>13.825073637887124</v>
      </c>
      <c r="M4">
        <f t="shared" ref="M4:M15" si="3">1-L4</f>
        <v>-12.825073637887124</v>
      </c>
      <c r="N4">
        <f t="shared" ref="N4:N15" si="4">J4/G4</f>
        <v>1.6517131699450258</v>
      </c>
      <c r="O4">
        <f t="shared" ref="O4:O15" si="5">1-N4</f>
        <v>-0.65171316994502582</v>
      </c>
    </row>
    <row r="5" spans="1:15" x14ac:dyDescent="0.25">
      <c r="A5">
        <v>1683</v>
      </c>
      <c r="B5">
        <v>0.488452</v>
      </c>
      <c r="C5">
        <f t="shared" si="0"/>
        <v>945.97041170221314</v>
      </c>
      <c r="D5">
        <f t="shared" si="1"/>
        <v>7.5277933520541268E-2</v>
      </c>
      <c r="F5" s="1">
        <v>1682.1</v>
      </c>
      <c r="G5" s="3">
        <v>3.4754708999999999E-3</v>
      </c>
      <c r="I5">
        <v>1683</v>
      </c>
      <c r="J5" s="3">
        <v>2.5651520453456901E-2</v>
      </c>
      <c r="L5">
        <f t="shared" si="2"/>
        <v>21.659779548302726</v>
      </c>
      <c r="M5">
        <f t="shared" si="3"/>
        <v>-20.659779548302726</v>
      </c>
      <c r="N5">
        <f t="shared" si="4"/>
        <v>7.3807323357122341</v>
      </c>
      <c r="O5">
        <f t="shared" si="5"/>
        <v>-6.3807323357122341</v>
      </c>
    </row>
    <row r="6" spans="1:15" x14ac:dyDescent="0.25">
      <c r="A6">
        <v>1683.5</v>
      </c>
      <c r="B6">
        <v>0.72741199999999995</v>
      </c>
      <c r="C6">
        <f t="shared" si="0"/>
        <v>1408.7571125046684</v>
      </c>
      <c r="D6">
        <f t="shared" si="1"/>
        <v>0.11210532903549165</v>
      </c>
      <c r="F6" s="1">
        <v>1682.15</v>
      </c>
      <c r="G6" s="3">
        <v>4.0102499000000003E-3</v>
      </c>
      <c r="I6">
        <v>1683.5</v>
      </c>
      <c r="J6" s="3">
        <v>6.2433647031302698E-2</v>
      </c>
      <c r="L6">
        <f t="shared" si="2"/>
        <v>27.95469904144668</v>
      </c>
      <c r="M6">
        <f t="shared" si="3"/>
        <v>-26.95469904144668</v>
      </c>
      <c r="N6">
        <f t="shared" si="4"/>
        <v>15.56851782012455</v>
      </c>
      <c r="O6">
        <f t="shared" si="5"/>
        <v>-14.56851782012455</v>
      </c>
    </row>
    <row r="7" spans="1:15" x14ac:dyDescent="0.25">
      <c r="A7">
        <v>1684</v>
      </c>
      <c r="B7">
        <v>0.89378899999999994</v>
      </c>
      <c r="C7">
        <f t="shared" si="0"/>
        <v>1730.9744832755509</v>
      </c>
      <c r="D7">
        <f t="shared" si="1"/>
        <v>0.13774657268962165</v>
      </c>
      <c r="F7" s="1">
        <v>1682.2</v>
      </c>
      <c r="G7" s="3">
        <v>4.6990863000000004E-3</v>
      </c>
      <c r="I7">
        <v>1684</v>
      </c>
      <c r="J7" s="3">
        <v>8.12647689611702E-2</v>
      </c>
      <c r="L7">
        <f t="shared" si="2"/>
        <v>29.313480088591188</v>
      </c>
      <c r="M7">
        <f t="shared" si="3"/>
        <v>-28.313480088591188</v>
      </c>
      <c r="N7">
        <f t="shared" si="4"/>
        <v>17.293738351042879</v>
      </c>
      <c r="O7">
        <f t="shared" si="5"/>
        <v>-16.293738351042879</v>
      </c>
    </row>
    <row r="8" spans="1:15" x14ac:dyDescent="0.25">
      <c r="A8">
        <v>1684.5</v>
      </c>
      <c r="B8">
        <v>1.013037</v>
      </c>
      <c r="C8">
        <f t="shared" si="0"/>
        <v>1961.9185262002716</v>
      </c>
      <c r="D8">
        <f t="shared" si="1"/>
        <v>0.15612451569416971</v>
      </c>
      <c r="F8" s="1">
        <v>1682.25</v>
      </c>
      <c r="G8" s="3">
        <v>5.5869403E-3</v>
      </c>
      <c r="I8">
        <v>1684.5</v>
      </c>
      <c r="J8" s="3">
        <v>9.9317199260597802E-2</v>
      </c>
      <c r="L8">
        <f t="shared" si="2"/>
        <v>27.944546981139162</v>
      </c>
      <c r="M8">
        <f t="shared" si="3"/>
        <v>-26.944546981139162</v>
      </c>
      <c r="N8">
        <f t="shared" si="4"/>
        <v>17.776670937507209</v>
      </c>
      <c r="O8">
        <f t="shared" si="5"/>
        <v>-16.776670937507209</v>
      </c>
    </row>
    <row r="9" spans="1:15" x14ac:dyDescent="0.25">
      <c r="A9">
        <v>1685</v>
      </c>
      <c r="B9">
        <v>1.063188</v>
      </c>
      <c r="C9">
        <f t="shared" si="0"/>
        <v>2059.0444712619719</v>
      </c>
      <c r="D9">
        <f t="shared" si="1"/>
        <v>0.16385355282369043</v>
      </c>
      <c r="F9" s="1">
        <v>1682.3</v>
      </c>
      <c r="G9" s="3">
        <v>6.7232302000000002E-3</v>
      </c>
      <c r="I9">
        <v>1685</v>
      </c>
      <c r="J9" s="3">
        <v>0.11916302112659</v>
      </c>
      <c r="L9">
        <f t="shared" si="2"/>
        <v>24.371254285431196</v>
      </c>
      <c r="M9">
        <f t="shared" si="3"/>
        <v>-23.371254285431196</v>
      </c>
      <c r="N9">
        <f t="shared" si="4"/>
        <v>17.724072742086086</v>
      </c>
      <c r="O9">
        <f t="shared" si="5"/>
        <v>-16.724072742086086</v>
      </c>
    </row>
    <row r="10" spans="1:15" x14ac:dyDescent="0.25">
      <c r="A10">
        <v>1685.5</v>
      </c>
      <c r="B10">
        <v>1.08477</v>
      </c>
      <c r="C10">
        <f t="shared" si="0"/>
        <v>2100.8416865980894</v>
      </c>
      <c r="D10">
        <f t="shared" si="1"/>
        <v>0.1671796695378002</v>
      </c>
      <c r="F10" s="1">
        <v>1682.35</v>
      </c>
      <c r="G10" s="3">
        <v>8.1897759999999993E-3</v>
      </c>
      <c r="I10">
        <v>1685.5</v>
      </c>
      <c r="J10" s="3">
        <v>0.13111390491025901</v>
      </c>
      <c r="L10">
        <f t="shared" si="2"/>
        <v>20.41321637341488</v>
      </c>
      <c r="M10">
        <f t="shared" si="3"/>
        <v>-19.41321637341488</v>
      </c>
      <c r="N10">
        <f t="shared" si="4"/>
        <v>16.009461664184592</v>
      </c>
      <c r="O10">
        <f t="shared" si="5"/>
        <v>-15.009461664184592</v>
      </c>
    </row>
    <row r="11" spans="1:15" x14ac:dyDescent="0.25">
      <c r="A11">
        <v>1686</v>
      </c>
      <c r="B11">
        <v>1.077142</v>
      </c>
      <c r="C11">
        <f t="shared" si="0"/>
        <v>2086.0687666377562</v>
      </c>
      <c r="D11">
        <f t="shared" si="1"/>
        <v>0.16600407792000621</v>
      </c>
      <c r="F11" s="1">
        <v>1682.4</v>
      </c>
      <c r="G11" s="3">
        <v>1.0013273E-2</v>
      </c>
      <c r="I11">
        <v>1686</v>
      </c>
      <c r="J11" s="3">
        <v>0.144082498113179</v>
      </c>
      <c r="L11">
        <f t="shared" si="2"/>
        <v>16.578403277330622</v>
      </c>
      <c r="M11">
        <f t="shared" si="3"/>
        <v>-15.578403277330622</v>
      </c>
      <c r="N11">
        <f t="shared" si="4"/>
        <v>14.389151091074718</v>
      </c>
      <c r="O11">
        <f t="shared" si="5"/>
        <v>-13.389151091074718</v>
      </c>
    </row>
    <row r="12" spans="1:15" x14ac:dyDescent="0.25">
      <c r="A12">
        <v>1686.5</v>
      </c>
      <c r="B12">
        <v>1.0962479999999999</v>
      </c>
      <c r="C12">
        <f t="shared" si="0"/>
        <v>2123.0707866642533</v>
      </c>
      <c r="D12">
        <f t="shared" si="1"/>
        <v>0.16894860511580737</v>
      </c>
      <c r="F12" s="1">
        <v>1682.45</v>
      </c>
      <c r="G12" s="3">
        <v>1.2274212E-2</v>
      </c>
      <c r="I12">
        <v>1686.5</v>
      </c>
      <c r="J12" s="3">
        <v>0.154893562746582</v>
      </c>
      <c r="L12">
        <f t="shared" si="2"/>
        <v>13.764517438333913</v>
      </c>
      <c r="M12">
        <f t="shared" si="3"/>
        <v>-12.764517438333913</v>
      </c>
      <c r="N12">
        <f t="shared" si="4"/>
        <v>12.619430293902534</v>
      </c>
      <c r="O12">
        <f t="shared" si="5"/>
        <v>-11.619430293902534</v>
      </c>
    </row>
    <row r="13" spans="1:15" x14ac:dyDescent="0.25">
      <c r="A13">
        <v>1687</v>
      </c>
      <c r="B13">
        <v>1.0983620000000001</v>
      </c>
      <c r="C13">
        <f t="shared" si="0"/>
        <v>2127.1649073769099</v>
      </c>
      <c r="D13">
        <f t="shared" si="1"/>
        <v>0.16927440489032447</v>
      </c>
      <c r="F13" s="1">
        <v>1682.5</v>
      </c>
      <c r="G13" s="3">
        <v>1.5064162000000001E-2</v>
      </c>
      <c r="I13">
        <v>1687</v>
      </c>
      <c r="J13" s="3">
        <v>0.159737121060293</v>
      </c>
      <c r="L13">
        <f t="shared" si="2"/>
        <v>11.236894882723941</v>
      </c>
      <c r="M13">
        <f t="shared" si="3"/>
        <v>-10.236894882723941</v>
      </c>
      <c r="N13">
        <f t="shared" si="4"/>
        <v>10.603784071114809</v>
      </c>
      <c r="O13">
        <f t="shared" si="5"/>
        <v>-9.6037840711148093</v>
      </c>
    </row>
    <row r="14" spans="1:15" x14ac:dyDescent="0.25">
      <c r="A14">
        <v>1687.5</v>
      </c>
      <c r="B14">
        <v>1.0981240000000001</v>
      </c>
      <c r="C14">
        <f t="shared" si="0"/>
        <v>2126.7039798794585</v>
      </c>
      <c r="D14">
        <f t="shared" si="1"/>
        <v>0.1692377254455113</v>
      </c>
      <c r="F14" s="1">
        <v>1682.55</v>
      </c>
      <c r="G14" s="3">
        <v>1.8513373999999999E-2</v>
      </c>
      <c r="I14">
        <v>1687.5</v>
      </c>
      <c r="J14" s="3">
        <v>0.16311548281416999</v>
      </c>
      <c r="L14">
        <f t="shared" si="2"/>
        <v>9.1413766850662288</v>
      </c>
      <c r="M14">
        <f t="shared" si="3"/>
        <v>-8.1413766850662288</v>
      </c>
      <c r="N14">
        <f t="shared" si="4"/>
        <v>8.8106837151439823</v>
      </c>
      <c r="O14">
        <f t="shared" si="5"/>
        <v>-7.8106837151439823</v>
      </c>
    </row>
    <row r="15" spans="1:15" x14ac:dyDescent="0.25">
      <c r="A15">
        <v>1688</v>
      </c>
      <c r="B15">
        <v>1.092565</v>
      </c>
      <c r="C15">
        <f t="shared" si="0"/>
        <v>2115.938030474701</v>
      </c>
      <c r="D15">
        <f t="shared" si="1"/>
        <v>0.16838099841308909</v>
      </c>
      <c r="F15" s="1">
        <v>1682.6</v>
      </c>
      <c r="G15" s="3">
        <v>2.2551112000000002E-2</v>
      </c>
      <c r="I15">
        <v>1688</v>
      </c>
      <c r="J15" s="3">
        <v>0.16551129516947299</v>
      </c>
      <c r="L15">
        <f t="shared" si="2"/>
        <v>7.4666383818717712</v>
      </c>
      <c r="M15">
        <f t="shared" si="3"/>
        <v>-6.4666383818717712</v>
      </c>
      <c r="N15">
        <f t="shared" si="4"/>
        <v>7.3393850897229802</v>
      </c>
      <c r="O15">
        <f t="shared" si="5"/>
        <v>-6.3393850897229802</v>
      </c>
    </row>
    <row r="16" spans="1:15" x14ac:dyDescent="0.25">
      <c r="F16" s="1">
        <v>1682.65</v>
      </c>
      <c r="G16" s="3">
        <v>2.7459839E-2</v>
      </c>
    </row>
    <row r="17" spans="6:7" x14ac:dyDescent="0.25">
      <c r="F17" s="1">
        <v>1682.7</v>
      </c>
      <c r="G17" s="3">
        <v>3.3179183000000001E-2</v>
      </c>
    </row>
    <row r="18" spans="6:7" x14ac:dyDescent="0.25">
      <c r="F18" s="1">
        <v>1682.75</v>
      </c>
      <c r="G18" s="3">
        <v>3.9814572999999999E-2</v>
      </c>
    </row>
    <row r="19" spans="6:7" x14ac:dyDescent="0.25">
      <c r="F19" s="1">
        <v>1682.8</v>
      </c>
      <c r="G19" s="3">
        <v>4.7403421000000001E-2</v>
      </c>
    </row>
    <row r="20" spans="6:7" x14ac:dyDescent="0.25">
      <c r="F20" s="1">
        <v>1682.85</v>
      </c>
      <c r="G20" s="3">
        <v>5.5631558999999997E-2</v>
      </c>
    </row>
    <row r="21" spans="6:7" x14ac:dyDescent="0.25">
      <c r="F21" s="1">
        <v>1682.9</v>
      </c>
      <c r="G21" s="3">
        <v>6.4110473000000001E-2</v>
      </c>
    </row>
    <row r="22" spans="6:7" x14ac:dyDescent="0.25">
      <c r="F22" s="1">
        <v>1682.95</v>
      </c>
      <c r="G22" s="3">
        <v>7.2848774000000005E-2</v>
      </c>
    </row>
    <row r="23" spans="6:7" x14ac:dyDescent="0.25">
      <c r="F23" s="1">
        <v>1683</v>
      </c>
      <c r="G23" s="3">
        <v>8.2017295000000004E-2</v>
      </c>
    </row>
    <row r="24" spans="6:7" x14ac:dyDescent="0.25">
      <c r="F24" s="1">
        <v>1683.05</v>
      </c>
      <c r="G24" s="3">
        <v>9.1680355000000005E-2</v>
      </c>
    </row>
    <row r="25" spans="6:7" x14ac:dyDescent="0.25">
      <c r="F25" s="1">
        <v>1683.1</v>
      </c>
      <c r="G25" s="3">
        <v>0.10195029999999999</v>
      </c>
    </row>
    <row r="26" spans="6:7" x14ac:dyDescent="0.25">
      <c r="F26" s="1">
        <v>1683.15</v>
      </c>
      <c r="G26" s="3">
        <v>0.1119132</v>
      </c>
    </row>
    <row r="27" spans="6:7" x14ac:dyDescent="0.25">
      <c r="F27" s="1">
        <v>1683.2</v>
      </c>
      <c r="G27" s="3">
        <v>0.12131079</v>
      </c>
    </row>
    <row r="28" spans="6:7" x14ac:dyDescent="0.25">
      <c r="F28" s="1">
        <v>1683.25</v>
      </c>
      <c r="G28" s="3">
        <v>0.13020799</v>
      </c>
    </row>
    <row r="29" spans="6:7" x14ac:dyDescent="0.25">
      <c r="F29" s="1">
        <v>1683.3</v>
      </c>
      <c r="G29" s="3">
        <v>0.13859434000000001</v>
      </c>
    </row>
    <row r="30" spans="6:7" x14ac:dyDescent="0.25">
      <c r="F30" s="1">
        <v>1683.35</v>
      </c>
      <c r="G30" s="3">
        <v>0.14634345000000001</v>
      </c>
    </row>
    <row r="31" spans="6:7" x14ac:dyDescent="0.25">
      <c r="F31" s="1">
        <v>1683.4</v>
      </c>
      <c r="G31" s="3">
        <v>0.15329222000000001</v>
      </c>
    </row>
    <row r="32" spans="6:7" x14ac:dyDescent="0.25">
      <c r="F32" s="1">
        <v>1683.45</v>
      </c>
      <c r="G32" s="3">
        <v>0.15941312999999999</v>
      </c>
    </row>
    <row r="33" spans="6:7" x14ac:dyDescent="0.25">
      <c r="F33" s="1">
        <v>1683.5</v>
      </c>
      <c r="G33" s="3">
        <v>0.16428645</v>
      </c>
    </row>
    <row r="34" spans="6:7" x14ac:dyDescent="0.25">
      <c r="F34" s="1">
        <v>1683.55</v>
      </c>
      <c r="G34" s="3">
        <v>0.16807900000000001</v>
      </c>
    </row>
    <row r="35" spans="6:7" x14ac:dyDescent="0.25">
      <c r="F35" s="1">
        <v>1683.6</v>
      </c>
      <c r="G35" s="3">
        <v>0.17151153</v>
      </c>
    </row>
    <row r="36" spans="6:7" x14ac:dyDescent="0.25">
      <c r="F36" s="1">
        <v>1683.65</v>
      </c>
      <c r="G36" s="3">
        <v>0.17441438000000001</v>
      </c>
    </row>
    <row r="37" spans="6:7" x14ac:dyDescent="0.25">
      <c r="F37" s="1">
        <v>1683.7</v>
      </c>
      <c r="G37" s="3">
        <v>0.17664406999999999</v>
      </c>
    </row>
    <row r="38" spans="6:7" x14ac:dyDescent="0.25">
      <c r="F38" s="1">
        <v>1683.75</v>
      </c>
      <c r="G38" s="3">
        <v>0.17803273</v>
      </c>
    </row>
    <row r="39" spans="6:7" x14ac:dyDescent="0.25">
      <c r="F39" s="1">
        <v>1683.8</v>
      </c>
      <c r="G39" s="3">
        <v>0.17852177</v>
      </c>
    </row>
    <row r="40" spans="6:7" x14ac:dyDescent="0.25">
      <c r="F40" s="1">
        <v>1683.85</v>
      </c>
      <c r="G40" s="3">
        <v>0.17841741</v>
      </c>
    </row>
    <row r="41" spans="6:7" x14ac:dyDescent="0.25">
      <c r="F41" s="1">
        <v>1683.9</v>
      </c>
      <c r="G41" s="3">
        <v>0.17827045999999999</v>
      </c>
    </row>
    <row r="42" spans="6:7" x14ac:dyDescent="0.25">
      <c r="F42" s="1">
        <v>1683.95</v>
      </c>
      <c r="G42" s="3">
        <v>0.17794119999999999</v>
      </c>
    </row>
    <row r="43" spans="6:7" x14ac:dyDescent="0.25">
      <c r="F43" s="1">
        <v>1684</v>
      </c>
      <c r="G43" s="3">
        <v>0.17751847000000001</v>
      </c>
    </row>
    <row r="44" spans="6:7" x14ac:dyDescent="0.25">
      <c r="F44" s="1">
        <v>1684.05</v>
      </c>
      <c r="G44" s="3">
        <v>0.17716961000000001</v>
      </c>
    </row>
    <row r="45" spans="6:7" x14ac:dyDescent="0.25">
      <c r="F45" s="1">
        <v>1684.1</v>
      </c>
      <c r="G45" s="3">
        <v>0.17672081000000001</v>
      </c>
    </row>
    <row r="46" spans="6:7" x14ac:dyDescent="0.25">
      <c r="F46" s="1">
        <v>1684.15</v>
      </c>
      <c r="G46" s="3">
        <v>0.17629126000000001</v>
      </c>
    </row>
    <row r="47" spans="6:7" x14ac:dyDescent="0.25">
      <c r="F47" s="1">
        <v>1684.2</v>
      </c>
      <c r="G47" s="3">
        <v>0.17587838</v>
      </c>
    </row>
    <row r="48" spans="6:7" x14ac:dyDescent="0.25">
      <c r="F48" s="1">
        <v>1684.25</v>
      </c>
      <c r="G48" s="3">
        <v>0.17552669000000001</v>
      </c>
    </row>
    <row r="49" spans="6:7" x14ac:dyDescent="0.25">
      <c r="F49" s="1">
        <v>1684.3</v>
      </c>
      <c r="G49" s="3">
        <v>0.17519355</v>
      </c>
    </row>
    <row r="50" spans="6:7" x14ac:dyDescent="0.25">
      <c r="F50" s="1">
        <v>1684.35</v>
      </c>
      <c r="G50" s="3">
        <v>0.17493705000000001</v>
      </c>
    </row>
    <row r="51" spans="6:7" x14ac:dyDescent="0.25">
      <c r="F51" s="1">
        <v>1684.4</v>
      </c>
      <c r="G51" s="3">
        <v>0.17473833</v>
      </c>
    </row>
    <row r="52" spans="6:7" x14ac:dyDescent="0.25">
      <c r="F52" s="1">
        <v>1684.45</v>
      </c>
      <c r="G52" s="3">
        <v>0.17453416999999999</v>
      </c>
    </row>
    <row r="53" spans="6:7" x14ac:dyDescent="0.25">
      <c r="F53" s="1">
        <v>1684.5</v>
      </c>
      <c r="G53" s="3">
        <v>0.17441699999999999</v>
      </c>
    </row>
    <row r="54" spans="6:7" x14ac:dyDescent="0.25">
      <c r="F54" s="1">
        <v>1684.55</v>
      </c>
      <c r="G54" s="3">
        <v>0.17426474</v>
      </c>
    </row>
    <row r="55" spans="6:7" x14ac:dyDescent="0.25">
      <c r="F55" s="1">
        <v>1684.6</v>
      </c>
      <c r="G55" s="3">
        <v>0.17417803000000001</v>
      </c>
    </row>
    <row r="56" spans="6:7" x14ac:dyDescent="0.25">
      <c r="F56" s="1">
        <v>1684.65</v>
      </c>
      <c r="G56" s="3">
        <v>0.17418742000000001</v>
      </c>
    </row>
    <row r="57" spans="6:7" x14ac:dyDescent="0.25">
      <c r="F57" s="1">
        <v>1684.7</v>
      </c>
      <c r="G57" s="3">
        <v>0.17412730000000001</v>
      </c>
    </row>
    <row r="58" spans="6:7" x14ac:dyDescent="0.25">
      <c r="F58" s="1">
        <v>1684.75</v>
      </c>
      <c r="G58" s="3">
        <v>0.17415041000000001</v>
      </c>
    </row>
    <row r="59" spans="6:7" x14ac:dyDescent="0.25">
      <c r="F59" s="1">
        <v>1684.8</v>
      </c>
      <c r="G59" s="3">
        <v>0.17410444999999999</v>
      </c>
    </row>
    <row r="60" spans="6:7" x14ac:dyDescent="0.25">
      <c r="F60" s="1">
        <v>1684.85</v>
      </c>
      <c r="G60" s="3">
        <v>0.17410967999999999</v>
      </c>
    </row>
    <row r="61" spans="6:7" x14ac:dyDescent="0.25">
      <c r="F61" s="1">
        <v>1684.9</v>
      </c>
      <c r="G61" s="3">
        <v>0.17416243000000001</v>
      </c>
    </row>
    <row r="62" spans="6:7" x14ac:dyDescent="0.25">
      <c r="F62" s="1">
        <v>1684.95</v>
      </c>
      <c r="G62" s="3">
        <v>0.17417161</v>
      </c>
    </row>
    <row r="63" spans="6:7" x14ac:dyDescent="0.25">
      <c r="F63" s="1">
        <v>1685</v>
      </c>
      <c r="G63" s="3">
        <v>0.17417605</v>
      </c>
    </row>
    <row r="64" spans="6:7" x14ac:dyDescent="0.25">
      <c r="F64" s="1">
        <v>1685.05</v>
      </c>
      <c r="G64" s="3">
        <v>0.1742108</v>
      </c>
    </row>
    <row r="65" spans="6:7" x14ac:dyDescent="0.25">
      <c r="F65" s="1">
        <v>1685.1</v>
      </c>
      <c r="G65" s="3">
        <v>0.1742484</v>
      </c>
    </row>
    <row r="66" spans="6:7" x14ac:dyDescent="0.25">
      <c r="F66" s="1">
        <v>1685.15</v>
      </c>
      <c r="G66" s="3">
        <v>0.17428927</v>
      </c>
    </row>
    <row r="67" spans="6:7" x14ac:dyDescent="0.25">
      <c r="F67" s="1">
        <v>1685.2</v>
      </c>
      <c r="G67" s="3">
        <v>0.17431190999999999</v>
      </c>
    </row>
    <row r="68" spans="6:7" x14ac:dyDescent="0.25">
      <c r="F68" s="1">
        <v>1685.25</v>
      </c>
      <c r="G68" s="3">
        <v>0.17434031</v>
      </c>
    </row>
    <row r="69" spans="6:7" x14ac:dyDescent="0.25">
      <c r="F69" s="1">
        <v>1685.3</v>
      </c>
      <c r="G69" s="3">
        <v>0.17438139</v>
      </c>
    </row>
    <row r="70" spans="6:7" x14ac:dyDescent="0.25">
      <c r="F70" s="1">
        <v>1685.35</v>
      </c>
      <c r="G70" s="3">
        <v>0.17442439000000001</v>
      </c>
    </row>
    <row r="71" spans="6:7" x14ac:dyDescent="0.25">
      <c r="F71" s="1">
        <v>1685.4</v>
      </c>
      <c r="G71" s="3">
        <v>0.17444836999999999</v>
      </c>
    </row>
    <row r="72" spans="6:7" x14ac:dyDescent="0.25">
      <c r="F72" s="1">
        <v>1685.45</v>
      </c>
      <c r="G72" s="3">
        <v>0.17449586</v>
      </c>
    </row>
    <row r="73" spans="6:7" x14ac:dyDescent="0.25">
      <c r="F73" s="1">
        <v>1685.5</v>
      </c>
      <c r="G73" s="3">
        <v>0.17452546999999999</v>
      </c>
    </row>
    <row r="74" spans="6:7" x14ac:dyDescent="0.25">
      <c r="F74" s="1">
        <v>1685.55</v>
      </c>
      <c r="G74" s="3">
        <v>0.17454185999999999</v>
      </c>
    </row>
    <row r="75" spans="6:7" x14ac:dyDescent="0.25">
      <c r="F75" s="1">
        <v>1685.6</v>
      </c>
      <c r="G75" s="3">
        <v>0.17458604</v>
      </c>
    </row>
    <row r="76" spans="6:7" x14ac:dyDescent="0.25">
      <c r="F76" s="1">
        <v>1685.65</v>
      </c>
      <c r="G76" s="3">
        <v>0.17460084000000001</v>
      </c>
    </row>
    <row r="77" spans="6:7" x14ac:dyDescent="0.25">
      <c r="F77" s="1">
        <v>1685.7</v>
      </c>
      <c r="G77" s="3">
        <v>0.17462697999999999</v>
      </c>
    </row>
    <row r="78" spans="6:7" x14ac:dyDescent="0.25">
      <c r="F78" s="1">
        <v>1685.75</v>
      </c>
      <c r="G78" s="3">
        <v>0.17464880999999999</v>
      </c>
    </row>
    <row r="79" spans="6:7" x14ac:dyDescent="0.25">
      <c r="F79" s="1">
        <v>1685.8</v>
      </c>
      <c r="G79" s="3">
        <v>0.17467329000000001</v>
      </c>
    </row>
    <row r="80" spans="6:7" x14ac:dyDescent="0.25">
      <c r="F80" s="1">
        <v>1685.85</v>
      </c>
      <c r="G80" s="3">
        <v>0.17470911</v>
      </c>
    </row>
    <row r="81" spans="6:7" x14ac:dyDescent="0.25">
      <c r="F81" s="1">
        <v>1685.9</v>
      </c>
      <c r="G81" s="3">
        <v>0.17472373999999999</v>
      </c>
    </row>
    <row r="82" spans="6:7" x14ac:dyDescent="0.25">
      <c r="F82" s="1">
        <v>1685.95</v>
      </c>
      <c r="G82" s="3">
        <v>0.17474824</v>
      </c>
    </row>
    <row r="83" spans="6:7" x14ac:dyDescent="0.25">
      <c r="F83" s="1">
        <v>1686</v>
      </c>
      <c r="G83" s="3">
        <v>0.17475961000000001</v>
      </c>
    </row>
    <row r="84" spans="6:7" x14ac:dyDescent="0.25">
      <c r="F84" s="1">
        <v>1686.05</v>
      </c>
      <c r="G84" s="3">
        <v>0.17476837000000001</v>
      </c>
    </row>
    <row r="85" spans="6:7" x14ac:dyDescent="0.25">
      <c r="F85" s="1">
        <v>1686.1</v>
      </c>
      <c r="G85" s="3">
        <v>0.17479033999999999</v>
      </c>
    </row>
    <row r="86" spans="6:7" x14ac:dyDescent="0.25">
      <c r="F86" s="1">
        <v>1686.15</v>
      </c>
      <c r="G86" s="3">
        <v>0.17480856</v>
      </c>
    </row>
    <row r="87" spans="6:7" x14ac:dyDescent="0.25">
      <c r="F87" s="1">
        <v>1686.2</v>
      </c>
      <c r="G87" s="3">
        <v>0.17481828999999999</v>
      </c>
    </row>
    <row r="88" spans="6:7" x14ac:dyDescent="0.25">
      <c r="F88" s="1">
        <v>1686.25</v>
      </c>
      <c r="G88" s="3">
        <v>0.17481959999999999</v>
      </c>
    </row>
    <row r="89" spans="6:7" x14ac:dyDescent="0.25">
      <c r="F89" s="1">
        <v>1686.3</v>
      </c>
      <c r="G89" s="3">
        <v>0.17482734</v>
      </c>
    </row>
    <row r="90" spans="6:7" x14ac:dyDescent="0.25">
      <c r="F90" s="1">
        <v>1686.35</v>
      </c>
      <c r="G90" s="3">
        <v>0.17483322000000001</v>
      </c>
    </row>
    <row r="91" spans="6:7" x14ac:dyDescent="0.25">
      <c r="F91" s="1">
        <v>1686.4</v>
      </c>
      <c r="G91" s="3">
        <v>0.17484568</v>
      </c>
    </row>
    <row r="92" spans="6:7" x14ac:dyDescent="0.25">
      <c r="F92" s="1">
        <v>1686.45</v>
      </c>
      <c r="G92" s="3">
        <v>0.17484417999999999</v>
      </c>
    </row>
    <row r="93" spans="6:7" x14ac:dyDescent="0.25">
      <c r="F93" s="1">
        <v>1686.5</v>
      </c>
      <c r="G93" s="3">
        <v>0.17484197000000001</v>
      </c>
    </row>
    <row r="94" spans="6:7" x14ac:dyDescent="0.25">
      <c r="F94" s="1">
        <v>1686.55</v>
      </c>
      <c r="G94" s="3">
        <v>0.17484533999999999</v>
      </c>
    </row>
    <row r="95" spans="6:7" x14ac:dyDescent="0.25">
      <c r="F95" s="1">
        <v>1686.6</v>
      </c>
      <c r="G95" s="3">
        <v>0.17483908000000001</v>
      </c>
    </row>
    <row r="96" spans="6:7" x14ac:dyDescent="0.25">
      <c r="F96" s="1">
        <v>1686.65</v>
      </c>
      <c r="G96" s="3">
        <v>0.17484875</v>
      </c>
    </row>
    <row r="97" spans="6:7" x14ac:dyDescent="0.25">
      <c r="F97" s="1">
        <v>1686.7</v>
      </c>
      <c r="G97" s="3">
        <v>0.17484986999999999</v>
      </c>
    </row>
    <row r="98" spans="6:7" x14ac:dyDescent="0.25">
      <c r="F98" s="1">
        <v>1686.75</v>
      </c>
      <c r="G98" s="3">
        <v>0.17483040999999999</v>
      </c>
    </row>
    <row r="99" spans="6:7" x14ac:dyDescent="0.25">
      <c r="F99" s="1">
        <v>1686.8</v>
      </c>
      <c r="G99" s="3">
        <v>0.17483209</v>
      </c>
    </row>
    <row r="100" spans="6:7" x14ac:dyDescent="0.25">
      <c r="F100" s="1">
        <v>1686.85</v>
      </c>
      <c r="G100" s="3">
        <v>0.17482545999999999</v>
      </c>
    </row>
    <row r="101" spans="6:7" x14ac:dyDescent="0.25">
      <c r="F101" s="1">
        <v>1686.9</v>
      </c>
      <c r="G101" s="3">
        <v>0.17482165</v>
      </c>
    </row>
    <row r="102" spans="6:7" x14ac:dyDescent="0.25">
      <c r="F102" s="1">
        <v>1686.95</v>
      </c>
      <c r="G102" s="3">
        <v>0.17481352</v>
      </c>
    </row>
    <row r="103" spans="6:7" x14ac:dyDescent="0.25">
      <c r="F103" s="1">
        <v>1687</v>
      </c>
      <c r="G103" s="3">
        <v>0.17481147999999999</v>
      </c>
    </row>
    <row r="104" spans="6:7" x14ac:dyDescent="0.25">
      <c r="F104" s="1">
        <v>1687.05</v>
      </c>
      <c r="G104" s="3">
        <v>0.17480551999999999</v>
      </c>
    </row>
    <row r="105" spans="6:7" x14ac:dyDescent="0.25">
      <c r="F105" s="1">
        <v>1687.1</v>
      </c>
      <c r="G105" s="3">
        <v>0.17480560000000001</v>
      </c>
    </row>
    <row r="106" spans="6:7" x14ac:dyDescent="0.25">
      <c r="F106" s="1">
        <v>1687.15</v>
      </c>
      <c r="G106" s="3">
        <v>0.17479285999999999</v>
      </c>
    </row>
    <row r="107" spans="6:7" x14ac:dyDescent="0.25">
      <c r="F107" s="1">
        <v>1687.2</v>
      </c>
      <c r="G107" s="3">
        <v>0.1747988</v>
      </c>
    </row>
    <row r="108" spans="6:7" x14ac:dyDescent="0.25">
      <c r="F108" s="1">
        <v>1687.25</v>
      </c>
      <c r="G108" s="3">
        <v>0.17478668999999999</v>
      </c>
    </row>
    <row r="109" spans="6:7" x14ac:dyDescent="0.25">
      <c r="F109" s="1">
        <v>1687.3</v>
      </c>
      <c r="G109" s="3">
        <v>0.17477672</v>
      </c>
    </row>
    <row r="110" spans="6:7" x14ac:dyDescent="0.25">
      <c r="F110" s="1">
        <v>1687.35</v>
      </c>
      <c r="G110" s="3">
        <v>0.17477012</v>
      </c>
    </row>
    <row r="111" spans="6:7" x14ac:dyDescent="0.25">
      <c r="F111" s="1">
        <v>1687.4</v>
      </c>
      <c r="G111" s="3">
        <v>0.17476311</v>
      </c>
    </row>
    <row r="112" spans="6:7" x14ac:dyDescent="0.25">
      <c r="F112" s="1">
        <v>1687.45</v>
      </c>
      <c r="G112" s="3">
        <v>0.17476778000000001</v>
      </c>
    </row>
    <row r="113" spans="6:7" x14ac:dyDescent="0.25">
      <c r="F113" s="1">
        <v>1687.5</v>
      </c>
      <c r="G113" s="3">
        <v>0.1747908</v>
      </c>
    </row>
    <row r="114" spans="6:7" x14ac:dyDescent="0.25">
      <c r="F114" s="1">
        <v>1687.55</v>
      </c>
      <c r="G114" s="3">
        <v>0.17477264000000001</v>
      </c>
    </row>
    <row r="115" spans="6:7" x14ac:dyDescent="0.25">
      <c r="F115" s="1">
        <v>1687.6</v>
      </c>
      <c r="G115" s="3">
        <v>0.17476555999999999</v>
      </c>
    </row>
    <row r="116" spans="6:7" x14ac:dyDescent="0.25">
      <c r="F116" s="1">
        <v>1687.65</v>
      </c>
      <c r="G116" s="3">
        <v>0.17476771999999999</v>
      </c>
    </row>
    <row r="117" spans="6:7" x14ac:dyDescent="0.25">
      <c r="F117" s="1">
        <v>1687.7</v>
      </c>
      <c r="G117" s="3">
        <v>0.17476082000000001</v>
      </c>
    </row>
    <row r="118" spans="6:7" x14ac:dyDescent="0.25">
      <c r="F118" s="1">
        <v>1687.75</v>
      </c>
      <c r="G118" s="3">
        <v>0.17476506999999999</v>
      </c>
    </row>
    <row r="119" spans="6:7" x14ac:dyDescent="0.25">
      <c r="F119" s="1">
        <v>1687.8</v>
      </c>
      <c r="G119" s="3">
        <v>0.17476699000000001</v>
      </c>
    </row>
    <row r="120" spans="6:7" x14ac:dyDescent="0.25">
      <c r="F120" s="1">
        <v>1687.85</v>
      </c>
      <c r="G120" s="3">
        <v>0.17476347</v>
      </c>
    </row>
    <row r="121" spans="6:7" x14ac:dyDescent="0.25">
      <c r="F121" s="1">
        <v>1687.9</v>
      </c>
      <c r="G121" s="3">
        <v>0.17476644999999999</v>
      </c>
    </row>
    <row r="122" spans="6:7" x14ac:dyDescent="0.25">
      <c r="F122" s="1">
        <v>1687.95</v>
      </c>
      <c r="G122" s="3">
        <v>0.17478518000000001</v>
      </c>
    </row>
    <row r="123" spans="6:7" x14ac:dyDescent="0.25">
      <c r="F123" s="1">
        <v>1688</v>
      </c>
      <c r="G123" s="3">
        <v>0.17478136999999999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23"/>
  <sheetViews>
    <sheetView topLeftCell="F1" zoomScale="82" zoomScaleNormal="82" workbookViewId="0">
      <selection activeCell="G3" sqref="G3:G123"/>
    </sheetView>
  </sheetViews>
  <sheetFormatPr defaultRowHeight="15.75" x14ac:dyDescent="0.25"/>
  <cols>
    <col min="1" max="1" width="13.625" customWidth="1"/>
    <col min="2" max="2" width="9" customWidth="1"/>
    <col min="3" max="3" width="12.875" customWidth="1"/>
    <col min="4" max="4" width="14.125" customWidth="1"/>
    <col min="6" max="6" width="14.75" style="1" customWidth="1"/>
    <col min="7" max="7" width="14.375" style="4" customWidth="1"/>
    <col min="9" max="9" width="13.625" customWidth="1"/>
    <col min="10" max="10" width="13.125" style="4" customWidth="1"/>
    <col min="11" max="11" width="13.125" style="3" customWidth="1"/>
    <col min="12" max="13" width="14.125" customWidth="1"/>
    <col min="14" max="14" width="16.75" customWidth="1"/>
    <col min="15" max="15" width="12.375" customWidth="1"/>
    <col min="16" max="17" width="12.625" bestFit="1" customWidth="1"/>
    <col min="25" max="25" width="13.75" customWidth="1"/>
    <col min="26" max="26" width="14.5" style="7" bestFit="1" customWidth="1"/>
  </cols>
  <sheetData>
    <row r="1" spans="1:27" x14ac:dyDescent="0.25">
      <c r="C1" t="s">
        <v>0</v>
      </c>
      <c r="G1" s="4" t="s">
        <v>1</v>
      </c>
      <c r="I1" t="s">
        <v>2</v>
      </c>
      <c r="L1" t="s">
        <v>3</v>
      </c>
      <c r="M1" t="s">
        <v>4</v>
      </c>
      <c r="N1" s="4" t="s">
        <v>5</v>
      </c>
      <c r="O1" t="s">
        <v>4</v>
      </c>
      <c r="P1" t="s">
        <v>10</v>
      </c>
      <c r="Q1" t="s">
        <v>11</v>
      </c>
      <c r="Z1" s="7" t="s">
        <v>12</v>
      </c>
    </row>
    <row r="2" spans="1:27" x14ac:dyDescent="0.25">
      <c r="A2" t="s">
        <v>6</v>
      </c>
      <c r="B2" t="s">
        <v>7</v>
      </c>
      <c r="C2" t="s">
        <v>8</v>
      </c>
      <c r="D2" t="s">
        <v>9</v>
      </c>
      <c r="F2" t="s">
        <v>6</v>
      </c>
      <c r="G2" t="s">
        <v>9</v>
      </c>
      <c r="I2" t="s">
        <v>6</v>
      </c>
      <c r="J2" t="s">
        <v>9</v>
      </c>
    </row>
    <row r="3" spans="1:27" x14ac:dyDescent="0.25">
      <c r="A3">
        <v>1682</v>
      </c>
      <c r="B3">
        <v>1.3301E-2</v>
      </c>
      <c r="C3">
        <f t="shared" ref="C3:C15" si="0">B3*4*PI()/(0.0064886478302)</f>
        <v>25.759649763029199</v>
      </c>
      <c r="D3" s="9">
        <v>4.3839999999999999E-3</v>
      </c>
      <c r="F3" s="1">
        <v>1682</v>
      </c>
      <c r="G3" s="4">
        <v>4.8863748E-3</v>
      </c>
      <c r="I3">
        <v>1682</v>
      </c>
      <c r="J3" s="4">
        <v>4.8518217069275097E-3</v>
      </c>
      <c r="L3">
        <f>D3/G3</f>
        <v>0.89718864791133091</v>
      </c>
      <c r="M3">
        <f>1-L3</f>
        <v>0.10281135208866909</v>
      </c>
      <c r="N3">
        <f>J3/G3</f>
        <v>0.99292868548018653</v>
      </c>
      <c r="O3">
        <f>1-N3</f>
        <v>7.0713145198134653E-3</v>
      </c>
      <c r="P3" s="4">
        <f t="shared" ref="P3:P15" si="1">G3-J3</f>
        <v>3.4553093072490354E-5</v>
      </c>
      <c r="Q3" s="4">
        <f t="shared" ref="Q3:Q15" si="2">G3-D3</f>
        <v>5.0237480000000015E-4</v>
      </c>
      <c r="Y3">
        <v>1682</v>
      </c>
      <c r="Z3" s="7">
        <v>8.8983541854869804E-4</v>
      </c>
      <c r="AA3">
        <f>Z3/G3</f>
        <v>0.18210543705093971</v>
      </c>
    </row>
    <row r="4" spans="1:27" x14ac:dyDescent="0.25">
      <c r="A4">
        <v>1682.5</v>
      </c>
      <c r="B4">
        <v>7.4741000000000002E-2</v>
      </c>
      <c r="C4">
        <f t="shared" si="0"/>
        <v>144.74866423115293</v>
      </c>
      <c r="D4" s="9">
        <v>1.5667E-2</v>
      </c>
      <c r="F4" s="1">
        <v>1682.05</v>
      </c>
      <c r="G4" s="4">
        <v>5.4723899999999997E-3</v>
      </c>
      <c r="I4">
        <v>1682.5</v>
      </c>
      <c r="J4" s="4">
        <v>1.7029238519662E-2</v>
      </c>
      <c r="L4">
        <f t="shared" ref="L4:L15" si="3">D4/G4</f>
        <v>2.8629172993883842</v>
      </c>
      <c r="M4">
        <f t="shared" ref="M4:M15" si="4">1-L4</f>
        <v>-1.8629172993883842</v>
      </c>
      <c r="N4">
        <f t="shared" ref="N4:N15" si="5">J4/G4</f>
        <v>3.1118466556042241</v>
      </c>
      <c r="O4">
        <f t="shared" ref="O4:O15" si="6">1-N4</f>
        <v>-2.1118466556042241</v>
      </c>
      <c r="P4" s="4">
        <f t="shared" si="1"/>
        <v>-1.1556848519661999E-2</v>
      </c>
      <c r="Q4" s="4">
        <f t="shared" si="2"/>
        <v>-1.019461E-2</v>
      </c>
      <c r="Y4">
        <v>1682.5</v>
      </c>
      <c r="Z4" s="7">
        <v>1.5446415332312101E-3</v>
      </c>
      <c r="AA4">
        <f t="shared" ref="AA4:AA15" si="7">Z4/G4</f>
        <v>0.28226086467360884</v>
      </c>
    </row>
    <row r="5" spans="1:27" x14ac:dyDescent="0.25">
      <c r="A5">
        <v>1683</v>
      </c>
      <c r="B5">
        <v>0.38253300000000001</v>
      </c>
      <c r="C5">
        <f t="shared" si="0"/>
        <v>740.84024530492809</v>
      </c>
      <c r="D5" s="9">
        <v>6.4353999999999995E-2</v>
      </c>
      <c r="F5" s="1">
        <v>1682.1</v>
      </c>
      <c r="G5" s="4">
        <v>6.1453795E-3</v>
      </c>
      <c r="I5">
        <v>1683</v>
      </c>
      <c r="J5" s="4">
        <v>7.0902835233496594E-2</v>
      </c>
      <c r="L5">
        <f t="shared" si="3"/>
        <v>10.471932612135669</v>
      </c>
      <c r="M5">
        <f t="shared" si="4"/>
        <v>-9.4719326121356691</v>
      </c>
      <c r="N5">
        <f t="shared" si="5"/>
        <v>11.537584494740576</v>
      </c>
      <c r="O5">
        <f t="shared" si="6"/>
        <v>-10.537584494740576</v>
      </c>
      <c r="P5" s="4">
        <f t="shared" si="1"/>
        <v>-6.4757455733496588E-2</v>
      </c>
      <c r="Q5" s="4">
        <f t="shared" si="2"/>
        <v>-5.8208620499999995E-2</v>
      </c>
      <c r="Y5">
        <v>1683</v>
      </c>
      <c r="Z5" s="7">
        <v>3.7442934636350701E-3</v>
      </c>
      <c r="AA5">
        <f t="shared" si="7"/>
        <v>0.60928596250810385</v>
      </c>
    </row>
    <row r="6" spans="1:27" x14ac:dyDescent="0.25">
      <c r="A6">
        <v>1683.5</v>
      </c>
      <c r="B6">
        <v>0.98482099999999995</v>
      </c>
      <c r="C6">
        <f t="shared" si="0"/>
        <v>1907.2734410402359</v>
      </c>
      <c r="D6" s="9">
        <v>0.157611</v>
      </c>
      <c r="F6" s="1">
        <v>1682.15</v>
      </c>
      <c r="G6" s="4">
        <v>6.9197412000000002E-3</v>
      </c>
      <c r="I6">
        <v>1683.5</v>
      </c>
      <c r="J6" s="4">
        <v>0.17091782406678999</v>
      </c>
      <c r="L6">
        <f t="shared" si="3"/>
        <v>22.777007903127938</v>
      </c>
      <c r="M6">
        <f t="shared" si="4"/>
        <v>-21.777007903127938</v>
      </c>
      <c r="N6">
        <f t="shared" si="5"/>
        <v>24.700031276717397</v>
      </c>
      <c r="O6">
        <f t="shared" si="6"/>
        <v>-23.700031276717397</v>
      </c>
      <c r="P6" s="4">
        <f t="shared" si="1"/>
        <v>-0.16399808286678999</v>
      </c>
      <c r="Q6" s="4">
        <f t="shared" si="2"/>
        <v>-0.15069125880000001</v>
      </c>
      <c r="Y6">
        <v>1683.5</v>
      </c>
      <c r="Z6" s="7">
        <v>6.3854451953421695E-2</v>
      </c>
      <c r="AA6">
        <f t="shared" si="7"/>
        <v>9.2278670701473189</v>
      </c>
    </row>
    <row r="7" spans="1:27" x14ac:dyDescent="0.25">
      <c r="A7">
        <v>1684</v>
      </c>
      <c r="B7">
        <v>1.0658110000000001</v>
      </c>
      <c r="C7">
        <f t="shared" si="0"/>
        <v>2064.1243570847241</v>
      </c>
      <c r="D7" s="9">
        <v>0.17284099999999999</v>
      </c>
      <c r="F7" s="1">
        <v>1682.2</v>
      </c>
      <c r="G7" s="4">
        <v>7.8169777999999995E-3</v>
      </c>
      <c r="I7">
        <v>1684</v>
      </c>
      <c r="J7" s="4">
        <v>0.17295756243920199</v>
      </c>
      <c r="L7">
        <f t="shared" si="3"/>
        <v>22.11097490899872</v>
      </c>
      <c r="M7">
        <f t="shared" si="4"/>
        <v>-21.11097490899872</v>
      </c>
      <c r="N7">
        <f t="shared" si="5"/>
        <v>22.125886354596275</v>
      </c>
      <c r="O7">
        <f t="shared" si="6"/>
        <v>-21.125886354596275</v>
      </c>
      <c r="P7" s="4">
        <f t="shared" si="1"/>
        <v>-0.165140584639202</v>
      </c>
      <c r="Q7" s="4">
        <f t="shared" si="2"/>
        <v>-0.16502402220000001</v>
      </c>
      <c r="Y7">
        <v>1684</v>
      </c>
      <c r="Z7" s="7">
        <v>9.1707409461661296E-2</v>
      </c>
      <c r="AA7">
        <f t="shared" si="7"/>
        <v>11.731824217495065</v>
      </c>
    </row>
    <row r="8" spans="1:27" x14ac:dyDescent="0.25">
      <c r="A8">
        <v>1684.5</v>
      </c>
      <c r="B8">
        <v>1.064487</v>
      </c>
      <c r="C8">
        <f t="shared" si="0"/>
        <v>2061.5602057963811</v>
      </c>
      <c r="D8" s="9">
        <v>0.17313700000000001</v>
      </c>
      <c r="F8" s="1">
        <v>1682.25</v>
      </c>
      <c r="G8" s="4">
        <v>8.8531523999999997E-3</v>
      </c>
      <c r="I8">
        <v>1684.5</v>
      </c>
      <c r="J8" s="4">
        <v>0.17362883001072901</v>
      </c>
      <c r="L8">
        <f t="shared" si="3"/>
        <v>19.556536720185683</v>
      </c>
      <c r="M8">
        <f t="shared" si="4"/>
        <v>-18.556536720185683</v>
      </c>
      <c r="N8">
        <f t="shared" si="5"/>
        <v>19.612090944094561</v>
      </c>
      <c r="O8">
        <f t="shared" si="6"/>
        <v>-18.612090944094561</v>
      </c>
      <c r="P8" s="4">
        <f t="shared" si="1"/>
        <v>-0.164775677610729</v>
      </c>
      <c r="Q8" s="4">
        <f t="shared" si="2"/>
        <v>-0.1642838476</v>
      </c>
      <c r="Y8">
        <v>1684.5</v>
      </c>
      <c r="Z8" s="7">
        <v>0.11090798773387001</v>
      </c>
      <c r="AA8">
        <f t="shared" si="7"/>
        <v>12.527513672290336</v>
      </c>
    </row>
    <row r="9" spans="1:27" x14ac:dyDescent="0.25">
      <c r="A9">
        <v>1685</v>
      </c>
      <c r="B9">
        <v>1.062524</v>
      </c>
      <c r="C9">
        <f t="shared" si="0"/>
        <v>2057.7585222774856</v>
      </c>
      <c r="D9" s="9">
        <v>0.173564</v>
      </c>
      <c r="F9" s="1">
        <v>1682.3</v>
      </c>
      <c r="G9" s="4">
        <v>1.0055578000000001E-2</v>
      </c>
      <c r="I9">
        <v>1685</v>
      </c>
      <c r="J9" s="4">
        <v>0.17423827030708899</v>
      </c>
      <c r="L9">
        <f t="shared" si="3"/>
        <v>17.260469761161417</v>
      </c>
      <c r="M9">
        <f t="shared" si="4"/>
        <v>-16.260469761161417</v>
      </c>
      <c r="N9">
        <f t="shared" si="5"/>
        <v>17.327524117170487</v>
      </c>
      <c r="O9">
        <f t="shared" si="6"/>
        <v>-16.327524117170487</v>
      </c>
      <c r="P9" s="4">
        <f t="shared" si="1"/>
        <v>-0.16418269230708898</v>
      </c>
      <c r="Q9" s="4">
        <f t="shared" si="2"/>
        <v>-0.16350842199999999</v>
      </c>
      <c r="Y9">
        <v>1685</v>
      </c>
      <c r="Z9" s="7">
        <v>0.12280694198691799</v>
      </c>
      <c r="AA9">
        <f t="shared" si="7"/>
        <v>12.212817799923384</v>
      </c>
    </row>
    <row r="10" spans="1:27" x14ac:dyDescent="0.25">
      <c r="A10">
        <v>1685.5</v>
      </c>
      <c r="B10">
        <v>1.063974</v>
      </c>
      <c r="C10">
        <f t="shared" si="0"/>
        <v>2060.5666940056558</v>
      </c>
      <c r="D10" s="9">
        <v>0.17402599999999999</v>
      </c>
      <c r="F10" s="1">
        <v>1682.35</v>
      </c>
      <c r="G10" s="4">
        <v>1.1445398000000001E-2</v>
      </c>
      <c r="I10">
        <v>1685.5</v>
      </c>
      <c r="J10" s="4">
        <v>0.17451289422864599</v>
      </c>
      <c r="L10">
        <f t="shared" si="3"/>
        <v>15.204888462594308</v>
      </c>
      <c r="M10">
        <f t="shared" si="4"/>
        <v>-14.204888462594308</v>
      </c>
      <c r="N10">
        <f t="shared" si="5"/>
        <v>15.247429073995153</v>
      </c>
      <c r="O10">
        <f t="shared" si="6"/>
        <v>-14.247429073995153</v>
      </c>
      <c r="P10" s="4">
        <f t="shared" si="1"/>
        <v>-0.163067496228646</v>
      </c>
      <c r="Q10" s="4">
        <f t="shared" si="2"/>
        <v>-0.16258060199999999</v>
      </c>
      <c r="Y10">
        <v>1685.5</v>
      </c>
      <c r="Z10" s="7">
        <v>0.13106760343929699</v>
      </c>
      <c r="AA10">
        <f t="shared" si="7"/>
        <v>11.4515548903845</v>
      </c>
    </row>
    <row r="11" spans="1:27" x14ac:dyDescent="0.25">
      <c r="A11">
        <v>1686</v>
      </c>
      <c r="B11">
        <v>1.065388</v>
      </c>
      <c r="C11">
        <f t="shared" si="0"/>
        <v>2063.3051456081612</v>
      </c>
      <c r="D11" s="9">
        <v>0.17427400000000001</v>
      </c>
      <c r="F11" s="1">
        <v>1682.4</v>
      </c>
      <c r="G11" s="4">
        <v>1.305446E-2</v>
      </c>
      <c r="I11">
        <v>1686</v>
      </c>
      <c r="J11" s="4">
        <v>0.17470578064026901</v>
      </c>
      <c r="L11">
        <f t="shared" si="3"/>
        <v>13.349767052792686</v>
      </c>
      <c r="M11">
        <f t="shared" si="4"/>
        <v>-12.349767052792686</v>
      </c>
      <c r="N11">
        <f t="shared" si="5"/>
        <v>13.382842387986098</v>
      </c>
      <c r="O11">
        <f t="shared" si="6"/>
        <v>-12.382842387986098</v>
      </c>
      <c r="P11" s="4">
        <f t="shared" si="1"/>
        <v>-0.16165132064026902</v>
      </c>
      <c r="Q11" s="4">
        <f t="shared" si="2"/>
        <v>-0.16121954000000002</v>
      </c>
      <c r="Y11">
        <v>1686</v>
      </c>
      <c r="Z11" s="7">
        <v>0.13675001733144501</v>
      </c>
      <c r="AA11">
        <f t="shared" si="7"/>
        <v>10.475348450372135</v>
      </c>
    </row>
    <row r="12" spans="1:27" x14ac:dyDescent="0.25">
      <c r="A12">
        <v>1686.5</v>
      </c>
      <c r="B12">
        <v>1.066899</v>
      </c>
      <c r="C12">
        <f t="shared" si="0"/>
        <v>2066.2314542159302</v>
      </c>
      <c r="D12" s="9">
        <v>0.17512900000000001</v>
      </c>
      <c r="F12" s="1">
        <v>1682.45</v>
      </c>
      <c r="G12" s="4">
        <v>1.4917026999999999E-2</v>
      </c>
      <c r="I12">
        <v>1686.5</v>
      </c>
      <c r="J12" s="4">
        <v>0.17484306691467599</v>
      </c>
      <c r="L12">
        <f t="shared" si="3"/>
        <v>11.740208018662164</v>
      </c>
      <c r="M12">
        <f t="shared" si="4"/>
        <v>-10.740208018662164</v>
      </c>
      <c r="N12">
        <f t="shared" si="5"/>
        <v>11.721039783240721</v>
      </c>
      <c r="O12">
        <f t="shared" si="6"/>
        <v>-10.721039783240721</v>
      </c>
      <c r="P12" s="4">
        <f t="shared" si="1"/>
        <v>-0.15992603991467599</v>
      </c>
      <c r="Q12" s="4">
        <f t="shared" si="2"/>
        <v>-0.16021197300000001</v>
      </c>
      <c r="Y12">
        <v>1686.5</v>
      </c>
      <c r="Z12" s="7">
        <v>0.14866562814529799</v>
      </c>
      <c r="AA12">
        <f t="shared" si="7"/>
        <v>9.9661700783472469</v>
      </c>
    </row>
    <row r="13" spans="1:27" x14ac:dyDescent="0.25">
      <c r="A13">
        <v>1687</v>
      </c>
      <c r="B13">
        <v>1.0633159999999999</v>
      </c>
      <c r="C13">
        <f t="shared" si="0"/>
        <v>2059.2923650421135</v>
      </c>
      <c r="D13" s="9">
        <v>0.174258</v>
      </c>
      <c r="F13" s="1">
        <v>1682.5</v>
      </c>
      <c r="G13" s="4">
        <v>1.7097009E-2</v>
      </c>
      <c r="I13">
        <v>1687</v>
      </c>
      <c r="J13" s="4">
        <v>0.17494458932637699</v>
      </c>
      <c r="L13">
        <f t="shared" si="3"/>
        <v>10.192309075815542</v>
      </c>
      <c r="M13">
        <f t="shared" si="4"/>
        <v>-9.1923090758155421</v>
      </c>
      <c r="N13">
        <f t="shared" si="5"/>
        <v>10.232467522616208</v>
      </c>
      <c r="O13">
        <f t="shared" si="6"/>
        <v>-9.2324675226162078</v>
      </c>
      <c r="P13" s="4">
        <f t="shared" si="1"/>
        <v>-0.157847580326377</v>
      </c>
      <c r="Q13" s="4">
        <f t="shared" si="2"/>
        <v>-0.157160991</v>
      </c>
      <c r="Y13">
        <v>1687</v>
      </c>
      <c r="Z13" s="7">
        <v>0.15476444994458599</v>
      </c>
      <c r="AA13">
        <f t="shared" si="7"/>
        <v>9.0521359580840137</v>
      </c>
    </row>
    <row r="14" spans="1:27" x14ac:dyDescent="0.25">
      <c r="A14">
        <v>1687.5</v>
      </c>
      <c r="B14">
        <v>1.0662529999999999</v>
      </c>
      <c r="C14">
        <f t="shared" si="0"/>
        <v>2064.980365294276</v>
      </c>
      <c r="D14" s="9">
        <v>0.174869</v>
      </c>
      <c r="F14" s="1">
        <v>1682.55</v>
      </c>
      <c r="G14" s="4">
        <v>1.9626012000000002E-2</v>
      </c>
      <c r="I14">
        <v>1687.5</v>
      </c>
      <c r="J14" s="4">
        <v>0.175023486649311</v>
      </c>
      <c r="L14">
        <f t="shared" si="3"/>
        <v>8.9100628288620207</v>
      </c>
      <c r="M14">
        <f t="shared" si="4"/>
        <v>-7.9100628288620207</v>
      </c>
      <c r="N14">
        <f t="shared" si="5"/>
        <v>8.9179343541271141</v>
      </c>
      <c r="O14">
        <f t="shared" si="6"/>
        <v>-7.9179343541271141</v>
      </c>
      <c r="P14" s="4">
        <f t="shared" si="1"/>
        <v>-0.155397474649311</v>
      </c>
      <c r="Q14" s="4">
        <f t="shared" si="2"/>
        <v>-0.155242988</v>
      </c>
      <c r="Y14">
        <v>1687.5</v>
      </c>
      <c r="Z14" s="7">
        <v>0.159346458524315</v>
      </c>
      <c r="AA14">
        <f t="shared" si="7"/>
        <v>8.1191460865465181</v>
      </c>
    </row>
    <row r="15" spans="1:27" x14ac:dyDescent="0.25">
      <c r="A15">
        <v>1688</v>
      </c>
      <c r="B15">
        <v>1.0678989999999999</v>
      </c>
      <c r="C15">
        <f t="shared" si="0"/>
        <v>2068.1681243732892</v>
      </c>
      <c r="D15" s="9">
        <v>0.17565</v>
      </c>
      <c r="F15" s="1">
        <v>1682.6</v>
      </c>
      <c r="G15" s="4">
        <v>2.2546904E-2</v>
      </c>
      <c r="I15">
        <v>1688</v>
      </c>
      <c r="J15" s="4">
        <v>0.17507214550417</v>
      </c>
      <c r="L15">
        <f t="shared" si="3"/>
        <v>7.7904265703175923</v>
      </c>
      <c r="M15">
        <f t="shared" si="4"/>
        <v>-6.7904265703175923</v>
      </c>
      <c r="N15">
        <f t="shared" si="5"/>
        <v>7.7647975750537634</v>
      </c>
      <c r="O15">
        <f t="shared" si="6"/>
        <v>-6.7647975750537634</v>
      </c>
      <c r="P15" s="4">
        <f t="shared" si="1"/>
        <v>-0.15252524150416999</v>
      </c>
      <c r="Q15" s="4">
        <f t="shared" si="2"/>
        <v>-0.15310309599999999</v>
      </c>
      <c r="Y15">
        <v>1688</v>
      </c>
      <c r="Z15" s="7">
        <v>0.162680061445441</v>
      </c>
      <c r="AA15">
        <f t="shared" si="7"/>
        <v>7.2151840201848119</v>
      </c>
    </row>
    <row r="16" spans="1:27" x14ac:dyDescent="0.25">
      <c r="F16" s="1">
        <v>1682.65</v>
      </c>
      <c r="G16" s="4">
        <v>2.5949628999999998E-2</v>
      </c>
    </row>
    <row r="17" spans="6:7" x14ac:dyDescent="0.25">
      <c r="F17" s="1">
        <v>1682.7</v>
      </c>
      <c r="G17" s="4">
        <v>2.9892879000000001E-2</v>
      </c>
    </row>
    <row r="18" spans="6:7" x14ac:dyDescent="0.25">
      <c r="F18" s="1">
        <v>1682.75</v>
      </c>
      <c r="G18" s="4">
        <v>3.4494244E-2</v>
      </c>
    </row>
    <row r="19" spans="6:7" x14ac:dyDescent="0.25">
      <c r="F19" s="1">
        <v>1682.8</v>
      </c>
      <c r="G19" s="4">
        <v>3.9826385999999998E-2</v>
      </c>
    </row>
    <row r="20" spans="6:7" x14ac:dyDescent="0.25">
      <c r="F20" s="1">
        <v>1682.85</v>
      </c>
      <c r="G20" s="4">
        <v>4.6020078999999998E-2</v>
      </c>
    </row>
    <row r="21" spans="6:7" x14ac:dyDescent="0.25">
      <c r="F21" s="1">
        <v>1682.9</v>
      </c>
      <c r="G21" s="4">
        <v>5.3174949999999999E-2</v>
      </c>
    </row>
    <row r="22" spans="6:7" x14ac:dyDescent="0.25">
      <c r="F22" s="1">
        <v>1682.95</v>
      </c>
      <c r="G22" s="4">
        <v>6.1484665000000001E-2</v>
      </c>
    </row>
    <row r="23" spans="6:7" x14ac:dyDescent="0.25">
      <c r="F23" s="1">
        <v>1683</v>
      </c>
      <c r="G23" s="4">
        <v>7.1090735000000002E-2</v>
      </c>
    </row>
    <row r="24" spans="6:7" x14ac:dyDescent="0.25">
      <c r="F24" s="1">
        <v>1683.05</v>
      </c>
      <c r="G24" s="4">
        <v>8.2118048999999999E-2</v>
      </c>
    </row>
    <row r="25" spans="6:7" x14ac:dyDescent="0.25">
      <c r="F25" s="1">
        <v>1683.1</v>
      </c>
      <c r="G25" s="4">
        <v>9.4596348999999996E-2</v>
      </c>
    </row>
    <row r="26" spans="6:7" x14ac:dyDescent="0.25">
      <c r="F26" s="1">
        <v>1683.15</v>
      </c>
      <c r="G26" s="4">
        <v>0.10847859999999999</v>
      </c>
    </row>
    <row r="27" spans="6:7" x14ac:dyDescent="0.25">
      <c r="F27" s="1">
        <v>1683.2</v>
      </c>
      <c r="G27" s="4">
        <v>0.12356884</v>
      </c>
    </row>
    <row r="28" spans="6:7" x14ac:dyDescent="0.25">
      <c r="F28" s="1">
        <v>1683.25</v>
      </c>
      <c r="G28" s="4">
        <v>0.13907265999999999</v>
      </c>
    </row>
    <row r="29" spans="6:7" x14ac:dyDescent="0.25">
      <c r="F29" s="1">
        <v>1683.3</v>
      </c>
      <c r="G29" s="4">
        <v>0.15209808999999999</v>
      </c>
    </row>
    <row r="30" spans="6:7" x14ac:dyDescent="0.25">
      <c r="F30" s="1">
        <v>1683.35</v>
      </c>
      <c r="G30" s="4">
        <v>0.15982689</v>
      </c>
    </row>
    <row r="31" spans="6:7" x14ac:dyDescent="0.25">
      <c r="F31" s="1">
        <v>1683.4</v>
      </c>
      <c r="G31" s="4">
        <v>0.16388726000000001</v>
      </c>
    </row>
    <row r="32" spans="6:7" x14ac:dyDescent="0.25">
      <c r="F32" s="1">
        <v>1683.45</v>
      </c>
      <c r="G32" s="4">
        <v>0.16654559999999999</v>
      </c>
    </row>
    <row r="33" spans="6:7" x14ac:dyDescent="0.25">
      <c r="F33" s="1">
        <v>1683.5</v>
      </c>
      <c r="G33" s="4">
        <v>0.16833644</v>
      </c>
    </row>
    <row r="34" spans="6:7" x14ac:dyDescent="0.25">
      <c r="F34" s="1">
        <v>1683.55</v>
      </c>
      <c r="G34" s="4">
        <v>0.16935979000000001</v>
      </c>
    </row>
    <row r="35" spans="6:7" x14ac:dyDescent="0.25">
      <c r="F35" s="1">
        <v>1683.6</v>
      </c>
      <c r="G35" s="4">
        <v>0.17004987999999999</v>
      </c>
    </row>
    <row r="36" spans="6:7" x14ac:dyDescent="0.25">
      <c r="F36" s="1">
        <v>1683.65</v>
      </c>
      <c r="G36" s="4">
        <v>0.17051037999999999</v>
      </c>
    </row>
    <row r="37" spans="6:7" x14ac:dyDescent="0.25">
      <c r="F37" s="1">
        <v>1683.7</v>
      </c>
      <c r="G37" s="4">
        <v>0.17091237000000001</v>
      </c>
    </row>
    <row r="38" spans="6:7" x14ac:dyDescent="0.25">
      <c r="F38" s="1">
        <v>1683.75</v>
      </c>
      <c r="G38" s="4">
        <v>0.17134009</v>
      </c>
    </row>
    <row r="39" spans="6:7" x14ac:dyDescent="0.25">
      <c r="F39" s="1">
        <v>1683.8</v>
      </c>
      <c r="G39" s="4">
        <v>0.17167741</v>
      </c>
    </row>
    <row r="40" spans="6:7" x14ac:dyDescent="0.25">
      <c r="F40" s="1">
        <v>1683.85</v>
      </c>
      <c r="G40" s="4">
        <v>0.17193916000000001</v>
      </c>
    </row>
    <row r="41" spans="6:7" x14ac:dyDescent="0.25">
      <c r="F41" s="1">
        <v>1683.9</v>
      </c>
      <c r="G41" s="4">
        <v>0.17215800000000001</v>
      </c>
    </row>
    <row r="42" spans="6:7" x14ac:dyDescent="0.25">
      <c r="F42" s="1">
        <v>1683.95</v>
      </c>
      <c r="G42" s="4">
        <v>0.17244433000000001</v>
      </c>
    </row>
    <row r="43" spans="6:7" x14ac:dyDescent="0.25">
      <c r="F43" s="1">
        <v>1684</v>
      </c>
      <c r="G43" s="4">
        <v>0.17255551999999999</v>
      </c>
    </row>
    <row r="44" spans="6:7" x14ac:dyDescent="0.25">
      <c r="F44" s="1">
        <v>1684.05</v>
      </c>
      <c r="G44" s="4">
        <v>0.17274858000000001</v>
      </c>
    </row>
    <row r="45" spans="6:7" x14ac:dyDescent="0.25">
      <c r="F45" s="1">
        <v>1684.1</v>
      </c>
      <c r="G45" s="4">
        <v>0.17286852999999999</v>
      </c>
    </row>
    <row r="46" spans="6:7" x14ac:dyDescent="0.25">
      <c r="F46" s="1">
        <v>1684.15</v>
      </c>
      <c r="G46" s="4">
        <v>0.17299426000000001</v>
      </c>
    </row>
    <row r="47" spans="6:7" x14ac:dyDescent="0.25">
      <c r="F47" s="1">
        <v>1684.2</v>
      </c>
      <c r="G47" s="4">
        <v>0.17309737</v>
      </c>
    </row>
    <row r="48" spans="6:7" x14ac:dyDescent="0.25">
      <c r="F48" s="1">
        <v>1684.25</v>
      </c>
      <c r="G48" s="4">
        <v>0.17328729000000001</v>
      </c>
    </row>
    <row r="49" spans="6:7" x14ac:dyDescent="0.25">
      <c r="F49" s="1">
        <v>1684.3</v>
      </c>
      <c r="G49" s="4">
        <v>0.17333904</v>
      </c>
    </row>
    <row r="50" spans="6:7" x14ac:dyDescent="0.25">
      <c r="F50" s="1">
        <v>1684.35</v>
      </c>
      <c r="G50" s="4">
        <v>0.17347520999999999</v>
      </c>
    </row>
    <row r="51" spans="6:7" x14ac:dyDescent="0.25">
      <c r="F51" s="1">
        <v>1684.4</v>
      </c>
      <c r="G51" s="4">
        <v>0.17354054999999999</v>
      </c>
    </row>
    <row r="52" spans="6:7" x14ac:dyDescent="0.25">
      <c r="F52" s="1">
        <v>1684.45</v>
      </c>
      <c r="G52" s="4">
        <v>0.17365488000000001</v>
      </c>
    </row>
    <row r="53" spans="6:7" x14ac:dyDescent="0.25">
      <c r="F53" s="1">
        <v>1684.5</v>
      </c>
      <c r="G53" s="4">
        <v>0.17367611999999999</v>
      </c>
    </row>
    <row r="54" spans="6:7" x14ac:dyDescent="0.25">
      <c r="F54" s="1">
        <v>1684.55</v>
      </c>
      <c r="G54" s="4">
        <v>0.17379658000000001</v>
      </c>
    </row>
    <row r="55" spans="6:7" x14ac:dyDescent="0.25">
      <c r="F55" s="1">
        <v>1684.6</v>
      </c>
      <c r="G55" s="4">
        <v>0.17382511</v>
      </c>
    </row>
    <row r="56" spans="6:7" x14ac:dyDescent="0.25">
      <c r="F56" s="1">
        <v>1684.65</v>
      </c>
      <c r="G56" s="4">
        <v>0.17388313</v>
      </c>
    </row>
    <row r="57" spans="6:7" x14ac:dyDescent="0.25">
      <c r="F57" s="1">
        <v>1684.7</v>
      </c>
      <c r="G57" s="4">
        <v>0.17389597000000001</v>
      </c>
    </row>
    <row r="58" spans="6:7" x14ac:dyDescent="0.25">
      <c r="F58" s="1">
        <v>1684.75</v>
      </c>
      <c r="G58" s="4">
        <v>0.17396197999999999</v>
      </c>
    </row>
    <row r="59" spans="6:7" x14ac:dyDescent="0.25">
      <c r="F59" s="1">
        <v>1684.8</v>
      </c>
      <c r="G59" s="4">
        <v>0.17409356000000001</v>
      </c>
    </row>
    <row r="60" spans="6:7" x14ac:dyDescent="0.25">
      <c r="F60" s="1">
        <v>1684.85</v>
      </c>
      <c r="G60" s="4">
        <v>0.17408198</v>
      </c>
    </row>
    <row r="61" spans="6:7" x14ac:dyDescent="0.25">
      <c r="F61" s="1">
        <v>1684.9</v>
      </c>
      <c r="G61" s="4">
        <v>0.17410074</v>
      </c>
    </row>
    <row r="62" spans="6:7" x14ac:dyDescent="0.25">
      <c r="F62" s="1">
        <v>1684.95</v>
      </c>
      <c r="G62" s="4">
        <v>0.17412066000000001</v>
      </c>
    </row>
    <row r="63" spans="6:7" x14ac:dyDescent="0.25">
      <c r="F63" s="1">
        <v>1685</v>
      </c>
      <c r="G63" s="4">
        <v>0.17425686000000001</v>
      </c>
    </row>
    <row r="64" spans="6:7" x14ac:dyDescent="0.25">
      <c r="F64" s="1">
        <v>1685.05</v>
      </c>
      <c r="G64" s="4">
        <v>0.17426604000000001</v>
      </c>
    </row>
    <row r="65" spans="6:7" x14ac:dyDescent="0.25">
      <c r="F65" s="1">
        <v>1685.1</v>
      </c>
      <c r="G65" s="4">
        <v>0.17427711000000001</v>
      </c>
    </row>
    <row r="66" spans="6:7" x14ac:dyDescent="0.25">
      <c r="F66" s="1">
        <v>1685.15</v>
      </c>
      <c r="G66" s="4">
        <v>0.1742803</v>
      </c>
    </row>
    <row r="67" spans="6:7" x14ac:dyDescent="0.25">
      <c r="F67" s="1">
        <v>1685.2</v>
      </c>
      <c r="G67" s="4">
        <v>0.17436409</v>
      </c>
    </row>
    <row r="68" spans="6:7" x14ac:dyDescent="0.25">
      <c r="F68" s="1">
        <v>1685.25</v>
      </c>
      <c r="G68" s="4">
        <v>0.17441052000000001</v>
      </c>
    </row>
    <row r="69" spans="6:7" x14ac:dyDescent="0.25">
      <c r="F69" s="1">
        <v>1685.3</v>
      </c>
      <c r="G69" s="4">
        <v>0.17438503</v>
      </c>
    </row>
    <row r="70" spans="6:7" x14ac:dyDescent="0.25">
      <c r="F70" s="1">
        <v>1685.35</v>
      </c>
      <c r="G70" s="4">
        <v>0.17441872</v>
      </c>
    </row>
    <row r="71" spans="6:7" x14ac:dyDescent="0.25">
      <c r="F71" s="1">
        <v>1685.4</v>
      </c>
      <c r="G71" s="4">
        <v>0.17448253999999999</v>
      </c>
    </row>
    <row r="72" spans="6:7" x14ac:dyDescent="0.25">
      <c r="F72" s="1">
        <v>1685.45</v>
      </c>
      <c r="G72" s="4">
        <v>0.17452957999999999</v>
      </c>
    </row>
    <row r="73" spans="6:7" x14ac:dyDescent="0.25">
      <c r="F73" s="1">
        <v>1685.5</v>
      </c>
      <c r="G73" s="4">
        <v>0.17450789999999999</v>
      </c>
    </row>
    <row r="74" spans="6:7" x14ac:dyDescent="0.25">
      <c r="F74" s="1">
        <v>1685.55</v>
      </c>
      <c r="G74" s="4">
        <v>0.17450072</v>
      </c>
    </row>
    <row r="75" spans="6:7" x14ac:dyDescent="0.25">
      <c r="F75" s="1">
        <v>1685.6</v>
      </c>
      <c r="G75" s="4">
        <v>0.17463471999999999</v>
      </c>
    </row>
    <row r="76" spans="6:7" x14ac:dyDescent="0.25">
      <c r="F76" s="1">
        <v>1685.65</v>
      </c>
      <c r="G76" s="4">
        <v>0.17462273</v>
      </c>
    </row>
    <row r="77" spans="6:7" x14ac:dyDescent="0.25">
      <c r="F77" s="1">
        <v>1685.7</v>
      </c>
      <c r="G77" s="4">
        <v>0.17456838</v>
      </c>
    </row>
    <row r="78" spans="6:7" x14ac:dyDescent="0.25">
      <c r="F78" s="1">
        <v>1685.75</v>
      </c>
      <c r="G78" s="4">
        <v>0.17462192000000001</v>
      </c>
    </row>
    <row r="79" spans="6:7" x14ac:dyDescent="0.25">
      <c r="F79" s="1">
        <v>1685.8</v>
      </c>
      <c r="G79" s="4">
        <v>0.17469180000000001</v>
      </c>
    </row>
    <row r="80" spans="6:7" x14ac:dyDescent="0.25">
      <c r="F80" s="1">
        <v>1685.85</v>
      </c>
      <c r="G80" s="4">
        <v>0.17469485000000001</v>
      </c>
    </row>
    <row r="81" spans="6:7" x14ac:dyDescent="0.25">
      <c r="F81" s="1">
        <v>1685.9</v>
      </c>
      <c r="G81" s="4">
        <v>0.17464218000000001</v>
      </c>
    </row>
    <row r="82" spans="6:7" x14ac:dyDescent="0.25">
      <c r="F82" s="1">
        <v>1685.95</v>
      </c>
      <c r="G82" s="4">
        <v>0.17465267000000001</v>
      </c>
    </row>
    <row r="83" spans="6:7" x14ac:dyDescent="0.25">
      <c r="F83" s="1">
        <v>1686</v>
      </c>
      <c r="G83" s="4">
        <v>0.17480609</v>
      </c>
    </row>
    <row r="84" spans="6:7" x14ac:dyDescent="0.25">
      <c r="F84" s="1">
        <v>1686.05</v>
      </c>
      <c r="G84" s="4">
        <v>0.17473806</v>
      </c>
    </row>
    <row r="85" spans="6:7" x14ac:dyDescent="0.25">
      <c r="F85" s="1">
        <v>1686.1</v>
      </c>
      <c r="G85" s="4">
        <v>0.17474745</v>
      </c>
    </row>
    <row r="86" spans="6:7" x14ac:dyDescent="0.25">
      <c r="F86" s="1">
        <v>1686.15</v>
      </c>
      <c r="G86" s="4">
        <v>0.17473138999999999</v>
      </c>
    </row>
    <row r="87" spans="6:7" x14ac:dyDescent="0.25">
      <c r="F87" s="1">
        <v>1686.2</v>
      </c>
      <c r="G87" s="4">
        <v>0.17483061999999999</v>
      </c>
    </row>
    <row r="88" spans="6:7" x14ac:dyDescent="0.25">
      <c r="F88" s="1">
        <v>1686.25</v>
      </c>
      <c r="G88" s="4">
        <v>0.17483951</v>
      </c>
    </row>
    <row r="89" spans="6:7" x14ac:dyDescent="0.25">
      <c r="F89" s="1">
        <v>1686.3</v>
      </c>
      <c r="G89" s="4">
        <v>0.17481145000000001</v>
      </c>
    </row>
    <row r="90" spans="6:7" x14ac:dyDescent="0.25">
      <c r="F90" s="1">
        <v>1686.35</v>
      </c>
      <c r="G90" s="4">
        <v>0.17472534000000001</v>
      </c>
    </row>
    <row r="91" spans="6:7" x14ac:dyDescent="0.25">
      <c r="F91" s="1">
        <v>1686.4</v>
      </c>
      <c r="G91" s="4">
        <v>0.17483138000000001</v>
      </c>
    </row>
    <row r="92" spans="6:7" x14ac:dyDescent="0.25">
      <c r="F92" s="1">
        <v>1686.45</v>
      </c>
      <c r="G92" s="4">
        <v>0.17493926000000001</v>
      </c>
    </row>
    <row r="93" spans="6:7" x14ac:dyDescent="0.25">
      <c r="F93" s="1">
        <v>1686.5</v>
      </c>
      <c r="G93" s="4">
        <v>0.17488423</v>
      </c>
    </row>
    <row r="94" spans="6:7" x14ac:dyDescent="0.25">
      <c r="F94" s="1">
        <v>1686.55</v>
      </c>
      <c r="G94" s="4">
        <v>0.17475213000000001</v>
      </c>
    </row>
    <row r="95" spans="6:7" x14ac:dyDescent="0.25">
      <c r="F95" s="1">
        <v>1686.6</v>
      </c>
      <c r="G95" s="4">
        <v>0.17478676000000001</v>
      </c>
    </row>
    <row r="96" spans="6:7" x14ac:dyDescent="0.25">
      <c r="F96" s="1">
        <v>1686.65</v>
      </c>
      <c r="G96" s="4">
        <v>0.17498950999999999</v>
      </c>
    </row>
    <row r="97" spans="6:7" x14ac:dyDescent="0.25">
      <c r="F97" s="1">
        <v>1686.7</v>
      </c>
      <c r="G97" s="4">
        <v>0.17496912000000001</v>
      </c>
    </row>
    <row r="98" spans="6:7" x14ac:dyDescent="0.25">
      <c r="F98" s="1">
        <v>1686.75</v>
      </c>
      <c r="G98" s="4">
        <v>0.17475842</v>
      </c>
    </row>
    <row r="99" spans="6:7" x14ac:dyDescent="0.25">
      <c r="F99" s="1">
        <v>1686.8</v>
      </c>
      <c r="G99" s="4">
        <v>0.17477751</v>
      </c>
    </row>
    <row r="100" spans="6:7" x14ac:dyDescent="0.25">
      <c r="F100" s="1">
        <v>1686.85</v>
      </c>
      <c r="G100" s="4">
        <v>0.17505978</v>
      </c>
    </row>
    <row r="101" spans="6:7" x14ac:dyDescent="0.25">
      <c r="F101" s="1">
        <v>1686.9</v>
      </c>
      <c r="G101" s="4">
        <v>0.17498031</v>
      </c>
    </row>
    <row r="102" spans="6:7" x14ac:dyDescent="0.25">
      <c r="F102" s="1">
        <v>1686.95</v>
      </c>
      <c r="G102" s="4">
        <v>0.17477076999999999</v>
      </c>
    </row>
    <row r="103" spans="6:7" x14ac:dyDescent="0.25">
      <c r="F103" s="1">
        <v>1687</v>
      </c>
      <c r="G103" s="4">
        <v>0.17481442999999999</v>
      </c>
    </row>
    <row r="104" spans="6:7" x14ac:dyDescent="0.25">
      <c r="F104" s="1">
        <v>1687.05</v>
      </c>
      <c r="G104" s="4">
        <v>0.17508278999999999</v>
      </c>
    </row>
    <row r="105" spans="6:7" x14ac:dyDescent="0.25">
      <c r="F105" s="1">
        <v>1687.1</v>
      </c>
      <c r="G105" s="4">
        <v>0.17499816000000001</v>
      </c>
    </row>
    <row r="106" spans="6:7" x14ac:dyDescent="0.25">
      <c r="F106" s="1">
        <v>1687.15</v>
      </c>
      <c r="G106" s="4">
        <v>0.17476307999999999</v>
      </c>
    </row>
    <row r="107" spans="6:7" x14ac:dyDescent="0.25">
      <c r="F107" s="1">
        <v>1687.2</v>
      </c>
      <c r="G107" s="4">
        <v>0.17481448999999999</v>
      </c>
    </row>
    <row r="108" spans="6:7" x14ac:dyDescent="0.25">
      <c r="F108" s="1">
        <v>1687.25</v>
      </c>
      <c r="G108" s="4">
        <v>0.17511508000000001</v>
      </c>
    </row>
    <row r="109" spans="6:7" x14ac:dyDescent="0.25">
      <c r="F109" s="1">
        <v>1687.3</v>
      </c>
      <c r="G109" s="4">
        <v>0.17500478</v>
      </c>
    </row>
    <row r="110" spans="6:7" x14ac:dyDescent="0.25">
      <c r="F110" s="1">
        <v>1687.35</v>
      </c>
      <c r="G110" s="4">
        <v>0.17470719000000001</v>
      </c>
    </row>
    <row r="111" spans="6:7" x14ac:dyDescent="0.25">
      <c r="F111" s="1">
        <v>1687.4</v>
      </c>
      <c r="G111" s="4">
        <v>0.17483731999999999</v>
      </c>
    </row>
    <row r="112" spans="6:7" x14ac:dyDescent="0.25">
      <c r="F112" s="1">
        <v>1687.45</v>
      </c>
      <c r="G112" s="4">
        <v>0.1751413</v>
      </c>
    </row>
    <row r="113" spans="6:7" x14ac:dyDescent="0.25">
      <c r="F113" s="1">
        <v>1687.5</v>
      </c>
      <c r="G113" s="4">
        <v>0.17501637</v>
      </c>
    </row>
    <row r="114" spans="6:7" x14ac:dyDescent="0.25">
      <c r="F114" s="1">
        <v>1687.55</v>
      </c>
      <c r="G114" s="4">
        <v>0.17478789</v>
      </c>
    </row>
    <row r="115" spans="6:7" x14ac:dyDescent="0.25">
      <c r="F115" s="1">
        <v>1687.6</v>
      </c>
      <c r="G115" s="4">
        <v>0.17479997999999999</v>
      </c>
    </row>
    <row r="116" spans="6:7" x14ac:dyDescent="0.25">
      <c r="F116" s="1">
        <v>1687.65</v>
      </c>
      <c r="G116" s="4">
        <v>0.17502487</v>
      </c>
    </row>
    <row r="117" spans="6:7" x14ac:dyDescent="0.25">
      <c r="F117" s="1">
        <v>1687.7</v>
      </c>
      <c r="G117" s="4">
        <v>0.17506774999999999</v>
      </c>
    </row>
    <row r="118" spans="6:7" x14ac:dyDescent="0.25">
      <c r="F118" s="1">
        <v>1687.75</v>
      </c>
      <c r="G118" s="4">
        <v>0.17486525999999999</v>
      </c>
    </row>
    <row r="119" spans="6:7" x14ac:dyDescent="0.25">
      <c r="F119" s="1">
        <v>1687.8</v>
      </c>
      <c r="G119" s="4">
        <v>0.17470031999999999</v>
      </c>
    </row>
    <row r="120" spans="6:7" x14ac:dyDescent="0.25">
      <c r="F120" s="1">
        <v>1687.85</v>
      </c>
      <c r="G120" s="4">
        <v>0.17496676999999999</v>
      </c>
    </row>
    <row r="121" spans="6:7" x14ac:dyDescent="0.25">
      <c r="F121" s="1">
        <v>1687.9</v>
      </c>
      <c r="G121" s="4">
        <v>0.17500695999999999</v>
      </c>
    </row>
    <row r="122" spans="6:7" x14ac:dyDescent="0.25">
      <c r="F122" s="1">
        <v>1687.95</v>
      </c>
      <c r="G122" s="4">
        <v>0.17493165999999999</v>
      </c>
    </row>
    <row r="123" spans="6:7" x14ac:dyDescent="0.25">
      <c r="F123" s="1">
        <v>1688</v>
      </c>
      <c r="G123" s="4">
        <v>0.1747939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3"/>
  <sheetViews>
    <sheetView zoomScale="89" zoomScaleNormal="89" workbookViewId="0">
      <selection activeCell="G3" sqref="G3:G123"/>
    </sheetView>
  </sheetViews>
  <sheetFormatPr defaultRowHeight="15.75" x14ac:dyDescent="0.25"/>
  <cols>
    <col min="1" max="1" width="11.5" customWidth="1"/>
    <col min="2" max="3" width="9" customWidth="1"/>
    <col min="4" max="4" width="14.375" customWidth="1"/>
    <col min="6" max="6" width="12.375" customWidth="1"/>
    <col min="7" max="7" width="15" style="4" customWidth="1"/>
    <col min="9" max="9" width="12.75" customWidth="1"/>
    <col min="10" max="10" width="13.875" customWidth="1"/>
    <col min="12" max="12" width="14" customWidth="1"/>
    <col min="14" max="14" width="12.75" customWidth="1"/>
    <col min="26" max="26" width="15.5" style="8" bestFit="1" customWidth="1"/>
  </cols>
  <sheetData>
    <row r="1" spans="1:27" x14ac:dyDescent="0.25">
      <c r="C1" t="s">
        <v>0</v>
      </c>
      <c r="D1" t="s">
        <v>0</v>
      </c>
      <c r="F1" s="4" t="s">
        <v>1</v>
      </c>
      <c r="H1" s="4"/>
      <c r="I1" t="s">
        <v>2</v>
      </c>
      <c r="L1" t="s">
        <v>3</v>
      </c>
      <c r="M1" t="s">
        <v>4</v>
      </c>
      <c r="N1" s="4" t="s">
        <v>5</v>
      </c>
      <c r="O1" t="s">
        <v>4</v>
      </c>
      <c r="Z1" s="8" t="s">
        <v>12</v>
      </c>
    </row>
    <row r="2" spans="1:27" x14ac:dyDescent="0.25">
      <c r="A2" t="s">
        <v>6</v>
      </c>
      <c r="B2" t="s">
        <v>7</v>
      </c>
      <c r="C2" t="s">
        <v>8</v>
      </c>
      <c r="D2" t="s">
        <v>9</v>
      </c>
      <c r="F2" t="s">
        <v>6</v>
      </c>
      <c r="G2" t="s">
        <v>9</v>
      </c>
      <c r="I2" t="s">
        <v>6</v>
      </c>
      <c r="J2" t="s">
        <v>9</v>
      </c>
      <c r="K2" s="3"/>
    </row>
    <row r="3" spans="1:27" x14ac:dyDescent="0.25">
      <c r="A3">
        <v>1682</v>
      </c>
      <c r="B3">
        <v>0.159995</v>
      </c>
      <c r="C3">
        <f t="shared" ref="C3:C15" si="0">B3*4*PI()/(0.0064886478302)</f>
        <v>309.85754182661879</v>
      </c>
      <c r="D3">
        <v>2.7826E-2</v>
      </c>
      <c r="E3">
        <v>2.7826E-2</v>
      </c>
      <c r="F3" s="1">
        <v>1682</v>
      </c>
      <c r="G3" s="4">
        <v>9.0565104000000004E-3</v>
      </c>
      <c r="H3" s="4"/>
      <c r="I3">
        <v>1682</v>
      </c>
      <c r="J3" s="4">
        <v>8.9983707940257604E-3</v>
      </c>
      <c r="L3">
        <f>D3/G3</f>
        <v>3.0724858439957181</v>
      </c>
      <c r="M3">
        <f>1-L3</f>
        <v>-2.0724858439957181</v>
      </c>
      <c r="N3">
        <f>J3/G3</f>
        <v>0.99358035232044339</v>
      </c>
      <c r="O3">
        <f>1-N3</f>
        <v>6.419647679556606E-3</v>
      </c>
      <c r="Y3">
        <v>1682</v>
      </c>
      <c r="Z3" s="8">
        <v>1.2352397795488701E-3</v>
      </c>
      <c r="AA3">
        <f>Z3/G3</f>
        <v>0.13639246519817058</v>
      </c>
    </row>
    <row r="4" spans="1:27" x14ac:dyDescent="0.25">
      <c r="A4">
        <v>1682.5</v>
      </c>
      <c r="B4">
        <v>0.30877700000000002</v>
      </c>
      <c r="C4">
        <f t="shared" si="0"/>
        <v>597.99920117877355</v>
      </c>
      <c r="D4">
        <v>5.1804999999999997E-2</v>
      </c>
      <c r="E4">
        <v>5.1804999999999997E-2</v>
      </c>
      <c r="F4" s="1">
        <v>1682.05</v>
      </c>
      <c r="G4" s="4">
        <v>1.0281139E-2</v>
      </c>
      <c r="I4">
        <v>1682.5</v>
      </c>
      <c r="J4" s="4">
        <v>3.1492062088931599E-2</v>
      </c>
      <c r="L4">
        <f t="shared" ref="L4:L15" si="1">D4/G4</f>
        <v>5.0388385956069648</v>
      </c>
      <c r="M4">
        <f t="shared" ref="M4:M15" si="2">1-L4</f>
        <v>-4.0388385956069648</v>
      </c>
      <c r="N4">
        <f t="shared" ref="N4:N15" si="3">J4/G4</f>
        <v>3.0630907809856085</v>
      </c>
      <c r="O4">
        <f t="shared" ref="O4:O15" si="4">1-N4</f>
        <v>-2.0630907809856085</v>
      </c>
      <c r="Y4">
        <v>1682.5</v>
      </c>
      <c r="Z4" s="8">
        <v>5.0202693819145104E-3</v>
      </c>
      <c r="AA4">
        <f t="shared" ref="AA4:AA15" si="5">Z4/G4</f>
        <v>0.48829895033172011</v>
      </c>
    </row>
    <row r="5" spans="1:27" x14ac:dyDescent="0.25">
      <c r="A5">
        <v>1683</v>
      </c>
      <c r="B5">
        <v>0.50622</v>
      </c>
      <c r="C5">
        <f t="shared" si="0"/>
        <v>980.38116705816412</v>
      </c>
      <c r="D5">
        <v>8.3502000000000007E-2</v>
      </c>
      <c r="E5">
        <v>8.3502000000000007E-2</v>
      </c>
      <c r="F5" s="1">
        <v>1682.1</v>
      </c>
      <c r="G5" s="4">
        <v>1.1667231E-2</v>
      </c>
      <c r="I5">
        <v>1683</v>
      </c>
      <c r="J5" s="4">
        <v>8.4775701990849106E-2</v>
      </c>
      <c r="L5">
        <f t="shared" si="1"/>
        <v>7.1569680929433908</v>
      </c>
      <c r="M5">
        <f t="shared" si="2"/>
        <v>-6.1569680929433908</v>
      </c>
      <c r="N5">
        <f t="shared" si="3"/>
        <v>7.2661372686329004</v>
      </c>
      <c r="O5">
        <f t="shared" si="4"/>
        <v>-6.2661372686329004</v>
      </c>
      <c r="Y5">
        <v>1683</v>
      </c>
      <c r="Z5" s="8">
        <v>2.5584615568896199E-2</v>
      </c>
      <c r="AA5">
        <f t="shared" si="5"/>
        <v>2.1928609769444178</v>
      </c>
    </row>
    <row r="6" spans="1:27" x14ac:dyDescent="0.25">
      <c r="A6">
        <v>1683.5</v>
      </c>
      <c r="B6">
        <v>0.71726699999999999</v>
      </c>
      <c r="C6">
        <f t="shared" si="0"/>
        <v>1389.1095937582636</v>
      </c>
      <c r="D6">
        <v>0.116921</v>
      </c>
      <c r="E6">
        <v>0.116921</v>
      </c>
      <c r="F6" s="1">
        <v>1682.15</v>
      </c>
      <c r="G6" s="4">
        <v>1.3252603E-2</v>
      </c>
      <c r="I6">
        <v>1683.5</v>
      </c>
      <c r="J6" s="4">
        <v>0.14334422374040201</v>
      </c>
      <c r="L6">
        <f t="shared" si="1"/>
        <v>8.8224932113336525</v>
      </c>
      <c r="M6">
        <f t="shared" si="2"/>
        <v>-7.8224932113336525</v>
      </c>
      <c r="N6">
        <f t="shared" si="3"/>
        <v>10.816307086268411</v>
      </c>
      <c r="O6">
        <f t="shared" si="4"/>
        <v>-9.8163070862684112</v>
      </c>
      <c r="Y6">
        <v>1683.5</v>
      </c>
      <c r="Z6" s="8">
        <v>6.2254040229661502E-2</v>
      </c>
      <c r="AA6">
        <f t="shared" si="5"/>
        <v>4.6974952942951287</v>
      </c>
    </row>
    <row r="7" spans="1:27" x14ac:dyDescent="0.25">
      <c r="A7">
        <v>1684</v>
      </c>
      <c r="B7">
        <v>0.86027600000000004</v>
      </c>
      <c r="C7">
        <f t="shared" si="0"/>
        <v>1666.0708562919863</v>
      </c>
      <c r="D7">
        <v>0.14003599999999999</v>
      </c>
      <c r="E7">
        <v>0.14003599999999999</v>
      </c>
      <c r="F7" s="1">
        <v>1682.2</v>
      </c>
      <c r="G7" s="4">
        <v>1.5054674000000001E-2</v>
      </c>
      <c r="I7">
        <v>1684</v>
      </c>
      <c r="J7" s="4">
        <v>0.16869943162009299</v>
      </c>
      <c r="L7">
        <f t="shared" si="1"/>
        <v>9.301828787524725</v>
      </c>
      <c r="M7">
        <f t="shared" si="2"/>
        <v>-8.301828787524725</v>
      </c>
      <c r="N7">
        <f t="shared" si="3"/>
        <v>11.205784437450653</v>
      </c>
      <c r="O7">
        <f t="shared" si="4"/>
        <v>-10.205784437450653</v>
      </c>
      <c r="Y7">
        <v>1684</v>
      </c>
      <c r="Z7" s="8">
        <v>8.0949883048273399E-2</v>
      </c>
      <c r="AA7">
        <f t="shared" si="5"/>
        <v>5.3770598452197236</v>
      </c>
    </row>
    <row r="8" spans="1:27" x14ac:dyDescent="0.25">
      <c r="A8">
        <v>1684.5</v>
      </c>
      <c r="B8">
        <v>0.96959099999999998</v>
      </c>
      <c r="C8">
        <f t="shared" si="0"/>
        <v>1877.7779545436615</v>
      </c>
      <c r="D8">
        <v>0.15765100000000001</v>
      </c>
      <c r="E8">
        <v>0.15765100000000001</v>
      </c>
      <c r="F8" s="1">
        <v>1682.25</v>
      </c>
      <c r="G8" s="4">
        <v>1.7098840000000001E-2</v>
      </c>
      <c r="I8">
        <v>1684.5</v>
      </c>
      <c r="J8" s="4">
        <v>0.17333072983016301</v>
      </c>
      <c r="L8">
        <f t="shared" si="1"/>
        <v>9.2199821742293633</v>
      </c>
      <c r="M8">
        <f t="shared" si="2"/>
        <v>-8.2199821742293633</v>
      </c>
      <c r="N8">
        <f t="shared" si="3"/>
        <v>10.136987645370271</v>
      </c>
      <c r="O8">
        <f t="shared" si="4"/>
        <v>-9.1369876453702705</v>
      </c>
      <c r="Y8">
        <v>1684.5</v>
      </c>
      <c r="Z8" s="8">
        <v>9.6469196243387706E-2</v>
      </c>
      <c r="AA8">
        <f t="shared" si="5"/>
        <v>5.641856186933599</v>
      </c>
    </row>
    <row r="9" spans="1:27" x14ac:dyDescent="0.25">
      <c r="A9">
        <v>1685</v>
      </c>
      <c r="B9">
        <v>1.029995</v>
      </c>
      <c r="C9">
        <f t="shared" si="0"/>
        <v>1994.7605787287616</v>
      </c>
      <c r="D9">
        <v>0.16772699999999999</v>
      </c>
      <c r="E9">
        <v>0.16772699999999999</v>
      </c>
      <c r="F9" s="1">
        <v>1682.3</v>
      </c>
      <c r="G9" s="4">
        <v>1.9403158E-2</v>
      </c>
      <c r="I9">
        <v>1685</v>
      </c>
      <c r="J9" s="4">
        <v>0.17412796311877901</v>
      </c>
      <c r="L9">
        <f t="shared" si="1"/>
        <v>8.6443144976709458</v>
      </c>
      <c r="M9">
        <f t="shared" si="2"/>
        <v>-7.6443144976709458</v>
      </c>
      <c r="N9">
        <f t="shared" si="3"/>
        <v>8.9742073490706513</v>
      </c>
      <c r="O9">
        <f t="shared" si="4"/>
        <v>-7.9742073490706513</v>
      </c>
      <c r="Y9">
        <v>1685</v>
      </c>
      <c r="Z9" s="8">
        <v>0.115975632395154</v>
      </c>
      <c r="AA9">
        <f t="shared" si="5"/>
        <v>5.9771523993750915</v>
      </c>
    </row>
    <row r="10" spans="1:27" x14ac:dyDescent="0.25">
      <c r="A10">
        <v>1685.5</v>
      </c>
      <c r="B10">
        <v>1.0564279999999999</v>
      </c>
      <c r="C10">
        <f t="shared" si="0"/>
        <v>2045.9525809982263</v>
      </c>
      <c r="D10">
        <v>0.17244000000000001</v>
      </c>
      <c r="E10">
        <v>0.17244000000000001</v>
      </c>
      <c r="F10" s="1">
        <v>1682.35</v>
      </c>
      <c r="G10" s="4">
        <v>2.1977310999999999E-2</v>
      </c>
      <c r="I10">
        <v>1685.5</v>
      </c>
      <c r="J10" s="4">
        <v>0.174479325955084</v>
      </c>
      <c r="L10">
        <f t="shared" si="1"/>
        <v>7.8462738230350393</v>
      </c>
      <c r="M10">
        <f t="shared" si="2"/>
        <v>-6.8462738230350393</v>
      </c>
      <c r="N10">
        <f t="shared" si="3"/>
        <v>7.9390661557769286</v>
      </c>
      <c r="O10">
        <f t="shared" si="4"/>
        <v>-6.9390661557769286</v>
      </c>
      <c r="Y10">
        <v>1685.5</v>
      </c>
      <c r="Z10" s="8">
        <v>0.12806900671500601</v>
      </c>
      <c r="AA10">
        <f t="shared" si="5"/>
        <v>5.8273283166901546</v>
      </c>
    </row>
    <row r="11" spans="1:27" x14ac:dyDescent="0.25">
      <c r="A11">
        <v>1686</v>
      </c>
      <c r="B11">
        <v>1.061299</v>
      </c>
      <c r="C11">
        <f t="shared" si="0"/>
        <v>2055.3861013347209</v>
      </c>
      <c r="D11">
        <v>0.17360500000000001</v>
      </c>
      <c r="E11">
        <v>0.17360500000000001</v>
      </c>
      <c r="F11" s="1">
        <v>1682.4</v>
      </c>
      <c r="G11" s="4">
        <v>2.4867671000000001E-2</v>
      </c>
      <c r="I11">
        <v>1686</v>
      </c>
      <c r="J11" s="4">
        <v>0.17468574050867</v>
      </c>
      <c r="L11">
        <f t="shared" si="1"/>
        <v>6.981152356406839</v>
      </c>
      <c r="M11">
        <f t="shared" si="2"/>
        <v>-5.981152356406839</v>
      </c>
      <c r="N11">
        <f t="shared" si="3"/>
        <v>7.0246120156837364</v>
      </c>
      <c r="O11">
        <f t="shared" si="4"/>
        <v>-6.0246120156837364</v>
      </c>
      <c r="Y11">
        <v>1686</v>
      </c>
      <c r="Z11" s="8">
        <v>0.14082519171102001</v>
      </c>
      <c r="AA11">
        <f t="shared" si="5"/>
        <v>5.6629827421723569</v>
      </c>
    </row>
    <row r="12" spans="1:27" x14ac:dyDescent="0.25">
      <c r="A12">
        <v>1686.5</v>
      </c>
      <c r="B12">
        <v>1.0678510000000001</v>
      </c>
      <c r="C12">
        <f t="shared" si="0"/>
        <v>2068.0751642057357</v>
      </c>
      <c r="D12">
        <v>0.174979</v>
      </c>
      <c r="E12">
        <v>0.174979</v>
      </c>
      <c r="F12" s="1">
        <v>1682.45</v>
      </c>
      <c r="G12" s="4">
        <v>2.8065125999999999E-2</v>
      </c>
      <c r="I12">
        <v>1686.5</v>
      </c>
      <c r="J12" s="4">
        <v>0.17482905516741701</v>
      </c>
      <c r="L12">
        <f t="shared" si="1"/>
        <v>6.2347484205130597</v>
      </c>
      <c r="M12">
        <f t="shared" si="2"/>
        <v>-5.2347484205130597</v>
      </c>
      <c r="N12">
        <f t="shared" si="3"/>
        <v>6.2294056747657933</v>
      </c>
      <c r="O12">
        <f t="shared" si="4"/>
        <v>-5.2294056747657933</v>
      </c>
      <c r="Y12">
        <v>1686.5</v>
      </c>
      <c r="Z12" s="8">
        <v>0.152196102543175</v>
      </c>
      <c r="AA12">
        <f t="shared" si="5"/>
        <v>5.4229616693392009</v>
      </c>
    </row>
    <row r="13" spans="1:27" x14ac:dyDescent="0.25">
      <c r="A13">
        <v>1687</v>
      </c>
      <c r="B13">
        <v>1.0648949999999999</v>
      </c>
      <c r="C13">
        <f t="shared" si="0"/>
        <v>2062.3503672205829</v>
      </c>
      <c r="D13">
        <v>0.174119</v>
      </c>
      <c r="E13">
        <v>0.174119</v>
      </c>
      <c r="F13" s="1">
        <v>1682.5</v>
      </c>
      <c r="G13" s="4">
        <v>3.1611594999999999E-2</v>
      </c>
      <c r="I13">
        <v>1687</v>
      </c>
      <c r="J13" s="4">
        <v>0.174937296386562</v>
      </c>
      <c r="L13">
        <f t="shared" si="1"/>
        <v>5.50807385707681</v>
      </c>
      <c r="M13">
        <f t="shared" si="2"/>
        <v>-4.50807385707681</v>
      </c>
      <c r="N13">
        <f t="shared" si="3"/>
        <v>5.5339598140037536</v>
      </c>
      <c r="O13">
        <f t="shared" si="4"/>
        <v>-4.5339598140037536</v>
      </c>
      <c r="Y13">
        <v>1687</v>
      </c>
      <c r="Z13" s="8">
        <v>0.15757995848550299</v>
      </c>
      <c r="AA13">
        <f t="shared" si="5"/>
        <v>4.9848784436692615</v>
      </c>
    </row>
    <row r="14" spans="1:27" x14ac:dyDescent="0.25">
      <c r="A14">
        <v>1687.5</v>
      </c>
      <c r="B14">
        <v>1.0669489999999999</v>
      </c>
      <c r="C14">
        <f t="shared" si="0"/>
        <v>2066.328287723798</v>
      </c>
      <c r="D14">
        <v>0.174979</v>
      </c>
      <c r="E14">
        <v>0.174979</v>
      </c>
      <c r="F14" s="1">
        <v>1682.55</v>
      </c>
      <c r="G14" s="4">
        <v>3.552578E-2</v>
      </c>
      <c r="I14">
        <v>1687.5</v>
      </c>
      <c r="J14" s="4">
        <v>0.175011743026393</v>
      </c>
      <c r="L14">
        <f t="shared" si="1"/>
        <v>4.9254090972809044</v>
      </c>
      <c r="M14">
        <f t="shared" si="2"/>
        <v>-3.9254090972809044</v>
      </c>
      <c r="N14">
        <f t="shared" si="3"/>
        <v>4.9263307667387739</v>
      </c>
      <c r="O14">
        <f t="shared" si="4"/>
        <v>-3.9263307667387739</v>
      </c>
      <c r="Y14">
        <v>1687.5</v>
      </c>
      <c r="Z14" s="8">
        <v>0.16141575207490999</v>
      </c>
      <c r="AA14">
        <f t="shared" si="5"/>
        <v>4.5436230274158653</v>
      </c>
    </row>
    <row r="15" spans="1:27" x14ac:dyDescent="0.25">
      <c r="A15">
        <v>1688</v>
      </c>
      <c r="B15">
        <v>1.0640419999999999</v>
      </c>
      <c r="C15">
        <f t="shared" si="0"/>
        <v>2060.6983875763563</v>
      </c>
      <c r="D15">
        <v>0.174181</v>
      </c>
      <c r="E15">
        <v>0.174181</v>
      </c>
      <c r="F15" s="1">
        <v>1682.6</v>
      </c>
      <c r="G15" s="4">
        <v>3.9738752000000002E-2</v>
      </c>
      <c r="I15">
        <v>1688</v>
      </c>
      <c r="J15" s="4">
        <v>0.17505949057148601</v>
      </c>
      <c r="L15">
        <f t="shared" si="1"/>
        <v>4.3831522439355917</v>
      </c>
      <c r="M15">
        <f t="shared" si="2"/>
        <v>-3.3831522439355917</v>
      </c>
      <c r="N15">
        <f t="shared" si="3"/>
        <v>4.4052588911570751</v>
      </c>
      <c r="O15">
        <f t="shared" si="4"/>
        <v>-3.4052588911570751</v>
      </c>
      <c r="Y15">
        <v>1688</v>
      </c>
      <c r="Z15" s="8">
        <v>0.16416158538898901</v>
      </c>
      <c r="AA15">
        <f t="shared" si="5"/>
        <v>4.1310201535516011</v>
      </c>
    </row>
    <row r="16" spans="1:27" x14ac:dyDescent="0.25">
      <c r="F16">
        <v>1682.65</v>
      </c>
      <c r="G16" s="4">
        <v>4.4358338999999997E-2</v>
      </c>
    </row>
    <row r="17" spans="6:7" x14ac:dyDescent="0.25">
      <c r="F17">
        <v>1682.7</v>
      </c>
      <c r="G17" s="4">
        <v>4.9282707000000002E-2</v>
      </c>
    </row>
    <row r="18" spans="6:7" x14ac:dyDescent="0.25">
      <c r="F18">
        <v>1682.75</v>
      </c>
      <c r="G18" s="4">
        <v>5.4554763999999999E-2</v>
      </c>
    </row>
    <row r="19" spans="6:7" x14ac:dyDescent="0.25">
      <c r="F19">
        <v>1682.8</v>
      </c>
      <c r="G19" s="4">
        <v>6.0168172999999998E-2</v>
      </c>
    </row>
    <row r="20" spans="6:7" x14ac:dyDescent="0.25">
      <c r="F20">
        <v>1682.85</v>
      </c>
      <c r="G20" s="4">
        <v>6.5998919000000003E-2</v>
      </c>
    </row>
    <row r="21" spans="6:7" x14ac:dyDescent="0.25">
      <c r="F21">
        <v>1682.9</v>
      </c>
      <c r="G21" s="4">
        <v>7.2107449000000004E-2</v>
      </c>
    </row>
    <row r="22" spans="6:7" x14ac:dyDescent="0.25">
      <c r="F22">
        <v>1682.95</v>
      </c>
      <c r="G22" s="4">
        <v>7.8367934E-2</v>
      </c>
    </row>
    <row r="23" spans="6:7" x14ac:dyDescent="0.25">
      <c r="F23">
        <v>1683</v>
      </c>
      <c r="G23" s="4">
        <v>8.4798052999999998E-2</v>
      </c>
    </row>
    <row r="24" spans="6:7" x14ac:dyDescent="0.25">
      <c r="F24">
        <v>1683.05</v>
      </c>
      <c r="G24" s="4">
        <v>9.1317385000000001E-2</v>
      </c>
    </row>
    <row r="25" spans="6:7" x14ac:dyDescent="0.25">
      <c r="F25">
        <v>1683.1</v>
      </c>
      <c r="G25" s="4">
        <v>9.7761690999999998E-2</v>
      </c>
    </row>
    <row r="26" spans="6:7" x14ac:dyDescent="0.25">
      <c r="F26">
        <v>1683.15</v>
      </c>
      <c r="G26" s="4">
        <v>0.10427119999999999</v>
      </c>
    </row>
    <row r="27" spans="6:7" x14ac:dyDescent="0.25">
      <c r="F27">
        <v>1683.2</v>
      </c>
      <c r="G27" s="4">
        <v>0.11060723</v>
      </c>
    </row>
    <row r="28" spans="6:7" x14ac:dyDescent="0.25">
      <c r="F28">
        <v>1683.25</v>
      </c>
      <c r="G28" s="4">
        <v>0.11672701000000001</v>
      </c>
    </row>
    <row r="29" spans="6:7" x14ac:dyDescent="0.25">
      <c r="F29">
        <v>1683.3</v>
      </c>
      <c r="G29" s="4">
        <v>0.12270287000000001</v>
      </c>
    </row>
    <row r="30" spans="6:7" x14ac:dyDescent="0.25">
      <c r="F30">
        <v>1683.35</v>
      </c>
      <c r="G30" s="4">
        <v>0.12831073000000001</v>
      </c>
    </row>
    <row r="31" spans="6:7" x14ac:dyDescent="0.25">
      <c r="F31">
        <v>1683.4</v>
      </c>
      <c r="G31" s="4">
        <v>0.13367338000000001</v>
      </c>
    </row>
    <row r="32" spans="6:7" x14ac:dyDescent="0.25">
      <c r="F32">
        <v>1683.45</v>
      </c>
      <c r="G32" s="4">
        <v>0.13859479</v>
      </c>
    </row>
    <row r="33" spans="6:7" x14ac:dyDescent="0.25">
      <c r="F33">
        <v>1683.5</v>
      </c>
      <c r="G33" s="4">
        <v>0.14318380999999999</v>
      </c>
    </row>
    <row r="34" spans="6:7" x14ac:dyDescent="0.25">
      <c r="F34">
        <v>1683.55</v>
      </c>
      <c r="G34" s="4">
        <v>0.14736742999999999</v>
      </c>
    </row>
    <row r="35" spans="6:7" x14ac:dyDescent="0.25">
      <c r="F35">
        <v>1683.6</v>
      </c>
      <c r="G35" s="4">
        <v>0.15113503</v>
      </c>
    </row>
    <row r="36" spans="6:7" x14ac:dyDescent="0.25">
      <c r="F36">
        <v>1683.65</v>
      </c>
      <c r="G36" s="4">
        <v>0.15458387000000001</v>
      </c>
    </row>
    <row r="37" spans="6:7" x14ac:dyDescent="0.25">
      <c r="F37">
        <v>1683.7</v>
      </c>
      <c r="G37" s="4">
        <v>0.15751467999999999</v>
      </c>
    </row>
    <row r="38" spans="6:7" x14ac:dyDescent="0.25">
      <c r="F38">
        <v>1683.75</v>
      </c>
      <c r="G38" s="4">
        <v>0.16016169</v>
      </c>
    </row>
    <row r="39" spans="6:7" x14ac:dyDescent="0.25">
      <c r="F39">
        <v>1683.8</v>
      </c>
      <c r="G39" s="4">
        <v>0.16242398</v>
      </c>
    </row>
    <row r="40" spans="6:7" x14ac:dyDescent="0.25">
      <c r="F40">
        <v>1683.85</v>
      </c>
      <c r="G40" s="4">
        <v>0.16441133999999999</v>
      </c>
    </row>
    <row r="41" spans="6:7" x14ac:dyDescent="0.25">
      <c r="F41">
        <v>1683.9</v>
      </c>
      <c r="G41" s="4">
        <v>0.16601625</v>
      </c>
    </row>
    <row r="42" spans="6:7" x14ac:dyDescent="0.25">
      <c r="F42">
        <v>1683.95</v>
      </c>
      <c r="G42" s="4">
        <v>0.16748594</v>
      </c>
    </row>
    <row r="43" spans="6:7" x14ac:dyDescent="0.25">
      <c r="F43">
        <v>1684</v>
      </c>
      <c r="G43" s="4">
        <v>0.16863427</v>
      </c>
    </row>
    <row r="44" spans="6:7" x14ac:dyDescent="0.25">
      <c r="F44">
        <v>1684.05</v>
      </c>
      <c r="G44" s="4">
        <v>0.16963892999999999</v>
      </c>
    </row>
    <row r="45" spans="6:7" x14ac:dyDescent="0.25">
      <c r="F45">
        <v>1684.1</v>
      </c>
      <c r="G45" s="4">
        <v>0.17040329000000001</v>
      </c>
    </row>
    <row r="46" spans="6:7" x14ac:dyDescent="0.25">
      <c r="F46">
        <v>1684.15</v>
      </c>
      <c r="G46" s="4">
        <v>0.17111592</v>
      </c>
    </row>
    <row r="47" spans="6:7" x14ac:dyDescent="0.25">
      <c r="F47">
        <v>1684.2</v>
      </c>
      <c r="G47" s="4">
        <v>0.17162409000000001</v>
      </c>
    </row>
    <row r="48" spans="6:7" x14ac:dyDescent="0.25">
      <c r="F48">
        <v>1684.25</v>
      </c>
      <c r="G48" s="4">
        <v>0.17206996999999999</v>
      </c>
    </row>
    <row r="49" spans="6:7" x14ac:dyDescent="0.25">
      <c r="F49">
        <v>1684.3</v>
      </c>
      <c r="G49" s="4">
        <v>0.17248377000000001</v>
      </c>
    </row>
    <row r="50" spans="6:7" x14ac:dyDescent="0.25">
      <c r="F50">
        <v>1684.35</v>
      </c>
      <c r="G50" s="4">
        <v>0.17272599</v>
      </c>
    </row>
    <row r="51" spans="6:7" x14ac:dyDescent="0.25">
      <c r="F51">
        <v>1684.4</v>
      </c>
      <c r="G51" s="4">
        <v>0.17295641</v>
      </c>
    </row>
    <row r="52" spans="6:7" x14ac:dyDescent="0.25">
      <c r="F52">
        <v>1684.45</v>
      </c>
      <c r="G52" s="4">
        <v>0.17317326</v>
      </c>
    </row>
    <row r="53" spans="6:7" x14ac:dyDescent="0.25">
      <c r="F53">
        <v>1684.5</v>
      </c>
      <c r="G53" s="4">
        <v>0.17340543999999999</v>
      </c>
    </row>
    <row r="54" spans="6:7" x14ac:dyDescent="0.25">
      <c r="F54">
        <v>1684.55</v>
      </c>
      <c r="G54" s="4">
        <v>0.17347156999999999</v>
      </c>
    </row>
    <row r="55" spans="6:7" x14ac:dyDescent="0.25">
      <c r="F55">
        <v>1684.6</v>
      </c>
      <c r="G55" s="4">
        <v>0.17360838000000001</v>
      </c>
    </row>
    <row r="56" spans="6:7" x14ac:dyDescent="0.25">
      <c r="F56">
        <v>1684.65</v>
      </c>
      <c r="G56" s="4">
        <v>0.17369525</v>
      </c>
    </row>
    <row r="57" spans="6:7" x14ac:dyDescent="0.25">
      <c r="F57">
        <v>1684.7</v>
      </c>
      <c r="G57" s="4">
        <v>0.17380075</v>
      </c>
    </row>
    <row r="58" spans="6:7" x14ac:dyDescent="0.25">
      <c r="F58">
        <v>1684.75</v>
      </c>
      <c r="G58" s="4">
        <v>0.17389892000000001</v>
      </c>
    </row>
    <row r="59" spans="6:7" x14ac:dyDescent="0.25">
      <c r="F59">
        <v>1684.8</v>
      </c>
      <c r="G59" s="4">
        <v>0.17389204999999999</v>
      </c>
    </row>
    <row r="60" spans="6:7" x14ac:dyDescent="0.25">
      <c r="F60">
        <v>1684.85</v>
      </c>
      <c r="G60" s="4">
        <v>0.17402245</v>
      </c>
    </row>
    <row r="61" spans="6:7" x14ac:dyDescent="0.25">
      <c r="F61">
        <v>1684.9</v>
      </c>
      <c r="G61" s="4">
        <v>0.17406232999999999</v>
      </c>
    </row>
    <row r="62" spans="6:7" x14ac:dyDescent="0.25">
      <c r="F62">
        <v>1684.95</v>
      </c>
      <c r="G62" s="4">
        <v>0.17414473</v>
      </c>
    </row>
    <row r="63" spans="6:7" x14ac:dyDescent="0.25">
      <c r="F63">
        <v>1685</v>
      </c>
      <c r="G63" s="4">
        <v>0.17413084000000001</v>
      </c>
    </row>
    <row r="64" spans="6:7" x14ac:dyDescent="0.25">
      <c r="F64">
        <v>1685.05</v>
      </c>
      <c r="G64" s="4">
        <v>0.17414953999999999</v>
      </c>
    </row>
    <row r="65" spans="6:7" x14ac:dyDescent="0.25">
      <c r="F65">
        <v>1685.1</v>
      </c>
      <c r="G65" s="4">
        <v>0.17431360000000001</v>
      </c>
    </row>
    <row r="66" spans="6:7" x14ac:dyDescent="0.25">
      <c r="F66">
        <v>1685.15</v>
      </c>
      <c r="G66" s="4">
        <v>0.17425989</v>
      </c>
    </row>
    <row r="67" spans="6:7" x14ac:dyDescent="0.25">
      <c r="F67">
        <v>1685.2</v>
      </c>
      <c r="G67" s="4">
        <v>0.17430957</v>
      </c>
    </row>
    <row r="68" spans="6:7" x14ac:dyDescent="0.25">
      <c r="F68">
        <v>1685.25</v>
      </c>
      <c r="G68" s="4">
        <v>0.17428025999999999</v>
      </c>
    </row>
    <row r="69" spans="6:7" x14ac:dyDescent="0.25">
      <c r="F69">
        <v>1685.3</v>
      </c>
      <c r="G69" s="4">
        <v>0.17442321999999999</v>
      </c>
    </row>
    <row r="70" spans="6:7" x14ac:dyDescent="0.25">
      <c r="F70">
        <v>1685.35</v>
      </c>
      <c r="G70" s="4">
        <v>0.17447985999999999</v>
      </c>
    </row>
    <row r="71" spans="6:7" x14ac:dyDescent="0.25">
      <c r="F71">
        <v>1685.4</v>
      </c>
      <c r="G71" s="4">
        <v>0.17439318000000001</v>
      </c>
    </row>
    <row r="72" spans="6:7" x14ac:dyDescent="0.25">
      <c r="F72">
        <v>1685.45</v>
      </c>
      <c r="G72" s="4">
        <v>0.17443399000000001</v>
      </c>
    </row>
    <row r="73" spans="6:7" x14ac:dyDescent="0.25">
      <c r="F73">
        <v>1685.5</v>
      </c>
      <c r="G73" s="4">
        <v>0.17450246</v>
      </c>
    </row>
    <row r="74" spans="6:7" x14ac:dyDescent="0.25">
      <c r="F74">
        <v>1685.55</v>
      </c>
      <c r="G74" s="4">
        <v>0.17454217</v>
      </c>
    </row>
    <row r="75" spans="6:7" x14ac:dyDescent="0.25">
      <c r="F75">
        <v>1685.6</v>
      </c>
      <c r="G75" s="4">
        <v>0.17450966000000001</v>
      </c>
    </row>
    <row r="76" spans="6:7" x14ac:dyDescent="0.25">
      <c r="F76">
        <v>1685.65</v>
      </c>
      <c r="G76" s="4">
        <v>0.17453854999999999</v>
      </c>
    </row>
    <row r="77" spans="6:7" x14ac:dyDescent="0.25">
      <c r="F77">
        <v>1685.7</v>
      </c>
      <c r="G77" s="4">
        <v>0.17464084999999999</v>
      </c>
    </row>
    <row r="78" spans="6:7" x14ac:dyDescent="0.25">
      <c r="F78">
        <v>1685.75</v>
      </c>
      <c r="G78" s="4">
        <v>0.17464389</v>
      </c>
    </row>
    <row r="79" spans="6:7" x14ac:dyDescent="0.25">
      <c r="F79">
        <v>1685.8</v>
      </c>
      <c r="G79" s="4">
        <v>0.17453457</v>
      </c>
    </row>
    <row r="80" spans="6:7" x14ac:dyDescent="0.25">
      <c r="F80">
        <v>1685.85</v>
      </c>
      <c r="G80" s="4">
        <v>0.17462949</v>
      </c>
    </row>
    <row r="81" spans="6:7" x14ac:dyDescent="0.25">
      <c r="F81">
        <v>1685.9</v>
      </c>
      <c r="G81" s="4">
        <v>0.17467715</v>
      </c>
    </row>
    <row r="82" spans="6:7" x14ac:dyDescent="0.25">
      <c r="F82">
        <v>1685.95</v>
      </c>
      <c r="G82" s="4">
        <v>0.17472175000000001</v>
      </c>
    </row>
    <row r="83" spans="6:7" x14ac:dyDescent="0.25">
      <c r="F83">
        <v>1686</v>
      </c>
      <c r="G83" s="4">
        <v>0.17462952000000001</v>
      </c>
    </row>
    <row r="84" spans="6:7" x14ac:dyDescent="0.25">
      <c r="F84">
        <v>1686.05</v>
      </c>
      <c r="G84" s="4">
        <v>0.17467421</v>
      </c>
    </row>
    <row r="85" spans="6:7" x14ac:dyDescent="0.25">
      <c r="F85">
        <v>1686.1</v>
      </c>
      <c r="G85" s="4">
        <v>0.17475626999999999</v>
      </c>
    </row>
    <row r="86" spans="6:7" x14ac:dyDescent="0.25">
      <c r="F86">
        <v>1686.15</v>
      </c>
      <c r="G86" s="4">
        <v>0.17480066</v>
      </c>
    </row>
    <row r="87" spans="6:7" x14ac:dyDescent="0.25">
      <c r="F87">
        <v>1686.2</v>
      </c>
      <c r="G87" s="4">
        <v>0.17476273000000001</v>
      </c>
    </row>
    <row r="88" spans="6:7" x14ac:dyDescent="0.25">
      <c r="F88">
        <v>1686.25</v>
      </c>
      <c r="G88" s="4">
        <v>0.17469530999999999</v>
      </c>
    </row>
    <row r="89" spans="6:7" x14ac:dyDescent="0.25">
      <c r="F89">
        <v>1686.3</v>
      </c>
      <c r="G89" s="4">
        <v>0.17475657</v>
      </c>
    </row>
    <row r="90" spans="6:7" x14ac:dyDescent="0.25">
      <c r="F90">
        <v>1686.35</v>
      </c>
      <c r="G90" s="4">
        <v>0.17485503999999999</v>
      </c>
    </row>
    <row r="91" spans="6:7" x14ac:dyDescent="0.25">
      <c r="F91">
        <v>1686.4</v>
      </c>
      <c r="G91" s="4">
        <v>0.17485154999999999</v>
      </c>
    </row>
    <row r="92" spans="6:7" x14ac:dyDescent="0.25">
      <c r="F92">
        <v>1686.45</v>
      </c>
      <c r="G92" s="4">
        <v>0.17471918</v>
      </c>
    </row>
    <row r="93" spans="6:7" x14ac:dyDescent="0.25">
      <c r="F93">
        <v>1686.5</v>
      </c>
      <c r="G93" s="4">
        <v>0.17471179000000001</v>
      </c>
    </row>
    <row r="94" spans="6:7" x14ac:dyDescent="0.25">
      <c r="F94">
        <v>1686.55</v>
      </c>
      <c r="G94" s="4">
        <v>0.17488328</v>
      </c>
    </row>
    <row r="95" spans="6:7" x14ac:dyDescent="0.25">
      <c r="F95">
        <v>1686.6</v>
      </c>
      <c r="G95" s="4">
        <v>0.17496468000000001</v>
      </c>
    </row>
    <row r="96" spans="6:7" x14ac:dyDescent="0.25">
      <c r="F96">
        <v>1686.65</v>
      </c>
      <c r="G96" s="4">
        <v>0.17478368999999999</v>
      </c>
    </row>
    <row r="97" spans="6:7" x14ac:dyDescent="0.25">
      <c r="F97">
        <v>1686.7</v>
      </c>
      <c r="G97" s="4">
        <v>0.17471401</v>
      </c>
    </row>
    <row r="98" spans="6:7" x14ac:dyDescent="0.25">
      <c r="F98">
        <v>1686.75</v>
      </c>
      <c r="G98" s="4">
        <v>0.17492905</v>
      </c>
    </row>
    <row r="99" spans="6:7" x14ac:dyDescent="0.25">
      <c r="F99">
        <v>1686.8</v>
      </c>
      <c r="G99" s="4">
        <v>0.17499565</v>
      </c>
    </row>
    <row r="100" spans="6:7" x14ac:dyDescent="0.25">
      <c r="F100">
        <v>1686.85</v>
      </c>
      <c r="G100" s="4">
        <v>0.17485261999999999</v>
      </c>
    </row>
    <row r="101" spans="6:7" x14ac:dyDescent="0.25">
      <c r="F101">
        <v>1686.9</v>
      </c>
      <c r="G101" s="4">
        <v>0.17466693999999999</v>
      </c>
    </row>
    <row r="102" spans="6:7" x14ac:dyDescent="0.25">
      <c r="F102">
        <v>1686.95</v>
      </c>
      <c r="G102" s="4">
        <v>0.17488807000000001</v>
      </c>
    </row>
    <row r="103" spans="6:7" x14ac:dyDescent="0.25">
      <c r="F103">
        <v>1687</v>
      </c>
      <c r="G103" s="4">
        <v>0.1750689</v>
      </c>
    </row>
    <row r="104" spans="6:7" x14ac:dyDescent="0.25">
      <c r="F104">
        <v>1687.05</v>
      </c>
      <c r="G104" s="4">
        <v>0.17488055999999999</v>
      </c>
    </row>
    <row r="105" spans="6:7" x14ac:dyDescent="0.25">
      <c r="F105">
        <v>1687.1</v>
      </c>
      <c r="G105" s="4">
        <v>0.17466967999999999</v>
      </c>
    </row>
    <row r="106" spans="6:7" x14ac:dyDescent="0.25">
      <c r="F106">
        <v>1687.15</v>
      </c>
      <c r="G106" s="4">
        <v>0.17490789000000001</v>
      </c>
    </row>
    <row r="107" spans="6:7" x14ac:dyDescent="0.25">
      <c r="F107">
        <v>1687.2</v>
      </c>
      <c r="G107" s="4">
        <v>0.17508392</v>
      </c>
    </row>
    <row r="108" spans="6:7" x14ac:dyDescent="0.25">
      <c r="F108">
        <v>1687.25</v>
      </c>
      <c r="G108" s="4">
        <v>0.17486747</v>
      </c>
    </row>
    <row r="109" spans="6:7" x14ac:dyDescent="0.25">
      <c r="F109">
        <v>1687.3</v>
      </c>
      <c r="G109" s="4">
        <v>0.17470922999999999</v>
      </c>
    </row>
    <row r="110" spans="6:7" x14ac:dyDescent="0.25">
      <c r="F110">
        <v>1687.35</v>
      </c>
      <c r="G110" s="4">
        <v>0.17487401</v>
      </c>
    </row>
    <row r="111" spans="6:7" x14ac:dyDescent="0.25">
      <c r="F111">
        <v>1687.4</v>
      </c>
      <c r="G111" s="4">
        <v>0.17509106999999999</v>
      </c>
    </row>
    <row r="112" spans="6:7" x14ac:dyDescent="0.25">
      <c r="F112">
        <v>1687.45</v>
      </c>
      <c r="G112" s="4">
        <v>0.17496264</v>
      </c>
    </row>
    <row r="113" spans="6:7" x14ac:dyDescent="0.25">
      <c r="F113">
        <v>1687.5</v>
      </c>
      <c r="G113" s="4">
        <v>0.17463353000000001</v>
      </c>
    </row>
    <row r="114" spans="6:7" x14ac:dyDescent="0.25">
      <c r="F114">
        <v>1687.55</v>
      </c>
      <c r="G114" s="4">
        <v>0.17484155000000001</v>
      </c>
    </row>
    <row r="115" spans="6:7" x14ac:dyDescent="0.25">
      <c r="F115">
        <v>1687.6</v>
      </c>
      <c r="G115" s="4">
        <v>0.17514172</v>
      </c>
    </row>
    <row r="116" spans="6:7" x14ac:dyDescent="0.25">
      <c r="F116">
        <v>1687.65</v>
      </c>
      <c r="G116" s="4">
        <v>0.17495896</v>
      </c>
    </row>
    <row r="117" spans="6:7" x14ac:dyDescent="0.25">
      <c r="F117">
        <v>1687.7</v>
      </c>
      <c r="G117" s="4">
        <v>0.17471278000000001</v>
      </c>
    </row>
    <row r="118" spans="6:7" x14ac:dyDescent="0.25">
      <c r="F118">
        <v>1687.75</v>
      </c>
      <c r="G118" s="4">
        <v>0.17474050999999999</v>
      </c>
    </row>
    <row r="119" spans="6:7" x14ac:dyDescent="0.25">
      <c r="F119">
        <v>1687.8</v>
      </c>
      <c r="G119" s="4">
        <v>0.17500234000000001</v>
      </c>
    </row>
    <row r="120" spans="6:7" x14ac:dyDescent="0.25">
      <c r="F120">
        <v>1687.85</v>
      </c>
      <c r="G120" s="4">
        <v>0.1750263</v>
      </c>
    </row>
    <row r="121" spans="6:7" x14ac:dyDescent="0.25">
      <c r="F121">
        <v>1687.9</v>
      </c>
      <c r="G121" s="4">
        <v>0.17491676</v>
      </c>
    </row>
    <row r="122" spans="6:7" x14ac:dyDescent="0.25">
      <c r="F122">
        <v>1687.95</v>
      </c>
      <c r="G122" s="4">
        <v>0.17467917999999999</v>
      </c>
    </row>
    <row r="123" spans="6:7" x14ac:dyDescent="0.25">
      <c r="F123">
        <v>1688</v>
      </c>
      <c r="G123" s="4">
        <v>0.17488213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4"/>
  <sheetViews>
    <sheetView zoomScaleNormal="100" workbookViewId="0">
      <selection activeCell="F3" sqref="F3:F123"/>
    </sheetView>
  </sheetViews>
  <sheetFormatPr defaultRowHeight="15.75" x14ac:dyDescent="0.25"/>
  <cols>
    <col min="1" max="1" width="17.125" customWidth="1"/>
    <col min="2" max="2" width="14.125" customWidth="1"/>
    <col min="5" max="5" width="17.125" style="1" customWidth="1"/>
    <col min="6" max="6" width="16.125" style="4" customWidth="1"/>
    <col min="8" max="8" width="15" customWidth="1"/>
    <col min="9" max="9" width="14.5" style="5" bestFit="1" customWidth="1"/>
  </cols>
  <sheetData>
    <row r="1" spans="1:9" x14ac:dyDescent="0.25">
      <c r="B1" t="s">
        <v>13</v>
      </c>
      <c r="F1" s="4" t="s">
        <v>1</v>
      </c>
      <c r="I1" s="5" t="s">
        <v>2</v>
      </c>
    </row>
    <row r="2" spans="1:9" x14ac:dyDescent="0.25">
      <c r="A2" t="s">
        <v>6</v>
      </c>
    </row>
    <row r="3" spans="1:9" x14ac:dyDescent="0.25">
      <c r="A3">
        <v>1681.3562507183101</v>
      </c>
      <c r="B3">
        <v>6.7141747985683901E-3</v>
      </c>
      <c r="C3">
        <f>B3*0.1775</f>
        <v>1.1917660267458893E-3</v>
      </c>
      <c r="E3" s="1">
        <v>1682</v>
      </c>
      <c r="F3" s="4">
        <v>2.0776745E-3</v>
      </c>
      <c r="H3">
        <v>1681</v>
      </c>
      <c r="I3" s="5">
        <v>3.74091520410559E-4</v>
      </c>
    </row>
    <row r="4" spans="1:9" x14ac:dyDescent="0.25">
      <c r="A4">
        <v>1681.42498410903</v>
      </c>
      <c r="B4">
        <v>6.7141747985683901E-3</v>
      </c>
      <c r="C4">
        <f t="shared" ref="C4:C67" si="0">B4*0.1775</f>
        <v>1.1917660267458893E-3</v>
      </c>
      <c r="E4" s="1">
        <v>1682.05</v>
      </c>
      <c r="F4" s="4">
        <v>2.2027320000000002E-3</v>
      </c>
      <c r="H4">
        <v>1681.05</v>
      </c>
      <c r="I4" s="5">
        <v>3.9023001645449899E-4</v>
      </c>
    </row>
    <row r="5" spans="1:9" x14ac:dyDescent="0.25">
      <c r="A5">
        <v>1681.4937174997499</v>
      </c>
      <c r="B5">
        <v>6.7141747985683901E-3</v>
      </c>
      <c r="C5">
        <f t="shared" si="0"/>
        <v>1.1917660267458893E-3</v>
      </c>
      <c r="E5" s="1">
        <v>1682.1</v>
      </c>
      <c r="F5" s="4">
        <v>2.3390132000000001E-3</v>
      </c>
      <c r="H5">
        <v>1681.1</v>
      </c>
      <c r="I5" s="5">
        <v>4.0704280560760302E-4</v>
      </c>
    </row>
    <row r="6" spans="1:9" x14ac:dyDescent="0.25">
      <c r="A6">
        <v>1681.56245089048</v>
      </c>
      <c r="B6">
        <v>6.7141747985683901E-3</v>
      </c>
      <c r="C6">
        <f t="shared" si="0"/>
        <v>1.1917660267458893E-3</v>
      </c>
      <c r="E6" s="1">
        <v>1682.15</v>
      </c>
      <c r="F6" s="4">
        <v>2.4896807E-3</v>
      </c>
      <c r="H6">
        <v>1681.15</v>
      </c>
      <c r="I6" s="5">
        <v>4.2458217078235701E-4</v>
      </c>
    </row>
    <row r="7" spans="1:9" x14ac:dyDescent="0.25">
      <c r="A7">
        <v>1681.6311842811999</v>
      </c>
      <c r="B7">
        <v>9.5551052449020998E-3</v>
      </c>
      <c r="C7">
        <f t="shared" si="0"/>
        <v>1.6960311809701225E-3</v>
      </c>
      <c r="E7" s="1">
        <v>1682.2</v>
      </c>
      <c r="F7" s="4">
        <v>2.6560158000000001E-3</v>
      </c>
      <c r="H7">
        <v>1681.2</v>
      </c>
      <c r="I7" s="5">
        <v>4.4290011642464302E-4</v>
      </c>
    </row>
    <row r="8" spans="1:9" x14ac:dyDescent="0.25">
      <c r="A8">
        <v>1681.69991767192</v>
      </c>
      <c r="B8">
        <v>1.01232913341688E-2</v>
      </c>
      <c r="C8">
        <f t="shared" si="0"/>
        <v>1.7968842118149619E-3</v>
      </c>
      <c r="E8" s="1">
        <v>1682.25</v>
      </c>
      <c r="F8" s="4">
        <v>2.8411839E-3</v>
      </c>
      <c r="H8">
        <v>1681.25</v>
      </c>
      <c r="I8" s="5">
        <v>4.6204810612417098E-4</v>
      </c>
    </row>
    <row r="9" spans="1:9" x14ac:dyDescent="0.25">
      <c r="A9">
        <v>1681.7686510626399</v>
      </c>
      <c r="B9">
        <v>1.01232913341688E-2</v>
      </c>
      <c r="C9">
        <f t="shared" si="0"/>
        <v>1.7968842118149619E-3</v>
      </c>
      <c r="E9" s="1">
        <v>1682.3</v>
      </c>
      <c r="F9" s="4">
        <v>3.0485208000000001E-3</v>
      </c>
      <c r="H9">
        <v>1681.3</v>
      </c>
      <c r="I9" s="5">
        <v>4.8207696214517902E-4</v>
      </c>
    </row>
    <row r="10" spans="1:9" x14ac:dyDescent="0.25">
      <c r="A10">
        <v>1681.8373844533601</v>
      </c>
      <c r="B10">
        <v>1.01232913341688E-2</v>
      </c>
      <c r="C10">
        <f t="shared" si="0"/>
        <v>1.7968842118149619E-3</v>
      </c>
      <c r="E10" s="1">
        <v>1682.35</v>
      </c>
      <c r="F10" s="4">
        <v>3.2803791E-3</v>
      </c>
      <c r="H10">
        <v>1681.35</v>
      </c>
      <c r="I10" s="5">
        <v>5.03039289758478E-4</v>
      </c>
    </row>
    <row r="11" spans="1:9" x14ac:dyDescent="0.25">
      <c r="A11">
        <v>1681.90611784408</v>
      </c>
      <c r="B11">
        <v>1.01232913341688E-2</v>
      </c>
      <c r="C11">
        <f t="shared" si="0"/>
        <v>1.7968842118149619E-3</v>
      </c>
      <c r="E11" s="1">
        <v>1682.4</v>
      </c>
      <c r="F11" s="4">
        <v>3.5431311000000002E-3</v>
      </c>
      <c r="H11">
        <v>1681.4</v>
      </c>
      <c r="I11" s="5">
        <v>5.2498771501457303E-4</v>
      </c>
    </row>
    <row r="12" spans="1:9" x14ac:dyDescent="0.25">
      <c r="A12">
        <v>1681.9748512348001</v>
      </c>
      <c r="B12">
        <v>1.1543756557335701E-2</v>
      </c>
      <c r="C12">
        <f t="shared" si="0"/>
        <v>2.0490167889270867E-3</v>
      </c>
      <c r="E12" s="1">
        <v>1682.45</v>
      </c>
      <c r="F12" s="4">
        <v>3.8431601E-3</v>
      </c>
      <c r="H12">
        <v>1681.45</v>
      </c>
      <c r="I12" s="5">
        <v>5.4798122588016105E-4</v>
      </c>
    </row>
    <row r="13" spans="1:9" x14ac:dyDescent="0.25">
      <c r="A13">
        <v>1682.04358462552</v>
      </c>
      <c r="B13">
        <v>1.35324078697693E-2</v>
      </c>
      <c r="C13">
        <f t="shared" si="0"/>
        <v>2.4020023968840507E-3</v>
      </c>
      <c r="E13" s="1">
        <v>1682.5</v>
      </c>
      <c r="F13" s="4">
        <v>4.1881161999999996E-3</v>
      </c>
      <c r="H13">
        <v>1681.5</v>
      </c>
      <c r="I13" s="5">
        <v>5.7208456965975496E-4</v>
      </c>
    </row>
    <row r="14" spans="1:9" x14ac:dyDescent="0.25">
      <c r="A14">
        <v>1682.1123180162399</v>
      </c>
      <c r="B14">
        <v>1.35324078697693E-2</v>
      </c>
      <c r="C14">
        <f t="shared" si="0"/>
        <v>2.4020023968840507E-3</v>
      </c>
      <c r="E14" s="1">
        <v>1682.55</v>
      </c>
      <c r="F14" s="4">
        <v>4.5890076999999998E-3</v>
      </c>
      <c r="H14">
        <v>1681.55</v>
      </c>
      <c r="I14" s="5">
        <v>5.9738791492591899E-4</v>
      </c>
    </row>
    <row r="15" spans="1:9" x14ac:dyDescent="0.25">
      <c r="A15">
        <v>1682.18105140696</v>
      </c>
      <c r="B15">
        <v>1.3816500914402599E-2</v>
      </c>
      <c r="C15">
        <f t="shared" si="0"/>
        <v>2.4524289123064613E-3</v>
      </c>
      <c r="E15" s="1">
        <v>1682.6</v>
      </c>
      <c r="F15" s="4">
        <v>5.0570737000000003E-3</v>
      </c>
      <c r="H15">
        <v>1681.6</v>
      </c>
      <c r="I15" s="5">
        <v>6.2399549890673701E-4</v>
      </c>
    </row>
    <row r="16" spans="1:9" x14ac:dyDescent="0.25">
      <c r="A16">
        <v>1682.2497847976799</v>
      </c>
      <c r="B16">
        <v>1.69415244053698E-2</v>
      </c>
      <c r="C16">
        <f t="shared" si="0"/>
        <v>3.0071205819531392E-3</v>
      </c>
      <c r="E16" s="1">
        <v>1682.65</v>
      </c>
      <c r="F16" s="4">
        <v>5.6165722000000003E-3</v>
      </c>
      <c r="H16">
        <v>1681.65</v>
      </c>
      <c r="I16" s="5">
        <v>6.52020260303684E-4</v>
      </c>
    </row>
    <row r="17" spans="1:9" x14ac:dyDescent="0.25">
      <c r="A17">
        <v>1682.3185181884</v>
      </c>
      <c r="B17">
        <v>1.69415244053698E-2</v>
      </c>
      <c r="C17">
        <f t="shared" si="0"/>
        <v>3.0071205819531392E-3</v>
      </c>
      <c r="E17" s="1">
        <v>1682.7</v>
      </c>
      <c r="F17" s="4">
        <v>6.2856791000000002E-3</v>
      </c>
      <c r="H17">
        <v>1681.7</v>
      </c>
      <c r="I17" s="5">
        <v>6.8158726854587802E-4</v>
      </c>
    </row>
    <row r="18" spans="1:9" x14ac:dyDescent="0.25">
      <c r="A18">
        <v>1682.3872515791199</v>
      </c>
      <c r="B18">
        <v>1.9782454851703601E-2</v>
      </c>
      <c r="C18">
        <f t="shared" si="0"/>
        <v>3.5113857361773891E-3</v>
      </c>
      <c r="E18" s="1">
        <v>1682.75</v>
      </c>
      <c r="F18" s="4">
        <v>7.1109970999999996E-3</v>
      </c>
      <c r="H18">
        <v>1681.75</v>
      </c>
      <c r="I18" s="5">
        <v>7.1283550993907099E-4</v>
      </c>
    </row>
    <row r="19" spans="1:9" x14ac:dyDescent="0.25">
      <c r="A19">
        <v>1682.4559849698401</v>
      </c>
      <c r="B19">
        <v>2.1202920074870402E-2</v>
      </c>
      <c r="C19">
        <f t="shared" si="0"/>
        <v>3.7635183132894959E-3</v>
      </c>
      <c r="E19" s="1">
        <v>1682.8</v>
      </c>
      <c r="F19" s="4">
        <v>8.1463874999999995E-3</v>
      </c>
      <c r="H19">
        <v>1681.8</v>
      </c>
      <c r="I19" s="5">
        <v>7.4591770054690002E-4</v>
      </c>
    </row>
    <row r="20" spans="1:9" x14ac:dyDescent="0.25">
      <c r="A20">
        <v>1682.52471836056</v>
      </c>
      <c r="B20">
        <v>2.37597574765708E-2</v>
      </c>
      <c r="C20">
        <f t="shared" si="0"/>
        <v>4.2173569520913166E-3</v>
      </c>
      <c r="E20" s="1">
        <v>1682.85</v>
      </c>
      <c r="F20" s="4">
        <v>9.4757126999999997E-3</v>
      </c>
      <c r="H20">
        <v>1681.85</v>
      </c>
      <c r="I20" s="5">
        <v>7.8100250461271504E-4</v>
      </c>
    </row>
    <row r="21" spans="1:9" x14ac:dyDescent="0.25">
      <c r="A21">
        <v>1682.5934517512801</v>
      </c>
      <c r="B21">
        <v>2.7168874012171301E-2</v>
      </c>
      <c r="C21">
        <f t="shared" si="0"/>
        <v>4.822475137160406E-3</v>
      </c>
      <c r="E21" s="1">
        <v>1682.9</v>
      </c>
      <c r="F21" s="4">
        <v>1.1237403999999999E-2</v>
      </c>
      <c r="H21">
        <v>1681.9</v>
      </c>
      <c r="I21" s="5">
        <v>8.1827856956434705E-4</v>
      </c>
    </row>
    <row r="22" spans="1:9" x14ac:dyDescent="0.25">
      <c r="A22">
        <v>1682.66218514201</v>
      </c>
      <c r="B22">
        <v>3.1430269681671903E-2</v>
      </c>
      <c r="C22">
        <f t="shared" si="0"/>
        <v>5.5788728684967627E-3</v>
      </c>
      <c r="E22" s="1">
        <v>1682.95</v>
      </c>
      <c r="F22" s="4">
        <v>1.3667609000000001E-2</v>
      </c>
      <c r="H22">
        <v>1681.95</v>
      </c>
      <c r="I22" s="5">
        <v>8.5796094146985602E-4</v>
      </c>
    </row>
    <row r="23" spans="1:9" x14ac:dyDescent="0.25">
      <c r="A23">
        <v>1682.7309185327299</v>
      </c>
      <c r="B23">
        <v>3.5975758395805801E-2</v>
      </c>
      <c r="C23">
        <f t="shared" si="0"/>
        <v>6.3856971152555292E-3</v>
      </c>
      <c r="E23" s="1">
        <v>1683</v>
      </c>
      <c r="F23" s="4">
        <v>1.7196759999999998E-2</v>
      </c>
      <c r="H23">
        <v>1682</v>
      </c>
      <c r="I23" s="5">
        <v>9.0029265274522898E-4</v>
      </c>
    </row>
    <row r="24" spans="1:9" x14ac:dyDescent="0.25">
      <c r="A24">
        <v>1682.79965192345</v>
      </c>
      <c r="B24">
        <v>4.3362177556273501E-2</v>
      </c>
      <c r="C24">
        <f t="shared" si="0"/>
        <v>7.6967865162385464E-3</v>
      </c>
      <c r="E24" s="1">
        <v>1683.05</v>
      </c>
      <c r="F24" s="4">
        <v>2.2769365E-2</v>
      </c>
      <c r="H24">
        <v>1682.05</v>
      </c>
      <c r="I24" s="5">
        <v>9.4554818513691399E-4</v>
      </c>
    </row>
    <row r="25" spans="1:9" x14ac:dyDescent="0.25">
      <c r="A25">
        <v>1682.8683853141699</v>
      </c>
      <c r="B25">
        <v>5.3021341073808202E-2</v>
      </c>
      <c r="C25">
        <f t="shared" si="0"/>
        <v>9.4112880406009552E-3</v>
      </c>
      <c r="E25" s="1">
        <v>1683.1</v>
      </c>
      <c r="F25" s="4">
        <v>3.2487745999999998E-2</v>
      </c>
      <c r="H25">
        <v>1682.1</v>
      </c>
      <c r="I25" s="5">
        <v>9.9404304305122991E-4</v>
      </c>
    </row>
    <row r="26" spans="1:9" x14ac:dyDescent="0.25">
      <c r="A26">
        <v>1682.9371187048901</v>
      </c>
      <c r="B26">
        <v>6.9214644617910701E-2</v>
      </c>
      <c r="C26">
        <f t="shared" si="0"/>
        <v>1.2285599419679149E-2</v>
      </c>
      <c r="E26" s="1">
        <v>1683.15</v>
      </c>
      <c r="F26" s="4">
        <v>5.2492737999999997E-2</v>
      </c>
      <c r="H26">
        <v>1682.15</v>
      </c>
      <c r="I26" s="5">
        <v>1.04614661512582E-3</v>
      </c>
    </row>
    <row r="27" spans="1:9" x14ac:dyDescent="0.25">
      <c r="A27">
        <v>1682.9943965304899</v>
      </c>
      <c r="B27">
        <v>9.1089809054680504E-2</v>
      </c>
      <c r="C27">
        <f t="shared" si="0"/>
        <v>1.6168441107205788E-2</v>
      </c>
      <c r="E27" s="1">
        <v>1683.2</v>
      </c>
      <c r="F27" s="4">
        <v>9.7877353E-2</v>
      </c>
      <c r="H27">
        <v>1682.2</v>
      </c>
      <c r="I27" s="5">
        <v>1.10229319120476E-3</v>
      </c>
    </row>
    <row r="28" spans="1:9" x14ac:dyDescent="0.25">
      <c r="A28">
        <v>1683.0287632258501</v>
      </c>
      <c r="B28">
        <v>0.11069222913438299</v>
      </c>
      <c r="C28">
        <f t="shared" si="0"/>
        <v>1.9647870671352981E-2</v>
      </c>
      <c r="E28" s="1">
        <v>1683.25</v>
      </c>
      <c r="F28" s="4">
        <v>0.18590569000000001</v>
      </c>
      <c r="H28">
        <v>1682.25</v>
      </c>
      <c r="I28" s="5">
        <v>1.16299893277711E-3</v>
      </c>
    </row>
    <row r="29" spans="1:9" x14ac:dyDescent="0.25">
      <c r="A29">
        <v>1683.05167435609</v>
      </c>
      <c r="B29">
        <v>0.13199920748188601</v>
      </c>
      <c r="C29">
        <f t="shared" si="0"/>
        <v>2.3429859328034767E-2</v>
      </c>
      <c r="E29" s="1">
        <v>1683.3</v>
      </c>
      <c r="F29" s="4">
        <v>0.28274336</v>
      </c>
      <c r="H29">
        <v>1682.3</v>
      </c>
      <c r="I29" s="5">
        <v>1.2288721348627299E-3</v>
      </c>
    </row>
    <row r="30" spans="1:9" x14ac:dyDescent="0.25">
      <c r="A30">
        <v>1683.0745854863301</v>
      </c>
      <c r="B30">
        <v>0.15671530236499001</v>
      </c>
      <c r="C30">
        <f t="shared" si="0"/>
        <v>2.7816966169785726E-2</v>
      </c>
      <c r="E30" s="1">
        <v>1683.35</v>
      </c>
      <c r="F30" s="4">
        <v>0.30596441000000002</v>
      </c>
      <c r="H30">
        <v>1682.35</v>
      </c>
      <c r="I30" s="5">
        <v>1.3006374381994599E-3</v>
      </c>
    </row>
    <row r="31" spans="1:9" x14ac:dyDescent="0.25">
      <c r="A31">
        <v>1683.0917688340101</v>
      </c>
      <c r="B31">
        <v>0.178874559846393</v>
      </c>
      <c r="C31">
        <f t="shared" si="0"/>
        <v>3.1750234372734755E-2</v>
      </c>
      <c r="E31" s="1">
        <v>1683.4</v>
      </c>
      <c r="F31" s="4">
        <v>0.26946869000000001</v>
      </c>
      <c r="H31">
        <v>1682.4</v>
      </c>
      <c r="I31" s="5">
        <v>1.3791606240181099E-3</v>
      </c>
    </row>
    <row r="32" spans="1:9" x14ac:dyDescent="0.25">
      <c r="A32">
        <v>1683.10895218169</v>
      </c>
      <c r="B32">
        <v>0.206999771265097</v>
      </c>
      <c r="C32">
        <f t="shared" si="0"/>
        <v>3.6742459399554714E-2</v>
      </c>
      <c r="E32" s="1">
        <v>1683.45</v>
      </c>
      <c r="F32" s="4">
        <v>0.23140484</v>
      </c>
      <c r="H32">
        <v>1682.45</v>
      </c>
      <c r="I32" s="5">
        <v>1.46548999357481E-3</v>
      </c>
    </row>
    <row r="33" spans="1:9" x14ac:dyDescent="0.25">
      <c r="A33">
        <v>1683.12613552937</v>
      </c>
      <c r="B33">
        <v>0.24194321575500199</v>
      </c>
      <c r="C33">
        <f t="shared" si="0"/>
        <v>4.2944920796512853E-2</v>
      </c>
      <c r="E33" s="1">
        <v>1683.5</v>
      </c>
      <c r="F33" s="4">
        <v>0.20889969</v>
      </c>
      <c r="H33">
        <v>1682.5</v>
      </c>
      <c r="I33" s="5">
        <v>1.5609055712896801E-3</v>
      </c>
    </row>
    <row r="34" spans="1:9" x14ac:dyDescent="0.25">
      <c r="A34">
        <v>1683.1375910944901</v>
      </c>
      <c r="B34">
        <v>0.26239791496860498</v>
      </c>
      <c r="C34">
        <f t="shared" si="0"/>
        <v>4.6575629906927381E-2</v>
      </c>
      <c r="E34" s="1">
        <v>1683.55</v>
      </c>
      <c r="F34" s="4">
        <v>0.19693793000000001</v>
      </c>
      <c r="H34">
        <v>1682.55</v>
      </c>
      <c r="I34" s="5">
        <v>1.66699228210496E-3</v>
      </c>
    </row>
    <row r="35" spans="1:9" x14ac:dyDescent="0.25">
      <c r="A35">
        <v>1683.1490466596099</v>
      </c>
      <c r="B35">
        <v>0.29648908032461002</v>
      </c>
      <c r="C35">
        <f t="shared" si="0"/>
        <v>5.2626811757618276E-2</v>
      </c>
      <c r="E35" s="1">
        <v>1683.6</v>
      </c>
      <c r="F35" s="4">
        <v>0.19006819999999999</v>
      </c>
      <c r="H35">
        <v>1682.6</v>
      </c>
      <c r="I35" s="5">
        <v>1.7857323469418101E-3</v>
      </c>
    </row>
    <row r="36" spans="1:9" x14ac:dyDescent="0.25">
      <c r="A36">
        <v>1683.16050222473</v>
      </c>
      <c r="B36">
        <v>0.32035289607381301</v>
      </c>
      <c r="C36">
        <f t="shared" si="0"/>
        <v>5.6862639053101807E-2</v>
      </c>
      <c r="E36" s="1">
        <v>1683.65</v>
      </c>
      <c r="F36" s="4">
        <v>0.18564718999999999</v>
      </c>
      <c r="H36">
        <v>1682.65</v>
      </c>
      <c r="I36" s="5">
        <v>1.9196475698750001E-3</v>
      </c>
    </row>
    <row r="37" spans="1:9" x14ac:dyDescent="0.25">
      <c r="A37">
        <v>1683.17195778985</v>
      </c>
      <c r="B37">
        <v>0.35955773623321902</v>
      </c>
      <c r="C37">
        <f t="shared" si="0"/>
        <v>6.3821498181396374E-2</v>
      </c>
      <c r="E37" s="1">
        <v>1683.7</v>
      </c>
      <c r="F37" s="4">
        <v>0.18253274</v>
      </c>
      <c r="H37">
        <v>1682.7</v>
      </c>
      <c r="I37" s="5">
        <v>2.0720012756369399E-3</v>
      </c>
    </row>
    <row r="38" spans="1:9" x14ac:dyDescent="0.25">
      <c r="A38">
        <v>1683.1834133549701</v>
      </c>
      <c r="B38">
        <v>0.38853522678582297</v>
      </c>
      <c r="C38">
        <f t="shared" si="0"/>
        <v>6.896500275448357E-2</v>
      </c>
      <c r="E38" s="1">
        <v>1683.75</v>
      </c>
      <c r="F38" s="4">
        <v>0.18037934999999999</v>
      </c>
      <c r="H38">
        <v>1682.75</v>
      </c>
      <c r="I38" s="5">
        <v>2.2470869836756901E-3</v>
      </c>
    </row>
    <row r="39" spans="1:9" x14ac:dyDescent="0.25">
      <c r="A39">
        <v>1683.1948689200899</v>
      </c>
      <c r="B39">
        <v>0.43455830001642998</v>
      </c>
      <c r="C39">
        <f t="shared" si="0"/>
        <v>7.7134098252916311E-2</v>
      </c>
      <c r="E39" s="1">
        <v>1683.8</v>
      </c>
      <c r="F39" s="4">
        <v>0.17881755999999999</v>
      </c>
      <c r="H39">
        <v>1682.8</v>
      </c>
      <c r="I39" s="5">
        <v>2.4506875237186102E-3</v>
      </c>
    </row>
    <row r="40" spans="1:9" x14ac:dyDescent="0.25">
      <c r="A40">
        <v>1683.20632448521</v>
      </c>
      <c r="B40">
        <v>0.46864946537243501</v>
      </c>
      <c r="C40">
        <f t="shared" si="0"/>
        <v>8.3185280103607206E-2</v>
      </c>
      <c r="E40" s="1">
        <v>1683.85</v>
      </c>
      <c r="F40" s="4">
        <v>0.17765750999999999</v>
      </c>
      <c r="H40">
        <v>1682.85</v>
      </c>
      <c r="I40" s="5">
        <v>2.69079800568177E-3</v>
      </c>
    </row>
    <row r="41" spans="1:9" x14ac:dyDescent="0.25">
      <c r="A41">
        <v>1683.21778005033</v>
      </c>
      <c r="B41">
        <v>0.52149077167424196</v>
      </c>
      <c r="C41">
        <f t="shared" si="0"/>
        <v>9.256461197217794E-2</v>
      </c>
      <c r="E41" s="1">
        <v>1683.9</v>
      </c>
      <c r="F41" s="4">
        <v>0.17688666</v>
      </c>
      <c r="H41">
        <v>1682.9</v>
      </c>
      <c r="I41" s="5">
        <v>2.9788147702929399E-3</v>
      </c>
    </row>
    <row r="42" spans="1:9" x14ac:dyDescent="0.25">
      <c r="A42">
        <v>1683.2292356154501</v>
      </c>
      <c r="B42">
        <v>0.558991053565848</v>
      </c>
      <c r="C42">
        <f t="shared" si="0"/>
        <v>9.922091200793802E-2</v>
      </c>
      <c r="E42" s="1">
        <v>1683.95</v>
      </c>
      <c r="F42" s="4">
        <v>0.17613303999999999</v>
      </c>
      <c r="H42">
        <v>1682.95</v>
      </c>
      <c r="I42" s="5">
        <v>3.3315804231673499E-3</v>
      </c>
    </row>
    <row r="43" spans="1:9" x14ac:dyDescent="0.25">
      <c r="A43">
        <v>1683.2406911805699</v>
      </c>
      <c r="B43">
        <v>0.61524147640325599</v>
      </c>
      <c r="C43">
        <f t="shared" si="0"/>
        <v>0.10920536206157794</v>
      </c>
      <c r="E43" s="1">
        <v>1684</v>
      </c>
      <c r="F43" s="4">
        <v>0.17561863</v>
      </c>
      <c r="H43">
        <v>1683</v>
      </c>
      <c r="I43" s="5">
        <v>3.7751434579460798E-3</v>
      </c>
    </row>
    <row r="44" spans="1:9" x14ac:dyDescent="0.25">
      <c r="A44">
        <v>1683.25214674569</v>
      </c>
      <c r="B44">
        <v>0.67490101577626405</v>
      </c>
      <c r="C44">
        <f t="shared" si="0"/>
        <v>0.11979493030028686</v>
      </c>
      <c r="E44" s="1">
        <v>1684.05</v>
      </c>
      <c r="F44" s="4">
        <v>0.17519699</v>
      </c>
      <c r="H44">
        <v>1683.05</v>
      </c>
      <c r="I44" s="5">
        <v>4.3521633713521799E-3</v>
      </c>
    </row>
    <row r="45" spans="1:9" x14ac:dyDescent="0.25">
      <c r="A45">
        <v>1683.26360231081</v>
      </c>
      <c r="B45">
        <v>0.71240129766786997</v>
      </c>
      <c r="C45">
        <f t="shared" si="0"/>
        <v>0.12645123033604691</v>
      </c>
      <c r="E45" s="1">
        <v>1684.1</v>
      </c>
      <c r="F45" s="4">
        <v>0.17500863999999999</v>
      </c>
      <c r="H45">
        <v>1683.1</v>
      </c>
      <c r="I45" s="5">
        <v>5.1378866992433303E-3</v>
      </c>
    </row>
    <row r="46" spans="1:9" x14ac:dyDescent="0.25">
      <c r="A46">
        <v>1683.2750578759301</v>
      </c>
      <c r="B46">
        <v>0.77376539530867905</v>
      </c>
      <c r="C46">
        <f t="shared" si="0"/>
        <v>0.13734335766729053</v>
      </c>
      <c r="E46" s="1">
        <v>1684.15</v>
      </c>
      <c r="F46" s="4">
        <v>0.17473538</v>
      </c>
      <c r="H46">
        <v>1683.15</v>
      </c>
      <c r="I46" s="5">
        <v>6.2789332442297497E-3</v>
      </c>
    </row>
    <row r="47" spans="1:9" x14ac:dyDescent="0.25">
      <c r="A47">
        <v>1683.2865134410499</v>
      </c>
      <c r="B47">
        <v>0.812970235468085</v>
      </c>
      <c r="C47">
        <f t="shared" si="0"/>
        <v>0.14430221679558508</v>
      </c>
      <c r="E47" s="1">
        <v>1684.2</v>
      </c>
      <c r="F47" s="4">
        <v>0.17448949999999999</v>
      </c>
      <c r="H47">
        <v>1683.2</v>
      </c>
      <c r="I47" s="5">
        <v>8.10331730583079E-3</v>
      </c>
    </row>
    <row r="48" spans="1:9" x14ac:dyDescent="0.25">
      <c r="A48">
        <v>1683.29796900617</v>
      </c>
      <c r="B48">
        <v>0.87092521657329303</v>
      </c>
      <c r="C48">
        <f t="shared" si="0"/>
        <v>0.1545892259417595</v>
      </c>
      <c r="E48" s="1">
        <v>1684.25</v>
      </c>
      <c r="F48" s="4">
        <v>0.17436299</v>
      </c>
      <c r="H48">
        <v>1683.25</v>
      </c>
      <c r="I48" s="5">
        <v>1.14986739589941E-2</v>
      </c>
    </row>
    <row r="49" spans="1:9" x14ac:dyDescent="0.25">
      <c r="A49">
        <v>1683.30942457129</v>
      </c>
      <c r="B49">
        <v>0.90842549846489795</v>
      </c>
      <c r="C49">
        <f t="shared" si="0"/>
        <v>0.16124552597751937</v>
      </c>
      <c r="E49" s="1">
        <v>1684.3</v>
      </c>
      <c r="F49" s="4">
        <v>0.17425291000000001</v>
      </c>
      <c r="H49">
        <v>1683.3</v>
      </c>
      <c r="I49" s="5">
        <v>1.9273846291587501E-2</v>
      </c>
    </row>
    <row r="50" spans="1:9" x14ac:dyDescent="0.25">
      <c r="A50">
        <v>1683.3208801364101</v>
      </c>
      <c r="B50">
        <v>0.95956224649890598</v>
      </c>
      <c r="C50">
        <f t="shared" si="0"/>
        <v>0.17032229875355581</v>
      </c>
      <c r="E50" s="1">
        <v>1684.35</v>
      </c>
      <c r="F50" s="4">
        <v>0.17420262</v>
      </c>
      <c r="H50">
        <v>1683.35</v>
      </c>
      <c r="I50" s="5">
        <v>3.4998757580747802E-2</v>
      </c>
    </row>
    <row r="51" spans="1:9" x14ac:dyDescent="0.25">
      <c r="A51">
        <v>1683.3323357015299</v>
      </c>
      <c r="B51">
        <v>0.99365341185491096</v>
      </c>
      <c r="C51">
        <f t="shared" si="0"/>
        <v>0.17637348060424668</v>
      </c>
      <c r="E51" s="1">
        <v>1684.4</v>
      </c>
      <c r="F51" s="4">
        <v>0.17412654999999999</v>
      </c>
      <c r="H51">
        <v>1683.4</v>
      </c>
      <c r="I51" s="5">
        <v>4.8502954366634203E-2</v>
      </c>
    </row>
    <row r="52" spans="1:9" x14ac:dyDescent="0.25">
      <c r="A52">
        <v>1683.34379126665</v>
      </c>
      <c r="B52">
        <v>1.0413810433533099</v>
      </c>
      <c r="C52">
        <f t="shared" si="0"/>
        <v>0.18484513519521251</v>
      </c>
      <c r="E52" s="1">
        <v>1684.45</v>
      </c>
      <c r="F52" s="4">
        <v>0.17411381000000001</v>
      </c>
      <c r="H52">
        <v>1683.45</v>
      </c>
      <c r="I52" s="5">
        <v>5.5907362932790097E-2</v>
      </c>
    </row>
    <row r="53" spans="1:9" x14ac:dyDescent="0.25">
      <c r="A53">
        <v>1683.36097461433</v>
      </c>
      <c r="B53">
        <v>1.1070065366636199</v>
      </c>
      <c r="C53">
        <f t="shared" si="0"/>
        <v>0.19649366025779252</v>
      </c>
      <c r="E53" s="1">
        <v>1684.5</v>
      </c>
      <c r="F53" s="4">
        <v>0.17409754999999999</v>
      </c>
      <c r="H53">
        <v>1683.5</v>
      </c>
      <c r="I53" s="5">
        <v>6.4144789881577E-2</v>
      </c>
    </row>
    <row r="54" spans="1:9" x14ac:dyDescent="0.25">
      <c r="A54">
        <v>1683.35524683177</v>
      </c>
      <c r="B54">
        <v>1.0703585339059201</v>
      </c>
      <c r="C54">
        <f t="shared" si="0"/>
        <v>0.1899886397683008</v>
      </c>
      <c r="E54" s="1">
        <v>1684.55</v>
      </c>
      <c r="F54" s="4">
        <v>0.17409379999999999</v>
      </c>
      <c r="H54">
        <v>1683.55</v>
      </c>
      <c r="I54" s="5">
        <v>7.6480002969855104E-2</v>
      </c>
    </row>
    <row r="55" spans="1:9" x14ac:dyDescent="0.25">
      <c r="A55">
        <v>1683.3781579620099</v>
      </c>
      <c r="B55">
        <v>1.13513174808233</v>
      </c>
      <c r="C55">
        <f t="shared" si="0"/>
        <v>0.20148588528461356</v>
      </c>
      <c r="E55" s="1">
        <v>1684.6</v>
      </c>
      <c r="F55" s="4">
        <v>0.1740873</v>
      </c>
      <c r="H55">
        <v>1683.6</v>
      </c>
      <c r="I55" s="5">
        <v>8.1970953507714606E-2</v>
      </c>
    </row>
    <row r="56" spans="1:9" x14ac:dyDescent="0.25">
      <c r="A56">
        <v>1683.3953413096899</v>
      </c>
      <c r="B56">
        <v>1.17433658824173</v>
      </c>
      <c r="C56">
        <f t="shared" si="0"/>
        <v>0.20844474441290708</v>
      </c>
      <c r="E56" s="1">
        <v>1684.65</v>
      </c>
      <c r="F56" s="4">
        <v>0.17412612</v>
      </c>
      <c r="H56">
        <v>1683.65</v>
      </c>
      <c r="I56" s="5">
        <v>8.1909934778324298E-2</v>
      </c>
    </row>
    <row r="57" spans="1:9" x14ac:dyDescent="0.25">
      <c r="A57">
        <v>1683.41825243993</v>
      </c>
      <c r="B57">
        <v>1.21183687013334</v>
      </c>
      <c r="C57">
        <f t="shared" si="0"/>
        <v>0.21510104444866784</v>
      </c>
      <c r="E57" s="1">
        <v>1684.7</v>
      </c>
      <c r="F57" s="4">
        <v>0.17411272</v>
      </c>
      <c r="H57">
        <v>1683.7</v>
      </c>
      <c r="I57" s="5">
        <v>8.0489156116416993E-2</v>
      </c>
    </row>
    <row r="58" spans="1:9" x14ac:dyDescent="0.25">
      <c r="A58">
        <v>1683.4468913527301</v>
      </c>
      <c r="B58">
        <v>1.24024617459668</v>
      </c>
      <c r="C58">
        <f t="shared" si="0"/>
        <v>0.22014369599091069</v>
      </c>
      <c r="E58" s="1">
        <v>1684.75</v>
      </c>
      <c r="F58" s="4">
        <v>0.17412604000000001</v>
      </c>
      <c r="H58">
        <v>1683.75</v>
      </c>
      <c r="I58" s="5">
        <v>8.1242818120158503E-2</v>
      </c>
    </row>
    <row r="59" spans="1:9" x14ac:dyDescent="0.25">
      <c r="A59">
        <v>1683.49844139577</v>
      </c>
      <c r="B59">
        <v>1.2504735242034799</v>
      </c>
      <c r="C59">
        <f t="shared" si="0"/>
        <v>0.22195905054611767</v>
      </c>
      <c r="E59" s="1">
        <v>1684.8</v>
      </c>
      <c r="F59" s="4">
        <v>0.17415367000000001</v>
      </c>
      <c r="H59">
        <v>1683.8</v>
      </c>
      <c r="I59" s="5">
        <v>8.7432181606668199E-2</v>
      </c>
    </row>
    <row r="60" spans="1:9" x14ac:dyDescent="0.25">
      <c r="A60">
        <v>1683.5557192213701</v>
      </c>
      <c r="B60">
        <v>1.23697910458339</v>
      </c>
      <c r="C60">
        <f t="shared" si="0"/>
        <v>0.21956379106355173</v>
      </c>
      <c r="E60" s="1">
        <v>1684.85</v>
      </c>
      <c r="F60" s="4">
        <v>0.17417784</v>
      </c>
      <c r="H60">
        <v>1683.85</v>
      </c>
      <c r="I60" s="5">
        <v>9.3068862956294907E-2</v>
      </c>
    </row>
    <row r="61" spans="1:9" x14ac:dyDescent="0.25">
      <c r="A61">
        <v>1683.6015414818501</v>
      </c>
      <c r="B61">
        <v>1.21567212623589</v>
      </c>
      <c r="C61">
        <f t="shared" si="0"/>
        <v>0.21578180240687048</v>
      </c>
      <c r="E61" s="1">
        <v>1684.9</v>
      </c>
      <c r="F61" s="4">
        <v>0.17422362999999999</v>
      </c>
      <c r="H61">
        <v>1683.9</v>
      </c>
      <c r="I61" s="5">
        <v>9.3757171134354195E-2</v>
      </c>
    </row>
    <row r="62" spans="1:9" x14ac:dyDescent="0.25">
      <c r="A62">
        <v>1683.6473637423301</v>
      </c>
      <c r="B62">
        <v>1.1947912874553399</v>
      </c>
      <c r="C62">
        <f t="shared" si="0"/>
        <v>0.21207545352332283</v>
      </c>
      <c r="E62" s="1">
        <v>1684.95</v>
      </c>
      <c r="F62" s="4">
        <v>0.17423000999999999</v>
      </c>
      <c r="H62">
        <v>1683.95</v>
      </c>
      <c r="I62" s="5">
        <v>9.25735871936198E-2</v>
      </c>
    </row>
    <row r="63" spans="1:9" x14ac:dyDescent="0.25">
      <c r="A63">
        <v>1683.69891378537</v>
      </c>
      <c r="B63">
        <v>1.1739956765881701</v>
      </c>
      <c r="C63">
        <f t="shared" si="0"/>
        <v>0.20838423259440017</v>
      </c>
      <c r="E63" s="1">
        <v>1685</v>
      </c>
      <c r="F63" s="4">
        <v>0.17426610000000001</v>
      </c>
      <c r="H63">
        <v>1684</v>
      </c>
      <c r="I63" s="5">
        <v>9.2058050207282693E-2</v>
      </c>
    </row>
    <row r="64" spans="1:9" x14ac:dyDescent="0.25">
      <c r="A64">
        <v>1683.76191939354</v>
      </c>
      <c r="B64">
        <v>1.15217733076033</v>
      </c>
      <c r="C64">
        <f t="shared" si="0"/>
        <v>0.20451147620995858</v>
      </c>
      <c r="E64" s="1">
        <v>1685.05</v>
      </c>
      <c r="F64" s="4">
        <v>0.17430572</v>
      </c>
      <c r="H64">
        <v>1684.05</v>
      </c>
      <c r="I64" s="5">
        <v>9.4535705137519702E-2</v>
      </c>
    </row>
    <row r="65" spans="1:9" x14ac:dyDescent="0.25">
      <c r="A65">
        <v>1683.8306527842601</v>
      </c>
      <c r="B65">
        <v>1.13229081763599</v>
      </c>
      <c r="C65">
        <f t="shared" si="0"/>
        <v>0.20098162013038823</v>
      </c>
      <c r="E65" s="1">
        <v>1685.1</v>
      </c>
      <c r="F65" s="4">
        <v>0.17434375999999999</v>
      </c>
      <c r="H65">
        <v>1684.1</v>
      </c>
      <c r="I65" s="5">
        <v>9.9701007549667306E-2</v>
      </c>
    </row>
    <row r="66" spans="1:9" x14ac:dyDescent="0.25">
      <c r="A66">
        <v>1683.89938617498</v>
      </c>
      <c r="B66">
        <v>1.1155293280026199</v>
      </c>
      <c r="C66">
        <f t="shared" si="0"/>
        <v>0.19800645572046502</v>
      </c>
      <c r="E66" s="1">
        <v>1685.15</v>
      </c>
      <c r="F66" s="4">
        <v>0.17437021</v>
      </c>
      <c r="H66">
        <v>1684.15</v>
      </c>
      <c r="I66" s="5">
        <v>0.10175440948984101</v>
      </c>
    </row>
    <row r="67" spans="1:9" x14ac:dyDescent="0.25">
      <c r="A67">
        <v>1683.9681195656999</v>
      </c>
      <c r="B67">
        <v>1.10132467577096</v>
      </c>
      <c r="C67">
        <f t="shared" si="0"/>
        <v>0.19548512994934539</v>
      </c>
      <c r="E67" s="1">
        <v>1685.2</v>
      </c>
      <c r="F67" s="4">
        <v>0.17440085</v>
      </c>
      <c r="H67">
        <v>1684.2</v>
      </c>
      <c r="I67" s="5">
        <v>0.102206632421214</v>
      </c>
    </row>
    <row r="68" spans="1:9" x14ac:dyDescent="0.25">
      <c r="A68">
        <v>1684.03685295642</v>
      </c>
      <c r="B68">
        <v>1.08939276789635</v>
      </c>
      <c r="C68">
        <f t="shared" ref="C68:C131" si="1">B68*0.1775</f>
        <v>0.19336721630160211</v>
      </c>
      <c r="E68" s="1">
        <v>1685.25</v>
      </c>
      <c r="F68" s="4">
        <v>0.17444204999999999</v>
      </c>
      <c r="H68">
        <v>1684.25</v>
      </c>
      <c r="I68" s="5">
        <v>0.103789440924084</v>
      </c>
    </row>
    <row r="69" spans="1:9" x14ac:dyDescent="0.25">
      <c r="A69">
        <v>1684.1055863471399</v>
      </c>
      <c r="B69">
        <v>1.0788813252449201</v>
      </c>
      <c r="C69">
        <f t="shared" si="1"/>
        <v>0.19150143523097329</v>
      </c>
      <c r="E69" s="1">
        <v>1685.3</v>
      </c>
      <c r="F69" s="4">
        <v>0.17448099</v>
      </c>
      <c r="H69">
        <v>1684.3</v>
      </c>
      <c r="I69" s="5">
        <v>0.10664347974911199</v>
      </c>
    </row>
    <row r="70" spans="1:9" x14ac:dyDescent="0.25">
      <c r="A70">
        <v>1684.1743197378601</v>
      </c>
      <c r="B70">
        <v>1.0697903478166499</v>
      </c>
      <c r="C70">
        <f t="shared" si="1"/>
        <v>0.18988778673745535</v>
      </c>
      <c r="E70" s="1">
        <v>1685.35</v>
      </c>
      <c r="F70" s="4">
        <v>0.17452566</v>
      </c>
      <c r="H70">
        <v>1684.35</v>
      </c>
      <c r="I70" s="5">
        <v>0.10965515825516101</v>
      </c>
    </row>
    <row r="71" spans="1:9" x14ac:dyDescent="0.25">
      <c r="A71">
        <v>1684.24305312858</v>
      </c>
      <c r="B71">
        <v>1.06211983561155</v>
      </c>
      <c r="C71">
        <f t="shared" si="1"/>
        <v>0.18852627082105011</v>
      </c>
      <c r="E71" s="1">
        <v>1685.4</v>
      </c>
      <c r="F71" s="4">
        <v>0.17454995000000001</v>
      </c>
      <c r="H71">
        <v>1684.4</v>
      </c>
      <c r="I71" s="5">
        <v>0.11194688191862601</v>
      </c>
    </row>
    <row r="72" spans="1:9" x14ac:dyDescent="0.25">
      <c r="A72">
        <v>1684.3117865193001</v>
      </c>
      <c r="B72">
        <v>1.0550175094957199</v>
      </c>
      <c r="C72">
        <f t="shared" si="1"/>
        <v>0.18726560793549027</v>
      </c>
      <c r="E72" s="1">
        <v>1685.45</v>
      </c>
      <c r="F72" s="4">
        <v>0.17458022000000001</v>
      </c>
      <c r="H72">
        <v>1684.45</v>
      </c>
      <c r="I72" s="5">
        <v>0.112525742907056</v>
      </c>
    </row>
    <row r="73" spans="1:9" x14ac:dyDescent="0.25">
      <c r="A73">
        <v>1684.38051991002</v>
      </c>
      <c r="B73">
        <v>1.04848336946915</v>
      </c>
      <c r="C73">
        <f t="shared" si="1"/>
        <v>0.18610579808077413</v>
      </c>
      <c r="E73" s="1">
        <v>1685.5</v>
      </c>
      <c r="F73" s="4">
        <v>0.17461247999999999</v>
      </c>
      <c r="H73">
        <v>1684.5</v>
      </c>
      <c r="I73" s="5">
        <v>0.113084359477653</v>
      </c>
    </row>
    <row r="74" spans="1:9" x14ac:dyDescent="0.25">
      <c r="A74">
        <v>1684.4492533007401</v>
      </c>
      <c r="B74">
        <v>1.04365378771038</v>
      </c>
      <c r="C74">
        <f t="shared" si="1"/>
        <v>0.18524854731859244</v>
      </c>
      <c r="E74" s="1">
        <v>1685.55</v>
      </c>
      <c r="F74" s="4">
        <v>0.17463819999999999</v>
      </c>
      <c r="H74">
        <v>1684.55</v>
      </c>
      <c r="I74" s="5">
        <v>0.115111601620073</v>
      </c>
    </row>
    <row r="75" spans="1:9" x14ac:dyDescent="0.25">
      <c r="A75">
        <v>1684.51798669146</v>
      </c>
      <c r="B75">
        <v>1.0382560198623501</v>
      </c>
      <c r="C75">
        <f t="shared" si="1"/>
        <v>0.18429044352556712</v>
      </c>
      <c r="E75" s="1">
        <v>1685.6</v>
      </c>
      <c r="F75" s="4">
        <v>0.17467352999999999</v>
      </c>
      <c r="H75">
        <v>1684.6</v>
      </c>
      <c r="I75" s="5">
        <v>0.11855878879453</v>
      </c>
    </row>
    <row r="76" spans="1:9" x14ac:dyDescent="0.25">
      <c r="A76">
        <v>1684.5867200821799</v>
      </c>
      <c r="B76">
        <v>1.03371053114821</v>
      </c>
      <c r="C76">
        <f t="shared" si="1"/>
        <v>0.18348361927880727</v>
      </c>
      <c r="E76" s="1">
        <v>1685.65</v>
      </c>
      <c r="F76" s="4">
        <v>0.17470136</v>
      </c>
      <c r="H76">
        <v>1684.65</v>
      </c>
      <c r="I76" s="5">
        <v>0.12155904854296599</v>
      </c>
    </row>
    <row r="77" spans="1:9" x14ac:dyDescent="0.25">
      <c r="A77">
        <v>1684.6554534729</v>
      </c>
      <c r="B77">
        <v>1.03001732156798</v>
      </c>
      <c r="C77">
        <f t="shared" si="1"/>
        <v>0.18282807457831643</v>
      </c>
      <c r="E77" s="1">
        <v>1685.7</v>
      </c>
      <c r="F77" s="4">
        <v>0.17471941999999999</v>
      </c>
      <c r="H77">
        <v>1684.7</v>
      </c>
      <c r="I77" s="5">
        <v>0.122331947445668</v>
      </c>
    </row>
    <row r="78" spans="1:9" x14ac:dyDescent="0.25">
      <c r="A78">
        <v>1684.7241868636199</v>
      </c>
      <c r="B78">
        <v>1.02604001894311</v>
      </c>
      <c r="C78">
        <f t="shared" si="1"/>
        <v>0.18212210336240203</v>
      </c>
      <c r="E78" s="1">
        <v>1685.75</v>
      </c>
      <c r="F78" s="4">
        <v>0.17474160999999999</v>
      </c>
      <c r="H78">
        <v>1684.75</v>
      </c>
      <c r="I78" s="5">
        <v>0.12153704224326101</v>
      </c>
    </row>
    <row r="79" spans="1:9" x14ac:dyDescent="0.25">
      <c r="A79">
        <v>1684.7929202543401</v>
      </c>
      <c r="B79">
        <v>1.0229149954521399</v>
      </c>
      <c r="C79">
        <f t="shared" si="1"/>
        <v>0.18156741169275484</v>
      </c>
      <c r="E79" s="1">
        <v>1685.8</v>
      </c>
      <c r="F79" s="4">
        <v>0.17477413</v>
      </c>
      <c r="H79">
        <v>1684.8</v>
      </c>
      <c r="I79" s="5">
        <v>0.12055834366121</v>
      </c>
    </row>
    <row r="80" spans="1:9" x14ac:dyDescent="0.25">
      <c r="A80">
        <v>1684.86165364506</v>
      </c>
      <c r="B80">
        <v>1.02007406500581</v>
      </c>
      <c r="C80">
        <f t="shared" si="1"/>
        <v>0.18106314653853126</v>
      </c>
      <c r="E80" s="1">
        <v>1685.85</v>
      </c>
      <c r="F80" s="4">
        <v>0.17480572999999999</v>
      </c>
      <c r="H80">
        <v>1684.85</v>
      </c>
      <c r="I80" s="5">
        <v>0.120287403771279</v>
      </c>
    </row>
    <row r="81" spans="1:9" x14ac:dyDescent="0.25">
      <c r="A81">
        <v>1684.9303870357901</v>
      </c>
      <c r="B81">
        <v>1.0172331345594801</v>
      </c>
      <c r="C81">
        <f t="shared" si="1"/>
        <v>0.1805588813843077</v>
      </c>
      <c r="E81" s="1">
        <v>1685.9</v>
      </c>
      <c r="F81" s="4">
        <v>0.17482391999999999</v>
      </c>
      <c r="H81">
        <v>1684.9</v>
      </c>
      <c r="I81" s="5">
        <v>0.12123726288871201</v>
      </c>
    </row>
    <row r="82" spans="1:9" x14ac:dyDescent="0.25">
      <c r="A82">
        <v>1684.99912042651</v>
      </c>
      <c r="B82">
        <v>1.0155285762916799</v>
      </c>
      <c r="C82">
        <f t="shared" si="1"/>
        <v>0.18025632229177319</v>
      </c>
      <c r="E82" s="1">
        <v>1685.95</v>
      </c>
      <c r="F82" s="4">
        <v>0.17483172999999999</v>
      </c>
      <c r="H82">
        <v>1684.95</v>
      </c>
      <c r="I82" s="5">
        <v>0.123439610061572</v>
      </c>
    </row>
    <row r="83" spans="1:9" x14ac:dyDescent="0.25">
      <c r="A83">
        <v>1685.0678538172299</v>
      </c>
      <c r="B83">
        <v>1.01240355280071</v>
      </c>
      <c r="C83">
        <f t="shared" si="1"/>
        <v>0.17970163062212602</v>
      </c>
      <c r="E83" s="1">
        <v>1686</v>
      </c>
      <c r="F83" s="4">
        <v>0.17484209000000001</v>
      </c>
      <c r="H83">
        <v>1685</v>
      </c>
      <c r="I83" s="5">
        <v>0.12621375262416001</v>
      </c>
    </row>
    <row r="84" spans="1:9" x14ac:dyDescent="0.25">
      <c r="A84">
        <v>1685.13658720795</v>
      </c>
      <c r="B84">
        <v>1.01126718062218</v>
      </c>
      <c r="C84">
        <f t="shared" si="1"/>
        <v>0.17949992456043695</v>
      </c>
      <c r="E84" s="1">
        <v>1686.05</v>
      </c>
      <c r="F84" s="4">
        <v>0.17485382999999999</v>
      </c>
      <c r="H84">
        <v>1685.05</v>
      </c>
      <c r="I84" s="5">
        <v>0.12833712347561599</v>
      </c>
    </row>
    <row r="85" spans="1:9" x14ac:dyDescent="0.25">
      <c r="A85">
        <v>1685.2053205986699</v>
      </c>
      <c r="B85">
        <v>1.00899443626511</v>
      </c>
      <c r="C85">
        <f t="shared" si="1"/>
        <v>0.17909651243705701</v>
      </c>
      <c r="E85" s="1">
        <v>1686.1</v>
      </c>
      <c r="F85" s="4">
        <v>0.17486731999999999</v>
      </c>
      <c r="H85">
        <v>1685.1</v>
      </c>
      <c r="I85" s="5">
        <v>0.12891878185338301</v>
      </c>
    </row>
    <row r="86" spans="1:9" x14ac:dyDescent="0.25">
      <c r="A86">
        <v>1685.27405398939</v>
      </c>
      <c r="B86">
        <v>1.0081421571312099</v>
      </c>
      <c r="C86">
        <f t="shared" si="1"/>
        <v>0.17894523289078976</v>
      </c>
      <c r="E86" s="1">
        <v>1686.15</v>
      </c>
      <c r="F86" s="4">
        <v>0.17489115999999999</v>
      </c>
      <c r="H86">
        <v>1685.15</v>
      </c>
      <c r="I86" s="5">
        <v>0.12836210819754601</v>
      </c>
    </row>
    <row r="87" spans="1:9" x14ac:dyDescent="0.25">
      <c r="A87">
        <v>1685.3427873801099</v>
      </c>
      <c r="B87">
        <v>1.0055853197295099</v>
      </c>
      <c r="C87">
        <f t="shared" si="1"/>
        <v>0.17849139425198801</v>
      </c>
      <c r="E87" s="1">
        <v>1686.2</v>
      </c>
      <c r="F87" s="4">
        <v>0.17488734</v>
      </c>
      <c r="H87">
        <v>1685.2</v>
      </c>
      <c r="I87" s="5">
        <v>0.127681074367296</v>
      </c>
    </row>
    <row r="88" spans="1:9" x14ac:dyDescent="0.25">
      <c r="A88">
        <v>1685.4115207708301</v>
      </c>
      <c r="B88">
        <v>1.0055853197295099</v>
      </c>
      <c r="C88">
        <f t="shared" si="1"/>
        <v>0.17849139425198801</v>
      </c>
      <c r="E88" s="1">
        <v>1686.25</v>
      </c>
      <c r="F88" s="4">
        <v>0.17490163</v>
      </c>
      <c r="H88">
        <v>1685.25</v>
      </c>
      <c r="I88" s="5">
        <v>0.127502112115112</v>
      </c>
    </row>
    <row r="89" spans="1:9" x14ac:dyDescent="0.25">
      <c r="A89">
        <v>1685.48025416155</v>
      </c>
      <c r="B89">
        <v>1.0035966684170701</v>
      </c>
      <c r="C89">
        <f t="shared" si="1"/>
        <v>0.17813840864402994</v>
      </c>
      <c r="E89" s="1">
        <v>1686.3</v>
      </c>
      <c r="F89" s="4">
        <v>0.17489875999999999</v>
      </c>
      <c r="H89">
        <v>1685.3</v>
      </c>
      <c r="I89" s="5">
        <v>0.12808944111540199</v>
      </c>
    </row>
    <row r="90" spans="1:9" x14ac:dyDescent="0.25">
      <c r="A90">
        <v>1685.5489875522701</v>
      </c>
      <c r="B90">
        <v>1.0021762031939101</v>
      </c>
      <c r="C90">
        <f t="shared" si="1"/>
        <v>0.17788627606691904</v>
      </c>
      <c r="E90" s="1">
        <v>1686.35</v>
      </c>
      <c r="F90" s="4">
        <v>0.17490827</v>
      </c>
      <c r="H90">
        <v>1685.35</v>
      </c>
      <c r="I90" s="5">
        <v>0.12940288295914601</v>
      </c>
    </row>
    <row r="91" spans="1:9" x14ac:dyDescent="0.25">
      <c r="A91">
        <v>1685.61772094299</v>
      </c>
      <c r="B91">
        <v>1.0021762031939101</v>
      </c>
      <c r="C91">
        <f t="shared" si="1"/>
        <v>0.17788627606691904</v>
      </c>
      <c r="E91" s="1">
        <v>1686.4</v>
      </c>
      <c r="F91" s="4">
        <v>0.17491393999999999</v>
      </c>
      <c r="H91">
        <v>1685.4</v>
      </c>
      <c r="I91" s="5">
        <v>0.13110224831530601</v>
      </c>
    </row>
    <row r="92" spans="1:9" x14ac:dyDescent="0.25">
      <c r="A92">
        <v>1685.6864543337099</v>
      </c>
      <c r="B92">
        <v>1.0021762031939101</v>
      </c>
      <c r="C92">
        <f t="shared" si="1"/>
        <v>0.17788627606691904</v>
      </c>
      <c r="E92" s="1">
        <v>1686.45</v>
      </c>
      <c r="F92" s="4">
        <v>0.17490701</v>
      </c>
      <c r="H92">
        <v>1685.45</v>
      </c>
      <c r="I92" s="5">
        <v>0.13266987408810901</v>
      </c>
    </row>
    <row r="93" spans="1:9" x14ac:dyDescent="0.25">
      <c r="A93">
        <v>1685.75518772443</v>
      </c>
      <c r="B93">
        <v>1.0010398310153701</v>
      </c>
      <c r="C93">
        <f t="shared" si="1"/>
        <v>0.17768457000522819</v>
      </c>
      <c r="E93" s="1">
        <v>1686.5</v>
      </c>
      <c r="F93" s="4">
        <v>0.17489579</v>
      </c>
      <c r="H93">
        <v>1685.5</v>
      </c>
      <c r="I93" s="5">
        <v>0.133729474203653</v>
      </c>
    </row>
    <row r="94" spans="1:9" x14ac:dyDescent="0.25">
      <c r="A94">
        <v>1685.8239211151499</v>
      </c>
      <c r="B94">
        <v>0.99876708665831104</v>
      </c>
      <c r="C94">
        <f t="shared" si="1"/>
        <v>0.1772811578818502</v>
      </c>
      <c r="E94" s="1">
        <v>1686.55</v>
      </c>
      <c r="F94" s="4">
        <v>0.17489663</v>
      </c>
      <c r="H94">
        <v>1685.55</v>
      </c>
      <c r="I94" s="5">
        <v>0.13442737932139301</v>
      </c>
    </row>
    <row r="95" spans="1:9" x14ac:dyDescent="0.25">
      <c r="A95">
        <v>1685.89265450587</v>
      </c>
      <c r="B95">
        <v>0.99876708665831104</v>
      </c>
      <c r="C95">
        <f t="shared" si="1"/>
        <v>0.1772811578818502</v>
      </c>
      <c r="E95" s="1">
        <v>1686.6</v>
      </c>
      <c r="F95" s="4">
        <v>0.17488818</v>
      </c>
      <c r="H95">
        <v>1685.6</v>
      </c>
      <c r="I95" s="5">
        <v>0.13527827871888101</v>
      </c>
    </row>
    <row r="96" spans="1:9" x14ac:dyDescent="0.25">
      <c r="A96">
        <v>1685.9613878965899</v>
      </c>
      <c r="B96">
        <v>0.99876708665831104</v>
      </c>
      <c r="C96">
        <f t="shared" si="1"/>
        <v>0.1772811578818502</v>
      </c>
      <c r="E96" s="1">
        <v>1686.65</v>
      </c>
      <c r="F96" s="4">
        <v>0.17488993999999999</v>
      </c>
      <c r="H96">
        <v>1685.65</v>
      </c>
      <c r="I96" s="5">
        <v>0.13651930575475099</v>
      </c>
    </row>
    <row r="97" spans="1:9" x14ac:dyDescent="0.25">
      <c r="A97">
        <v>1686.0301212873201</v>
      </c>
      <c r="B97">
        <v>0.99876708665831104</v>
      </c>
      <c r="C97">
        <f t="shared" si="1"/>
        <v>0.1772811578818502</v>
      </c>
      <c r="E97" s="1">
        <v>1686.7</v>
      </c>
      <c r="F97" s="4">
        <v>0.17488565</v>
      </c>
      <c r="H97">
        <v>1685.7</v>
      </c>
      <c r="I97" s="5">
        <v>0.13806786281911301</v>
      </c>
    </row>
    <row r="98" spans="1:9" x14ac:dyDescent="0.25">
      <c r="A98">
        <v>1686.09885467804</v>
      </c>
      <c r="B98">
        <v>0.99876708665831104</v>
      </c>
      <c r="C98">
        <f t="shared" si="1"/>
        <v>0.1772811578818502</v>
      </c>
      <c r="E98" s="1">
        <v>1686.75</v>
      </c>
      <c r="F98" s="4">
        <v>0.17487897999999999</v>
      </c>
      <c r="H98">
        <v>1685.75</v>
      </c>
      <c r="I98" s="5">
        <v>0.13969276191709601</v>
      </c>
    </row>
    <row r="99" spans="1:9" x14ac:dyDescent="0.25">
      <c r="A99">
        <v>1686.1675880687601</v>
      </c>
      <c r="B99">
        <v>0.99876708665831104</v>
      </c>
      <c r="C99">
        <f t="shared" si="1"/>
        <v>0.1772811578818502</v>
      </c>
      <c r="E99" s="1">
        <v>1686.8</v>
      </c>
      <c r="F99" s="4">
        <v>0.17486209999999999</v>
      </c>
      <c r="H99">
        <v>1685.8</v>
      </c>
      <c r="I99" s="5">
        <v>0.14119129431764099</v>
      </c>
    </row>
    <row r="100" spans="1:9" x14ac:dyDescent="0.25">
      <c r="A100">
        <v>1686.23632145948</v>
      </c>
      <c r="B100">
        <v>0.99876708665831104</v>
      </c>
      <c r="C100">
        <f t="shared" si="1"/>
        <v>0.1772811578818502</v>
      </c>
      <c r="E100" s="1">
        <v>1686.85</v>
      </c>
      <c r="F100" s="4">
        <v>0.17485212</v>
      </c>
      <c r="H100">
        <v>1685.85</v>
      </c>
      <c r="I100" s="5">
        <v>0.13728746181975299</v>
      </c>
    </row>
    <row r="101" spans="1:9" x14ac:dyDescent="0.25">
      <c r="A101">
        <v>1686.3050548501999</v>
      </c>
      <c r="B101">
        <v>0.99876708665831104</v>
      </c>
      <c r="C101">
        <f t="shared" si="1"/>
        <v>0.1772811578818502</v>
      </c>
      <c r="E101" s="1">
        <v>1686.9</v>
      </c>
      <c r="F101" s="4">
        <v>0.17484189999999999</v>
      </c>
      <c r="H101">
        <v>1685.9</v>
      </c>
      <c r="I101" s="5">
        <v>0.138219034843727</v>
      </c>
    </row>
    <row r="102" spans="1:9" x14ac:dyDescent="0.25">
      <c r="A102">
        <v>1686.37378824092</v>
      </c>
      <c r="B102">
        <v>0.99876708665831104</v>
      </c>
      <c r="C102">
        <f t="shared" si="1"/>
        <v>0.1772811578818502</v>
      </c>
      <c r="E102" s="1">
        <v>1686.95</v>
      </c>
      <c r="F102" s="4">
        <v>0.17483926</v>
      </c>
      <c r="H102">
        <v>1685.95</v>
      </c>
      <c r="I102" s="5">
        <v>0.139166738168159</v>
      </c>
    </row>
    <row r="103" spans="1:9" x14ac:dyDescent="0.25">
      <c r="A103">
        <v>1686.4425216316399</v>
      </c>
      <c r="B103">
        <v>0.99876708665831104</v>
      </c>
      <c r="C103">
        <f t="shared" si="1"/>
        <v>0.1772811578818502</v>
      </c>
      <c r="E103" s="1">
        <v>1687</v>
      </c>
      <c r="F103" s="4">
        <v>0.17482258000000001</v>
      </c>
      <c r="H103">
        <v>1686</v>
      </c>
      <c r="I103" s="5">
        <v>0.140119884797821</v>
      </c>
    </row>
    <row r="104" spans="1:9" x14ac:dyDescent="0.25">
      <c r="A104">
        <v>1686.51125502236</v>
      </c>
      <c r="B104">
        <v>0.99876708665831104</v>
      </c>
      <c r="C104">
        <f t="shared" si="1"/>
        <v>0.1772811578818502</v>
      </c>
      <c r="E104" s="1">
        <v>1687.05</v>
      </c>
      <c r="F104" s="4">
        <v>0.17480977</v>
      </c>
      <c r="H104">
        <v>1686.05</v>
      </c>
      <c r="I104" s="5">
        <v>0.14107097547881101</v>
      </c>
    </row>
    <row r="105" spans="1:9" x14ac:dyDescent="0.25">
      <c r="A105">
        <v>1686.5799884130799</v>
      </c>
      <c r="B105">
        <v>0.99876708665831104</v>
      </c>
      <c r="C105">
        <f t="shared" si="1"/>
        <v>0.1772811578818502</v>
      </c>
      <c r="E105" s="1">
        <v>1687.1</v>
      </c>
      <c r="F105" s="4">
        <v>0.17480385000000001</v>
      </c>
      <c r="H105">
        <v>1686.1</v>
      </c>
      <c r="I105" s="5">
        <v>0.142017245394366</v>
      </c>
    </row>
    <row r="106" spans="1:9" x14ac:dyDescent="0.25">
      <c r="A106">
        <v>1686.6487218038001</v>
      </c>
      <c r="B106">
        <v>0.99876708665831104</v>
      </c>
      <c r="C106">
        <f t="shared" si="1"/>
        <v>0.1772811578818502</v>
      </c>
      <c r="E106" s="1">
        <v>1687.15</v>
      </c>
      <c r="F106" s="4">
        <v>0.17478543999999999</v>
      </c>
      <c r="H106">
        <v>1686.15</v>
      </c>
      <c r="I106" s="5">
        <v>0.14295132415126</v>
      </c>
    </row>
    <row r="107" spans="1:9" x14ac:dyDescent="0.25">
      <c r="A107">
        <v>1686.71745519452</v>
      </c>
      <c r="B107">
        <v>0.99876708665831104</v>
      </c>
      <c r="C107">
        <f t="shared" si="1"/>
        <v>0.1772811578818502</v>
      </c>
      <c r="E107" s="1">
        <v>1687.2</v>
      </c>
      <c r="F107" s="4">
        <v>0.17477508999999999</v>
      </c>
      <c r="H107">
        <v>1686.2</v>
      </c>
      <c r="I107" s="5">
        <v>0.14386691960694201</v>
      </c>
    </row>
    <row r="108" spans="1:9" x14ac:dyDescent="0.25">
      <c r="A108">
        <v>1686.7861885852401</v>
      </c>
      <c r="B108">
        <v>0.99990345883684495</v>
      </c>
      <c r="C108">
        <f t="shared" si="1"/>
        <v>0.17748286394353996</v>
      </c>
      <c r="E108" s="1">
        <v>1687.25</v>
      </c>
      <c r="F108" s="4">
        <v>0.17477988</v>
      </c>
      <c r="H108">
        <v>1686.25</v>
      </c>
      <c r="I108" s="5">
        <v>0.14751115154984501</v>
      </c>
    </row>
    <row r="109" spans="1:9" x14ac:dyDescent="0.25">
      <c r="A109">
        <v>1686.85492197596</v>
      </c>
      <c r="B109">
        <v>1.0021762031939101</v>
      </c>
      <c r="C109">
        <f t="shared" si="1"/>
        <v>0.17788627606691904</v>
      </c>
      <c r="E109" s="1">
        <v>1687.3</v>
      </c>
      <c r="F109" s="4">
        <v>0.17477706000000001</v>
      </c>
      <c r="H109">
        <v>1686.3</v>
      </c>
      <c r="I109" s="5">
        <v>0.148136240056192</v>
      </c>
    </row>
    <row r="110" spans="1:9" x14ac:dyDescent="0.25">
      <c r="A110">
        <v>1686.9236553666799</v>
      </c>
      <c r="B110">
        <v>1.0021762031939101</v>
      </c>
      <c r="C110">
        <f t="shared" si="1"/>
        <v>0.17788627606691904</v>
      </c>
      <c r="E110" s="1">
        <v>1687.35</v>
      </c>
      <c r="F110" s="4">
        <v>0.17476781</v>
      </c>
      <c r="H110">
        <v>1686.35</v>
      </c>
      <c r="I110" s="5">
        <v>0.14899133821802199</v>
      </c>
    </row>
    <row r="111" spans="1:9" x14ac:dyDescent="0.25">
      <c r="A111">
        <v>1686.9923887574</v>
      </c>
      <c r="B111">
        <v>1.00274438928317</v>
      </c>
      <c r="C111">
        <f t="shared" si="1"/>
        <v>0.17798712909776265</v>
      </c>
      <c r="E111" s="1">
        <v>1687.4</v>
      </c>
      <c r="F111" s="4">
        <v>0.17475495999999999</v>
      </c>
      <c r="H111">
        <v>1686.4</v>
      </c>
      <c r="I111" s="5">
        <v>0.14981976597020999</v>
      </c>
    </row>
    <row r="112" spans="1:9" x14ac:dyDescent="0.25">
      <c r="A112">
        <v>1687.0611221481199</v>
      </c>
      <c r="B112">
        <v>1.0021762031939101</v>
      </c>
      <c r="C112">
        <f t="shared" si="1"/>
        <v>0.17788627606691904</v>
      </c>
      <c r="E112" s="1">
        <v>1687.45</v>
      </c>
      <c r="F112" s="4">
        <v>0.17475319</v>
      </c>
      <c r="H112">
        <v>1686.45</v>
      </c>
      <c r="I112" s="5">
        <v>0.15062144910973599</v>
      </c>
    </row>
    <row r="113" spans="1:9" x14ac:dyDescent="0.25">
      <c r="A113">
        <v>1687.1298555388501</v>
      </c>
      <c r="B113">
        <v>1.0021762031939101</v>
      </c>
      <c r="C113">
        <f t="shared" si="1"/>
        <v>0.17788627606691904</v>
      </c>
      <c r="E113" s="1">
        <v>1687.5</v>
      </c>
      <c r="F113" s="4">
        <v>0.17475122000000001</v>
      </c>
      <c r="H113">
        <v>1686.5</v>
      </c>
      <c r="I113" s="5">
        <v>0.151397119608842</v>
      </c>
    </row>
    <row r="114" spans="1:9" x14ac:dyDescent="0.25">
      <c r="A114">
        <v>1687.19858892957</v>
      </c>
      <c r="B114">
        <v>1.0021762031939101</v>
      </c>
      <c r="C114">
        <f t="shared" si="1"/>
        <v>0.17788627606691904</v>
      </c>
      <c r="E114" s="1">
        <v>1687.55</v>
      </c>
      <c r="F114" s="4">
        <v>0.17474307</v>
      </c>
      <c r="H114">
        <v>1686.55</v>
      </c>
      <c r="I114" s="5">
        <v>0.151997567835641</v>
      </c>
    </row>
    <row r="115" spans="1:9" x14ac:dyDescent="0.25">
      <c r="A115">
        <v>1687.2673223202901</v>
      </c>
      <c r="B115">
        <v>1.0021762031939101</v>
      </c>
      <c r="C115">
        <f t="shared" si="1"/>
        <v>0.17788627606691904</v>
      </c>
      <c r="E115" s="1">
        <v>1687.6</v>
      </c>
      <c r="F115" s="4">
        <v>0.17473959999999999</v>
      </c>
      <c r="H115">
        <v>1686.6</v>
      </c>
      <c r="I115" s="5">
        <v>0.1526597547596</v>
      </c>
    </row>
    <row r="116" spans="1:9" x14ac:dyDescent="0.25">
      <c r="A116">
        <v>1687.33605571101</v>
      </c>
      <c r="B116">
        <v>1.0021762031939101</v>
      </c>
      <c r="C116">
        <f t="shared" si="1"/>
        <v>0.17788627606691904</v>
      </c>
      <c r="E116" s="1">
        <v>1687.65</v>
      </c>
      <c r="F116" s="4">
        <v>0.17472599</v>
      </c>
      <c r="H116">
        <v>1686.65</v>
      </c>
      <c r="I116" s="5">
        <v>0.15329863429193599</v>
      </c>
    </row>
    <row r="117" spans="1:9" x14ac:dyDescent="0.25">
      <c r="A117">
        <v>1687.4047891017301</v>
      </c>
      <c r="B117">
        <v>1.0021762031939101</v>
      </c>
      <c r="C117">
        <f t="shared" si="1"/>
        <v>0.17788627606691904</v>
      </c>
      <c r="E117" s="1">
        <v>1687.7</v>
      </c>
      <c r="F117" s="4">
        <v>0.17471965</v>
      </c>
      <c r="H117">
        <v>1686.7</v>
      </c>
      <c r="I117" s="5">
        <v>0.15391675905888599</v>
      </c>
    </row>
    <row r="118" spans="1:9" x14ac:dyDescent="0.25">
      <c r="A118">
        <v>1687.47352249245</v>
      </c>
      <c r="B118">
        <v>1.0021762031939101</v>
      </c>
      <c r="C118">
        <f t="shared" si="1"/>
        <v>0.17788627606691904</v>
      </c>
      <c r="E118" s="1">
        <v>1687.75</v>
      </c>
      <c r="F118" s="4">
        <v>0.17472199999999999</v>
      </c>
      <c r="H118">
        <v>1686.75</v>
      </c>
      <c r="I118" s="5">
        <v>0.15451454097241099</v>
      </c>
    </row>
    <row r="119" spans="1:9" x14ac:dyDescent="0.25">
      <c r="A119">
        <v>1687.5422558831699</v>
      </c>
      <c r="B119">
        <v>1.0021762031939101</v>
      </c>
      <c r="C119">
        <f t="shared" si="1"/>
        <v>0.17788627606691904</v>
      </c>
      <c r="E119" s="1">
        <v>1687.8</v>
      </c>
      <c r="F119" s="4">
        <v>0.1747351</v>
      </c>
      <c r="H119">
        <v>1686.8</v>
      </c>
      <c r="I119" s="5">
        <v>0.155091522504788</v>
      </c>
    </row>
    <row r="120" spans="1:9" x14ac:dyDescent="0.25">
      <c r="A120">
        <v>1687.61098927389</v>
      </c>
      <c r="B120">
        <v>1.0021762031939101</v>
      </c>
      <c r="C120">
        <f t="shared" si="1"/>
        <v>0.17788627606691904</v>
      </c>
      <c r="E120" s="1">
        <v>1687.85</v>
      </c>
      <c r="F120" s="4">
        <v>0.17472945000000001</v>
      </c>
      <c r="H120">
        <v>1686.85</v>
      </c>
      <c r="I120" s="5">
        <v>0.15564856694835799</v>
      </c>
    </row>
    <row r="121" spans="1:9" x14ac:dyDescent="0.25">
      <c r="A121">
        <v>1687.6797226646099</v>
      </c>
      <c r="B121">
        <v>1.0021762031939101</v>
      </c>
      <c r="C121">
        <f t="shared" si="1"/>
        <v>0.17788627606691904</v>
      </c>
      <c r="E121" s="1">
        <v>1687.9</v>
      </c>
      <c r="F121" s="4">
        <v>0.17473274</v>
      </c>
      <c r="H121">
        <v>1686.9</v>
      </c>
      <c r="I121" s="5">
        <v>0.15618580022668299</v>
      </c>
    </row>
    <row r="122" spans="1:9" x14ac:dyDescent="0.25">
      <c r="A122">
        <v>1687.7484560553301</v>
      </c>
      <c r="B122">
        <v>1.0021762031939101</v>
      </c>
      <c r="C122">
        <f t="shared" si="1"/>
        <v>0.17788627606691904</v>
      </c>
      <c r="E122" s="1">
        <v>1687.95</v>
      </c>
      <c r="F122" s="4">
        <v>0.17475889999999999</v>
      </c>
      <c r="H122">
        <v>1686.95</v>
      </c>
      <c r="I122" s="5">
        <v>0.15670411307760701</v>
      </c>
    </row>
    <row r="123" spans="1:9" x14ac:dyDescent="0.25">
      <c r="A123">
        <v>1687.81718944605</v>
      </c>
      <c r="B123">
        <v>1.0021762031939101</v>
      </c>
      <c r="C123">
        <f t="shared" si="1"/>
        <v>0.17788627606691904</v>
      </c>
      <c r="E123" s="1">
        <v>1688</v>
      </c>
      <c r="F123" s="4">
        <v>0.17475057999999999</v>
      </c>
      <c r="H123">
        <v>1687</v>
      </c>
      <c r="I123" s="5">
        <v>0.157204289270408</v>
      </c>
    </row>
    <row r="124" spans="1:9" x14ac:dyDescent="0.25">
      <c r="A124">
        <v>1687.8859228367701</v>
      </c>
      <c r="B124">
        <v>1.0021762031939101</v>
      </c>
      <c r="C124">
        <f t="shared" si="1"/>
        <v>0.17788627606691904</v>
      </c>
      <c r="H124">
        <v>1687.05</v>
      </c>
      <c r="I124" s="5">
        <v>0.157686599793288</v>
      </c>
    </row>
    <row r="125" spans="1:9" x14ac:dyDescent="0.25">
      <c r="A125">
        <v>1687.95465622749</v>
      </c>
      <c r="B125">
        <v>1.0021762031939101</v>
      </c>
      <c r="C125">
        <f t="shared" si="1"/>
        <v>0.17788627606691904</v>
      </c>
      <c r="H125">
        <v>1687.1</v>
      </c>
      <c r="I125" s="5">
        <v>0.15815197202661199</v>
      </c>
    </row>
    <row r="126" spans="1:9" x14ac:dyDescent="0.25">
      <c r="A126">
        <v>1688.0233896182101</v>
      </c>
      <c r="B126">
        <v>1.00274438928317</v>
      </c>
      <c r="C126">
        <f t="shared" si="1"/>
        <v>0.17798712909776265</v>
      </c>
      <c r="H126">
        <v>1687.15</v>
      </c>
      <c r="I126" s="5">
        <v>0.15860074045268999</v>
      </c>
    </row>
    <row r="127" spans="1:9" x14ac:dyDescent="0.25">
      <c r="A127">
        <v>1688.09212300893</v>
      </c>
      <c r="B127">
        <v>1.0021762031939101</v>
      </c>
      <c r="C127">
        <f t="shared" si="1"/>
        <v>0.17788627606691904</v>
      </c>
      <c r="H127">
        <v>1687.2</v>
      </c>
      <c r="I127" s="5">
        <v>0.15903372971257301</v>
      </c>
    </row>
    <row r="128" spans="1:9" x14ac:dyDescent="0.25">
      <c r="A128">
        <v>1688.1608563996499</v>
      </c>
      <c r="B128">
        <v>1.0021762031939101</v>
      </c>
      <c r="C128">
        <f t="shared" si="1"/>
        <v>0.17788627606691904</v>
      </c>
      <c r="H128">
        <v>1687.25</v>
      </c>
      <c r="I128" s="5">
        <v>0.15945086377072001</v>
      </c>
    </row>
    <row r="129" spans="1:9" x14ac:dyDescent="0.25">
      <c r="A129">
        <v>1688.22958979038</v>
      </c>
      <c r="B129">
        <v>1.0021762031939101</v>
      </c>
      <c r="C129">
        <f t="shared" si="1"/>
        <v>0.17788627606691904</v>
      </c>
      <c r="H129">
        <v>1687.3</v>
      </c>
      <c r="I129" s="5">
        <v>0.15985293703230799</v>
      </c>
    </row>
    <row r="130" spans="1:9" x14ac:dyDescent="0.25">
      <c r="A130">
        <v>1688.2983231810999</v>
      </c>
      <c r="B130">
        <v>1.0021762031939101</v>
      </c>
      <c r="C130">
        <f t="shared" si="1"/>
        <v>0.17788627606691904</v>
      </c>
      <c r="H130">
        <v>1687.35</v>
      </c>
      <c r="I130" s="5">
        <v>0.16024160588822101</v>
      </c>
    </row>
    <row r="131" spans="1:9" x14ac:dyDescent="0.25">
      <c r="A131">
        <v>1688.3670565718201</v>
      </c>
      <c r="B131">
        <v>1.0021762031939101</v>
      </c>
      <c r="C131">
        <f t="shared" si="1"/>
        <v>0.17788627606691904</v>
      </c>
      <c r="H131">
        <v>1687.4</v>
      </c>
      <c r="I131" s="5">
        <v>0.160617441255443</v>
      </c>
    </row>
    <row r="132" spans="1:9" x14ac:dyDescent="0.25">
      <c r="A132">
        <v>1688.43578996254</v>
      </c>
      <c r="B132">
        <v>1.0021762031939101</v>
      </c>
      <c r="C132">
        <f t="shared" ref="C132:C144" si="2">B132*0.1775</f>
        <v>0.17788627606691904</v>
      </c>
      <c r="H132">
        <v>1687.45</v>
      </c>
      <c r="I132" s="5">
        <v>0.16093428533300499</v>
      </c>
    </row>
    <row r="133" spans="1:9" x14ac:dyDescent="0.25">
      <c r="A133">
        <v>1688.5045233532601</v>
      </c>
      <c r="B133">
        <v>1.0021762031939101</v>
      </c>
      <c r="C133">
        <f t="shared" si="2"/>
        <v>0.17788627606691904</v>
      </c>
      <c r="H133">
        <v>1687.5</v>
      </c>
      <c r="I133" s="5">
        <v>0.16128638011652499</v>
      </c>
    </row>
    <row r="134" spans="1:9" x14ac:dyDescent="0.25">
      <c r="A134">
        <v>1688.57325674398</v>
      </c>
      <c r="B134">
        <v>1.0021762031939101</v>
      </c>
      <c r="C134">
        <f t="shared" si="2"/>
        <v>0.17788627606691904</v>
      </c>
      <c r="H134">
        <v>1687.55</v>
      </c>
      <c r="I134" s="5">
        <v>0.161626403433656</v>
      </c>
    </row>
    <row r="135" spans="1:9" x14ac:dyDescent="0.25">
      <c r="A135">
        <v>1688.6419901347001</v>
      </c>
      <c r="B135">
        <v>1.0021762031939101</v>
      </c>
      <c r="C135">
        <f t="shared" si="2"/>
        <v>0.17788627606691904</v>
      </c>
      <c r="H135">
        <v>1687.6</v>
      </c>
      <c r="I135" s="5">
        <v>0.16195459958608699</v>
      </c>
    </row>
    <row r="136" spans="1:9" x14ac:dyDescent="0.25">
      <c r="A136">
        <v>1688.71072352542</v>
      </c>
      <c r="B136">
        <v>1.0021762031939101</v>
      </c>
      <c r="C136">
        <f t="shared" si="2"/>
        <v>0.17788627606691904</v>
      </c>
      <c r="H136">
        <v>1687.65</v>
      </c>
      <c r="I136" s="5">
        <v>0.162271515526132</v>
      </c>
    </row>
    <row r="137" spans="1:9" x14ac:dyDescent="0.25">
      <c r="A137">
        <v>1688.7794569161399</v>
      </c>
      <c r="B137">
        <v>1.0021762031939101</v>
      </c>
      <c r="C137">
        <f t="shared" si="2"/>
        <v>0.17788627606691904</v>
      </c>
      <c r="H137">
        <v>1687.7</v>
      </c>
      <c r="I137" s="5">
        <v>0.16257758917154999</v>
      </c>
    </row>
    <row r="138" spans="1:9" x14ac:dyDescent="0.25">
      <c r="A138">
        <v>1688.84819030686</v>
      </c>
      <c r="B138">
        <v>1.0021762031939101</v>
      </c>
      <c r="C138">
        <f t="shared" si="2"/>
        <v>0.17788627606691904</v>
      </c>
      <c r="H138">
        <v>1687.75</v>
      </c>
      <c r="I138" s="5">
        <v>0.16287324536226599</v>
      </c>
    </row>
    <row r="139" spans="1:9" x14ac:dyDescent="0.25">
      <c r="A139">
        <v>1688.9169236975799</v>
      </c>
      <c r="B139">
        <v>1.0021762031939101</v>
      </c>
      <c r="C139">
        <f t="shared" si="2"/>
        <v>0.17788627606691904</v>
      </c>
      <c r="H139">
        <v>1687.8</v>
      </c>
      <c r="I139" s="5">
        <v>0.16315885606493799</v>
      </c>
    </row>
    <row r="140" spans="1:9" x14ac:dyDescent="0.25">
      <c r="A140">
        <v>1688.9856570883001</v>
      </c>
      <c r="B140">
        <v>1.00246029623854</v>
      </c>
      <c r="C140">
        <f t="shared" si="2"/>
        <v>0.17793670258234084</v>
      </c>
      <c r="H140">
        <v>1687.85</v>
      </c>
      <c r="I140" s="5">
        <v>0.163434903031351</v>
      </c>
    </row>
    <row r="141" spans="1:9" x14ac:dyDescent="0.25">
      <c r="A141">
        <v>1689.05439047902</v>
      </c>
      <c r="B141">
        <v>1.00246029623854</v>
      </c>
      <c r="C141">
        <f t="shared" si="2"/>
        <v>0.17793670258234084</v>
      </c>
      <c r="H141">
        <v>1687.9</v>
      </c>
      <c r="I141" s="5">
        <v>0.16370175132359199</v>
      </c>
    </row>
    <row r="142" spans="1:9" x14ac:dyDescent="0.25">
      <c r="A142">
        <v>1689.1231238697401</v>
      </c>
      <c r="B142">
        <v>1.0021762031939101</v>
      </c>
      <c r="C142">
        <f t="shared" si="2"/>
        <v>0.17788627606691904</v>
      </c>
      <c r="H142">
        <v>1687.95</v>
      </c>
      <c r="I142" s="5">
        <v>0.16395961531323999</v>
      </c>
    </row>
    <row r="143" spans="1:9" x14ac:dyDescent="0.25">
      <c r="A143">
        <v>1689.19185726046</v>
      </c>
      <c r="B143">
        <v>1.0021762031939101</v>
      </c>
      <c r="C143">
        <f t="shared" si="2"/>
        <v>0.17788627606691904</v>
      </c>
      <c r="H143">
        <v>1688</v>
      </c>
      <c r="I143" s="5">
        <v>0.16420906599395699</v>
      </c>
    </row>
    <row r="144" spans="1:9" x14ac:dyDescent="0.25">
      <c r="A144">
        <v>1689.2605906511801</v>
      </c>
      <c r="B144">
        <v>1.0021762031939101</v>
      </c>
      <c r="C144">
        <f t="shared" si="2"/>
        <v>0.17788627606691904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2"/>
  <sheetViews>
    <sheetView tabSelected="1" workbookViewId="0">
      <selection activeCell="F2" sqref="F2:F122"/>
    </sheetView>
  </sheetViews>
  <sheetFormatPr defaultRowHeight="15.75" x14ac:dyDescent="0.25"/>
  <cols>
    <col min="5" max="5" width="9" style="1"/>
    <col min="6" max="6" width="14.5" style="4" bestFit="1" customWidth="1"/>
    <col min="9" max="9" width="19.25" style="6" customWidth="1"/>
  </cols>
  <sheetData>
    <row r="1" spans="1:9" x14ac:dyDescent="0.25">
      <c r="B1" t="s">
        <v>13</v>
      </c>
      <c r="F1" s="4" t="s">
        <v>1</v>
      </c>
      <c r="I1" s="6" t="s">
        <v>2</v>
      </c>
    </row>
    <row r="2" spans="1:9" x14ac:dyDescent="0.25">
      <c r="A2">
        <v>1681.3582986592601</v>
      </c>
      <c r="B2">
        <v>1.3040996720380799E-2</v>
      </c>
      <c r="C2">
        <f t="shared" ref="C2:C33" si="0">B2*0.1775</f>
        <v>2.3147769178675916E-3</v>
      </c>
      <c r="E2" s="1">
        <v>1682</v>
      </c>
      <c r="F2" s="4">
        <v>2.7370939000000002E-3</v>
      </c>
      <c r="H2">
        <v>1681</v>
      </c>
      <c r="I2" s="6">
        <v>4.1187765270390498E-4</v>
      </c>
    </row>
    <row r="3" spans="1:9" x14ac:dyDescent="0.25">
      <c r="A3">
        <v>1681.4267221451601</v>
      </c>
      <c r="B3">
        <v>1.3626389550168899E-2</v>
      </c>
      <c r="C3">
        <f t="shared" si="0"/>
        <v>2.4186841451549796E-3</v>
      </c>
      <c r="E3" s="1">
        <v>1682.05</v>
      </c>
      <c r="F3" s="4">
        <v>3.0524591E-3</v>
      </c>
      <c r="H3">
        <v>1681.05</v>
      </c>
      <c r="I3" s="6">
        <v>4.3074033196855398E-4</v>
      </c>
    </row>
    <row r="4" spans="1:9" x14ac:dyDescent="0.25">
      <c r="A4">
        <v>1681.49514563106</v>
      </c>
      <c r="B4">
        <v>1.6465818322692199E-2</v>
      </c>
      <c r="C4">
        <f t="shared" si="0"/>
        <v>2.9226827522778652E-3</v>
      </c>
      <c r="E4" s="1">
        <v>1682.1</v>
      </c>
      <c r="F4" s="4">
        <v>3.4754708999999999E-3</v>
      </c>
      <c r="H4">
        <v>1681.1</v>
      </c>
      <c r="I4" s="6">
        <v>4.5055863084544402E-4</v>
      </c>
    </row>
    <row r="5" spans="1:9" x14ac:dyDescent="0.25">
      <c r="A5">
        <v>1681.56356911696</v>
      </c>
      <c r="B5">
        <v>1.6487702166796601E-2</v>
      </c>
      <c r="C5">
        <f t="shared" si="0"/>
        <v>2.9265671346063965E-3</v>
      </c>
      <c r="E5" s="1">
        <v>1682.15</v>
      </c>
      <c r="F5" s="4">
        <v>4.0102499000000003E-3</v>
      </c>
      <c r="H5">
        <v>1681.15</v>
      </c>
      <c r="I5" s="6">
        <v>4.7140553351383401E-4</v>
      </c>
    </row>
    <row r="6" spans="1:9" x14ac:dyDescent="0.25">
      <c r="A6">
        <v>1681.63199260286</v>
      </c>
      <c r="B6">
        <v>1.6509586010900801E-2</v>
      </c>
      <c r="C6">
        <f t="shared" si="0"/>
        <v>2.9304515169348922E-3</v>
      </c>
      <c r="E6" s="1">
        <v>1682.2</v>
      </c>
      <c r="F6" s="4">
        <v>4.6990863000000004E-3</v>
      </c>
      <c r="H6">
        <v>1681.2</v>
      </c>
      <c r="I6" s="6">
        <v>4.9336194875331603E-4</v>
      </c>
    </row>
    <row r="7" spans="1:9" x14ac:dyDescent="0.25">
      <c r="A7">
        <v>1681.70041608876</v>
      </c>
      <c r="B7">
        <v>1.70949788406888E-2</v>
      </c>
      <c r="C7">
        <f t="shared" si="0"/>
        <v>3.034358744222262E-3</v>
      </c>
      <c r="E7" s="1">
        <v>1682.25</v>
      </c>
      <c r="F7" s="4">
        <v>5.5869403E-3</v>
      </c>
      <c r="H7">
        <v>1681.25</v>
      </c>
      <c r="I7" s="6">
        <v>5.1652777517824898E-4</v>
      </c>
    </row>
    <row r="8" spans="1:9" x14ac:dyDescent="0.25">
      <c r="A8">
        <v>1681.76883957466</v>
      </c>
      <c r="B8">
        <v>1.99344076132121E-2</v>
      </c>
      <c r="C8">
        <f t="shared" si="0"/>
        <v>3.5383573513451476E-3</v>
      </c>
      <c r="E8" s="1">
        <v>1682.3</v>
      </c>
      <c r="F8" s="4">
        <v>6.7232302000000002E-3</v>
      </c>
      <c r="H8">
        <v>1681.3</v>
      </c>
      <c r="I8" s="6">
        <v>5.4102320001088E-4</v>
      </c>
    </row>
    <row r="9" spans="1:9" x14ac:dyDescent="0.25">
      <c r="A9">
        <v>1681.83726306056</v>
      </c>
      <c r="B9">
        <v>2.0238045950158101E-2</v>
      </c>
      <c r="C9">
        <f t="shared" si="0"/>
        <v>3.5922531561530628E-3</v>
      </c>
      <c r="E9" s="1">
        <v>1682.35</v>
      </c>
      <c r="F9" s="4">
        <v>8.1897759999999993E-3</v>
      </c>
      <c r="H9">
        <v>1681.35</v>
      </c>
      <c r="I9" s="6">
        <v>5.6698563852130505E-4</v>
      </c>
    </row>
    <row r="10" spans="1:9" x14ac:dyDescent="0.25">
      <c r="A10">
        <v>1681.9056865464599</v>
      </c>
      <c r="B10">
        <v>2.3359229215523501E-2</v>
      </c>
      <c r="C10">
        <f t="shared" si="0"/>
        <v>4.1462631857554213E-3</v>
      </c>
      <c r="E10" s="1">
        <v>1682.4</v>
      </c>
      <c r="F10" s="4">
        <v>1.0013273E-2</v>
      </c>
      <c r="H10">
        <v>1681.4</v>
      </c>
      <c r="I10" s="6">
        <v>5.9457497653654396E-4</v>
      </c>
    </row>
    <row r="11" spans="1:9" x14ac:dyDescent="0.25">
      <c r="A11">
        <v>1681.9741100323599</v>
      </c>
      <c r="B11">
        <v>2.5916903495204899E-2</v>
      </c>
      <c r="C11">
        <f t="shared" si="0"/>
        <v>4.6002503703988697E-3</v>
      </c>
      <c r="E11" s="1">
        <v>1682.45</v>
      </c>
      <c r="F11" s="4">
        <v>1.2274212E-2</v>
      </c>
      <c r="H11">
        <v>1681.45</v>
      </c>
      <c r="I11" s="6">
        <v>6.2398095500473805E-4</v>
      </c>
    </row>
    <row r="12" spans="1:9" x14ac:dyDescent="0.25">
      <c r="A12">
        <v>1682.0425335182599</v>
      </c>
      <c r="B12">
        <v>2.93198412534121E-2</v>
      </c>
      <c r="C12">
        <f t="shared" si="0"/>
        <v>5.2042718224806477E-3</v>
      </c>
      <c r="E12" s="1">
        <v>1682.5</v>
      </c>
      <c r="F12" s="4">
        <v>1.5064162000000001E-2</v>
      </c>
      <c r="H12">
        <v>1681.5</v>
      </c>
      <c r="I12" s="6">
        <v>6.5543784974748302E-4</v>
      </c>
    </row>
    <row r="13" spans="1:9" x14ac:dyDescent="0.25">
      <c r="A13">
        <v>1682.1109570041599</v>
      </c>
      <c r="B13">
        <v>3.4695060461512599E-2</v>
      </c>
      <c r="C13">
        <f t="shared" si="0"/>
        <v>6.1583732319184861E-3</v>
      </c>
      <c r="E13" s="1">
        <v>1682.55</v>
      </c>
      <c r="F13" s="4">
        <v>1.8513373999999999E-2</v>
      </c>
      <c r="H13">
        <v>1681.55</v>
      </c>
      <c r="I13" s="6">
        <v>6.8925554921889102E-4</v>
      </c>
    </row>
    <row r="14" spans="1:9" x14ac:dyDescent="0.25">
      <c r="A14">
        <v>1682.1793804900601</v>
      </c>
      <c r="B14">
        <v>4.0633788655297202E-2</v>
      </c>
      <c r="C14">
        <f t="shared" si="0"/>
        <v>7.2124974863152528E-3</v>
      </c>
      <c r="E14" s="1">
        <v>1682.6</v>
      </c>
      <c r="F14" s="4">
        <v>2.2551112000000002E-2</v>
      </c>
      <c r="H14">
        <v>1681.6</v>
      </c>
      <c r="I14" s="6">
        <v>7.2590323741042397E-4</v>
      </c>
    </row>
    <row r="15" spans="1:9" x14ac:dyDescent="0.25">
      <c r="A15">
        <v>1682.2478039759501</v>
      </c>
      <c r="B15">
        <v>4.9108307284658703E-2</v>
      </c>
      <c r="C15">
        <f t="shared" si="0"/>
        <v>8.7167245430269189E-3</v>
      </c>
      <c r="E15" s="1">
        <v>1682.65</v>
      </c>
      <c r="F15" s="4">
        <v>2.7459839E-2</v>
      </c>
      <c r="H15">
        <v>1681.65</v>
      </c>
      <c r="I15" s="6">
        <v>7.6626189671175299E-4</v>
      </c>
    </row>
    <row r="16" spans="1:9" x14ac:dyDescent="0.25">
      <c r="A16">
        <v>1682.3162274618501</v>
      </c>
      <c r="B16">
        <v>6.0118616349597399E-2</v>
      </c>
      <c r="C16">
        <f t="shared" si="0"/>
        <v>1.0671054402053537E-2</v>
      </c>
      <c r="E16" s="1">
        <v>1682.7</v>
      </c>
      <c r="F16" s="4">
        <v>3.3179183000000001E-2</v>
      </c>
      <c r="H16">
        <v>1681.7</v>
      </c>
      <c r="I16" s="6">
        <v>8.1164041822081299E-4</v>
      </c>
    </row>
    <row r="17" spans="1:9" x14ac:dyDescent="0.25">
      <c r="A17">
        <v>1682.3846509477501</v>
      </c>
      <c r="B17">
        <v>7.4228224835797496E-2</v>
      </c>
      <c r="C17">
        <f t="shared" si="0"/>
        <v>1.3175509908354055E-2</v>
      </c>
      <c r="E17" s="1">
        <v>1682.75</v>
      </c>
      <c r="F17" s="4">
        <v>3.9814572999999999E-2</v>
      </c>
      <c r="H17">
        <v>1681.75</v>
      </c>
      <c r="I17" s="6">
        <v>8.6210559817467196E-4</v>
      </c>
    </row>
    <row r="18" spans="1:9" x14ac:dyDescent="0.25">
      <c r="A18">
        <v>1682.45307443365</v>
      </c>
      <c r="B18">
        <v>9.2282396221784205E-2</v>
      </c>
      <c r="C18">
        <f t="shared" si="0"/>
        <v>1.6380125329366696E-2</v>
      </c>
      <c r="E18" s="1">
        <v>1682.8</v>
      </c>
      <c r="F18" s="4">
        <v>4.7403421000000001E-2</v>
      </c>
      <c r="H18">
        <v>1681.8</v>
      </c>
      <c r="I18" s="6">
        <v>9.1841091787617701E-4</v>
      </c>
    </row>
    <row r="19" spans="1:9" x14ac:dyDescent="0.25">
      <c r="A19">
        <v>1682.51579596239</v>
      </c>
      <c r="B19">
        <v>0.111799867316873</v>
      </c>
      <c r="C19">
        <f t="shared" si="0"/>
        <v>1.9844476448744958E-2</v>
      </c>
      <c r="E19" s="1">
        <v>1682.85</v>
      </c>
      <c r="F19" s="4">
        <v>5.5631558999999997E-2</v>
      </c>
      <c r="H19">
        <v>1681.85</v>
      </c>
      <c r="I19" s="6">
        <v>9.82375599448107E-4</v>
      </c>
    </row>
    <row r="20" spans="1:9" x14ac:dyDescent="0.25">
      <c r="A20">
        <v>1682.56711357682</v>
      </c>
      <c r="B20">
        <v>0.13049660307537</v>
      </c>
      <c r="C20">
        <f t="shared" si="0"/>
        <v>2.3163147045878175E-2</v>
      </c>
      <c r="E20" s="1">
        <v>1682.9</v>
      </c>
      <c r="F20" s="4">
        <v>6.4110473000000001E-2</v>
      </c>
      <c r="H20">
        <v>1681.9</v>
      </c>
      <c r="I20" s="6">
        <v>1.05625295540058E-3</v>
      </c>
    </row>
    <row r="21" spans="1:9" x14ac:dyDescent="0.25">
      <c r="A21">
        <v>1682.61272923408</v>
      </c>
      <c r="B21">
        <v>0.14952962057160199</v>
      </c>
      <c r="C21">
        <f t="shared" si="0"/>
        <v>2.6541507651459351E-2</v>
      </c>
      <c r="E21" s="1">
        <v>1682.95</v>
      </c>
      <c r="F21" s="4">
        <v>7.2848774000000005E-2</v>
      </c>
      <c r="H21">
        <v>1681.95</v>
      </c>
      <c r="I21" s="6">
        <v>1.14296184060807E-3</v>
      </c>
    </row>
    <row r="22" spans="1:9" x14ac:dyDescent="0.25">
      <c r="A22">
        <v>1682.65834489135</v>
      </c>
      <c r="B22">
        <v>0.17067579676414801</v>
      </c>
      <c r="C22">
        <f t="shared" si="0"/>
        <v>3.0294953925636272E-2</v>
      </c>
      <c r="E22" s="1">
        <v>1683</v>
      </c>
      <c r="F22" s="4">
        <v>8.2017295000000004E-2</v>
      </c>
      <c r="H22">
        <v>1682</v>
      </c>
      <c r="I22" s="6">
        <v>1.2466904743202601E-3</v>
      </c>
    </row>
    <row r="23" spans="1:9" x14ac:dyDescent="0.25">
      <c r="A23">
        <v>1682.69825859146</v>
      </c>
      <c r="B23">
        <v>0.19210190379586101</v>
      </c>
      <c r="C23">
        <f t="shared" si="0"/>
        <v>3.4098087923765327E-2</v>
      </c>
      <c r="E23" s="1">
        <v>1683.05</v>
      </c>
      <c r="F23" s="4">
        <v>9.1680355000000005E-2</v>
      </c>
      <c r="H23">
        <v>1682.05</v>
      </c>
      <c r="I23" s="6">
        <v>1.37316725711931E-3</v>
      </c>
    </row>
    <row r="24" spans="1:9" x14ac:dyDescent="0.25">
      <c r="A24">
        <v>1682.73247033441</v>
      </c>
      <c r="B24">
        <v>0.210708642245479</v>
      </c>
      <c r="C24">
        <f t="shared" si="0"/>
        <v>3.7400783998572523E-2</v>
      </c>
      <c r="E24" s="1">
        <v>1683.1</v>
      </c>
      <c r="F24" s="4">
        <v>0.10195029999999999</v>
      </c>
      <c r="H24">
        <v>1682.1</v>
      </c>
      <c r="I24" s="6">
        <v>1.5271416087962E-3</v>
      </c>
    </row>
    <row r="25" spans="1:9" x14ac:dyDescent="0.25">
      <c r="A25">
        <v>1682.76668207736</v>
      </c>
      <c r="B25">
        <v>0.23213292562351701</v>
      </c>
      <c r="C25">
        <f t="shared" si="0"/>
        <v>4.1203594298174266E-2</v>
      </c>
      <c r="E25" s="1">
        <v>1683.15</v>
      </c>
      <c r="F25" s="4">
        <v>0.1119132</v>
      </c>
      <c r="H25">
        <v>1682.15</v>
      </c>
      <c r="I25" s="6">
        <v>1.7152062632417599E-3</v>
      </c>
    </row>
    <row r="26" spans="1:9" x14ac:dyDescent="0.25">
      <c r="A26">
        <v>1682.80089382031</v>
      </c>
      <c r="B26">
        <v>0.25355720900155398</v>
      </c>
      <c r="C26">
        <f t="shared" si="0"/>
        <v>4.5006404597775829E-2</v>
      </c>
      <c r="E26" s="1">
        <v>1683.2</v>
      </c>
      <c r="F26" s="4">
        <v>0.12131079</v>
      </c>
      <c r="H26">
        <v>1682.2</v>
      </c>
      <c r="I26" s="6">
        <v>1.94689789809544E-3</v>
      </c>
    </row>
    <row r="27" spans="1:9" x14ac:dyDescent="0.25">
      <c r="A27">
        <v>1682.83510556326</v>
      </c>
      <c r="B27">
        <v>0.278362546293695</v>
      </c>
      <c r="C27">
        <f t="shared" si="0"/>
        <v>4.9409351967130859E-2</v>
      </c>
      <c r="E27" s="1">
        <v>1683.25</v>
      </c>
      <c r="F27" s="4">
        <v>0.13020799</v>
      </c>
      <c r="H27">
        <v>1682.25</v>
      </c>
      <c r="I27" s="6">
        <v>2.2336251920829298E-3</v>
      </c>
    </row>
    <row r="28" spans="1:9" x14ac:dyDescent="0.25">
      <c r="A28">
        <v>1682.86931730621</v>
      </c>
      <c r="B28">
        <v>0.30316788358583502</v>
      </c>
      <c r="C28">
        <f t="shared" si="0"/>
        <v>5.3812299336485715E-2</v>
      </c>
      <c r="E28" s="1">
        <v>1683.3</v>
      </c>
      <c r="F28" s="4">
        <v>0.13859434000000001</v>
      </c>
      <c r="H28">
        <v>1682.3</v>
      </c>
      <c r="I28" s="6">
        <v>2.5888278990825199E-3</v>
      </c>
    </row>
    <row r="29" spans="1:9" x14ac:dyDescent="0.25">
      <c r="A29">
        <v>1682.9035290491599</v>
      </c>
      <c r="B29">
        <v>0.32910023884934297</v>
      </c>
      <c r="C29">
        <f t="shared" si="0"/>
        <v>5.8415292395758378E-2</v>
      </c>
      <c r="E29" s="1">
        <v>1683.35</v>
      </c>
      <c r="F29" s="4">
        <v>0.14634345000000001</v>
      </c>
      <c r="H29">
        <v>1682.35</v>
      </c>
      <c r="I29" s="6">
        <v>3.02821109518344E-3</v>
      </c>
    </row>
    <row r="30" spans="1:9" x14ac:dyDescent="0.25">
      <c r="A30">
        <v>1682.9320388349499</v>
      </c>
      <c r="B30">
        <v>0.35080445306654701</v>
      </c>
      <c r="C30">
        <f t="shared" si="0"/>
        <v>6.2267790419312088E-2</v>
      </c>
      <c r="E30" s="1">
        <v>1683.4</v>
      </c>
      <c r="F30" s="4">
        <v>0.15329222000000001</v>
      </c>
      <c r="H30">
        <v>1682.4</v>
      </c>
      <c r="I30" s="6">
        <v>3.5697768471184602E-3</v>
      </c>
    </row>
    <row r="31" spans="1:9" x14ac:dyDescent="0.25">
      <c r="A31">
        <v>1682.9605486207399</v>
      </c>
      <c r="B31">
        <v>0.374199194240803</v>
      </c>
      <c r="C31">
        <f t="shared" si="0"/>
        <v>6.6420356977742526E-2</v>
      </c>
      <c r="E31" s="1">
        <v>1683.45</v>
      </c>
      <c r="F31" s="4">
        <v>0.15941312999999999</v>
      </c>
      <c r="H31">
        <v>1682.45</v>
      </c>
      <c r="I31" s="6">
        <v>4.2336417253289599E-3</v>
      </c>
    </row>
    <row r="32" spans="1:9" x14ac:dyDescent="0.25">
      <c r="A32">
        <v>1682.9890584065299</v>
      </c>
      <c r="B32">
        <v>0.399002707879268</v>
      </c>
      <c r="C32">
        <f t="shared" si="0"/>
        <v>7.0822980648570066E-2</v>
      </c>
      <c r="E32" s="1">
        <v>1683.5</v>
      </c>
      <c r="F32" s="4">
        <v>0.16428645</v>
      </c>
      <c r="H32">
        <v>1682.5</v>
      </c>
      <c r="I32" s="6">
        <v>5.0417868961885404E-3</v>
      </c>
    </row>
    <row r="33" spans="1:9" x14ac:dyDescent="0.25">
      <c r="A33">
        <v>1683.0118662351599</v>
      </c>
      <c r="B33">
        <v>0.41816930800721902</v>
      </c>
      <c r="C33">
        <f t="shared" si="0"/>
        <v>7.4225052171281378E-2</v>
      </c>
      <c r="E33" s="1">
        <v>1683.55</v>
      </c>
      <c r="F33" s="4">
        <v>0.16807900000000001</v>
      </c>
      <c r="H33">
        <v>1682.55</v>
      </c>
      <c r="I33" s="6">
        <v>6.0185577444321799E-3</v>
      </c>
    </row>
    <row r="34" spans="1:9" x14ac:dyDescent="0.25">
      <c r="A34">
        <v>1683.0346740637999</v>
      </c>
      <c r="B34">
        <v>0.43958994407790603</v>
      </c>
      <c r="C34">
        <f t="shared" ref="C34:C65" si="1">B34*0.1775</f>
        <v>7.8027215073828315E-2</v>
      </c>
      <c r="E34" s="1">
        <v>1683.6</v>
      </c>
      <c r="F34" s="4">
        <v>0.17151153</v>
      </c>
      <c r="H34">
        <v>1682.6</v>
      </c>
      <c r="I34" s="6">
        <v>7.18972903871284E-3</v>
      </c>
    </row>
    <row r="35" spans="1:9" x14ac:dyDescent="0.25">
      <c r="A35">
        <v>1683.0574818924299</v>
      </c>
      <c r="B35">
        <v>0.45988356217722498</v>
      </c>
      <c r="C35">
        <f t="shared" si="1"/>
        <v>8.1629332286457426E-2</v>
      </c>
      <c r="E35" s="1">
        <v>1683.65</v>
      </c>
      <c r="F35" s="4">
        <v>0.17441438000000001</v>
      </c>
      <c r="H35">
        <v>1682.65</v>
      </c>
      <c r="I35" s="6">
        <v>8.57843637832785E-3</v>
      </c>
    </row>
    <row r="36" spans="1:9" x14ac:dyDescent="0.25">
      <c r="A36">
        <v>1683.0802897210599</v>
      </c>
      <c r="B36">
        <v>0.48102244375506997</v>
      </c>
      <c r="C36">
        <f t="shared" si="1"/>
        <v>8.5381483766524921E-2</v>
      </c>
      <c r="E36" s="1">
        <v>1683.7</v>
      </c>
      <c r="F36" s="4">
        <v>0.17664406999999999</v>
      </c>
      <c r="H36">
        <v>1682.7</v>
      </c>
      <c r="I36" s="6">
        <v>1.02053394552331E-2</v>
      </c>
    </row>
    <row r="37" spans="1:9" x14ac:dyDescent="0.25">
      <c r="A37">
        <v>1683.1030975496899</v>
      </c>
      <c r="B37">
        <v>0.50216132533291502</v>
      </c>
      <c r="C37">
        <f t="shared" si="1"/>
        <v>8.9133635246592416E-2</v>
      </c>
      <c r="E37" s="1">
        <v>1683.75</v>
      </c>
      <c r="F37" s="4">
        <v>0.17803273</v>
      </c>
      <c r="H37">
        <v>1682.75</v>
      </c>
      <c r="I37" s="6">
        <v>1.20894125217474E-2</v>
      </c>
    </row>
    <row r="38" spans="1:9" x14ac:dyDescent="0.25">
      <c r="A38">
        <v>1683.1259053783299</v>
      </c>
      <c r="B38">
        <v>0.52330020691075996</v>
      </c>
      <c r="C38">
        <f t="shared" si="1"/>
        <v>9.2885786726659883E-2</v>
      </c>
      <c r="E38" s="1">
        <v>1683.8</v>
      </c>
      <c r="F38" s="4">
        <v>0.17852177</v>
      </c>
      <c r="H38">
        <v>1682.8</v>
      </c>
      <c r="I38" s="6">
        <v>1.42458242635765E-2</v>
      </c>
    </row>
    <row r="39" spans="1:9" x14ac:dyDescent="0.25">
      <c r="A39">
        <v>1683.1487132069601</v>
      </c>
      <c r="B39">
        <v>0.54443908848860501</v>
      </c>
      <c r="C39">
        <f t="shared" si="1"/>
        <v>9.6637938206727378E-2</v>
      </c>
      <c r="E39" s="1">
        <v>1683.85</v>
      </c>
      <c r="F39" s="4">
        <v>0.17841741</v>
      </c>
      <c r="H39">
        <v>1682.85</v>
      </c>
      <c r="I39" s="6">
        <v>1.6683718398283202E-2</v>
      </c>
    </row>
    <row r="40" spans="1:9" x14ac:dyDescent="0.25">
      <c r="A40">
        <v>1683.1715210355901</v>
      </c>
      <c r="B40">
        <v>0.56642323354497504</v>
      </c>
      <c r="C40">
        <f t="shared" si="1"/>
        <v>0.10054012395423306</v>
      </c>
      <c r="E40" s="1">
        <v>1683.9</v>
      </c>
      <c r="F40" s="4">
        <v>0.17827045999999999</v>
      </c>
      <c r="H40">
        <v>1682.9</v>
      </c>
      <c r="I40" s="6">
        <v>1.9403935639706601E-2</v>
      </c>
    </row>
    <row r="41" spans="1:9" x14ac:dyDescent="0.25">
      <c r="A41">
        <v>1683.1943288642301</v>
      </c>
      <c r="B41">
        <v>0.58756211512282097</v>
      </c>
      <c r="C41">
        <f t="shared" si="1"/>
        <v>0.10429227543430072</v>
      </c>
      <c r="E41" s="1">
        <v>1683.95</v>
      </c>
      <c r="F41" s="4">
        <v>0.17794119999999999</v>
      </c>
      <c r="H41">
        <v>1682.95</v>
      </c>
      <c r="I41" s="6">
        <v>2.2398823940408701E-2</v>
      </c>
    </row>
    <row r="42" spans="1:9" x14ac:dyDescent="0.25">
      <c r="A42">
        <v>1683.2171366928601</v>
      </c>
      <c r="B42">
        <v>0.61039152365771698</v>
      </c>
      <c r="C42">
        <f t="shared" si="1"/>
        <v>0.10834449544924477</v>
      </c>
      <c r="E42" s="1">
        <v>1684</v>
      </c>
      <c r="F42" s="4">
        <v>0.17751847000000001</v>
      </c>
      <c r="H42">
        <v>1683</v>
      </c>
      <c r="I42" s="6">
        <v>2.5651520453456901E-2</v>
      </c>
    </row>
    <row r="43" spans="1:9" x14ac:dyDescent="0.25">
      <c r="A43">
        <v>1683.2399445214901</v>
      </c>
      <c r="B43">
        <v>0.63237566871408801</v>
      </c>
      <c r="C43">
        <f t="shared" si="1"/>
        <v>0.11224668119675062</v>
      </c>
      <c r="E43" s="1">
        <v>1684.05</v>
      </c>
      <c r="F43" s="4">
        <v>0.17716961000000001</v>
      </c>
      <c r="H43">
        <v>1683.05</v>
      </c>
      <c r="I43" s="6">
        <v>2.9135408078239899E-2</v>
      </c>
    </row>
    <row r="44" spans="1:9" x14ac:dyDescent="0.25">
      <c r="A44">
        <v>1683.2627523501301</v>
      </c>
      <c r="B44">
        <v>0.65351455029193195</v>
      </c>
      <c r="C44">
        <f t="shared" si="1"/>
        <v>0.11599883267681792</v>
      </c>
      <c r="E44" s="1">
        <v>1684.1</v>
      </c>
      <c r="F44" s="4">
        <v>0.17672081000000001</v>
      </c>
      <c r="H44">
        <v>1683.1</v>
      </c>
      <c r="I44" s="6">
        <v>3.2813853723179499E-2</v>
      </c>
    </row>
    <row r="45" spans="1:9" x14ac:dyDescent="0.25">
      <c r="A45">
        <v>1683.2855601787601</v>
      </c>
      <c r="B45">
        <v>0.67549869534830298</v>
      </c>
      <c r="C45">
        <f t="shared" si="1"/>
        <v>0.11990101842432377</v>
      </c>
      <c r="E45" s="1">
        <v>1684.15</v>
      </c>
      <c r="F45" s="4">
        <v>0.17629126000000001</v>
      </c>
      <c r="H45">
        <v>1683.15</v>
      </c>
      <c r="I45" s="6">
        <v>3.6640335096916297E-2</v>
      </c>
    </row>
    <row r="46" spans="1:9" x14ac:dyDescent="0.25">
      <c r="A46">
        <v>1683.3083680073901</v>
      </c>
      <c r="B46">
        <v>0.69748284040467401</v>
      </c>
      <c r="C46">
        <f t="shared" si="1"/>
        <v>0.12380320417182963</v>
      </c>
      <c r="E46" s="1">
        <v>1684.2</v>
      </c>
      <c r="F46" s="4">
        <v>0.17587838</v>
      </c>
      <c r="H46">
        <v>1683.2</v>
      </c>
      <c r="I46" s="6">
        <v>4.0560033988983099E-2</v>
      </c>
    </row>
    <row r="47" spans="1:9" x14ac:dyDescent="0.25">
      <c r="A47">
        <v>1683.3311758360301</v>
      </c>
      <c r="B47">
        <v>0.716085931546941</v>
      </c>
      <c r="C47">
        <f t="shared" si="1"/>
        <v>0.12710525284958202</v>
      </c>
      <c r="E47" s="1">
        <v>1684.25</v>
      </c>
      <c r="F47" s="4">
        <v>0.17552669000000001</v>
      </c>
      <c r="H47">
        <v>1683.25</v>
      </c>
      <c r="I47" s="6">
        <v>4.4510866701976702E-2</v>
      </c>
    </row>
    <row r="48" spans="1:9" x14ac:dyDescent="0.25">
      <c r="A48">
        <v>1683.3539836646601</v>
      </c>
      <c r="B48">
        <v>0.73722481312478605</v>
      </c>
      <c r="C48">
        <f t="shared" si="1"/>
        <v>0.13085740432964951</v>
      </c>
      <c r="E48" s="1">
        <v>1684.3</v>
      </c>
      <c r="F48" s="4">
        <v>0.17519355</v>
      </c>
      <c r="H48">
        <v>1683.3</v>
      </c>
      <c r="I48" s="6">
        <v>4.8423759329372998E-2</v>
      </c>
    </row>
    <row r="49" spans="1:9" x14ac:dyDescent="0.25">
      <c r="A49">
        <v>1683.3767914932901</v>
      </c>
      <c r="B49">
        <v>0.75667316774557902</v>
      </c>
      <c r="C49">
        <f t="shared" si="1"/>
        <v>0.13430948727484027</v>
      </c>
      <c r="E49" s="1">
        <v>1684.35</v>
      </c>
      <c r="F49" s="4">
        <v>0.17493705000000001</v>
      </c>
      <c r="H49">
        <v>1683.35</v>
      </c>
      <c r="I49" s="6">
        <v>5.22294116113136E-2</v>
      </c>
    </row>
    <row r="50" spans="1:9" x14ac:dyDescent="0.25">
      <c r="A50">
        <v>1683.39959932192</v>
      </c>
      <c r="B50">
        <v>0.776121522366373</v>
      </c>
      <c r="C50">
        <f t="shared" si="1"/>
        <v>0.13776157022003119</v>
      </c>
      <c r="E50" s="1">
        <v>1684.4</v>
      </c>
      <c r="F50" s="4">
        <v>0.17473833</v>
      </c>
      <c r="H50">
        <v>1683.4</v>
      </c>
      <c r="I50" s="6">
        <v>5.5868402655866699E-2</v>
      </c>
    </row>
    <row r="51" spans="1:9" x14ac:dyDescent="0.25">
      <c r="A51">
        <v>1683.42810910772</v>
      </c>
      <c r="B51">
        <v>0.79979801803346995</v>
      </c>
      <c r="C51">
        <f t="shared" si="1"/>
        <v>0.14196414820094092</v>
      </c>
      <c r="E51" s="1">
        <v>1684.45</v>
      </c>
      <c r="F51" s="4">
        <v>0.17453416999999999</v>
      </c>
      <c r="H51">
        <v>1683.45</v>
      </c>
      <c r="I51" s="6">
        <v>5.92853054890412E-2</v>
      </c>
    </row>
    <row r="52" spans="1:9" x14ac:dyDescent="0.25">
      <c r="A52">
        <v>1683.46232085067</v>
      </c>
      <c r="B52">
        <v>0.82629388228266198</v>
      </c>
      <c r="C52">
        <f t="shared" si="1"/>
        <v>0.1466671641051725</v>
      </c>
      <c r="E52" s="1">
        <v>1684.5</v>
      </c>
      <c r="F52" s="4">
        <v>0.17441699999999999</v>
      </c>
      <c r="H52">
        <v>1683.5</v>
      </c>
      <c r="I52" s="6">
        <v>6.2433647031302698E-2</v>
      </c>
    </row>
    <row r="53" spans="1:9" x14ac:dyDescent="0.25">
      <c r="A53">
        <v>1683.49653259362</v>
      </c>
      <c r="B53">
        <v>0.85109921957480295</v>
      </c>
      <c r="C53">
        <f t="shared" si="1"/>
        <v>0.15107011147452751</v>
      </c>
      <c r="E53" s="1">
        <v>1684.55</v>
      </c>
      <c r="F53" s="4">
        <v>0.17426474</v>
      </c>
      <c r="H53">
        <v>1683.55</v>
      </c>
      <c r="I53" s="6">
        <v>6.5307450008981402E-2</v>
      </c>
    </row>
    <row r="54" spans="1:9" x14ac:dyDescent="0.25">
      <c r="A54">
        <v>1683.53074433656</v>
      </c>
      <c r="B54">
        <v>0.87703157483831096</v>
      </c>
      <c r="C54">
        <f t="shared" si="1"/>
        <v>0.15567310453380018</v>
      </c>
      <c r="E54" s="1">
        <v>1684.6</v>
      </c>
      <c r="F54" s="4">
        <v>0.17417803000000001</v>
      </c>
      <c r="H54">
        <v>1683.6</v>
      </c>
      <c r="I54" s="6">
        <v>6.79506937874121E-2</v>
      </c>
    </row>
    <row r="55" spans="1:9" x14ac:dyDescent="0.25">
      <c r="A55">
        <v>1683.56495607951</v>
      </c>
      <c r="B55">
        <v>0.89958287618771604</v>
      </c>
      <c r="C55">
        <f t="shared" si="1"/>
        <v>0.15967596052331959</v>
      </c>
      <c r="E55" s="1">
        <v>1684.65</v>
      </c>
      <c r="F55" s="4">
        <v>0.17418742000000001</v>
      </c>
      <c r="H55">
        <v>1683.65</v>
      </c>
      <c r="I55" s="6">
        <v>7.0391089436849102E-2</v>
      </c>
    </row>
    <row r="56" spans="1:9" x14ac:dyDescent="0.25">
      <c r="A56">
        <v>1683.60486977962</v>
      </c>
      <c r="B56">
        <v>0.92495354611921599</v>
      </c>
      <c r="C56">
        <f t="shared" si="1"/>
        <v>0.16417925443616083</v>
      </c>
      <c r="E56" s="1">
        <v>1684.7</v>
      </c>
      <c r="F56" s="4">
        <v>0.17412730000000001</v>
      </c>
      <c r="H56">
        <v>1683.7</v>
      </c>
      <c r="I56" s="6">
        <v>7.2623258985133499E-2</v>
      </c>
    </row>
    <row r="57" spans="1:9" x14ac:dyDescent="0.25">
      <c r="A57">
        <v>1683.65048543689</v>
      </c>
      <c r="B57">
        <v>0.950326039704391</v>
      </c>
      <c r="C57">
        <f t="shared" si="1"/>
        <v>0.16868287204752938</v>
      </c>
      <c r="E57" s="1">
        <v>1684.75</v>
      </c>
      <c r="F57" s="4">
        <v>0.17415041000000001</v>
      </c>
      <c r="H57">
        <v>1683.75</v>
      </c>
      <c r="I57" s="6">
        <v>7.46291302177476E-2</v>
      </c>
    </row>
    <row r="58" spans="1:9" x14ac:dyDescent="0.25">
      <c r="A58">
        <v>1683.69610109415</v>
      </c>
      <c r="B58">
        <v>0.97316274285398796</v>
      </c>
      <c r="C58">
        <f t="shared" si="1"/>
        <v>0.17273638685658285</v>
      </c>
      <c r="E58" s="1">
        <v>1684.8</v>
      </c>
      <c r="F58" s="4">
        <v>0.17410444999999999</v>
      </c>
      <c r="H58">
        <v>1683.8</v>
      </c>
      <c r="I58" s="6">
        <v>7.6404429357829304E-2</v>
      </c>
    </row>
    <row r="59" spans="1:9" x14ac:dyDescent="0.25">
      <c r="A59">
        <v>1683.74171675142</v>
      </c>
      <c r="B59">
        <v>0.99304102382874604</v>
      </c>
      <c r="C59">
        <f t="shared" si="1"/>
        <v>0.17626478172960242</v>
      </c>
      <c r="E59" s="1">
        <v>1684.85</v>
      </c>
      <c r="F59" s="4">
        <v>0.17410967999999999</v>
      </c>
      <c r="H59">
        <v>1683.85</v>
      </c>
      <c r="I59" s="6">
        <v>7.7986326670756598E-2</v>
      </c>
    </row>
    <row r="60" spans="1:9" x14ac:dyDescent="0.25">
      <c r="A60">
        <v>1683.798736323</v>
      </c>
      <c r="B60">
        <v>1.01292295211085</v>
      </c>
      <c r="C60">
        <f t="shared" si="1"/>
        <v>0.17979382399967586</v>
      </c>
      <c r="E60" s="1">
        <v>1684.9</v>
      </c>
      <c r="F60" s="4">
        <v>0.17416243000000001</v>
      </c>
      <c r="H60">
        <v>1683.9</v>
      </c>
      <c r="I60" s="6">
        <v>7.9375282276280407E-2</v>
      </c>
    </row>
    <row r="61" spans="1:9" x14ac:dyDescent="0.25">
      <c r="A61">
        <v>1683.8671598088999</v>
      </c>
      <c r="B61">
        <v>1.0321041414682</v>
      </c>
      <c r="C61">
        <f t="shared" si="1"/>
        <v>0.18319848511060549</v>
      </c>
      <c r="E61" s="1">
        <v>1684.95</v>
      </c>
      <c r="F61" s="4">
        <v>0.17417161</v>
      </c>
      <c r="H61">
        <v>1683.95</v>
      </c>
      <c r="I61" s="6">
        <v>8.0486985957197194E-2</v>
      </c>
    </row>
    <row r="62" spans="1:9" x14ac:dyDescent="0.25">
      <c r="A62">
        <v>1683.9355832947999</v>
      </c>
      <c r="B62">
        <v>1.04593199546156</v>
      </c>
      <c r="C62">
        <f t="shared" si="1"/>
        <v>0.18565292919442689</v>
      </c>
      <c r="E62" s="1">
        <v>1685</v>
      </c>
      <c r="F62" s="4">
        <v>0.17417605</v>
      </c>
      <c r="H62">
        <v>1684</v>
      </c>
      <c r="I62" s="6">
        <v>8.12647689611702E-2</v>
      </c>
    </row>
    <row r="63" spans="1:9" x14ac:dyDescent="0.25">
      <c r="A63">
        <v>1684.0040067806999</v>
      </c>
      <c r="B63">
        <v>1.0552517775694501</v>
      </c>
      <c r="C63">
        <f t="shared" si="1"/>
        <v>0.18730719051857739</v>
      </c>
      <c r="E63" s="1">
        <v>1685.05</v>
      </c>
      <c r="F63" s="4">
        <v>0.1742108</v>
      </c>
      <c r="H63">
        <v>1684.05</v>
      </c>
      <c r="I63" s="6">
        <v>8.1805221676110304E-2</v>
      </c>
    </row>
    <row r="64" spans="1:9" x14ac:dyDescent="0.25">
      <c r="A64">
        <v>1684.0724302665999</v>
      </c>
      <c r="B64">
        <v>1.0603452422847099</v>
      </c>
      <c r="C64">
        <f t="shared" si="1"/>
        <v>0.18821128050553601</v>
      </c>
      <c r="E64" s="1">
        <v>1685.1</v>
      </c>
      <c r="F64" s="4">
        <v>0.1742484</v>
      </c>
      <c r="H64">
        <v>1684.1</v>
      </c>
      <c r="I64" s="6">
        <v>8.2402741617606898E-2</v>
      </c>
    </row>
    <row r="65" spans="1:9" x14ac:dyDescent="0.25">
      <c r="A65">
        <v>1684.1408537525001</v>
      </c>
      <c r="B65">
        <v>1.0620576530858601</v>
      </c>
      <c r="C65">
        <f t="shared" si="1"/>
        <v>0.18851523342274015</v>
      </c>
      <c r="E65" s="1">
        <v>1685.15</v>
      </c>
      <c r="F65" s="4">
        <v>0.17428927</v>
      </c>
      <c r="H65">
        <v>1684.15</v>
      </c>
      <c r="I65" s="6">
        <v>8.3347104539093997E-2</v>
      </c>
    </row>
    <row r="66" spans="1:9" x14ac:dyDescent="0.25">
      <c r="A66">
        <v>1684.2092772384001</v>
      </c>
      <c r="B66">
        <v>1.06207953692997</v>
      </c>
      <c r="C66">
        <f t="shared" ref="C66:C97" si="2">B66*0.1775</f>
        <v>0.18851911780506966</v>
      </c>
      <c r="E66" s="1">
        <v>1685.2</v>
      </c>
      <c r="F66" s="4">
        <v>0.17431190999999999</v>
      </c>
      <c r="H66">
        <v>1684.2</v>
      </c>
      <c r="I66" s="6">
        <v>8.4656363881362898E-2</v>
      </c>
    </row>
    <row r="67" spans="1:9" x14ac:dyDescent="0.25">
      <c r="A67">
        <v>1684.2777007243001</v>
      </c>
      <c r="B67">
        <v>1.0598473848313399</v>
      </c>
      <c r="C67">
        <f t="shared" si="2"/>
        <v>0.18812291080756283</v>
      </c>
      <c r="E67" s="1">
        <v>1685.25</v>
      </c>
      <c r="F67" s="4">
        <v>0.17434031</v>
      </c>
      <c r="H67">
        <v>1684.25</v>
      </c>
      <c r="I67" s="6">
        <v>8.6452022868604705E-2</v>
      </c>
    </row>
    <row r="68" spans="1:9" x14ac:dyDescent="0.25">
      <c r="A68">
        <v>1684.3461242102001</v>
      </c>
      <c r="B68">
        <v>1.0570517237470201</v>
      </c>
      <c r="C68">
        <f t="shared" si="2"/>
        <v>0.18762668096509605</v>
      </c>
      <c r="E68" s="1">
        <v>1685.3</v>
      </c>
      <c r="F68" s="4">
        <v>0.17438139</v>
      </c>
      <c r="H68">
        <v>1684.3</v>
      </c>
      <c r="I68" s="6">
        <v>8.9202475305687007E-2</v>
      </c>
    </row>
    <row r="69" spans="1:9" x14ac:dyDescent="0.25">
      <c r="A69">
        <v>1684.4145476961</v>
      </c>
      <c r="B69">
        <v>1.0531290446913399</v>
      </c>
      <c r="C69">
        <f t="shared" si="2"/>
        <v>0.18693040543271283</v>
      </c>
      <c r="E69" s="1">
        <v>1685.35</v>
      </c>
      <c r="F69" s="4">
        <v>0.17442439000000001</v>
      </c>
      <c r="H69">
        <v>1684.35</v>
      </c>
      <c r="I69" s="6">
        <v>9.2478814308673996E-2</v>
      </c>
    </row>
    <row r="70" spans="1:9" x14ac:dyDescent="0.25">
      <c r="A70">
        <v>1684.482971182</v>
      </c>
      <c r="B70">
        <v>1.0486428566499699</v>
      </c>
      <c r="C70">
        <f t="shared" si="2"/>
        <v>0.18613410705536965</v>
      </c>
      <c r="E70" s="1">
        <v>1685.4</v>
      </c>
      <c r="F70" s="4">
        <v>0.17444836999999999</v>
      </c>
      <c r="H70">
        <v>1684.4</v>
      </c>
      <c r="I70" s="6">
        <v>9.4917820382420595E-2</v>
      </c>
    </row>
    <row r="71" spans="1:9" x14ac:dyDescent="0.25">
      <c r="A71">
        <v>1684.55139466789</v>
      </c>
      <c r="B71">
        <v>1.0438749141157699</v>
      </c>
      <c r="C71">
        <f t="shared" si="2"/>
        <v>0.18528779725554914</v>
      </c>
      <c r="E71" s="1">
        <v>1685.45</v>
      </c>
      <c r="F71" s="4">
        <v>0.17449586</v>
      </c>
      <c r="H71">
        <v>1684.45</v>
      </c>
      <c r="I71" s="6">
        <v>9.6855670973731406E-2</v>
      </c>
    </row>
    <row r="72" spans="1:9" x14ac:dyDescent="0.25">
      <c r="A72">
        <v>1684.61981815379</v>
      </c>
      <c r="B72">
        <v>1.0396704805672401</v>
      </c>
      <c r="C72">
        <f t="shared" si="2"/>
        <v>0.18454151030068511</v>
      </c>
      <c r="E72" s="1">
        <v>1685.5</v>
      </c>
      <c r="F72" s="4">
        <v>0.17452546999999999</v>
      </c>
      <c r="H72">
        <v>1684.5</v>
      </c>
      <c r="I72" s="6">
        <v>9.9317199260597802E-2</v>
      </c>
    </row>
    <row r="73" spans="1:9" x14ac:dyDescent="0.25">
      <c r="A73">
        <v>1684.68824163969</v>
      </c>
      <c r="B73">
        <v>1.03546604701872</v>
      </c>
      <c r="C73">
        <f t="shared" si="2"/>
        <v>0.18379522334582279</v>
      </c>
      <c r="E73" s="1">
        <v>1685.55</v>
      </c>
      <c r="F73" s="4">
        <v>0.17454185999999999</v>
      </c>
      <c r="H73">
        <v>1684.55</v>
      </c>
      <c r="I73" s="6">
        <v>0.10256505902839801</v>
      </c>
    </row>
    <row r="74" spans="1:9" x14ac:dyDescent="0.25">
      <c r="A74">
        <v>1684.75666512559</v>
      </c>
      <c r="B74">
        <v>1.03126161347019</v>
      </c>
      <c r="C74">
        <f t="shared" si="2"/>
        <v>0.18304893639095871</v>
      </c>
      <c r="E74" s="1">
        <v>1685.6</v>
      </c>
      <c r="F74" s="4">
        <v>0.17458604</v>
      </c>
      <c r="H74">
        <v>1684.6</v>
      </c>
      <c r="I74" s="6">
        <v>0.106096334980992</v>
      </c>
    </row>
    <row r="75" spans="1:9" x14ac:dyDescent="0.25">
      <c r="A75">
        <v>1684.8250886114899</v>
      </c>
      <c r="B75">
        <v>1.02762068890735</v>
      </c>
      <c r="C75">
        <f t="shared" si="2"/>
        <v>0.18240267228105461</v>
      </c>
      <c r="E75" s="1">
        <v>1685.65</v>
      </c>
      <c r="F75" s="4">
        <v>0.17460084000000001</v>
      </c>
      <c r="H75">
        <v>1684.65</v>
      </c>
      <c r="I75" s="6">
        <v>0.108994574376419</v>
      </c>
    </row>
    <row r="76" spans="1:9" x14ac:dyDescent="0.25">
      <c r="A76">
        <v>1684.8935120973899</v>
      </c>
      <c r="B76">
        <v>1.0242615188373501</v>
      </c>
      <c r="C76">
        <f t="shared" si="2"/>
        <v>0.18180641959362961</v>
      </c>
      <c r="E76" s="1">
        <v>1685.7</v>
      </c>
      <c r="F76" s="4">
        <v>0.17462697999999999</v>
      </c>
      <c r="H76">
        <v>1684.7</v>
      </c>
      <c r="I76" s="6">
        <v>0.110615215748594</v>
      </c>
    </row>
    <row r="77" spans="1:9" x14ac:dyDescent="0.25">
      <c r="A77">
        <v>1684.9619355832899</v>
      </c>
      <c r="B77">
        <v>1.0211841032602</v>
      </c>
      <c r="C77">
        <f t="shared" si="2"/>
        <v>0.18126017832868549</v>
      </c>
      <c r="E77" s="1">
        <v>1685.75</v>
      </c>
      <c r="F77" s="4">
        <v>0.17464880999999999</v>
      </c>
      <c r="H77">
        <v>1684.75</v>
      </c>
      <c r="I77" s="6">
        <v>0.11130014905684001</v>
      </c>
    </row>
    <row r="78" spans="1:9" x14ac:dyDescent="0.25">
      <c r="A78">
        <v>1685.0303590691899</v>
      </c>
      <c r="B78">
        <v>1.01838844217588</v>
      </c>
      <c r="C78">
        <f t="shared" si="2"/>
        <v>0.18076394848621868</v>
      </c>
      <c r="E78" s="1">
        <v>1685.8</v>
      </c>
      <c r="F78" s="4">
        <v>0.17467329000000001</v>
      </c>
      <c r="H78">
        <v>1684.8</v>
      </c>
      <c r="I78" s="6">
        <v>0.111902566925314</v>
      </c>
    </row>
    <row r="79" spans="1:9" x14ac:dyDescent="0.25">
      <c r="A79">
        <v>1685.0987825550901</v>
      </c>
      <c r="B79">
        <v>1.0155927810915699</v>
      </c>
      <c r="C79">
        <f t="shared" si="2"/>
        <v>0.18026771864375365</v>
      </c>
      <c r="E79" s="1">
        <v>1685.85</v>
      </c>
      <c r="F79" s="4">
        <v>0.17470911</v>
      </c>
      <c r="H79">
        <v>1684.85</v>
      </c>
      <c r="I79" s="6">
        <v>0.112927229712301</v>
      </c>
    </row>
    <row r="80" spans="1:9" x14ac:dyDescent="0.25">
      <c r="A80">
        <v>1685.1672060409901</v>
      </c>
      <c r="B80">
        <v>1.0139241379786199</v>
      </c>
      <c r="C80">
        <f t="shared" si="2"/>
        <v>0.17997153449120504</v>
      </c>
      <c r="E80" s="1">
        <v>1685.9</v>
      </c>
      <c r="F80" s="4">
        <v>0.17472373999999999</v>
      </c>
      <c r="H80">
        <v>1684.9</v>
      </c>
      <c r="I80" s="6">
        <v>0.114546797468665</v>
      </c>
    </row>
    <row r="81" spans="1:9" x14ac:dyDescent="0.25">
      <c r="A81">
        <v>1685.2356295268901</v>
      </c>
      <c r="B81">
        <v>1.01169198587999</v>
      </c>
      <c r="C81">
        <f t="shared" si="2"/>
        <v>0.1795753274936982</v>
      </c>
      <c r="E81" s="1">
        <v>1685.95</v>
      </c>
      <c r="F81" s="4">
        <v>0.17474824</v>
      </c>
      <c r="H81">
        <v>1684.95</v>
      </c>
      <c r="I81" s="6">
        <v>0.116707211869399</v>
      </c>
    </row>
    <row r="82" spans="1:9" x14ac:dyDescent="0.25">
      <c r="A82">
        <v>1685.3040530127901</v>
      </c>
      <c r="B82">
        <v>1.0097415882742</v>
      </c>
      <c r="C82">
        <f t="shared" si="2"/>
        <v>0.17922913191867049</v>
      </c>
      <c r="E82" s="1">
        <v>1686</v>
      </c>
      <c r="F82" s="4">
        <v>0.17475961000000001</v>
      </c>
      <c r="H82">
        <v>1685</v>
      </c>
      <c r="I82" s="6">
        <v>0.11916302112659</v>
      </c>
    </row>
    <row r="83" spans="1:9" x14ac:dyDescent="0.25">
      <c r="A83">
        <v>1685.37247649869</v>
      </c>
      <c r="B83">
        <v>1.00835469965409</v>
      </c>
      <c r="C83">
        <f t="shared" si="2"/>
        <v>0.17898295918860097</v>
      </c>
      <c r="E83" s="1">
        <v>1686.05</v>
      </c>
      <c r="F83" s="4">
        <v>0.17476837000000001</v>
      </c>
      <c r="H83">
        <v>1685.05</v>
      </c>
      <c r="I83" s="6">
        <v>0.12152858081347299</v>
      </c>
    </row>
    <row r="84" spans="1:9" x14ac:dyDescent="0.25">
      <c r="A84">
        <v>1685.44089998458</v>
      </c>
      <c r="B84">
        <v>1.0072495655268301</v>
      </c>
      <c r="C84">
        <f t="shared" si="2"/>
        <v>0.17878679788101234</v>
      </c>
      <c r="E84" s="1">
        <v>1686.1</v>
      </c>
      <c r="F84" s="4">
        <v>0.17479033999999999</v>
      </c>
      <c r="H84">
        <v>1685.1</v>
      </c>
      <c r="I84" s="6">
        <v>0.123394966068513</v>
      </c>
    </row>
    <row r="85" spans="1:9" x14ac:dyDescent="0.25">
      <c r="A85">
        <v>1685.50932347048</v>
      </c>
      <c r="B85">
        <v>1.0050174134281999</v>
      </c>
      <c r="C85">
        <f t="shared" si="2"/>
        <v>0.17839059088350548</v>
      </c>
      <c r="E85" s="1">
        <v>1686.15</v>
      </c>
      <c r="F85" s="4">
        <v>0.17480856</v>
      </c>
      <c r="H85">
        <v>1685.15</v>
      </c>
      <c r="I85" s="6">
        <v>0.12452257962673299</v>
      </c>
    </row>
    <row r="86" spans="1:9" x14ac:dyDescent="0.25">
      <c r="A86">
        <v>1685.57774695638</v>
      </c>
      <c r="B86">
        <v>1.0050392972722999</v>
      </c>
      <c r="C86">
        <f t="shared" si="2"/>
        <v>0.17839447526583321</v>
      </c>
      <c r="E86" s="1">
        <v>1686.2</v>
      </c>
      <c r="F86" s="4">
        <v>0.17481828999999999</v>
      </c>
      <c r="H86">
        <v>1685.2</v>
      </c>
      <c r="I86" s="6">
        <v>0.125069717455848</v>
      </c>
    </row>
    <row r="87" spans="1:9" x14ac:dyDescent="0.25">
      <c r="A87">
        <v>1685.64617044228</v>
      </c>
      <c r="B87">
        <v>1.00421591763788</v>
      </c>
      <c r="C87">
        <f t="shared" si="2"/>
        <v>0.17824832538072369</v>
      </c>
      <c r="E87" s="1">
        <v>1686.25</v>
      </c>
      <c r="F87" s="4">
        <v>0.17481959999999999</v>
      </c>
      <c r="H87">
        <v>1685.25</v>
      </c>
      <c r="I87" s="6">
        <v>0.12553038338351899</v>
      </c>
    </row>
    <row r="88" spans="1:9" x14ac:dyDescent="0.25">
      <c r="A88">
        <v>1685.71459392818</v>
      </c>
      <c r="B88">
        <v>1.0017020110464101</v>
      </c>
      <c r="C88">
        <f t="shared" si="2"/>
        <v>0.17780210696073778</v>
      </c>
      <c r="E88" s="1">
        <v>1686.3</v>
      </c>
      <c r="F88" s="4">
        <v>0.17482734</v>
      </c>
      <c r="H88">
        <v>1685.3</v>
      </c>
      <c r="I88" s="6">
        <v>0.12623960683500299</v>
      </c>
    </row>
    <row r="89" spans="1:9" x14ac:dyDescent="0.25">
      <c r="A89">
        <v>1685.7830174140799</v>
      </c>
      <c r="B89">
        <v>1.0017238948905101</v>
      </c>
      <c r="C89">
        <f t="shared" si="2"/>
        <v>0.17780599134306552</v>
      </c>
      <c r="E89" s="1">
        <v>1686.35</v>
      </c>
      <c r="F89" s="4">
        <v>0.17483322000000001</v>
      </c>
      <c r="H89">
        <v>1685.35</v>
      </c>
      <c r="I89" s="6">
        <v>0.12730470662820101</v>
      </c>
    </row>
    <row r="90" spans="1:9" x14ac:dyDescent="0.25">
      <c r="A90">
        <v>1685.8514408999799</v>
      </c>
      <c r="B90">
        <v>1.00174577873462</v>
      </c>
      <c r="C90">
        <f t="shared" si="2"/>
        <v>0.17780987572539506</v>
      </c>
      <c r="E90" s="1">
        <v>1686.4</v>
      </c>
      <c r="F90" s="4">
        <v>0.17484568</v>
      </c>
      <c r="H90">
        <v>1685.4</v>
      </c>
      <c r="I90" s="6">
        <v>0.128701817562445</v>
      </c>
    </row>
    <row r="91" spans="1:9" x14ac:dyDescent="0.25">
      <c r="A91">
        <v>1685.9198643858799</v>
      </c>
      <c r="B91">
        <v>1.00176766257872</v>
      </c>
      <c r="C91">
        <f t="shared" si="2"/>
        <v>0.17781376010772279</v>
      </c>
      <c r="E91" s="1">
        <v>1686.45</v>
      </c>
      <c r="F91" s="4">
        <v>0.17484417999999999</v>
      </c>
      <c r="H91">
        <v>1685.45</v>
      </c>
      <c r="I91" s="6">
        <v>0.12960489648446999</v>
      </c>
    </row>
    <row r="92" spans="1:9" x14ac:dyDescent="0.25">
      <c r="A92">
        <v>1685.9882878717799</v>
      </c>
      <c r="B92">
        <v>1.0023530554085101</v>
      </c>
      <c r="C92">
        <f t="shared" si="2"/>
        <v>0.17791766733501052</v>
      </c>
      <c r="E92" s="1">
        <v>1686.5</v>
      </c>
      <c r="F92" s="4">
        <v>0.17484197000000001</v>
      </c>
      <c r="H92">
        <v>1685.5</v>
      </c>
      <c r="I92" s="6">
        <v>0.13111390491025901</v>
      </c>
    </row>
    <row r="93" spans="1:9" x14ac:dyDescent="0.25">
      <c r="A93">
        <v>1686.0567113576799</v>
      </c>
      <c r="B93">
        <v>1.00124792128125</v>
      </c>
      <c r="C93">
        <f t="shared" si="2"/>
        <v>0.17772150602742184</v>
      </c>
      <c r="E93" s="1">
        <v>1686.55</v>
      </c>
      <c r="F93" s="4">
        <v>0.17484533999999999</v>
      </c>
      <c r="H93">
        <v>1685.55</v>
      </c>
      <c r="I93" s="6">
        <v>0.132499876253731</v>
      </c>
    </row>
    <row r="94" spans="1:9" x14ac:dyDescent="0.25">
      <c r="A94">
        <v>1686.1251348435801</v>
      </c>
      <c r="B94">
        <v>0.998452260196935</v>
      </c>
      <c r="C94">
        <f t="shared" si="2"/>
        <v>0.17722527618495595</v>
      </c>
      <c r="E94" s="1">
        <v>1686.6</v>
      </c>
      <c r="F94" s="4">
        <v>0.17483908000000001</v>
      </c>
      <c r="H94">
        <v>1685.6</v>
      </c>
      <c r="I94" s="6">
        <v>0.13364259657313499</v>
      </c>
    </row>
    <row r="95" spans="1:9" x14ac:dyDescent="0.25">
      <c r="A95">
        <v>1686.1935583294801</v>
      </c>
      <c r="B95">
        <v>0.99847414404103896</v>
      </c>
      <c r="C95">
        <f t="shared" si="2"/>
        <v>0.17722916056728441</v>
      </c>
      <c r="E95" s="1">
        <v>1686.65</v>
      </c>
      <c r="F95" s="4">
        <v>0.17484875</v>
      </c>
      <c r="H95">
        <v>1685.65</v>
      </c>
      <c r="I95" s="6">
        <v>0.13455200905623599</v>
      </c>
    </row>
    <row r="96" spans="1:9" x14ac:dyDescent="0.25">
      <c r="A96">
        <v>1686.2619818153701</v>
      </c>
      <c r="B96">
        <v>0.99849602788514302</v>
      </c>
      <c r="C96">
        <f t="shared" si="2"/>
        <v>0.17723304494961287</v>
      </c>
      <c r="E96" s="1">
        <v>1686.7</v>
      </c>
      <c r="F96" s="4">
        <v>0.17484986999999999</v>
      </c>
      <c r="H96">
        <v>1685.7</v>
      </c>
      <c r="I96" s="6">
        <v>0.13541300167102999</v>
      </c>
    </row>
    <row r="97" spans="1:9" x14ac:dyDescent="0.25">
      <c r="A97">
        <v>1686.33040530127</v>
      </c>
      <c r="B97">
        <v>0.99851791172924698</v>
      </c>
      <c r="C97">
        <f t="shared" si="2"/>
        <v>0.17723692933194132</v>
      </c>
      <c r="E97" s="1">
        <v>1686.75</v>
      </c>
      <c r="F97" s="4">
        <v>0.17483040999999999</v>
      </c>
      <c r="H97">
        <v>1685.75</v>
      </c>
      <c r="I97" s="6">
        <v>0.13638396838504899</v>
      </c>
    </row>
    <row r="98" spans="1:9" x14ac:dyDescent="0.25">
      <c r="A98">
        <v>1686.39882878717</v>
      </c>
      <c r="B98">
        <v>0.99853979557335204</v>
      </c>
      <c r="C98">
        <f t="shared" ref="C98:C129" si="3">B98*0.1775</f>
        <v>0.17724081371426997</v>
      </c>
      <c r="E98" s="1">
        <v>1686.8</v>
      </c>
      <c r="F98" s="4">
        <v>0.17483209</v>
      </c>
      <c r="H98">
        <v>1685.8</v>
      </c>
      <c r="I98" s="6">
        <v>0.13748539021223</v>
      </c>
    </row>
    <row r="99" spans="1:9" x14ac:dyDescent="0.25">
      <c r="A99">
        <v>1686.46725227307</v>
      </c>
      <c r="B99">
        <v>0.99856167941745599</v>
      </c>
      <c r="C99">
        <f t="shared" si="3"/>
        <v>0.17724469809659843</v>
      </c>
      <c r="E99" s="1">
        <v>1686.85</v>
      </c>
      <c r="F99" s="4">
        <v>0.17482545999999999</v>
      </c>
      <c r="H99">
        <v>1685.85</v>
      </c>
      <c r="I99" s="6">
        <v>0.14056154669019699</v>
      </c>
    </row>
    <row r="100" spans="1:9" x14ac:dyDescent="0.25">
      <c r="A100">
        <v>1686.53567575897</v>
      </c>
      <c r="B100">
        <v>0.99858356326155995</v>
      </c>
      <c r="C100">
        <f t="shared" si="3"/>
        <v>0.17724858247892689</v>
      </c>
      <c r="E100" s="1">
        <v>1686.9</v>
      </c>
      <c r="F100" s="4">
        <v>0.17482165</v>
      </c>
      <c r="H100">
        <v>1685.9</v>
      </c>
      <c r="I100" s="6">
        <v>0.14177601600166301</v>
      </c>
    </row>
    <row r="101" spans="1:9" x14ac:dyDescent="0.25">
      <c r="A101">
        <v>1686.60409924487</v>
      </c>
      <c r="B101">
        <v>0.99860544710566401</v>
      </c>
      <c r="C101">
        <f t="shared" si="3"/>
        <v>0.17725246686125534</v>
      </c>
      <c r="E101" s="1">
        <v>1686.95</v>
      </c>
      <c r="F101" s="4">
        <v>0.17481352</v>
      </c>
      <c r="H101">
        <v>1685.95</v>
      </c>
      <c r="I101" s="6">
        <v>0.142950378132217</v>
      </c>
    </row>
    <row r="102" spans="1:9" x14ac:dyDescent="0.25">
      <c r="A102">
        <v>1686.67252273077</v>
      </c>
      <c r="B102">
        <v>0.99947259442829395</v>
      </c>
      <c r="C102">
        <f t="shared" si="3"/>
        <v>0.17740638551102217</v>
      </c>
      <c r="E102" s="1">
        <v>1687</v>
      </c>
      <c r="F102" s="4">
        <v>0.17481147999999999</v>
      </c>
      <c r="H102">
        <v>1686</v>
      </c>
      <c r="I102" s="6">
        <v>0.144082498113179</v>
      </c>
    </row>
    <row r="103" spans="1:9" x14ac:dyDescent="0.25">
      <c r="A103">
        <v>1686.74094621667</v>
      </c>
      <c r="B103">
        <v>1.0020302687079701</v>
      </c>
      <c r="C103">
        <f t="shared" si="3"/>
        <v>0.17786037269566468</v>
      </c>
      <c r="E103" s="1">
        <v>1687.05</v>
      </c>
      <c r="F103" s="4">
        <v>0.17480551999999999</v>
      </c>
      <c r="H103">
        <v>1686.05</v>
      </c>
      <c r="I103" s="6">
        <v>0.14517159463477899</v>
      </c>
    </row>
    <row r="104" spans="1:9" x14ac:dyDescent="0.25">
      <c r="A104">
        <v>1686.8093697025699</v>
      </c>
      <c r="B104">
        <v>1.00205215255208</v>
      </c>
      <c r="C104">
        <f t="shared" si="3"/>
        <v>0.17786425707799419</v>
      </c>
      <c r="E104" s="1">
        <v>1687.1</v>
      </c>
      <c r="F104" s="4">
        <v>0.17480560000000001</v>
      </c>
      <c r="H104">
        <v>1686.1</v>
      </c>
      <c r="I104" s="6">
        <v>0.14621855763441299</v>
      </c>
    </row>
    <row r="105" spans="1:9" x14ac:dyDescent="0.25">
      <c r="A105">
        <v>1686.8777931884699</v>
      </c>
      <c r="B105">
        <v>1.00207403639618</v>
      </c>
      <c r="C105">
        <f t="shared" si="3"/>
        <v>0.17786814146032193</v>
      </c>
      <c r="E105" s="1">
        <v>1687.15</v>
      </c>
      <c r="F105" s="4">
        <v>0.17479285999999999</v>
      </c>
      <c r="H105">
        <v>1686.15</v>
      </c>
      <c r="I105" s="6">
        <v>0.14722454590908701</v>
      </c>
    </row>
    <row r="106" spans="1:9" x14ac:dyDescent="0.25">
      <c r="A106">
        <v>1686.9462166743699</v>
      </c>
      <c r="B106">
        <v>1.0020959202402799</v>
      </c>
      <c r="C106">
        <f t="shared" si="3"/>
        <v>0.17787202584264969</v>
      </c>
      <c r="E106" s="1">
        <v>1687.2</v>
      </c>
      <c r="F106" s="4">
        <v>0.1747988</v>
      </c>
      <c r="H106">
        <v>1686.2</v>
      </c>
      <c r="I106" s="6">
        <v>0.148190696123216</v>
      </c>
    </row>
    <row r="107" spans="1:9" x14ac:dyDescent="0.25">
      <c r="A107">
        <v>1687.0146401602699</v>
      </c>
      <c r="B107">
        <v>1.00268131307007</v>
      </c>
      <c r="C107">
        <f t="shared" si="3"/>
        <v>0.17797593306993742</v>
      </c>
      <c r="E107" s="1">
        <v>1687.25</v>
      </c>
      <c r="F107" s="4">
        <v>0.17478668999999999</v>
      </c>
      <c r="H107">
        <v>1686.25</v>
      </c>
      <c r="I107" s="6">
        <v>0.149118420818036</v>
      </c>
    </row>
    <row r="108" spans="1:9" x14ac:dyDescent="0.25">
      <c r="A108">
        <v>1687.0830636461701</v>
      </c>
      <c r="B108">
        <v>1.0021396879284901</v>
      </c>
      <c r="C108">
        <f t="shared" si="3"/>
        <v>0.17787979460730699</v>
      </c>
      <c r="E108" s="1">
        <v>1687.3</v>
      </c>
      <c r="F108" s="4">
        <v>0.17477672</v>
      </c>
      <c r="H108">
        <v>1686.3</v>
      </c>
      <c r="I108" s="6">
        <v>0.15272762894296099</v>
      </c>
    </row>
    <row r="109" spans="1:9" x14ac:dyDescent="0.25">
      <c r="A109">
        <v>1687.1514871320601</v>
      </c>
      <c r="B109">
        <v>1.0021615717726</v>
      </c>
      <c r="C109">
        <f t="shared" si="3"/>
        <v>0.1778836789896365</v>
      </c>
      <c r="E109" s="1">
        <v>1687.35</v>
      </c>
      <c r="F109" s="4">
        <v>0.17477012</v>
      </c>
      <c r="H109">
        <v>1686.35</v>
      </c>
      <c r="I109" s="6">
        <v>0.153060049365847</v>
      </c>
    </row>
    <row r="110" spans="1:9" x14ac:dyDescent="0.25">
      <c r="A110">
        <v>1687.2199106179601</v>
      </c>
      <c r="B110">
        <v>1.0021834556167</v>
      </c>
      <c r="C110">
        <f t="shared" si="3"/>
        <v>0.17788756337196424</v>
      </c>
      <c r="E110" s="1">
        <v>1687.4</v>
      </c>
      <c r="F110" s="4">
        <v>0.17476311</v>
      </c>
      <c r="H110">
        <v>1686.4</v>
      </c>
      <c r="I110" s="6">
        <v>0.15369395779698899</v>
      </c>
    </row>
    <row r="111" spans="1:9" x14ac:dyDescent="0.25">
      <c r="A111">
        <v>1687.2883341038601</v>
      </c>
      <c r="B111">
        <v>1.0022053394608099</v>
      </c>
      <c r="C111">
        <f t="shared" si="3"/>
        <v>0.17789144775429375</v>
      </c>
      <c r="E111" s="1">
        <v>1687.45</v>
      </c>
      <c r="F111" s="4">
        <v>0.17476778000000001</v>
      </c>
      <c r="H111">
        <v>1686.45</v>
      </c>
      <c r="I111" s="6">
        <v>0.15430478037731801</v>
      </c>
    </row>
    <row r="112" spans="1:9" x14ac:dyDescent="0.25">
      <c r="A112">
        <v>1687.35675758976</v>
      </c>
      <c r="B112">
        <v>1.0022272233049101</v>
      </c>
      <c r="C112">
        <f t="shared" si="3"/>
        <v>0.17789533213662154</v>
      </c>
      <c r="E112" s="1">
        <v>1687.5</v>
      </c>
      <c r="F112" s="4">
        <v>0.1747908</v>
      </c>
      <c r="H112">
        <v>1686.5</v>
      </c>
      <c r="I112" s="6">
        <v>0.154893562746582</v>
      </c>
    </row>
    <row r="113" spans="1:9" x14ac:dyDescent="0.25">
      <c r="A113">
        <v>1687.42518107566</v>
      </c>
      <c r="B113">
        <v>1.0022491071490101</v>
      </c>
      <c r="C113">
        <f t="shared" si="3"/>
        <v>0.17789921651894927</v>
      </c>
      <c r="E113" s="1">
        <v>1687.55</v>
      </c>
      <c r="F113" s="4">
        <v>0.17477264000000001</v>
      </c>
      <c r="H113">
        <v>1686.55</v>
      </c>
      <c r="I113" s="6">
        <v>0.155461420515138</v>
      </c>
    </row>
    <row r="114" spans="1:9" x14ac:dyDescent="0.25">
      <c r="A114">
        <v>1687.49360456156</v>
      </c>
      <c r="B114">
        <v>1.00227099099312</v>
      </c>
      <c r="C114">
        <f t="shared" si="3"/>
        <v>0.17790310090127878</v>
      </c>
      <c r="E114" s="1">
        <v>1687.6</v>
      </c>
      <c r="F114" s="4">
        <v>0.17476555999999999</v>
      </c>
      <c r="H114">
        <v>1686.6</v>
      </c>
      <c r="I114" s="6">
        <v>0.156008784031645</v>
      </c>
    </row>
    <row r="115" spans="1:9" x14ac:dyDescent="0.25">
      <c r="A115">
        <v>1687.56202804746</v>
      </c>
      <c r="B115">
        <v>1.00229287483722</v>
      </c>
      <c r="C115">
        <f t="shared" si="3"/>
        <v>0.17790698528360654</v>
      </c>
      <c r="E115" s="1">
        <v>1687.65</v>
      </c>
      <c r="F115" s="4">
        <v>0.17476771999999999</v>
      </c>
      <c r="H115">
        <v>1686.65</v>
      </c>
      <c r="I115" s="6">
        <v>0.156536633051612</v>
      </c>
    </row>
    <row r="116" spans="1:9" x14ac:dyDescent="0.25">
      <c r="A116">
        <v>1687.63045153336</v>
      </c>
      <c r="B116">
        <v>1.0023147586813299</v>
      </c>
      <c r="C116">
        <f t="shared" si="3"/>
        <v>0.17791086966593606</v>
      </c>
      <c r="E116" s="1">
        <v>1687.7</v>
      </c>
      <c r="F116" s="4">
        <v>0.17476082000000001</v>
      </c>
      <c r="H116">
        <v>1686.7</v>
      </c>
      <c r="I116" s="6">
        <v>0.15704517656099001</v>
      </c>
    </row>
    <row r="117" spans="1:9" x14ac:dyDescent="0.25">
      <c r="A117">
        <v>1687.69887501926</v>
      </c>
      <c r="B117">
        <v>1.0023366425254301</v>
      </c>
      <c r="C117">
        <f t="shared" si="3"/>
        <v>0.17791475404826382</v>
      </c>
      <c r="E117" s="1">
        <v>1687.75</v>
      </c>
      <c r="F117" s="4">
        <v>0.17476506999999999</v>
      </c>
      <c r="H117">
        <v>1686.75</v>
      </c>
      <c r="I117" s="6">
        <v>0.15753543964263</v>
      </c>
    </row>
    <row r="118" spans="1:9" x14ac:dyDescent="0.25">
      <c r="A118">
        <v>1687.7672985051599</v>
      </c>
      <c r="B118">
        <v>1.00235852636953</v>
      </c>
      <c r="C118">
        <f t="shared" si="3"/>
        <v>0.17791863843059158</v>
      </c>
      <c r="E118" s="1">
        <v>1687.8</v>
      </c>
      <c r="F118" s="4">
        <v>0.17476699000000001</v>
      </c>
      <c r="H118">
        <v>1686.8</v>
      </c>
      <c r="I118" s="6">
        <v>0.158008457493023</v>
      </c>
    </row>
    <row r="119" spans="1:9" x14ac:dyDescent="0.25">
      <c r="A119">
        <v>1687.8357219910599</v>
      </c>
      <c r="B119">
        <v>1.00238041021364</v>
      </c>
      <c r="C119">
        <f t="shared" si="3"/>
        <v>0.17792252281292109</v>
      </c>
      <c r="E119" s="1">
        <v>1687.85</v>
      </c>
      <c r="F119" s="4">
        <v>0.17476347</v>
      </c>
      <c r="H119">
        <v>1686.85</v>
      </c>
      <c r="I119" s="6">
        <v>0.15846442563505</v>
      </c>
    </row>
    <row r="120" spans="1:9" x14ac:dyDescent="0.25">
      <c r="A120">
        <v>1687.9041454769599</v>
      </c>
      <c r="B120">
        <v>1.00240229405774</v>
      </c>
      <c r="C120">
        <f t="shared" si="3"/>
        <v>0.17792640719524883</v>
      </c>
      <c r="E120" s="1">
        <v>1687.9</v>
      </c>
      <c r="F120" s="4">
        <v>0.17476644999999999</v>
      </c>
      <c r="H120">
        <v>1686.9</v>
      </c>
      <c r="I120" s="6">
        <v>0.15890416879956001</v>
      </c>
    </row>
    <row r="121" spans="1:9" x14ac:dyDescent="0.25">
      <c r="A121">
        <v>1687.9725689628599</v>
      </c>
      <c r="B121">
        <v>1.00298768688753</v>
      </c>
      <c r="C121">
        <f t="shared" si="3"/>
        <v>0.17803031442253658</v>
      </c>
      <c r="E121" s="1">
        <v>1687.95</v>
      </c>
      <c r="F121" s="4">
        <v>0.17478518000000001</v>
      </c>
      <c r="H121">
        <v>1686.95</v>
      </c>
      <c r="I121" s="6">
        <v>0.15932806358183699</v>
      </c>
    </row>
    <row r="122" spans="1:9" x14ac:dyDescent="0.25">
      <c r="A122">
        <v>1688.0409924487501</v>
      </c>
      <c r="B122">
        <v>1.0024460617459501</v>
      </c>
      <c r="C122">
        <f t="shared" si="3"/>
        <v>0.17793417595990613</v>
      </c>
      <c r="E122" s="1">
        <v>1688</v>
      </c>
      <c r="F122" s="4">
        <v>0.17478136999999999</v>
      </c>
      <c r="H122">
        <v>1687</v>
      </c>
      <c r="I122" s="6">
        <v>0.159737121060293</v>
      </c>
    </row>
    <row r="123" spans="1:9" x14ac:dyDescent="0.25">
      <c r="A123">
        <v>1688.1094159346501</v>
      </c>
      <c r="B123">
        <v>1.00246794559006</v>
      </c>
      <c r="C123">
        <f t="shared" si="3"/>
        <v>0.17793806034223564</v>
      </c>
      <c r="H123">
        <v>1687.05</v>
      </c>
      <c r="I123" s="6">
        <v>0.16013152854176299</v>
      </c>
    </row>
    <row r="124" spans="1:9" x14ac:dyDescent="0.25">
      <c r="A124">
        <v>1688.1778394205501</v>
      </c>
      <c r="B124">
        <v>1.00248982943416</v>
      </c>
      <c r="C124">
        <f t="shared" si="3"/>
        <v>0.1779419447245634</v>
      </c>
      <c r="H124">
        <v>1687.1</v>
      </c>
      <c r="I124" s="6">
        <v>0.16051203662985999</v>
      </c>
    </row>
    <row r="125" spans="1:9" x14ac:dyDescent="0.25">
      <c r="A125">
        <v>1688.2462629064501</v>
      </c>
      <c r="B125">
        <v>1.0025117132782599</v>
      </c>
      <c r="C125">
        <f t="shared" si="3"/>
        <v>0.17794582910689113</v>
      </c>
      <c r="H125">
        <v>1687.15</v>
      </c>
      <c r="I125" s="6">
        <v>0.160879167393054</v>
      </c>
    </row>
    <row r="126" spans="1:9" x14ac:dyDescent="0.25">
      <c r="A126">
        <v>1688.31468639235</v>
      </c>
      <c r="B126">
        <v>1.0025335971223699</v>
      </c>
      <c r="C126">
        <f t="shared" si="3"/>
        <v>0.17794971348922065</v>
      </c>
      <c r="H126">
        <v>1687.2</v>
      </c>
      <c r="I126" s="6">
        <v>0.16123329333070399</v>
      </c>
    </row>
    <row r="127" spans="1:9" x14ac:dyDescent="0.25">
      <c r="A127">
        <v>1688.38310987825</v>
      </c>
      <c r="B127">
        <v>1.0025554809664701</v>
      </c>
      <c r="C127">
        <f t="shared" si="3"/>
        <v>0.17795359787154844</v>
      </c>
      <c r="H127">
        <v>1687.25</v>
      </c>
      <c r="I127" s="6">
        <v>0.16157524331342599</v>
      </c>
    </row>
    <row r="128" spans="1:9" x14ac:dyDescent="0.25">
      <c r="A128">
        <v>1688.45153336415</v>
      </c>
      <c r="B128">
        <v>1.00257736481058</v>
      </c>
      <c r="C128">
        <f t="shared" si="3"/>
        <v>0.17795748225387795</v>
      </c>
      <c r="H128">
        <v>1687.3</v>
      </c>
      <c r="I128" s="6">
        <v>0.16190524181600299</v>
      </c>
    </row>
    <row r="129" spans="1:9" x14ac:dyDescent="0.25">
      <c r="A129">
        <v>1688.51995685005</v>
      </c>
      <c r="B129">
        <v>1.00259924865468</v>
      </c>
      <c r="C129">
        <f t="shared" si="3"/>
        <v>0.17796136663620568</v>
      </c>
      <c r="H129">
        <v>1687.35</v>
      </c>
      <c r="I129" s="6">
        <v>0.16222381421934901</v>
      </c>
    </row>
    <row r="130" spans="1:9" x14ac:dyDescent="0.25">
      <c r="A130">
        <v>1688.58838033595</v>
      </c>
      <c r="B130">
        <v>1.0026211324987899</v>
      </c>
      <c r="C130">
        <f t="shared" ref="C130:C140" si="4">B130*0.1775</f>
        <v>0.17796525101853519</v>
      </c>
      <c r="H130">
        <v>1687.4</v>
      </c>
      <c r="I130" s="6">
        <v>0.162531421190207</v>
      </c>
    </row>
    <row r="131" spans="1:9" x14ac:dyDescent="0.25">
      <c r="A131">
        <v>1688.65680382185</v>
      </c>
      <c r="B131">
        <v>1.0026430163428901</v>
      </c>
      <c r="C131">
        <f t="shared" si="4"/>
        <v>0.17796913540086298</v>
      </c>
      <c r="H131">
        <v>1687.45</v>
      </c>
      <c r="I131" s="6">
        <v>0.16282851807079499</v>
      </c>
    </row>
    <row r="132" spans="1:9" x14ac:dyDescent="0.25">
      <c r="A132">
        <v>1688.7252273077499</v>
      </c>
      <c r="B132">
        <v>1.0026649001869901</v>
      </c>
      <c r="C132">
        <f t="shared" si="4"/>
        <v>0.17797301978319072</v>
      </c>
      <c r="H132">
        <v>1687.5</v>
      </c>
      <c r="I132" s="6">
        <v>0.16311548281416999</v>
      </c>
    </row>
    <row r="133" spans="1:9" x14ac:dyDescent="0.25">
      <c r="A133">
        <v>1688.7936507936499</v>
      </c>
      <c r="B133">
        <v>1.0026867840311</v>
      </c>
      <c r="C133">
        <f t="shared" si="4"/>
        <v>0.17797690416552026</v>
      </c>
      <c r="H133">
        <v>1687.55</v>
      </c>
      <c r="I133" s="6">
        <v>0.16339280264216199</v>
      </c>
    </row>
    <row r="134" spans="1:9" x14ac:dyDescent="0.25">
      <c r="A134">
        <v>1688.8620742795499</v>
      </c>
      <c r="B134">
        <v>1.0027086678752</v>
      </c>
      <c r="C134">
        <f t="shared" si="4"/>
        <v>0.17798078854784799</v>
      </c>
      <c r="H134">
        <v>1687.6</v>
      </c>
      <c r="I134" s="6">
        <v>0.163660832538811</v>
      </c>
    </row>
    <row r="135" spans="1:9" x14ac:dyDescent="0.25">
      <c r="A135">
        <v>1688.9304977654399</v>
      </c>
      <c r="B135">
        <v>1.0027305517193099</v>
      </c>
      <c r="C135">
        <f t="shared" si="4"/>
        <v>0.1779846729301775</v>
      </c>
      <c r="H135">
        <v>1687.65</v>
      </c>
      <c r="I135" s="6">
        <v>0.16391980479892501</v>
      </c>
    </row>
    <row r="136" spans="1:9" x14ac:dyDescent="0.25">
      <c r="A136">
        <v>1688.9989212513401</v>
      </c>
      <c r="B136">
        <v>1.00331594454909</v>
      </c>
      <c r="C136">
        <f t="shared" si="4"/>
        <v>0.17808858015746346</v>
      </c>
      <c r="H136">
        <v>1687.7</v>
      </c>
      <c r="I136" s="6">
        <v>0.164170283861268</v>
      </c>
    </row>
    <row r="137" spans="1:9" x14ac:dyDescent="0.25">
      <c r="A137">
        <v>1689.0673447372401</v>
      </c>
      <c r="B137">
        <v>1.00277431940752</v>
      </c>
      <c r="C137">
        <f t="shared" si="4"/>
        <v>0.1779924416948348</v>
      </c>
      <c r="H137">
        <v>1687.75</v>
      </c>
      <c r="I137" s="6">
        <v>0.16441242250212099</v>
      </c>
    </row>
    <row r="138" spans="1:9" x14ac:dyDescent="0.25">
      <c r="A138">
        <v>1689.1357682231401</v>
      </c>
      <c r="B138">
        <v>1.00279620325162</v>
      </c>
      <c r="C138">
        <f t="shared" si="4"/>
        <v>0.17799632607716254</v>
      </c>
      <c r="H138">
        <v>1687.8</v>
      </c>
      <c r="I138" s="6">
        <v>0.16464673416521</v>
      </c>
    </row>
    <row r="139" spans="1:9" x14ac:dyDescent="0.25">
      <c r="A139">
        <v>1689.2041917090401</v>
      </c>
      <c r="B139">
        <v>1.00281808709572</v>
      </c>
      <c r="C139">
        <f t="shared" si="4"/>
        <v>0.17800021045949027</v>
      </c>
      <c r="H139">
        <v>1687.85</v>
      </c>
      <c r="I139" s="6">
        <v>0.164873523917342</v>
      </c>
    </row>
    <row r="140" spans="1:9" x14ac:dyDescent="0.25">
      <c r="A140">
        <v>1689.2498073663101</v>
      </c>
      <c r="B140">
        <v>1.0028326763251301</v>
      </c>
      <c r="C140">
        <f t="shared" si="4"/>
        <v>0.17800280004771057</v>
      </c>
      <c r="H140">
        <v>1687.9</v>
      </c>
      <c r="I140" s="6">
        <v>0.16509296230032999</v>
      </c>
    </row>
    <row r="141" spans="1:9" x14ac:dyDescent="0.25">
      <c r="H141">
        <v>1687.95</v>
      </c>
      <c r="I141" s="6">
        <v>0.16530548278935001</v>
      </c>
    </row>
    <row r="142" spans="1:9" x14ac:dyDescent="0.25">
      <c r="H142">
        <v>1688</v>
      </c>
      <c r="I142" s="6">
        <v>0.16551129516947299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 2 full 0</vt:lpstr>
      <vt:lpstr>Ex 2 full 1</vt:lpstr>
      <vt:lpstr>Ex 2 Gauss 0</vt:lpstr>
      <vt:lpstr>Ex 2 Gauss 1</vt:lpstr>
      <vt:lpstr>Ex 2 full 0 50 eV</vt:lpstr>
      <vt:lpstr>Ex 2 full 1 50 eV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ERYA-Profiling</dc:creator>
  <cp:lastModifiedBy>Nuno Pessoa Barradas</cp:lastModifiedBy>
  <cp:revision>2</cp:revision>
  <dcterms:created xsi:type="dcterms:W3CDTF">2023-12-05T17:44:18Z</dcterms:created>
  <dcterms:modified xsi:type="dcterms:W3CDTF">2024-04-05T15:00:58Z</dcterms:modified>
</cp:coreProperties>
</file>