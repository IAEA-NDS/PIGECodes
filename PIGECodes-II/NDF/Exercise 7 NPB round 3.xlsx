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DF\Nuno\IAEA\PIGE_IAEA_2023\round_2\all results 2\"/>
    </mc:Choice>
  </mc:AlternateContent>
  <xr:revisionPtr revIDLastSave="0" documentId="13_ncr:1_{460B3F63-8D0C-4D92-8D4D-C440ECAA6BDF}" xr6:coauthVersionLast="36" xr6:coauthVersionMax="3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Ex 7 Full 0" sheetId="1" r:id="rId1"/>
    <sheet name="Ex 7 Full 1" sheetId="2" r:id="rId2"/>
    <sheet name="Ex 7 Gauss 0" sheetId="3" r:id="rId3"/>
    <sheet name="Ex 7 Gauss 1" sheetId="4" r:id="rId4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AA4" i="4" l="1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3" i="4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3" i="3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3" i="4"/>
  <c r="P3" i="4" s="1"/>
  <c r="D23" i="4"/>
  <c r="E23" i="4" s="1"/>
  <c r="M23" i="4" s="1"/>
  <c r="N23" i="4" s="1"/>
  <c r="D22" i="4"/>
  <c r="E22" i="4" s="1"/>
  <c r="M22" i="4" s="1"/>
  <c r="N22" i="4" s="1"/>
  <c r="D21" i="4"/>
  <c r="E21" i="4" s="1"/>
  <c r="M21" i="4" s="1"/>
  <c r="N21" i="4" s="1"/>
  <c r="D20" i="4"/>
  <c r="E20" i="4" s="1"/>
  <c r="M20" i="4" s="1"/>
  <c r="N20" i="4" s="1"/>
  <c r="D19" i="4"/>
  <c r="E19" i="4" s="1"/>
  <c r="M19" i="4" s="1"/>
  <c r="N19" i="4" s="1"/>
  <c r="D18" i="4"/>
  <c r="E18" i="4" s="1"/>
  <c r="M18" i="4" s="1"/>
  <c r="N18" i="4" s="1"/>
  <c r="D17" i="4"/>
  <c r="E17" i="4" s="1"/>
  <c r="M17" i="4" s="1"/>
  <c r="N17" i="4" s="1"/>
  <c r="D16" i="4"/>
  <c r="E16" i="4" s="1"/>
  <c r="M16" i="4" s="1"/>
  <c r="N16" i="4" s="1"/>
  <c r="D15" i="4"/>
  <c r="E15" i="4" s="1"/>
  <c r="M15" i="4" s="1"/>
  <c r="N15" i="4" s="1"/>
  <c r="D14" i="4"/>
  <c r="E14" i="4" s="1"/>
  <c r="M14" i="4" s="1"/>
  <c r="N14" i="4" s="1"/>
  <c r="D13" i="4"/>
  <c r="E13" i="4" s="1"/>
  <c r="M13" i="4" s="1"/>
  <c r="N13" i="4" s="1"/>
  <c r="D12" i="4"/>
  <c r="E12" i="4" s="1"/>
  <c r="M12" i="4" s="1"/>
  <c r="N12" i="4" s="1"/>
  <c r="D11" i="4"/>
  <c r="E11" i="4" s="1"/>
  <c r="M11" i="4" s="1"/>
  <c r="N11" i="4" s="1"/>
  <c r="D10" i="4"/>
  <c r="E10" i="4" s="1"/>
  <c r="M10" i="4" s="1"/>
  <c r="N10" i="4" s="1"/>
  <c r="D9" i="4"/>
  <c r="E9" i="4" s="1"/>
  <c r="M9" i="4" s="1"/>
  <c r="N9" i="4" s="1"/>
  <c r="D8" i="4"/>
  <c r="E8" i="4" s="1"/>
  <c r="M8" i="4" s="1"/>
  <c r="N8" i="4" s="1"/>
  <c r="D7" i="4"/>
  <c r="E7" i="4" s="1"/>
  <c r="M7" i="4" s="1"/>
  <c r="N7" i="4" s="1"/>
  <c r="D6" i="4"/>
  <c r="E6" i="4" s="1"/>
  <c r="M6" i="4" s="1"/>
  <c r="N6" i="4" s="1"/>
  <c r="D5" i="4"/>
  <c r="E5" i="4" s="1"/>
  <c r="M5" i="4" s="1"/>
  <c r="N5" i="4" s="1"/>
  <c r="D4" i="4"/>
  <c r="E4" i="4" s="1"/>
  <c r="M4" i="4" s="1"/>
  <c r="N4" i="4" s="1"/>
  <c r="D3" i="4"/>
  <c r="E3" i="4" s="1"/>
  <c r="M3" i="4" s="1"/>
  <c r="N3" i="4" s="1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P15" i="3" s="1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3" i="3"/>
  <c r="P3" i="3" s="1"/>
  <c r="D23" i="3"/>
  <c r="E23" i="3" s="1"/>
  <c r="M23" i="3" s="1"/>
  <c r="N23" i="3" s="1"/>
  <c r="D22" i="3"/>
  <c r="E22" i="3" s="1"/>
  <c r="M22" i="3" s="1"/>
  <c r="N22" i="3" s="1"/>
  <c r="D21" i="3"/>
  <c r="E21" i="3" s="1"/>
  <c r="M21" i="3" s="1"/>
  <c r="N21" i="3" s="1"/>
  <c r="D20" i="3"/>
  <c r="E20" i="3" s="1"/>
  <c r="M20" i="3" s="1"/>
  <c r="N20" i="3" s="1"/>
  <c r="D19" i="3"/>
  <c r="E19" i="3" s="1"/>
  <c r="M19" i="3" s="1"/>
  <c r="N19" i="3" s="1"/>
  <c r="D18" i="3"/>
  <c r="E18" i="3" s="1"/>
  <c r="M18" i="3" s="1"/>
  <c r="N18" i="3" s="1"/>
  <c r="D17" i="3"/>
  <c r="E17" i="3" s="1"/>
  <c r="M17" i="3" s="1"/>
  <c r="N17" i="3" s="1"/>
  <c r="D16" i="3"/>
  <c r="E16" i="3" s="1"/>
  <c r="M16" i="3" s="1"/>
  <c r="N16" i="3" s="1"/>
  <c r="D15" i="3"/>
  <c r="E15" i="3" s="1"/>
  <c r="M15" i="3" s="1"/>
  <c r="N15" i="3" s="1"/>
  <c r="D14" i="3"/>
  <c r="E14" i="3" s="1"/>
  <c r="M14" i="3" s="1"/>
  <c r="N14" i="3" s="1"/>
  <c r="D13" i="3"/>
  <c r="E13" i="3" s="1"/>
  <c r="M13" i="3" s="1"/>
  <c r="N13" i="3" s="1"/>
  <c r="D12" i="3"/>
  <c r="E12" i="3" s="1"/>
  <c r="M12" i="3" s="1"/>
  <c r="N12" i="3" s="1"/>
  <c r="D11" i="3"/>
  <c r="E11" i="3" s="1"/>
  <c r="M11" i="3" s="1"/>
  <c r="N11" i="3" s="1"/>
  <c r="D10" i="3"/>
  <c r="E10" i="3" s="1"/>
  <c r="M10" i="3" s="1"/>
  <c r="N10" i="3" s="1"/>
  <c r="D9" i="3"/>
  <c r="E9" i="3" s="1"/>
  <c r="M9" i="3" s="1"/>
  <c r="N9" i="3" s="1"/>
  <c r="D8" i="3"/>
  <c r="E8" i="3" s="1"/>
  <c r="M8" i="3" s="1"/>
  <c r="N8" i="3" s="1"/>
  <c r="D7" i="3"/>
  <c r="E7" i="3" s="1"/>
  <c r="M7" i="3" s="1"/>
  <c r="N7" i="3" s="1"/>
  <c r="D6" i="3"/>
  <c r="E6" i="3" s="1"/>
  <c r="M6" i="3" s="1"/>
  <c r="N6" i="3" s="1"/>
  <c r="D5" i="3"/>
  <c r="E5" i="3" s="1"/>
  <c r="M5" i="3" s="1"/>
  <c r="N5" i="3" s="1"/>
  <c r="D4" i="3"/>
  <c r="E4" i="3" s="1"/>
  <c r="M4" i="3" s="1"/>
  <c r="N4" i="3" s="1"/>
  <c r="D3" i="3"/>
  <c r="E3" i="3" s="1"/>
  <c r="M3" i="3" s="1"/>
  <c r="N3" i="3" s="1"/>
  <c r="P22" i="2"/>
  <c r="O4" i="2"/>
  <c r="P4" i="2" s="1"/>
  <c r="O5" i="2"/>
  <c r="P5" i="2" s="1"/>
  <c r="O6" i="2"/>
  <c r="P6" i="2" s="1"/>
  <c r="O7" i="2"/>
  <c r="P7" i="2" s="1"/>
  <c r="O8" i="2"/>
  <c r="P8" i="2" s="1"/>
  <c r="O9" i="2"/>
  <c r="P9" i="2" s="1"/>
  <c r="O10" i="2"/>
  <c r="P10" i="2" s="1"/>
  <c r="O11" i="2"/>
  <c r="P11" i="2" s="1"/>
  <c r="O12" i="2"/>
  <c r="P12" i="2" s="1"/>
  <c r="O13" i="2"/>
  <c r="P13" i="2" s="1"/>
  <c r="O14" i="2"/>
  <c r="P14" i="2" s="1"/>
  <c r="O15" i="2"/>
  <c r="P15" i="2" s="1"/>
  <c r="O16" i="2"/>
  <c r="P16" i="2" s="1"/>
  <c r="O17" i="2"/>
  <c r="P17" i="2" s="1"/>
  <c r="O18" i="2"/>
  <c r="P18" i="2" s="1"/>
  <c r="O19" i="2"/>
  <c r="P19" i="2" s="1"/>
  <c r="O20" i="2"/>
  <c r="P20" i="2" s="1"/>
  <c r="O21" i="2"/>
  <c r="P21" i="2" s="1"/>
  <c r="O22" i="2"/>
  <c r="O23" i="2"/>
  <c r="P23" i="2" s="1"/>
  <c r="O3" i="2"/>
  <c r="P3" i="2" s="1"/>
  <c r="D23" i="2"/>
  <c r="E23" i="2" s="1"/>
  <c r="M23" i="2" s="1"/>
  <c r="N23" i="2" s="1"/>
  <c r="D22" i="2"/>
  <c r="E22" i="2" s="1"/>
  <c r="M22" i="2" s="1"/>
  <c r="N22" i="2" s="1"/>
  <c r="D21" i="2"/>
  <c r="E21" i="2" s="1"/>
  <c r="M21" i="2" s="1"/>
  <c r="N21" i="2" s="1"/>
  <c r="D20" i="2"/>
  <c r="E20" i="2" s="1"/>
  <c r="M20" i="2" s="1"/>
  <c r="N20" i="2" s="1"/>
  <c r="D19" i="2"/>
  <c r="E19" i="2" s="1"/>
  <c r="M19" i="2" s="1"/>
  <c r="N19" i="2" s="1"/>
  <c r="D18" i="2"/>
  <c r="E18" i="2" s="1"/>
  <c r="M18" i="2" s="1"/>
  <c r="N18" i="2" s="1"/>
  <c r="D17" i="2"/>
  <c r="E17" i="2" s="1"/>
  <c r="M17" i="2" s="1"/>
  <c r="N17" i="2" s="1"/>
  <c r="D16" i="2"/>
  <c r="E16" i="2" s="1"/>
  <c r="M16" i="2" s="1"/>
  <c r="N16" i="2" s="1"/>
  <c r="D15" i="2"/>
  <c r="E15" i="2" s="1"/>
  <c r="M15" i="2" s="1"/>
  <c r="N15" i="2" s="1"/>
  <c r="D14" i="2"/>
  <c r="E14" i="2" s="1"/>
  <c r="M14" i="2" s="1"/>
  <c r="N14" i="2" s="1"/>
  <c r="D13" i="2"/>
  <c r="E13" i="2" s="1"/>
  <c r="M13" i="2" s="1"/>
  <c r="N13" i="2" s="1"/>
  <c r="D12" i="2"/>
  <c r="E12" i="2" s="1"/>
  <c r="M12" i="2" s="1"/>
  <c r="N12" i="2" s="1"/>
  <c r="D11" i="2"/>
  <c r="E11" i="2" s="1"/>
  <c r="M11" i="2" s="1"/>
  <c r="N11" i="2" s="1"/>
  <c r="D10" i="2"/>
  <c r="E10" i="2" s="1"/>
  <c r="M10" i="2" s="1"/>
  <c r="N10" i="2" s="1"/>
  <c r="D9" i="2"/>
  <c r="E9" i="2" s="1"/>
  <c r="M9" i="2" s="1"/>
  <c r="N9" i="2" s="1"/>
  <c r="D8" i="2"/>
  <c r="E8" i="2" s="1"/>
  <c r="M8" i="2" s="1"/>
  <c r="N8" i="2" s="1"/>
  <c r="D7" i="2"/>
  <c r="E7" i="2" s="1"/>
  <c r="M7" i="2" s="1"/>
  <c r="N7" i="2" s="1"/>
  <c r="D6" i="2"/>
  <c r="E6" i="2" s="1"/>
  <c r="M6" i="2" s="1"/>
  <c r="N6" i="2" s="1"/>
  <c r="D5" i="2"/>
  <c r="E5" i="2" s="1"/>
  <c r="M5" i="2" s="1"/>
  <c r="N5" i="2" s="1"/>
  <c r="D4" i="2"/>
  <c r="E4" i="2" s="1"/>
  <c r="M4" i="2" s="1"/>
  <c r="N4" i="2" s="1"/>
  <c r="D3" i="2"/>
  <c r="E3" i="2" s="1"/>
  <c r="M3" i="2" s="1"/>
  <c r="N3" i="2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3" i="1"/>
  <c r="P3" i="1" s="1"/>
  <c r="D23" i="1"/>
  <c r="E23" i="1" s="1"/>
  <c r="M23" i="1" s="1"/>
  <c r="N23" i="1" s="1"/>
  <c r="D22" i="1"/>
  <c r="E22" i="1" s="1"/>
  <c r="M22" i="1" s="1"/>
  <c r="N22" i="1" s="1"/>
  <c r="D21" i="1"/>
  <c r="E21" i="1" s="1"/>
  <c r="M21" i="1" s="1"/>
  <c r="N21" i="1" s="1"/>
  <c r="D20" i="1"/>
  <c r="E20" i="1" s="1"/>
  <c r="M20" i="1" s="1"/>
  <c r="N20" i="1" s="1"/>
  <c r="D19" i="1"/>
  <c r="E19" i="1" s="1"/>
  <c r="M19" i="1" s="1"/>
  <c r="N19" i="1" s="1"/>
  <c r="D18" i="1"/>
  <c r="E18" i="1" s="1"/>
  <c r="M18" i="1" s="1"/>
  <c r="N18" i="1" s="1"/>
  <c r="D17" i="1"/>
  <c r="E17" i="1" s="1"/>
  <c r="M17" i="1" s="1"/>
  <c r="N17" i="1" s="1"/>
  <c r="D16" i="1"/>
  <c r="E16" i="1" s="1"/>
  <c r="M16" i="1" s="1"/>
  <c r="N16" i="1" s="1"/>
  <c r="D15" i="1"/>
  <c r="E15" i="1" s="1"/>
  <c r="M15" i="1" s="1"/>
  <c r="N15" i="1" s="1"/>
  <c r="D14" i="1"/>
  <c r="E14" i="1" s="1"/>
  <c r="M14" i="1" s="1"/>
  <c r="N14" i="1" s="1"/>
  <c r="D13" i="1"/>
  <c r="E13" i="1" s="1"/>
  <c r="M13" i="1" s="1"/>
  <c r="N13" i="1" s="1"/>
  <c r="D12" i="1"/>
  <c r="E12" i="1" s="1"/>
  <c r="M12" i="1" s="1"/>
  <c r="N12" i="1" s="1"/>
  <c r="D11" i="1"/>
  <c r="E11" i="1" s="1"/>
  <c r="M11" i="1" s="1"/>
  <c r="N11" i="1" s="1"/>
  <c r="D10" i="1"/>
  <c r="E10" i="1" s="1"/>
  <c r="M10" i="1" s="1"/>
  <c r="N10" i="1" s="1"/>
  <c r="D9" i="1"/>
  <c r="E9" i="1" s="1"/>
  <c r="M9" i="1" s="1"/>
  <c r="N9" i="1" s="1"/>
  <c r="D8" i="1"/>
  <c r="E8" i="1" s="1"/>
  <c r="M8" i="1" s="1"/>
  <c r="N8" i="1" s="1"/>
  <c r="D7" i="1"/>
  <c r="E7" i="1" s="1"/>
  <c r="M7" i="1" s="1"/>
  <c r="N7" i="1" s="1"/>
  <c r="D6" i="1"/>
  <c r="E6" i="1" s="1"/>
  <c r="M6" i="1" s="1"/>
  <c r="N6" i="1" s="1"/>
  <c r="D5" i="1"/>
  <c r="E5" i="1" s="1"/>
  <c r="M5" i="1" s="1"/>
  <c r="N5" i="1" s="1"/>
  <c r="D4" i="1"/>
  <c r="E4" i="1" s="1"/>
  <c r="M4" i="1" s="1"/>
  <c r="N4" i="1" s="1"/>
  <c r="D3" i="1"/>
  <c r="E3" i="1" s="1"/>
  <c r="M3" i="1" s="1"/>
  <c r="N3" i="1" s="1"/>
</calcChain>
</file>

<file path=xl/sharedStrings.xml><?xml version="1.0" encoding="utf-8"?>
<sst xmlns="http://schemas.openxmlformats.org/spreadsheetml/2006/main" count="68" uniqueCount="13">
  <si>
    <t>Energy (keV)</t>
  </si>
  <si>
    <t>27Al (844 keV)</t>
  </si>
  <si>
    <t>28Si (1779 keV)</t>
  </si>
  <si>
    <t>Renormalization</t>
  </si>
  <si>
    <t>Count/msr/uC</t>
  </si>
  <si>
    <t>ERYA</t>
  </si>
  <si>
    <t>NDF</t>
  </si>
  <si>
    <t>SMNRA</t>
  </si>
  <si>
    <t>ERYA/NDF</t>
  </si>
  <si>
    <t>REL</t>
  </si>
  <si>
    <t>SMNRA/NDF</t>
  </si>
  <si>
    <t>SMNRA-asym</t>
  </si>
  <si>
    <t>NDF Yang param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</si>
</sst>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1" x14ac:knownFonts="1"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Alignment="1" applyProtection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/>
              <a:t>Ex 7 Full </a:t>
            </a:r>
            <a:r>
              <a:rPr lang="el-GR" sz="2000"/>
              <a:t>Δ</a:t>
            </a:r>
            <a:r>
              <a:rPr lang="en-GB" sz="20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Full 0'!$J$3:$J$23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0'!$E$3:$E$23</c:f>
              <c:numCache>
                <c:formatCode>General</c:formatCode>
                <c:ptCount val="21"/>
                <c:pt idx="0">
                  <c:v>4.456705354895738</c:v>
                </c:pt>
                <c:pt idx="1">
                  <c:v>4.6648011411107522</c:v>
                </c:pt>
                <c:pt idx="2">
                  <c:v>4.8280068861311136</c:v>
                </c:pt>
                <c:pt idx="3">
                  <c:v>4.9415806361768029</c:v>
                </c:pt>
                <c:pt idx="4">
                  <c:v>5.002356289373914</c:v>
                </c:pt>
                <c:pt idx="5">
                  <c:v>5.0089851986633835</c:v>
                </c:pt>
                <c:pt idx="6">
                  <c:v>4.9619798197579543</c:v>
                </c:pt>
                <c:pt idx="7">
                  <c:v>4.8638100211747677</c:v>
                </c:pt>
                <c:pt idx="8">
                  <c:v>4.7185986523062695</c:v>
                </c:pt>
                <c:pt idx="9">
                  <c:v>4.5320447946383462</c:v>
                </c:pt>
                <c:pt idx="10">
                  <c:v>4.3111272033779411</c:v>
                </c:pt>
                <c:pt idx="11">
                  <c:v>4.0640148162639749</c:v>
                </c:pt>
                <c:pt idx="12">
                  <c:v>3.7995680827109166</c:v>
                </c:pt>
                <c:pt idx="13">
                  <c:v>3.5271217296807569</c:v>
                </c:pt>
                <c:pt idx="14">
                  <c:v>3.2562285644869027</c:v>
                </c:pt>
                <c:pt idx="15">
                  <c:v>2.9962847940599442</c:v>
                </c:pt>
                <c:pt idx="16">
                  <c:v>2.7561601762715973</c:v>
                </c:pt>
                <c:pt idx="17">
                  <c:v>2.543970864144073</c:v>
                </c:pt>
                <c:pt idx="18">
                  <c:v>2.3667713682735134</c:v>
                </c:pt>
                <c:pt idx="19">
                  <c:v>2.230195745850267</c:v>
                </c:pt>
                <c:pt idx="20">
                  <c:v>2.1382918144598992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95-431E-9830-305B9EBC6CC7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0'!$H$3:$H$23</c:f>
              <c:numCache>
                <c:formatCode>0.0000000</c:formatCode>
                <c:ptCount val="21"/>
                <c:pt idx="0">
                  <c:v>4.4109559000000003</c:v>
                </c:pt>
                <c:pt idx="1">
                  <c:v>4.5669899000000003</c:v>
                </c:pt>
                <c:pt idx="2">
                  <c:v>4.6806821999999997</c:v>
                </c:pt>
                <c:pt idx="3">
                  <c:v>4.7494329999999998</c:v>
                </c:pt>
                <c:pt idx="4">
                  <c:v>4.7705722000000002</c:v>
                </c:pt>
                <c:pt idx="5">
                  <c:v>4.7445311999999999</c:v>
                </c:pt>
                <c:pt idx="6">
                  <c:v>4.6727939000000003</c:v>
                </c:pt>
                <c:pt idx="7">
                  <c:v>4.5584015999999998</c:v>
                </c:pt>
                <c:pt idx="8">
                  <c:v>4.4061556</c:v>
                </c:pt>
                <c:pt idx="9">
                  <c:v>4.2212056999999996</c:v>
                </c:pt>
                <c:pt idx="10">
                  <c:v>4.0111360999999999</c:v>
                </c:pt>
                <c:pt idx="11">
                  <c:v>3.7830032999999998</c:v>
                </c:pt>
                <c:pt idx="12">
                  <c:v>3.5453011999999999</c:v>
                </c:pt>
                <c:pt idx="13">
                  <c:v>3.3064528000000002</c:v>
                </c:pt>
                <c:pt idx="14">
                  <c:v>3.0742519000000001</c:v>
                </c:pt>
                <c:pt idx="15">
                  <c:v>2.8569067000000001</c:v>
                </c:pt>
                <c:pt idx="16">
                  <c:v>2.6619871000000002</c:v>
                </c:pt>
                <c:pt idx="17">
                  <c:v>2.4949503000000002</c:v>
                </c:pt>
                <c:pt idx="18">
                  <c:v>2.3617143999999999</c:v>
                </c:pt>
                <c:pt idx="19">
                  <c:v>2.2659707</c:v>
                </c:pt>
                <c:pt idx="20">
                  <c:v>2.2096553000000001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95-431E-9830-305B9EBC6CC7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Full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0'!$K$3:$K$23</c:f>
              <c:numCache>
                <c:formatCode>General</c:formatCode>
                <c:ptCount val="21"/>
                <c:pt idx="0">
                  <c:v>4.3472703131110704</c:v>
                </c:pt>
                <c:pt idx="1">
                  <c:v>4.5404946899395604</c:v>
                </c:pt>
                <c:pt idx="2">
                  <c:v>4.6899200372865497</c:v>
                </c:pt>
                <c:pt idx="3">
                  <c:v>4.7909594318416602</c:v>
                </c:pt>
                <c:pt idx="4">
                  <c:v>4.8436855409333397</c:v>
                </c:pt>
                <c:pt idx="5">
                  <c:v>4.84772160272537</c:v>
                </c:pt>
                <c:pt idx="6">
                  <c:v>4.8024544968196503</c:v>
                </c:pt>
                <c:pt idx="7">
                  <c:v>4.7092104386379496</c:v>
                </c:pt>
                <c:pt idx="8">
                  <c:v>4.5736284398853604</c:v>
                </c:pt>
                <c:pt idx="9">
                  <c:v>4.4010148390948798</c:v>
                </c:pt>
                <c:pt idx="10">
                  <c:v>4.1959087527858401</c:v>
                </c:pt>
                <c:pt idx="11">
                  <c:v>3.9646099726059298</c:v>
                </c:pt>
                <c:pt idx="12">
                  <c:v>3.71715918133031</c:v>
                </c:pt>
                <c:pt idx="13">
                  <c:v>3.4626236381737399</c:v>
                </c:pt>
                <c:pt idx="14">
                  <c:v>3.20994052545056</c:v>
                </c:pt>
                <c:pt idx="15">
                  <c:v>2.9685356484373502</c:v>
                </c:pt>
                <c:pt idx="16">
                  <c:v>2.74646469710662</c:v>
                </c:pt>
                <c:pt idx="17">
                  <c:v>2.5507275147494202</c:v>
                </c:pt>
                <c:pt idx="18">
                  <c:v>2.3874679499273701</c:v>
                </c:pt>
                <c:pt idx="19">
                  <c:v>2.2614378900121701</c:v>
                </c:pt>
                <c:pt idx="20">
                  <c:v>2.17633040676886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95-431E-9830-305B9EBC6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85856"/>
        <c:axId val="210600704"/>
      </c:scatterChart>
      <c:valAx>
        <c:axId val="21058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00704"/>
        <c:crosses val="autoZero"/>
        <c:crossBetween val="midCat"/>
      </c:valAx>
      <c:valAx>
        <c:axId val="2106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858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Full 0'!$J$3:$J$23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0'!$M$3:$M$23</c:f>
              <c:numCache>
                <c:formatCode>General</c:formatCode>
                <c:ptCount val="21"/>
                <c:pt idx="0">
                  <c:v>1.0103717778941608</c:v>
                </c:pt>
                <c:pt idx="1">
                  <c:v>1.021417004033828</c:v>
                </c:pt>
                <c:pt idx="2">
                  <c:v>1.0314750456955002</c:v>
                </c:pt>
                <c:pt idx="3">
                  <c:v>1.0404569632157783</c:v>
                </c:pt>
                <c:pt idx="4">
                  <c:v>1.0485862239699284</c:v>
                </c:pt>
                <c:pt idx="5">
                  <c:v>1.0557386994658995</c:v>
                </c:pt>
                <c:pt idx="6">
                  <c:v>1.0618871548685154</c:v>
                </c:pt>
                <c:pt idx="7">
                  <c:v>1.066999015877576</c:v>
                </c:pt>
                <c:pt idx="8">
                  <c:v>1.0709105807126442</c:v>
                </c:pt>
                <c:pt idx="9">
                  <c:v>1.0736375141913475</c:v>
                </c:pt>
                <c:pt idx="10">
                  <c:v>1.0747895598401513</c:v>
                </c:pt>
                <c:pt idx="11">
                  <c:v>1.0742826516339479</c:v>
                </c:pt>
                <c:pt idx="12">
                  <c:v>1.0717194022078904</c:v>
                </c:pt>
                <c:pt idx="13">
                  <c:v>1.0667388718450046</c:v>
                </c:pt>
                <c:pt idx="14">
                  <c:v>1.0591938040233146</c:v>
                </c:pt>
                <c:pt idx="15">
                  <c:v>1.0487863653580092</c:v>
                </c:pt>
                <c:pt idx="16">
                  <c:v>1.0353769844608176</c:v>
                </c:pt>
                <c:pt idx="17">
                  <c:v>1.0196479120822859</c:v>
                </c:pt>
                <c:pt idx="18">
                  <c:v>1.0021412276918469</c:v>
                </c:pt>
                <c:pt idx="19">
                  <c:v>0.98421208440615182</c:v>
                </c:pt>
                <c:pt idx="20">
                  <c:v>0.96770379274084029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88-45E5-A54F-D9A734A99EBF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0'!$J$3:$J$23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0'!$O$3:$O$23</c:f>
              <c:numCache>
                <c:formatCode>General</c:formatCode>
                <c:ptCount val="21"/>
                <c:pt idx="0">
                  <c:v>0.98556195338771579</c:v>
                </c:pt>
                <c:pt idx="1">
                  <c:v>0.99419853981712558</c:v>
                </c:pt>
                <c:pt idx="2">
                  <c:v>1.0019736091646108</c:v>
                </c:pt>
                <c:pt idx="3">
                  <c:v>1.0087434503953756</c:v>
                </c:pt>
                <c:pt idx="4">
                  <c:v>1.0153259059643494</c:v>
                </c:pt>
                <c:pt idx="5">
                  <c:v>1.0217493358933691</c:v>
                </c:pt>
                <c:pt idx="6">
                  <c:v>1.0277479810996264</c:v>
                </c:pt>
                <c:pt idx="7">
                  <c:v>1.0330837104475283</c:v>
                </c:pt>
                <c:pt idx="8">
                  <c:v>1.0380088347051022</c:v>
                </c:pt>
                <c:pt idx="9">
                  <c:v>1.0425966304117518</c:v>
                </c:pt>
                <c:pt idx="10">
                  <c:v>1.046064917315032</c:v>
                </c:pt>
                <c:pt idx="11">
                  <c:v>1.0480059514105975</c:v>
                </c:pt>
                <c:pt idx="12">
                  <c:v>1.048474860564826</c:v>
                </c:pt>
                <c:pt idx="13">
                  <c:v>1.0472321389779826</c:v>
                </c:pt>
                <c:pt idx="14">
                  <c:v>1.0441371201398817</c:v>
                </c:pt>
                <c:pt idx="15">
                  <c:v>1.0390733615617724</c:v>
                </c:pt>
                <c:pt idx="16">
                  <c:v>1.0317347883115662</c:v>
                </c:pt>
                <c:pt idx="17">
                  <c:v>1.0223560424227369</c:v>
                </c:pt>
                <c:pt idx="18">
                  <c:v>1.0109045996109309</c:v>
                </c:pt>
                <c:pt idx="19">
                  <c:v>0.99799961668179116</c:v>
                </c:pt>
                <c:pt idx="20">
                  <c:v>0.98491851048842771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88-45E5-A54F-D9A734A99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40128"/>
        <c:axId val="211046784"/>
      </c:scatterChart>
      <c:valAx>
        <c:axId val="21104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6784"/>
        <c:crossesAt val="0.8"/>
        <c:crossBetween val="midCat"/>
      </c:valAx>
      <c:valAx>
        <c:axId val="211046784"/>
        <c:scaling>
          <c:orientation val="minMax"/>
          <c:max val="1.2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40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</a:t>
            </a:r>
            <a:r>
              <a:rPr lang="en-GB" sz="1800" baseline="0"/>
              <a:t> 7 Full </a:t>
            </a:r>
            <a:r>
              <a:rPr lang="el-GR" sz="1800" baseline="0"/>
              <a:t>Δ</a:t>
            </a:r>
            <a:r>
              <a:rPr lang="en-GB" sz="1800" baseline="0"/>
              <a:t>E=1 </a:t>
            </a:r>
            <a:endParaRPr lang="en-GB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1'!$E$3:$E$23</c:f>
              <c:numCache>
                <c:formatCode>General</c:formatCode>
                <c:ptCount val="21"/>
                <c:pt idx="0">
                  <c:v>4.5198734778304512</c:v>
                </c:pt>
                <c:pt idx="1">
                  <c:v>4.714481996287879</c:v>
                </c:pt>
                <c:pt idx="2">
                  <c:v>4.8627245863810353</c:v>
                </c:pt>
                <c:pt idx="3">
                  <c:v>4.960261250438192</c:v>
                </c:pt>
                <c:pt idx="4">
                  <c:v>5.00469928570371</c:v>
                </c:pt>
                <c:pt idx="5">
                  <c:v>4.9949887129173174</c:v>
                </c:pt>
                <c:pt idx="6">
                  <c:v>4.9324921724842117</c:v>
                </c:pt>
                <c:pt idx="7">
                  <c:v>4.8200864927855021</c:v>
                </c:pt>
                <c:pt idx="8">
                  <c:v>4.6622228333591442</c:v>
                </c:pt>
                <c:pt idx="9">
                  <c:v>4.4652294734386944</c:v>
                </c:pt>
                <c:pt idx="10">
                  <c:v>4.2363953274981814</c:v>
                </c:pt>
                <c:pt idx="11">
                  <c:v>3.9838354693183997</c:v>
                </c:pt>
                <c:pt idx="12">
                  <c:v>3.716921982331387</c:v>
                </c:pt>
                <c:pt idx="13">
                  <c:v>3.4449004334409397</c:v>
                </c:pt>
                <c:pt idx="14">
                  <c:v>3.1771635588353568</c:v>
                </c:pt>
                <c:pt idx="15">
                  <c:v>2.9231484294498906</c:v>
                </c:pt>
                <c:pt idx="16">
                  <c:v>2.6914625597553825</c:v>
                </c:pt>
                <c:pt idx="17">
                  <c:v>2.4897500572940072</c:v>
                </c:pt>
                <c:pt idx="18">
                  <c:v>2.3247986515414247</c:v>
                </c:pt>
                <c:pt idx="19">
                  <c:v>2.2018157559322158</c:v>
                </c:pt>
                <c:pt idx="20">
                  <c:v>2.1241656848382942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E-46F7-ABEC-302EB3553A90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1'!$H$3:$H$23</c:f>
              <c:numCache>
                <c:formatCode>0.0000000</c:formatCode>
                <c:ptCount val="21"/>
                <c:pt idx="0">
                  <c:v>4.4099917</c:v>
                </c:pt>
                <c:pt idx="1">
                  <c:v>4.5660819999999998</c:v>
                </c:pt>
                <c:pt idx="2">
                  <c:v>4.6796074000000001</c:v>
                </c:pt>
                <c:pt idx="3">
                  <c:v>4.7483152999999998</c:v>
                </c:pt>
                <c:pt idx="4">
                  <c:v>4.7695761000000001</c:v>
                </c:pt>
                <c:pt idx="5">
                  <c:v>4.7434335000000001</c:v>
                </c:pt>
                <c:pt idx="6">
                  <c:v>4.6718859999999998</c:v>
                </c:pt>
                <c:pt idx="7">
                  <c:v>4.5575847999999999</c:v>
                </c:pt>
                <c:pt idx="8">
                  <c:v>4.4054536999999998</c:v>
                </c:pt>
                <c:pt idx="9">
                  <c:v>4.2206501999999997</c:v>
                </c:pt>
                <c:pt idx="10">
                  <c:v>4.0107470000000003</c:v>
                </c:pt>
                <c:pt idx="11">
                  <c:v>3.7825403</c:v>
                </c:pt>
                <c:pt idx="12">
                  <c:v>3.5451576999999999</c:v>
                </c:pt>
                <c:pt idx="13">
                  <c:v>3.3064542000000001</c:v>
                </c:pt>
                <c:pt idx="14">
                  <c:v>3.0745686999999999</c:v>
                </c:pt>
                <c:pt idx="15">
                  <c:v>2.8574896000000001</c:v>
                </c:pt>
                <c:pt idx="16">
                  <c:v>2.6626897</c:v>
                </c:pt>
                <c:pt idx="17">
                  <c:v>2.4956255000000001</c:v>
                </c:pt>
                <c:pt idx="18">
                  <c:v>2.3626029000000002</c:v>
                </c:pt>
                <c:pt idx="19">
                  <c:v>2.2668910000000002</c:v>
                </c:pt>
                <c:pt idx="20">
                  <c:v>2.2105882000000001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CE-46F7-ABEC-302EB3553A90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Full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1'!$K$3:$K$23</c:f>
              <c:numCache>
                <c:formatCode>General</c:formatCode>
                <c:ptCount val="21"/>
                <c:pt idx="0">
                  <c:v>4.3464880934903096</c:v>
                </c:pt>
                <c:pt idx="1">
                  <c:v>4.5395472598105799</c:v>
                </c:pt>
                <c:pt idx="2">
                  <c:v>4.6888953342894597</c:v>
                </c:pt>
                <c:pt idx="3">
                  <c:v>4.78988733879868</c:v>
                </c:pt>
                <c:pt idx="4">
                  <c:v>4.8426124759279903</c:v>
                </c:pt>
                <c:pt idx="5">
                  <c:v>4.8466154595281301</c:v>
                </c:pt>
                <c:pt idx="6">
                  <c:v>4.8013781560504798</c:v>
                </c:pt>
                <c:pt idx="7">
                  <c:v>4.7082539677281403</c:v>
                </c:pt>
                <c:pt idx="8">
                  <c:v>4.5727907314860001</c:v>
                </c:pt>
                <c:pt idx="9">
                  <c:v>4.4002575815434399</c:v>
                </c:pt>
                <c:pt idx="10">
                  <c:v>4.1953590670675398</c:v>
                </c:pt>
                <c:pt idx="11">
                  <c:v>3.96427141822819</c:v>
                </c:pt>
                <c:pt idx="12">
                  <c:v>3.7170025466267602</c:v>
                </c:pt>
                <c:pt idx="13">
                  <c:v>3.46265701439274</c:v>
                </c:pt>
                <c:pt idx="14">
                  <c:v>3.21017056329487</c:v>
                </c:pt>
                <c:pt idx="15">
                  <c:v>2.9689415184049799</c:v>
                </c:pt>
                <c:pt idx="16">
                  <c:v>2.74701474720997</c:v>
                </c:pt>
                <c:pt idx="17">
                  <c:v>2.5514191924030301</c:v>
                </c:pt>
                <c:pt idx="18">
                  <c:v>2.3882719601653002</c:v>
                </c:pt>
                <c:pt idx="19">
                  <c:v>2.26234985959251</c:v>
                </c:pt>
                <c:pt idx="20">
                  <c:v>2.17731345730515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CE-46F7-ABEC-302EB3553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997632"/>
        <c:axId val="210999936"/>
      </c:scatterChart>
      <c:valAx>
        <c:axId val="21099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9936"/>
        <c:crosses val="autoZero"/>
        <c:crossBetween val="midCat"/>
      </c:valAx>
      <c:valAx>
        <c:axId val="21099993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99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Full 1'!$J$3:$J$23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1'!$M$3:$M$23</c:f>
              <c:numCache>
                <c:formatCode>General</c:formatCode>
                <c:ptCount val="21"/>
                <c:pt idx="0">
                  <c:v>1.0249165498044932</c:v>
                </c:pt>
                <c:pt idx="1">
                  <c:v>1.0325005105663629</c:v>
                </c:pt>
                <c:pt idx="2">
                  <c:v>1.0391308865741675</c:v>
                </c:pt>
                <c:pt idx="3">
                  <c:v>1.044636031317927</c:v>
                </c:pt>
                <c:pt idx="4">
                  <c:v>1.049296453348068</c:v>
                </c:pt>
                <c:pt idx="5">
                  <c:v>1.0530323051682535</c:v>
                </c:pt>
                <c:pt idx="6">
                  <c:v>1.0557817918682544</c:v>
                </c:pt>
                <c:pt idx="7">
                  <c:v>1.0575966667225813</c:v>
                </c:pt>
                <c:pt idx="8">
                  <c:v>1.058284379054794</c:v>
                </c:pt>
                <c:pt idx="9">
                  <c:v>1.0579482453766709</c:v>
                </c:pt>
                <c:pt idx="10">
                  <c:v>1.0562609228401045</c:v>
                </c:pt>
                <c:pt idx="11">
                  <c:v>1.053216926550234</c:v>
                </c:pt>
                <c:pt idx="12">
                  <c:v>1.0484503925823629</c:v>
                </c:pt>
                <c:pt idx="13">
                  <c:v>1.0418715110104775</c:v>
                </c:pt>
                <c:pt idx="14">
                  <c:v>1.0333688620570933</c:v>
                </c:pt>
                <c:pt idx="15">
                  <c:v>1.0229778017214448</c:v>
                </c:pt>
                <c:pt idx="16">
                  <c:v>1.0108059379789476</c:v>
                </c:pt>
                <c:pt idx="17">
                  <c:v>0.99764570336935854</c:v>
                </c:pt>
                <c:pt idx="18">
                  <c:v>0.98399889864751477</c:v>
                </c:pt>
                <c:pt idx="19">
                  <c:v>0.97129317463090004</c:v>
                </c:pt>
                <c:pt idx="20">
                  <c:v>0.96090519475237135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19-43AB-B458-394A5460D750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Full 1'!$J$3:$J$23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Full 1'!$O$3:$O$23</c:f>
              <c:numCache>
                <c:formatCode>General</c:formatCode>
                <c:ptCount val="21"/>
                <c:pt idx="0">
                  <c:v>0.9856000621249037</c:v>
                </c:pt>
                <c:pt idx="1">
                  <c:v>0.99418872893885402</c:v>
                </c:pt>
                <c:pt idx="2">
                  <c:v>1.0019847678438707</c:v>
                </c:pt>
                <c:pt idx="3">
                  <c:v>1.0087551133764601</c:v>
                </c:pt>
                <c:pt idx="4">
                  <c:v>1.0153129700410881</c:v>
                </c:pt>
                <c:pt idx="5">
                  <c:v>1.0217525890324235</c:v>
                </c:pt>
                <c:pt idx="6">
                  <c:v>1.0277173193118325</c:v>
                </c:pt>
                <c:pt idx="7">
                  <c:v>1.0330589938179846</c:v>
                </c:pt>
                <c:pt idx="8">
                  <c:v>1.037984063136562</c:v>
                </c:pt>
                <c:pt idx="9">
                  <c:v>1.0425544342773159</c:v>
                </c:pt>
                <c:pt idx="10">
                  <c:v>1.0460293474177103</c:v>
                </c:pt>
                <c:pt idx="11">
                  <c:v>1.048044727567923</c:v>
                </c:pt>
                <c:pt idx="12">
                  <c:v>1.0484731177478397</c:v>
                </c:pt>
                <c:pt idx="13">
                  <c:v>1.0472417898281305</c:v>
                </c:pt>
                <c:pt idx="14">
                  <c:v>1.0441043530088854</c:v>
                </c:pt>
                <c:pt idx="15">
                  <c:v>1.0390034379845092</c:v>
                </c:pt>
                <c:pt idx="16">
                  <c:v>1.0316691228459591</c:v>
                </c:pt>
                <c:pt idx="17">
                  <c:v>1.0223565965338268</c:v>
                </c:pt>
                <c:pt idx="18">
                  <c:v>1.0108647374323041</c:v>
                </c:pt>
                <c:pt idx="19">
                  <c:v>0.9979967539650163</c:v>
                </c:pt>
                <c:pt idx="20">
                  <c:v>0.98494756160606933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1E-4D22-AA8B-FF9BFC3B1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099648"/>
        <c:axId val="211101952"/>
      </c:scatterChart>
      <c:valAx>
        <c:axId val="21109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01952"/>
        <c:crosses val="autoZero"/>
        <c:crossBetween val="midCat"/>
      </c:valAx>
      <c:valAx>
        <c:axId val="211101952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to NDF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099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7 </a:t>
            </a:r>
            <a:r>
              <a:rPr lang="el-GR" sz="1800"/>
              <a:t>Δ</a:t>
            </a:r>
            <a:r>
              <a:rPr lang="en-GB" sz="1800"/>
              <a:t>E=0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0'!$E$3:$E$23</c:f>
              <c:numCache>
                <c:formatCode>General</c:formatCode>
                <c:ptCount val="21"/>
                <c:pt idx="0">
                  <c:v>4.5265637812397728</c:v>
                </c:pt>
                <c:pt idx="1">
                  <c:v>4.7088978662772973</c:v>
                </c:pt>
                <c:pt idx="2">
                  <c:v>4.8449186359697594</c:v>
                </c:pt>
                <c:pt idx="3">
                  <c:v>4.9299014902486009</c:v>
                </c:pt>
                <c:pt idx="4">
                  <c:v>4.9621723539744034</c:v>
                </c:pt>
                <c:pt idx="5">
                  <c:v>4.9400190719553878</c:v>
                </c:pt>
                <c:pt idx="6">
                  <c:v>4.8656752324224293</c:v>
                </c:pt>
                <c:pt idx="7">
                  <c:v>4.7416844357042072</c:v>
                </c:pt>
                <c:pt idx="8">
                  <c:v>4.5735361206408323</c:v>
                </c:pt>
                <c:pt idx="9">
                  <c:v>4.3674999317700927</c:v>
                </c:pt>
                <c:pt idx="10">
                  <c:v>4.1317828010345261</c:v>
                </c:pt>
                <c:pt idx="11">
                  <c:v>3.8740584047383808</c:v>
                </c:pt>
                <c:pt idx="12">
                  <c:v>3.6043563909409593</c:v>
                </c:pt>
                <c:pt idx="13">
                  <c:v>3.3313137692905355</c:v>
                </c:pt>
                <c:pt idx="14">
                  <c:v>3.0657964527773731</c:v>
                </c:pt>
                <c:pt idx="15">
                  <c:v>2.8155034798790854</c:v>
                </c:pt>
                <c:pt idx="16">
                  <c:v>2.5903308198882149</c:v>
                </c:pt>
                <c:pt idx="17">
                  <c:v>2.3954717457239236</c:v>
                </c:pt>
                <c:pt idx="18">
                  <c:v>2.2398432443341436</c:v>
                </c:pt>
                <c:pt idx="19">
                  <c:v>2.125370731468005</c:v>
                </c:pt>
                <c:pt idx="20">
                  <c:v>2.0566816509380819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7E-4C26-96B1-67CEC33C77A5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0'!$H$3:$H$23</c:f>
              <c:numCache>
                <c:formatCode>0.0000000</c:formatCode>
                <c:ptCount val="21"/>
                <c:pt idx="0">
                  <c:v>4.4393425000000004</c:v>
                </c:pt>
                <c:pt idx="1">
                  <c:v>4.5989570999999998</c:v>
                </c:pt>
                <c:pt idx="2">
                  <c:v>4.7154641000000002</c:v>
                </c:pt>
                <c:pt idx="3">
                  <c:v>4.7856503000000004</c:v>
                </c:pt>
                <c:pt idx="4">
                  <c:v>4.8071780000000004</c:v>
                </c:pt>
                <c:pt idx="5">
                  <c:v>4.7801179999999999</c:v>
                </c:pt>
                <c:pt idx="6">
                  <c:v>4.7064785999999996</c:v>
                </c:pt>
                <c:pt idx="7">
                  <c:v>4.5887298999999997</c:v>
                </c:pt>
                <c:pt idx="8">
                  <c:v>4.4322176000000004</c:v>
                </c:pt>
                <c:pt idx="9">
                  <c:v>4.2420077000000003</c:v>
                </c:pt>
                <c:pt idx="10">
                  <c:v>4.0260924999999999</c:v>
                </c:pt>
                <c:pt idx="11">
                  <c:v>3.7915716000000002</c:v>
                </c:pt>
                <c:pt idx="12">
                  <c:v>3.5473146</c:v>
                </c:pt>
                <c:pt idx="13">
                  <c:v>3.301806</c:v>
                </c:pt>
                <c:pt idx="14">
                  <c:v>3.0633279999999998</c:v>
                </c:pt>
                <c:pt idx="15">
                  <c:v>2.8403434999999999</c:v>
                </c:pt>
                <c:pt idx="16">
                  <c:v>2.6400329999999999</c:v>
                </c:pt>
                <c:pt idx="17">
                  <c:v>2.4687022999999999</c:v>
                </c:pt>
                <c:pt idx="18">
                  <c:v>2.3322064999999998</c:v>
                </c:pt>
                <c:pt idx="19">
                  <c:v>2.2342824999999999</c:v>
                </c:pt>
                <c:pt idx="20">
                  <c:v>2.1771110999999999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7E-4C26-96B1-67CEC33C77A5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0'!$K$3:$K$23</c:f>
              <c:numCache>
                <c:formatCode>General</c:formatCode>
                <c:ptCount val="21"/>
                <c:pt idx="0">
                  <c:v>4.4376320638188904</c:v>
                </c:pt>
                <c:pt idx="1">
                  <c:v>4.5973096026830902</c:v>
                </c:pt>
                <c:pt idx="2">
                  <c:v>4.7137968911815804</c:v>
                </c:pt>
                <c:pt idx="3">
                  <c:v>4.7837617694648999</c:v>
                </c:pt>
                <c:pt idx="4">
                  <c:v>4.8054601075735697</c:v>
                </c:pt>
                <c:pt idx="5">
                  <c:v>4.7787558585553302</c:v>
                </c:pt>
                <c:pt idx="6">
                  <c:v>4.7051418555727</c:v>
                </c:pt>
                <c:pt idx="7">
                  <c:v>4.5877472724337798</c:v>
                </c:pt>
                <c:pt idx="8">
                  <c:v>4.4312874932378099</c:v>
                </c:pt>
                <c:pt idx="9">
                  <c:v>4.2416833419637596</c:v>
                </c:pt>
                <c:pt idx="10">
                  <c:v>4.0258782673300404</c:v>
                </c:pt>
                <c:pt idx="11">
                  <c:v>3.7918458825815602</c:v>
                </c:pt>
                <c:pt idx="12">
                  <c:v>3.5479345720436499</c:v>
                </c:pt>
                <c:pt idx="13">
                  <c:v>3.30269121002015</c:v>
                </c:pt>
                <c:pt idx="14">
                  <c:v>3.06458907152438</c:v>
                </c:pt>
                <c:pt idx="15">
                  <c:v>2.8416596251093198</c:v>
                </c:pt>
                <c:pt idx="16">
                  <c:v>2.6413650669120301</c:v>
                </c:pt>
                <c:pt idx="17">
                  <c:v>2.4703303405291699</c:v>
                </c:pt>
                <c:pt idx="18">
                  <c:v>2.3337560653206202</c:v>
                </c:pt>
                <c:pt idx="19">
                  <c:v>2.2355645112421398</c:v>
                </c:pt>
                <c:pt idx="20">
                  <c:v>2.1783805101765799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7E-4C26-96B1-67CEC33C77A5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Gauss 0'!$Z$3:$Z$23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0'!$AA$3:$AA$23</c:f>
              <c:numCache>
                <c:formatCode>General</c:formatCode>
                <c:ptCount val="21"/>
                <c:pt idx="0">
                  <c:v>4.3099983116458898</c:v>
                </c:pt>
                <c:pt idx="1">
                  <c:v>4.4984367177355598</c:v>
                </c:pt>
                <c:pt idx="2">
                  <c:v>4.6443176365656704</c:v>
                </c:pt>
                <c:pt idx="3">
                  <c:v>4.74322677859967</c:v>
                </c:pt>
                <c:pt idx="4">
                  <c:v>4.79531924317084</c:v>
                </c:pt>
                <c:pt idx="5">
                  <c:v>4.80016276790208</c:v>
                </c:pt>
                <c:pt idx="6">
                  <c:v>4.7572167169770898</c:v>
                </c:pt>
                <c:pt idx="7">
                  <c:v>4.6677736801462002</c:v>
                </c:pt>
                <c:pt idx="8">
                  <c:v>4.5372671600348804</c:v>
                </c:pt>
                <c:pt idx="9">
                  <c:v>4.3707579072506899</c:v>
                </c:pt>
                <c:pt idx="10">
                  <c:v>4.1727036299038396</c:v>
                </c:pt>
                <c:pt idx="11">
                  <c:v>3.9492870928977202</c:v>
                </c:pt>
                <c:pt idx="12">
                  <c:v>3.7100740436644499</c:v>
                </c:pt>
                <c:pt idx="13">
                  <c:v>3.4638915438466298</c:v>
                </c:pt>
                <c:pt idx="14">
                  <c:v>3.2192864305139399</c:v>
                </c:pt>
                <c:pt idx="15">
                  <c:v>2.9854840019192301</c:v>
                </c:pt>
                <c:pt idx="16">
                  <c:v>2.7702619361330298</c:v>
                </c:pt>
                <c:pt idx="17">
                  <c:v>2.5803354291706802</c:v>
                </c:pt>
                <c:pt idx="18">
                  <c:v>2.4217111255753201</c:v>
                </c:pt>
                <c:pt idx="19">
                  <c:v>2.2990298516275001</c:v>
                </c:pt>
                <c:pt idx="20">
                  <c:v>2.21579090090707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EA-4A61-9D15-C0C16C793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794368"/>
        <c:axId val="210801024"/>
      </c:scatterChart>
      <c:valAx>
        <c:axId val="21079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01024"/>
        <c:crossesAt val="1"/>
        <c:crossBetween val="midCat"/>
      </c:valAx>
      <c:valAx>
        <c:axId val="210801024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94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0'!$A$3:$A$23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0'!$M$3:$M$23</c:f>
              <c:numCache>
                <c:formatCode>General</c:formatCode>
                <c:ptCount val="21"/>
                <c:pt idx="0">
                  <c:v>1.0196473421998353</c:v>
                </c:pt>
                <c:pt idx="1">
                  <c:v>1.0239055863942061</c:v>
                </c:pt>
                <c:pt idx="2">
                  <c:v>1.0274531908682667</c:v>
                </c:pt>
                <c:pt idx="3">
                  <c:v>1.0301424427623975</c:v>
                </c:pt>
                <c:pt idx="4">
                  <c:v>1.0322422747762623</c:v>
                </c:pt>
                <c:pt idx="5">
                  <c:v>1.0334512813188688</c:v>
                </c:pt>
                <c:pt idx="6">
                  <c:v>1.0338249986778714</c:v>
                </c:pt>
                <c:pt idx="7">
                  <c:v>1.0333326517440495</c:v>
                </c:pt>
                <c:pt idx="8">
                  <c:v>1.0318843823554222</c:v>
                </c:pt>
                <c:pt idx="9">
                  <c:v>1.0295832164024814</c:v>
                </c:pt>
                <c:pt idx="10">
                  <c:v>1.0262513345221269</c:v>
                </c:pt>
                <c:pt idx="11">
                  <c:v>1.0217553071497794</c:v>
                </c:pt>
                <c:pt idx="12">
                  <c:v>1.0160802740588499</c:v>
                </c:pt>
                <c:pt idx="13">
                  <c:v>1.0089368573715523</c:v>
                </c:pt>
                <c:pt idx="14">
                  <c:v>1.0008058075326485</c:v>
                </c:pt>
                <c:pt idx="15">
                  <c:v>0.9912545718076301</c:v>
                </c:pt>
                <c:pt idx="16">
                  <c:v>0.98117365195367445</c:v>
                </c:pt>
                <c:pt idx="17">
                  <c:v>0.97033641752750976</c:v>
                </c:pt>
                <c:pt idx="18">
                  <c:v>0.96039662196899966</c:v>
                </c:pt>
                <c:pt idx="19">
                  <c:v>0.95125425342050751</c:v>
                </c:pt>
                <c:pt idx="20">
                  <c:v>0.9446838293820109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61-4DCB-90C3-B16D732486E2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0'!$J$3:$J$23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0'!$O$3:$O$23</c:f>
              <c:numCache>
                <c:formatCode>General</c:formatCode>
                <c:ptCount val="21"/>
                <c:pt idx="0">
                  <c:v>0.99961470956991716</c:v>
                </c:pt>
                <c:pt idx="1">
                  <c:v>0.99964176719175968</c:v>
                </c:pt>
                <c:pt idx="2">
                  <c:v>0.99964643802114417</c:v>
                </c:pt>
                <c:pt idx="3">
                  <c:v>0.99960537640305636</c:v>
                </c:pt>
                <c:pt idx="4">
                  <c:v>0.99964264014637472</c:v>
                </c:pt>
                <c:pt idx="5">
                  <c:v>0.99971504020514357</c:v>
                </c:pt>
                <c:pt idx="6">
                  <c:v>0.99971597779552224</c:v>
                </c:pt>
                <c:pt idx="7">
                  <c:v>0.99978586066566699</c:v>
                </c:pt>
                <c:pt idx="8">
                  <c:v>0.99979014866910176</c:v>
                </c:pt>
                <c:pt idx="9">
                  <c:v>0.99992353666961975</c:v>
                </c:pt>
                <c:pt idx="10">
                  <c:v>0.99994678893493893</c:v>
                </c:pt>
                <c:pt idx="11">
                  <c:v>1.0000723400770171</c:v>
                </c:pt>
                <c:pt idx="12">
                  <c:v>1.0001747722188639</c:v>
                </c:pt>
                <c:pt idx="13">
                  <c:v>1.0002680987375243</c:v>
                </c:pt>
                <c:pt idx="14">
                  <c:v>1.0004116671555838</c:v>
                </c:pt>
                <c:pt idx="15">
                  <c:v>1.0004633682895467</c:v>
                </c:pt>
                <c:pt idx="16">
                  <c:v>1.0005045644929553</c:v>
                </c:pt>
                <c:pt idx="17">
                  <c:v>1.0006594721968582</c:v>
                </c:pt>
                <c:pt idx="18">
                  <c:v>1.0006644202906647</c:v>
                </c:pt>
                <c:pt idx="19">
                  <c:v>1.0005737910233554</c:v>
                </c:pt>
                <c:pt idx="20">
                  <c:v>1.0005830709220949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C-4328-B062-7F7E48C7E93A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0'!$Z$3:$Z$23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0'!$AB$3:$AB$23</c:f>
              <c:numCache>
                <c:formatCode>General</c:formatCode>
                <c:ptCount val="21"/>
                <c:pt idx="0">
                  <c:v>0.97086411144125273</c:v>
                </c:pt>
                <c:pt idx="1">
                  <c:v>0.9781427875758093</c:v>
                </c:pt>
                <c:pt idx="2">
                  <c:v>0.98491209731947071</c:v>
                </c:pt>
                <c:pt idx="3">
                  <c:v>0.99113526506516147</c:v>
                </c:pt>
                <c:pt idx="4">
                  <c:v>0.99753311468201089</c:v>
                </c:pt>
                <c:pt idx="5">
                  <c:v>1.0041933625701458</c:v>
                </c:pt>
                <c:pt idx="6">
                  <c:v>1.0107804839433647</c:v>
                </c:pt>
                <c:pt idx="7">
                  <c:v>1.0172256336434622</c:v>
                </c:pt>
                <c:pt idx="8">
                  <c:v>1.0237013543818065</c:v>
                </c:pt>
                <c:pt idx="9">
                  <c:v>1.0303512431744737</c:v>
                </c:pt>
                <c:pt idx="10">
                  <c:v>1.0364152413050221</c:v>
                </c:pt>
                <c:pt idx="11">
                  <c:v>1.0415963377554891</c:v>
                </c:pt>
                <c:pt idx="12">
                  <c:v>1.0458824384125529</c:v>
                </c:pt>
                <c:pt idx="13">
                  <c:v>1.0490899658691728</c:v>
                </c:pt>
                <c:pt idx="14">
                  <c:v>1.050911437010317</c:v>
                </c:pt>
                <c:pt idx="15">
                  <c:v>1.0510996299987063</c:v>
                </c:pt>
                <c:pt idx="16">
                  <c:v>1.0493285258680591</c:v>
                </c:pt>
                <c:pt idx="17">
                  <c:v>1.0452193564087011</c:v>
                </c:pt>
                <c:pt idx="18">
                  <c:v>1.0383776589145601</c:v>
                </c:pt>
                <c:pt idx="19">
                  <c:v>1.0289790353849615</c:v>
                </c:pt>
                <c:pt idx="20">
                  <c:v>1.0177665719067208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A9-4D77-BFED-6A6112106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08224"/>
        <c:axId val="211523072"/>
      </c:scatterChart>
      <c:valAx>
        <c:axId val="211508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{keV)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23072"/>
        <c:crosses val="autoZero"/>
        <c:crossBetween val="midCat"/>
      </c:valAx>
      <c:valAx>
        <c:axId val="21152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</a:t>
                </a:r>
                <a:r>
                  <a:rPr lang="en-GB" sz="1600" baseline="0"/>
                  <a:t> to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8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800"/>
              <a:t>Ex 7 Gauss </a:t>
            </a:r>
            <a:r>
              <a:rPr lang="el-GR" sz="1800"/>
              <a:t>Δ</a:t>
            </a:r>
            <a:r>
              <a:rPr lang="en-GB" sz="1800"/>
              <a:t>E=1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1'!$E$3:$E$23</c:f>
              <c:numCache>
                <c:formatCode>General</c:formatCode>
                <c:ptCount val="21"/>
                <c:pt idx="0">
                  <c:v>4.5233158655077927</c:v>
                </c:pt>
                <c:pt idx="1">
                  <c:v>4.7050127443357477</c:v>
                </c:pt>
                <c:pt idx="2">
                  <c:v>4.8379560816482172</c:v>
                </c:pt>
                <c:pt idx="3">
                  <c:v>4.9225664136756659</c:v>
                </c:pt>
                <c:pt idx="4">
                  <c:v>4.9523743503689115</c:v>
                </c:pt>
                <c:pt idx="5">
                  <c:v>4.9295869772235141</c:v>
                </c:pt>
                <c:pt idx="6">
                  <c:v>4.8545131412471081</c:v>
                </c:pt>
                <c:pt idx="7">
                  <c:v>4.7300078652384832</c:v>
                </c:pt>
                <c:pt idx="8">
                  <c:v>4.5623859256493402</c:v>
                </c:pt>
                <c:pt idx="9">
                  <c:v>4.3569070178025804</c:v>
                </c:pt>
                <c:pt idx="10">
                  <c:v>4.121436567316052</c:v>
                </c:pt>
                <c:pt idx="11">
                  <c:v>3.8661866753695113</c:v>
                </c:pt>
                <c:pt idx="12">
                  <c:v>3.597022258704266</c:v>
                </c:pt>
                <c:pt idx="13">
                  <c:v>3.3266316520887695</c:v>
                </c:pt>
                <c:pt idx="14">
                  <c:v>3.0619408995979014</c:v>
                </c:pt>
                <c:pt idx="15">
                  <c:v>2.8127930754305317</c:v>
                </c:pt>
                <c:pt idx="16">
                  <c:v>2.590141964903879</c:v>
                </c:pt>
                <c:pt idx="17">
                  <c:v>2.3964931128224696</c:v>
                </c:pt>
                <c:pt idx="18">
                  <c:v>2.2426522154109918</c:v>
                </c:pt>
                <c:pt idx="19">
                  <c:v>2.1297846326487671</c:v>
                </c:pt>
                <c:pt idx="20">
                  <c:v>2.062403040834675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3-4534-9F06-B468CD702C72}"/>
            </c:ext>
          </c:extLst>
        </c:ser>
        <c:ser>
          <c:idx val="1"/>
          <c:order val="1"/>
          <c:tx>
            <c:v>NDF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1'!$H$3:$H$23</c:f>
              <c:numCache>
                <c:formatCode>0.0000000</c:formatCode>
                <c:ptCount val="21"/>
                <c:pt idx="0">
                  <c:v>4.4384598999999998</c:v>
                </c:pt>
                <c:pt idx="1">
                  <c:v>4.5979643000000001</c:v>
                </c:pt>
                <c:pt idx="2">
                  <c:v>4.7143698000000001</c:v>
                </c:pt>
                <c:pt idx="3">
                  <c:v>4.7845887999999999</c:v>
                </c:pt>
                <c:pt idx="4">
                  <c:v>4.8061503999999999</c:v>
                </c:pt>
                <c:pt idx="5">
                  <c:v>4.7790780000000002</c:v>
                </c:pt>
                <c:pt idx="6">
                  <c:v>4.7054086000000002</c:v>
                </c:pt>
                <c:pt idx="7">
                  <c:v>4.5878724999999996</c:v>
                </c:pt>
                <c:pt idx="8">
                  <c:v>4.4314837000000002</c:v>
                </c:pt>
                <c:pt idx="9">
                  <c:v>4.2414255000000001</c:v>
                </c:pt>
                <c:pt idx="10">
                  <c:v>4.0256610000000004</c:v>
                </c:pt>
                <c:pt idx="11">
                  <c:v>3.7911581999999999</c:v>
                </c:pt>
                <c:pt idx="12">
                  <c:v>3.5472548000000002</c:v>
                </c:pt>
                <c:pt idx="13">
                  <c:v>3.3020119999999999</c:v>
                </c:pt>
                <c:pt idx="14">
                  <c:v>3.0637310000000002</c:v>
                </c:pt>
                <c:pt idx="15">
                  <c:v>2.8407819000000001</c:v>
                </c:pt>
                <c:pt idx="16">
                  <c:v>2.6407362999999999</c:v>
                </c:pt>
                <c:pt idx="17">
                  <c:v>2.4694262</c:v>
                </c:pt>
                <c:pt idx="18">
                  <c:v>2.3331013</c:v>
                </c:pt>
                <c:pt idx="19">
                  <c:v>2.2351747</c:v>
                </c:pt>
                <c:pt idx="20">
                  <c:v>2.1779768000000002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3-4534-9F06-B468CD702C72}"/>
            </c:ext>
          </c:extLst>
        </c:ser>
        <c:ser>
          <c:idx val="2"/>
          <c:order val="2"/>
          <c:tx>
            <c:v>SMNRA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1'!$A$3:$A$23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1'!$K$3:$K$23</c:f>
              <c:numCache>
                <c:formatCode>General</c:formatCode>
                <c:ptCount val="21"/>
                <c:pt idx="0">
                  <c:v>4.4367855954693001</c:v>
                </c:pt>
                <c:pt idx="1">
                  <c:v>4.5963324696085701</c:v>
                </c:pt>
                <c:pt idx="2">
                  <c:v>4.7127310149586998</c:v>
                </c:pt>
                <c:pt idx="3">
                  <c:v>4.78265773759993</c:v>
                </c:pt>
                <c:pt idx="4">
                  <c:v>4.8043680574758101</c:v>
                </c:pt>
                <c:pt idx="5">
                  <c:v>4.7776862192876397</c:v>
                </c:pt>
                <c:pt idx="6">
                  <c:v>4.7041429769925003</c:v>
                </c:pt>
                <c:pt idx="7">
                  <c:v>4.5868701642705796</c:v>
                </c:pt>
                <c:pt idx="8">
                  <c:v>4.4305317957243</c:v>
                </c:pt>
                <c:pt idx="9">
                  <c:v>4.2410859384320503</c:v>
                </c:pt>
                <c:pt idx="10">
                  <c:v>4.0254774317348101</c:v>
                </c:pt>
                <c:pt idx="11">
                  <c:v>3.7916311887119498</c:v>
                </c:pt>
                <c:pt idx="12">
                  <c:v>3.5478938210639801</c:v>
                </c:pt>
                <c:pt idx="13">
                  <c:v>3.3028293495007501</c:v>
                </c:pt>
                <c:pt idx="14">
                  <c:v>3.0649328429480098</c:v>
                </c:pt>
                <c:pt idx="15">
                  <c:v>2.84219138885295</c:v>
                </c:pt>
                <c:pt idx="16">
                  <c:v>2.6420655061835401</c:v>
                </c:pt>
                <c:pt idx="17">
                  <c:v>2.47113459470012</c:v>
                </c:pt>
                <c:pt idx="18">
                  <c:v>2.3345965089591001</c:v>
                </c:pt>
                <c:pt idx="19">
                  <c:v>2.2364563211515001</c:v>
                </c:pt>
                <c:pt idx="20">
                  <c:v>2.1793117297970301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513-4534-9F06-B468CD702C72}"/>
            </c:ext>
          </c:extLst>
        </c:ser>
        <c:ser>
          <c:idx val="3"/>
          <c:order val="3"/>
          <c:tx>
            <c:v>SMNRA-asym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'Ex 7 Gauss 1'!$Y$3:$Y$23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1'!$Z$3:$Z$23</c:f>
              <c:numCache>
                <c:formatCode>General</c:formatCode>
                <c:ptCount val="21"/>
                <c:pt idx="0">
                  <c:v>4.3092011718040304</c:v>
                </c:pt>
                <c:pt idx="1">
                  <c:v>4.4974623311607802</c:v>
                </c:pt>
                <c:pt idx="2">
                  <c:v>4.6432936188082703</c:v>
                </c:pt>
                <c:pt idx="3">
                  <c:v>4.7422378080380296</c:v>
                </c:pt>
                <c:pt idx="4">
                  <c:v>4.7942795957849498</c:v>
                </c:pt>
                <c:pt idx="5">
                  <c:v>4.7990639635981198</c:v>
                </c:pt>
                <c:pt idx="6">
                  <c:v>4.7561502694108801</c:v>
                </c:pt>
                <c:pt idx="7">
                  <c:v>4.6668287715165402</c:v>
                </c:pt>
                <c:pt idx="8">
                  <c:v>4.53642648512663</c:v>
                </c:pt>
                <c:pt idx="9">
                  <c:v>4.37005754326933</c:v>
                </c:pt>
                <c:pt idx="10">
                  <c:v>4.1721660482262299</c:v>
                </c:pt>
                <c:pt idx="11">
                  <c:v>3.94892166359798</c:v>
                </c:pt>
                <c:pt idx="12">
                  <c:v>3.7098322323202799</c:v>
                </c:pt>
                <c:pt idx="13">
                  <c:v>3.4638397799904599</c:v>
                </c:pt>
                <c:pt idx="14">
                  <c:v>3.2194833409485102</c:v>
                </c:pt>
                <c:pt idx="15">
                  <c:v>2.98587269061913</c:v>
                </c:pt>
                <c:pt idx="16">
                  <c:v>2.77076559710699</c:v>
                </c:pt>
                <c:pt idx="17">
                  <c:v>2.58095203797805</c:v>
                </c:pt>
                <c:pt idx="18">
                  <c:v>2.42246400329193</c:v>
                </c:pt>
                <c:pt idx="19">
                  <c:v>2.29991755190966</c:v>
                </c:pt>
                <c:pt idx="20">
                  <c:v>2.2167247841098701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64-4202-BA3A-F3EC21D3C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571840"/>
        <c:axId val="211574144"/>
      </c:scatterChart>
      <c:valAx>
        <c:axId val="21157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4144"/>
        <c:crosses val="autoZero"/>
        <c:crossBetween val="midCat"/>
      </c:valAx>
      <c:valAx>
        <c:axId val="2115741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7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ERYA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 7 Gauss 1'!$J$3:$J$23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1'!$M$3:$M$23</c:f>
              <c:numCache>
                <c:formatCode>General</c:formatCode>
                <c:ptCount val="21"/>
                <c:pt idx="0">
                  <c:v>1.0191183355081777</c:v>
                </c:pt>
                <c:pt idx="1">
                  <c:v>1.02328170410887</c:v>
                </c:pt>
                <c:pt idx="2">
                  <c:v>1.0262148042879915</c:v>
                </c:pt>
                <c:pt idx="3">
                  <c:v>1.0288379251474371</c:v>
                </c:pt>
                <c:pt idx="4">
                  <c:v>1.0304243392734675</c:v>
                </c:pt>
                <c:pt idx="5">
                  <c:v>1.0314933083794644</c:v>
                </c:pt>
                <c:pt idx="6">
                  <c:v>1.0316879051156382</c:v>
                </c:pt>
                <c:pt idx="7">
                  <c:v>1.0309806702863873</c:v>
                </c:pt>
                <c:pt idx="8">
                  <c:v>1.0295391418565616</c:v>
                </c:pt>
                <c:pt idx="9">
                  <c:v>1.0272270532165613</c:v>
                </c:pt>
                <c:pt idx="10">
                  <c:v>1.0237912649167558</c:v>
                </c:pt>
                <c:pt idx="11">
                  <c:v>1.0197903836799824</c:v>
                </c:pt>
                <c:pt idx="12">
                  <c:v>1.0140298516769266</c:v>
                </c:pt>
                <c:pt idx="13">
                  <c:v>1.0074559547599371</c:v>
                </c:pt>
                <c:pt idx="14">
                  <c:v>0.99941571227953796</c:v>
                </c:pt>
                <c:pt idx="15">
                  <c:v>0.99014749264296975</c:v>
                </c:pt>
                <c:pt idx="16">
                  <c:v>0.98084082265384809</c:v>
                </c:pt>
                <c:pt idx="17">
                  <c:v>0.97046557326656269</c:v>
                </c:pt>
                <c:pt idx="18">
                  <c:v>0.96123225142902791</c:v>
                </c:pt>
                <c:pt idx="19">
                  <c:v>0.9528492930099679</c:v>
                </c:pt>
                <c:pt idx="20">
                  <c:v>0.94693526617669888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34-4838-9AE4-1CC2B8D276B9}"/>
            </c:ext>
          </c:extLst>
        </c:ser>
        <c:ser>
          <c:idx val="1"/>
          <c:order val="1"/>
          <c:tx>
            <c:v>SMNRA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 7 Gauss 1'!$J$3:$J$23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1'!$O$3:$O$23</c:f>
              <c:numCache>
                <c:formatCode>General</c:formatCode>
                <c:ptCount val="21"/>
                <c:pt idx="0">
                  <c:v>0.99962277353667206</c:v>
                </c:pt>
                <c:pt idx="1">
                  <c:v>0.99964509720281425</c:v>
                </c:pt>
                <c:pt idx="2">
                  <c:v>0.99965238513081855</c:v>
                </c:pt>
                <c:pt idx="3">
                  <c:v>0.99959639950666823</c:v>
                </c:pt>
                <c:pt idx="4">
                  <c:v>0.99962915381836781</c:v>
                </c:pt>
                <c:pt idx="5">
                  <c:v>0.99970877631368216</c:v>
                </c:pt>
                <c:pt idx="6">
                  <c:v>0.99973102803282587</c:v>
                </c:pt>
                <c:pt idx="7">
                  <c:v>0.99978152493788353</c:v>
                </c:pt>
                <c:pt idx="8">
                  <c:v>0.99978519513098962</c:v>
                </c:pt>
                <c:pt idx="9">
                  <c:v>0.99991994164038722</c:v>
                </c:pt>
                <c:pt idx="10">
                  <c:v>0.99995440046611217</c:v>
                </c:pt>
                <c:pt idx="11">
                  <c:v>1.0001247610062671</c:v>
                </c:pt>
                <c:pt idx="12">
                  <c:v>1.0001801452390677</c:v>
                </c:pt>
                <c:pt idx="13">
                  <c:v>1.0002475307481469</c:v>
                </c:pt>
                <c:pt idx="14">
                  <c:v>1.0003922808327526</c:v>
                </c:pt>
                <c:pt idx="15">
                  <c:v>1.0004961622900195</c:v>
                </c:pt>
                <c:pt idx="16">
                  <c:v>1.0005033468065478</c:v>
                </c:pt>
                <c:pt idx="17">
                  <c:v>1.0006918184880844</c:v>
                </c:pt>
                <c:pt idx="18">
                  <c:v>1.0006408675693164</c:v>
                </c:pt>
                <c:pt idx="19">
                  <c:v>1.0005733874634051</c:v>
                </c:pt>
                <c:pt idx="20">
                  <c:v>1.0006129219544626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EF-474C-A281-3C205752B60B}"/>
            </c:ext>
          </c:extLst>
        </c:ser>
        <c:ser>
          <c:idx val="2"/>
          <c:order val="2"/>
          <c:tx>
            <c:v>SMNRA-asym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'Ex 7 Gauss 1'!$Y$3:$Y$23</c:f>
              <c:numCache>
                <c:formatCode>General</c:formatCode>
                <c:ptCount val="2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</c:numCache>
            </c:numRef>
          </c:xVal>
          <c:yVal>
            <c:numRef>
              <c:f>'Ex 7 Gauss 1'!$AA$3:$AA$23</c:f>
              <c:numCache>
                <c:formatCode>General</c:formatCode>
                <c:ptCount val="21"/>
                <c:pt idx="0">
                  <c:v>0.97087757215155435</c:v>
                </c:pt>
                <c:pt idx="1">
                  <c:v>0.9781420728213962</c:v>
                </c:pt>
                <c:pt idx="2">
                  <c:v>0.98492350320254263</c:v>
                </c:pt>
                <c:pt idx="3">
                  <c:v>0.99114845732156331</c:v>
                </c:pt>
                <c:pt idx="4">
                  <c:v>0.99753008057861647</c:v>
                </c:pt>
                <c:pt idx="5">
                  <c:v>1.0041819705805428</c:v>
                </c:pt>
                <c:pt idx="6">
                  <c:v>1.0107836903708809</c:v>
                </c:pt>
                <c:pt idx="7">
                  <c:v>1.0172097789370871</c:v>
                </c:pt>
                <c:pt idx="8">
                  <c:v>1.0236811849554202</c:v>
                </c:pt>
                <c:pt idx="9">
                  <c:v>1.0303275498459963</c:v>
                </c:pt>
                <c:pt idx="10">
                  <c:v>1.036392793190045</c:v>
                </c:pt>
                <c:pt idx="11">
                  <c:v>1.0416135268631048</c:v>
                </c:pt>
                <c:pt idx="12">
                  <c:v>1.045831901424245</c:v>
                </c:pt>
                <c:pt idx="13">
                  <c:v>1.0490088406675868</c:v>
                </c:pt>
                <c:pt idx="14">
                  <c:v>1.0508374726594829</c:v>
                </c:pt>
                <c:pt idx="15">
                  <c:v>1.0510742449531694</c:v>
                </c:pt>
                <c:pt idx="16">
                  <c:v>1.0492397885797951</c:v>
                </c:pt>
                <c:pt idx="17">
                  <c:v>1.0451626527563569</c:v>
                </c:pt>
                <c:pt idx="18">
                  <c:v>1.0383021102821082</c:v>
                </c:pt>
                <c:pt idx="19">
                  <c:v>1.0289654548745832</c:v>
                </c:pt>
                <c:pt idx="20">
                  <c:v>1.0177908158203843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A-4B90-B16A-E620381BA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609472"/>
        <c:axId val="211620224"/>
      </c:scatterChart>
      <c:valAx>
        <c:axId val="21160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beam energy (keV)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20224"/>
        <c:crosses val="autoZero"/>
        <c:crossBetween val="midCat"/>
      </c:valAx>
      <c:valAx>
        <c:axId val="2116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600"/>
                  <a:t>ratio over</a:t>
                </a:r>
                <a:r>
                  <a:rPr lang="en-GB" sz="1600" baseline="0"/>
                  <a:t> NDF</a:t>
                </a:r>
                <a:endParaRPr lang="en-GB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0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452437</xdr:colOff>
      <xdr:row>0</xdr:row>
      <xdr:rowOff>47624</xdr:rowOff>
    </xdr:from>
    <xdr:to>
      <xdr:col>19</xdr:col>
      <xdr:colOff>1238250</xdr:colOff>
      <xdr:row>20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E1C92-10EE-549A-67C5-E7BD33F372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442911</xdr:colOff>
      <xdr:row>20</xdr:row>
      <xdr:rowOff>85725</xdr:rowOff>
    </xdr:from>
    <xdr:to>
      <xdr:col>19</xdr:col>
      <xdr:colOff>1238249</xdr:colOff>
      <xdr:row>38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454390-2B58-1998-8DD8-BE38A1F26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538162</xdr:colOff>
      <xdr:row>0</xdr:row>
      <xdr:rowOff>0</xdr:rowOff>
    </xdr:from>
    <xdr:to>
      <xdr:col>24</xdr:col>
      <xdr:colOff>152400</xdr:colOff>
      <xdr:row>19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C0A340-59DD-976A-17F3-589AD237C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533399</xdr:colOff>
      <xdr:row>19</xdr:row>
      <xdr:rowOff>47624</xdr:rowOff>
    </xdr:from>
    <xdr:to>
      <xdr:col>24</xdr:col>
      <xdr:colOff>161924</xdr:colOff>
      <xdr:row>34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1F15F-8C7C-58FE-5E3A-2E9CD374B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628649</xdr:colOff>
      <xdr:row>0</xdr:row>
      <xdr:rowOff>95249</xdr:rowOff>
    </xdr:from>
    <xdr:to>
      <xdr:col>24</xdr:col>
      <xdr:colOff>85724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0876E-F870-787A-286A-E8D6D3F19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14287</xdr:colOff>
      <xdr:row>19</xdr:row>
      <xdr:rowOff>66674</xdr:rowOff>
    </xdr:from>
    <xdr:to>
      <xdr:col>24</xdr:col>
      <xdr:colOff>142875</xdr:colOff>
      <xdr:row>35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7609E-D7C5-443F-7C88-663ACFE66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161925</xdr:colOff>
      <xdr:row>0</xdr:row>
      <xdr:rowOff>47625</xdr:rowOff>
    </xdr:from>
    <xdr:to>
      <xdr:col>23</xdr:col>
      <xdr:colOff>447675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8FDEC4-6378-6191-9823-4E946D9F9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176211</xdr:colOff>
      <xdr:row>19</xdr:row>
      <xdr:rowOff>57149</xdr:rowOff>
    </xdr:from>
    <xdr:to>
      <xdr:col>23</xdr:col>
      <xdr:colOff>447674</xdr:colOff>
      <xdr:row>38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CC4065-AA25-EB40-57E0-D45F23341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opLeftCell="H1" zoomScaleNormal="100" workbookViewId="0">
      <selection activeCell="I3" sqref="I3:I23"/>
    </sheetView>
  </sheetViews>
  <sheetFormatPr defaultColWidth="20.625" defaultRowHeight="15.75" x14ac:dyDescent="0.25"/>
  <cols>
    <col min="1" max="1" width="14.5" customWidth="1"/>
    <col min="3" max="3" width="11" customWidth="1"/>
    <col min="5" max="5" width="15" customWidth="1"/>
    <col min="7" max="7" width="14" style="2" customWidth="1"/>
    <col min="8" max="8" width="16.875" style="3" customWidth="1"/>
    <col min="10" max="10" width="12" customWidth="1"/>
    <col min="11" max="11" width="16.625" customWidth="1"/>
    <col min="13" max="13" width="13.375" customWidth="1"/>
    <col min="14" max="14" width="13.125" customWidth="1"/>
    <col min="15" max="15" width="13.75" customWidth="1"/>
    <col min="16" max="16" width="12.75" customWidth="1"/>
  </cols>
  <sheetData>
    <row r="1" spans="1:16" x14ac:dyDescent="0.25">
      <c r="B1" t="s">
        <v>5</v>
      </c>
      <c r="H1" s="3" t="s">
        <v>6</v>
      </c>
      <c r="I1" t="s">
        <v>12</v>
      </c>
      <c r="K1" t="s">
        <v>7</v>
      </c>
      <c r="M1" t="s">
        <v>8</v>
      </c>
      <c r="N1" t="s">
        <v>9</v>
      </c>
      <c r="O1" t="s">
        <v>10</v>
      </c>
      <c r="P1" t="s">
        <v>9</v>
      </c>
    </row>
    <row r="2" spans="1:16" x14ac:dyDescent="0.25">
      <c r="A2" s="1" t="s">
        <v>0</v>
      </c>
      <c r="B2" s="1" t="s">
        <v>1</v>
      </c>
      <c r="C2" s="1" t="s">
        <v>2</v>
      </c>
      <c r="D2" s="1" t="s">
        <v>3</v>
      </c>
      <c r="E2" t="s">
        <v>4</v>
      </c>
      <c r="G2" s="1" t="s">
        <v>0</v>
      </c>
      <c r="H2" t="s">
        <v>4</v>
      </c>
      <c r="J2" s="1" t="s">
        <v>0</v>
      </c>
      <c r="K2" t="s">
        <v>4</v>
      </c>
    </row>
    <row r="3" spans="1:16" x14ac:dyDescent="0.25">
      <c r="A3" s="1">
        <v>2000</v>
      </c>
      <c r="B3" s="1">
        <v>363.39419900000001</v>
      </c>
      <c r="C3" s="1">
        <v>0</v>
      </c>
      <c r="D3" s="1">
        <f t="shared" ref="D3:D23" si="0">B3*4*PI()/(0.0064886478302)</f>
        <v>703774.70056059968</v>
      </c>
      <c r="E3">
        <f>D3/(4000*PI())/(4*PI())</f>
        <v>4.456705354895738</v>
      </c>
      <c r="G3" s="2">
        <v>2000</v>
      </c>
      <c r="H3" s="3">
        <v>4.4109559000000003</v>
      </c>
      <c r="I3">
        <v>4.4760938000000001</v>
      </c>
      <c r="J3">
        <v>2000</v>
      </c>
      <c r="K3">
        <v>4.3472703131110704</v>
      </c>
      <c r="M3">
        <f>E3/H3</f>
        <v>1.0103717778941608</v>
      </c>
      <c r="N3">
        <f>1-M3</f>
        <v>-1.0371777894160772E-2</v>
      </c>
      <c r="O3">
        <f>K3/H3</f>
        <v>0.98556195338771579</v>
      </c>
      <c r="P3">
        <f>1-O3</f>
        <v>1.4438046612284205E-2</v>
      </c>
    </row>
    <row r="4" spans="1:16" x14ac:dyDescent="0.25">
      <c r="A4" s="1">
        <v>2002</v>
      </c>
      <c r="B4" s="1">
        <v>380.36207000000002</v>
      </c>
      <c r="C4" s="1">
        <v>0</v>
      </c>
      <c r="D4" s="1">
        <f t="shared" si="0"/>
        <v>736635.86996021331</v>
      </c>
      <c r="E4">
        <f t="shared" ref="E4:E23" si="1">D4/(4000*PI())/(4*PI())</f>
        <v>4.6648011411107522</v>
      </c>
      <c r="G4" s="2">
        <v>2002</v>
      </c>
      <c r="H4" s="3">
        <v>4.5669899000000003</v>
      </c>
      <c r="I4">
        <v>4.6403445999999997</v>
      </c>
      <c r="J4">
        <v>2002</v>
      </c>
      <c r="K4">
        <v>4.5404946899395604</v>
      </c>
      <c r="M4">
        <f t="shared" ref="M4:M23" si="2">E4/H4</f>
        <v>1.021417004033828</v>
      </c>
      <c r="N4">
        <f t="shared" ref="N4:N23" si="3">1-M4</f>
        <v>-2.1417004033827958E-2</v>
      </c>
      <c r="O4">
        <f t="shared" ref="O4:O23" si="4">K4/H4</f>
        <v>0.99419853981712558</v>
      </c>
      <c r="P4">
        <f t="shared" ref="P4:P23" si="5">1-O4</f>
        <v>5.8014601828744183E-3</v>
      </c>
    </row>
    <row r="5" spans="1:16" x14ac:dyDescent="0.25">
      <c r="A5" s="1">
        <v>2004</v>
      </c>
      <c r="B5" s="1">
        <v>393.66966300000001</v>
      </c>
      <c r="C5" s="1">
        <v>0</v>
      </c>
      <c r="D5" s="1">
        <f t="shared" si="0"/>
        <v>762408.28818958986</v>
      </c>
      <c r="E5">
        <f t="shared" si="1"/>
        <v>4.8280068861311136</v>
      </c>
      <c r="G5" s="2">
        <v>2004</v>
      </c>
      <c r="H5" s="3">
        <v>4.6806821999999997</v>
      </c>
      <c r="I5">
        <v>4.7598209000000002</v>
      </c>
      <c r="J5">
        <v>2004</v>
      </c>
      <c r="K5">
        <v>4.6899200372865497</v>
      </c>
      <c r="M5">
        <f t="shared" si="2"/>
        <v>1.0314750456955002</v>
      </c>
      <c r="N5">
        <f t="shared" si="3"/>
        <v>-3.1475045695500192E-2</v>
      </c>
      <c r="O5">
        <f t="shared" si="4"/>
        <v>1.0019736091646108</v>
      </c>
      <c r="P5">
        <f t="shared" si="5"/>
        <v>-1.9736091646107567E-3</v>
      </c>
    </row>
    <row r="6" spans="1:16" x14ac:dyDescent="0.25">
      <c r="A6" s="1">
        <v>2006</v>
      </c>
      <c r="B6" s="1">
        <v>402.93032499999998</v>
      </c>
      <c r="C6" s="1">
        <v>0</v>
      </c>
      <c r="D6" s="1">
        <f t="shared" si="0"/>
        <v>780343.1359223763</v>
      </c>
      <c r="E6">
        <f t="shared" si="1"/>
        <v>4.9415806361768029</v>
      </c>
      <c r="G6" s="2">
        <v>2006</v>
      </c>
      <c r="H6" s="3">
        <v>4.7494329999999998</v>
      </c>
      <c r="I6">
        <v>4.8319863999999999</v>
      </c>
      <c r="J6">
        <v>2006</v>
      </c>
      <c r="K6">
        <v>4.7909594318416602</v>
      </c>
      <c r="M6">
        <f t="shared" si="2"/>
        <v>1.0404569632157783</v>
      </c>
      <c r="N6">
        <f t="shared" si="3"/>
        <v>-4.0456963215778297E-2</v>
      </c>
      <c r="O6">
        <f t="shared" si="4"/>
        <v>1.0087434503953756</v>
      </c>
      <c r="P6">
        <f t="shared" si="5"/>
        <v>-8.7434503953756071E-3</v>
      </c>
    </row>
    <row r="7" spans="1:16" x14ac:dyDescent="0.25">
      <c r="A7" s="1">
        <v>2008</v>
      </c>
      <c r="B7" s="1">
        <v>407.885896</v>
      </c>
      <c r="C7" s="1">
        <v>0</v>
      </c>
      <c r="D7" s="1">
        <f t="shared" si="0"/>
        <v>789940.442390749</v>
      </c>
      <c r="E7">
        <f t="shared" si="1"/>
        <v>5.002356289373914</v>
      </c>
      <c r="G7" s="2">
        <v>2008</v>
      </c>
      <c r="H7" s="3">
        <v>4.7705722000000002</v>
      </c>
      <c r="I7">
        <v>4.8537369000000004</v>
      </c>
      <c r="J7">
        <v>2008</v>
      </c>
      <c r="K7">
        <v>4.8436855409333397</v>
      </c>
      <c r="M7">
        <f t="shared" si="2"/>
        <v>1.0485862239699284</v>
      </c>
      <c r="N7">
        <f t="shared" si="3"/>
        <v>-4.8586223969928399E-2</v>
      </c>
      <c r="O7">
        <f t="shared" si="4"/>
        <v>1.0153259059643494</v>
      </c>
      <c r="P7">
        <f t="shared" si="5"/>
        <v>-1.5325905964349351E-2</v>
      </c>
    </row>
    <row r="8" spans="1:16" x14ac:dyDescent="0.25">
      <c r="A8" s="1">
        <v>2010</v>
      </c>
      <c r="B8" s="1">
        <v>408.42640899999998</v>
      </c>
      <c r="C8" s="1">
        <v>0</v>
      </c>
      <c r="D8" s="1">
        <f t="shared" si="0"/>
        <v>790987.2377875133</v>
      </c>
      <c r="E8">
        <f t="shared" si="1"/>
        <v>5.0089851986633835</v>
      </c>
      <c r="G8" s="2">
        <v>2010</v>
      </c>
      <c r="H8" s="3">
        <v>4.7445311999999999</v>
      </c>
      <c r="I8">
        <v>4.8253507999999998</v>
      </c>
      <c r="J8">
        <v>2010</v>
      </c>
      <c r="K8">
        <v>4.84772160272537</v>
      </c>
      <c r="M8">
        <f t="shared" si="2"/>
        <v>1.0557386994658995</v>
      </c>
      <c r="N8">
        <f t="shared" si="3"/>
        <v>-5.5738699465899488E-2</v>
      </c>
      <c r="O8">
        <f t="shared" si="4"/>
        <v>1.0217493358933691</v>
      </c>
      <c r="P8">
        <f t="shared" si="5"/>
        <v>-2.1749335893369137E-2</v>
      </c>
    </row>
    <row r="9" spans="1:16" x14ac:dyDescent="0.25">
      <c r="A9" s="1">
        <v>2012</v>
      </c>
      <c r="B9" s="1">
        <v>404.59364900000003</v>
      </c>
      <c r="C9" s="1">
        <v>0</v>
      </c>
      <c r="D9" s="1">
        <f t="shared" si="0"/>
        <v>783564.44587519497</v>
      </c>
      <c r="E9">
        <f t="shared" si="1"/>
        <v>4.9619798197579543</v>
      </c>
      <c r="G9" s="2">
        <v>2012</v>
      </c>
      <c r="H9" s="3">
        <v>4.6727939000000003</v>
      </c>
      <c r="I9">
        <v>4.7484869999999999</v>
      </c>
      <c r="J9">
        <v>2012</v>
      </c>
      <c r="K9">
        <v>4.8024544968196503</v>
      </c>
      <c r="M9">
        <f t="shared" si="2"/>
        <v>1.0618871548685154</v>
      </c>
      <c r="N9">
        <f t="shared" si="3"/>
        <v>-6.1887154868515371E-2</v>
      </c>
      <c r="O9">
        <f t="shared" si="4"/>
        <v>1.0277479810996264</v>
      </c>
      <c r="P9">
        <f t="shared" si="5"/>
        <v>-2.7747981099626395E-2</v>
      </c>
    </row>
    <row r="10" spans="1:16" x14ac:dyDescent="0.25">
      <c r="A10" s="1">
        <v>2014</v>
      </c>
      <c r="B10" s="1">
        <v>396.58900599999998</v>
      </c>
      <c r="C10" s="1">
        <v>0</v>
      </c>
      <c r="D10" s="1">
        <f t="shared" si="0"/>
        <v>768062.09265678411</v>
      </c>
      <c r="E10">
        <f t="shared" si="1"/>
        <v>4.8638100211747677</v>
      </c>
      <c r="G10" s="2">
        <v>2014</v>
      </c>
      <c r="H10" s="3">
        <v>4.5584015999999998</v>
      </c>
      <c r="I10">
        <v>4.6263337</v>
      </c>
      <c r="J10">
        <v>2014</v>
      </c>
      <c r="K10">
        <v>4.7092104386379496</v>
      </c>
      <c r="M10">
        <f t="shared" si="2"/>
        <v>1.066999015877576</v>
      </c>
      <c r="N10">
        <f t="shared" si="3"/>
        <v>-6.6999015877575951E-2</v>
      </c>
      <c r="O10">
        <f t="shared" si="4"/>
        <v>1.0330837104475283</v>
      </c>
      <c r="P10">
        <f t="shared" si="5"/>
        <v>-3.3083710447528336E-2</v>
      </c>
    </row>
    <row r="11" spans="1:16" x14ac:dyDescent="0.25">
      <c r="A11" s="1">
        <v>2016</v>
      </c>
      <c r="B11" s="1">
        <v>384.74865199999999</v>
      </c>
      <c r="C11" s="1">
        <v>0</v>
      </c>
      <c r="D11" s="1">
        <f t="shared" si="0"/>
        <v>745131.23241242033</v>
      </c>
      <c r="E11">
        <f t="shared" si="1"/>
        <v>4.7185986523062695</v>
      </c>
      <c r="G11" s="2">
        <v>2016</v>
      </c>
      <c r="H11" s="3">
        <v>4.4061556</v>
      </c>
      <c r="I11">
        <v>4.4640284000000001</v>
      </c>
      <c r="J11">
        <v>2016</v>
      </c>
      <c r="K11">
        <v>4.5736284398853604</v>
      </c>
      <c r="M11">
        <f t="shared" si="2"/>
        <v>1.0709105807126442</v>
      </c>
      <c r="N11">
        <f t="shared" si="3"/>
        <v>-7.0910580712644222E-2</v>
      </c>
      <c r="O11">
        <f t="shared" si="4"/>
        <v>1.0380088347051022</v>
      </c>
      <c r="P11">
        <f t="shared" si="5"/>
        <v>-3.800883470510219E-2</v>
      </c>
    </row>
    <row r="12" spans="1:16" x14ac:dyDescent="0.25">
      <c r="A12" s="1">
        <v>2018</v>
      </c>
      <c r="B12" s="1">
        <v>369.537283</v>
      </c>
      <c r="C12" s="1">
        <v>0</v>
      </c>
      <c r="D12" s="1">
        <f t="shared" si="0"/>
        <v>715671.82801754773</v>
      </c>
      <c r="E12">
        <f t="shared" si="1"/>
        <v>4.5320447946383462</v>
      </c>
      <c r="G12" s="2">
        <v>2018</v>
      </c>
      <c r="H12" s="3">
        <v>4.2212056999999996</v>
      </c>
      <c r="I12">
        <v>4.2670526999999998</v>
      </c>
      <c r="J12">
        <v>2018</v>
      </c>
      <c r="K12">
        <v>4.4010148390948798</v>
      </c>
      <c r="M12">
        <f t="shared" si="2"/>
        <v>1.0736375141913475</v>
      </c>
      <c r="N12">
        <f t="shared" si="3"/>
        <v>-7.3637514191347453E-2</v>
      </c>
      <c r="O12">
        <f t="shared" si="4"/>
        <v>1.0425966304117518</v>
      </c>
      <c r="P12">
        <f t="shared" si="5"/>
        <v>-4.2596630411751768E-2</v>
      </c>
    </row>
    <row r="13" spans="1:16" x14ac:dyDescent="0.25">
      <c r="A13" s="1">
        <v>2020</v>
      </c>
      <c r="B13" s="1">
        <v>351.52393799999999</v>
      </c>
      <c r="C13" s="1">
        <v>0</v>
      </c>
      <c r="D13" s="1">
        <f t="shared" si="0"/>
        <v>680785.92032183975</v>
      </c>
      <c r="E13">
        <f t="shared" si="1"/>
        <v>4.3111272033779411</v>
      </c>
      <c r="G13" s="2">
        <v>2020</v>
      </c>
      <c r="H13" s="3">
        <v>4.0111360999999999</v>
      </c>
      <c r="I13">
        <v>4.0435977000000003</v>
      </c>
      <c r="J13">
        <v>2020</v>
      </c>
      <c r="K13">
        <v>4.1959087527858401</v>
      </c>
      <c r="M13">
        <f t="shared" si="2"/>
        <v>1.0747895598401513</v>
      </c>
      <c r="N13">
        <f t="shared" si="3"/>
        <v>-7.4789559840151343E-2</v>
      </c>
      <c r="O13">
        <f t="shared" si="4"/>
        <v>1.046064917315032</v>
      </c>
      <c r="P13">
        <f t="shared" si="5"/>
        <v>-4.6064917315032039E-2</v>
      </c>
    </row>
    <row r="14" spans="1:16" x14ac:dyDescent="0.25">
      <c r="A14" s="1">
        <v>2022</v>
      </c>
      <c r="B14" s="1">
        <v>331.37470200000001</v>
      </c>
      <c r="C14" s="1">
        <v>0</v>
      </c>
      <c r="D14" s="1">
        <f t="shared" si="0"/>
        <v>641763.49626706052</v>
      </c>
      <c r="E14">
        <f t="shared" si="1"/>
        <v>4.0640148162639749</v>
      </c>
      <c r="G14" s="2">
        <v>2022</v>
      </c>
      <c r="H14" s="3">
        <v>3.7830032999999998</v>
      </c>
      <c r="I14">
        <v>3.8011789</v>
      </c>
      <c r="J14">
        <v>2022</v>
      </c>
      <c r="K14">
        <v>3.9646099726059298</v>
      </c>
      <c r="M14">
        <f t="shared" si="2"/>
        <v>1.0742826516339479</v>
      </c>
      <c r="N14">
        <f t="shared" si="3"/>
        <v>-7.4282651633947872E-2</v>
      </c>
      <c r="O14">
        <f t="shared" si="4"/>
        <v>1.0480059514105975</v>
      </c>
      <c r="P14">
        <f t="shared" si="5"/>
        <v>-4.8005951410597492E-2</v>
      </c>
    </row>
    <row r="15" spans="1:16" x14ac:dyDescent="0.25">
      <c r="A15" s="1">
        <v>2024</v>
      </c>
      <c r="B15" s="1">
        <v>309.81204500000001</v>
      </c>
      <c r="C15" s="1">
        <v>0</v>
      </c>
      <c r="D15" s="1">
        <f t="shared" si="0"/>
        <v>600003.74194179696</v>
      </c>
      <c r="E15">
        <f t="shared" si="1"/>
        <v>3.7995680827109166</v>
      </c>
      <c r="G15" s="2">
        <v>2024</v>
      </c>
      <c r="H15" s="3">
        <v>3.5453011999999999</v>
      </c>
      <c r="I15">
        <v>3.5487248999999998</v>
      </c>
      <c r="J15">
        <v>2024</v>
      </c>
      <c r="K15">
        <v>3.71715918133031</v>
      </c>
      <c r="M15">
        <f t="shared" si="2"/>
        <v>1.0717194022078904</v>
      </c>
      <c r="N15">
        <f t="shared" si="3"/>
        <v>-7.1719402207890415E-2</v>
      </c>
      <c r="O15">
        <f t="shared" si="4"/>
        <v>1.048474860564826</v>
      </c>
      <c r="P15">
        <f t="shared" si="5"/>
        <v>-4.8474860564825972E-2</v>
      </c>
    </row>
    <row r="16" spans="1:16" x14ac:dyDescent="0.25">
      <c r="A16" s="1">
        <v>2026</v>
      </c>
      <c r="B16" s="1">
        <v>287.59710899999999</v>
      </c>
      <c r="C16" s="1">
        <v>0</v>
      </c>
      <c r="D16" s="1">
        <f t="shared" si="0"/>
        <v>556980.73834296165</v>
      </c>
      <c r="E16">
        <f t="shared" si="1"/>
        <v>3.5271217296807569</v>
      </c>
      <c r="G16" s="2">
        <v>2026</v>
      </c>
      <c r="H16" s="3">
        <v>3.3064528000000002</v>
      </c>
      <c r="I16">
        <v>3.2952694999999999</v>
      </c>
      <c r="J16">
        <v>2026</v>
      </c>
      <c r="K16">
        <v>3.4626236381737399</v>
      </c>
      <c r="M16">
        <f t="shared" si="2"/>
        <v>1.0667388718450046</v>
      </c>
      <c r="N16">
        <f t="shared" si="3"/>
        <v>-6.6738871845004599E-2</v>
      </c>
      <c r="O16">
        <f t="shared" si="4"/>
        <v>1.0472321389779826</v>
      </c>
      <c r="P16">
        <f t="shared" si="5"/>
        <v>-4.7232138977982618E-2</v>
      </c>
    </row>
    <row r="17" spans="1:16" x14ac:dyDescent="0.25">
      <c r="A17" s="1">
        <v>2028</v>
      </c>
      <c r="B17" s="1">
        <v>265.50881800000002</v>
      </c>
      <c r="C17" s="1">
        <v>0</v>
      </c>
      <c r="D17" s="1">
        <f t="shared" si="0"/>
        <v>514203.00433620502</v>
      </c>
      <c r="E17">
        <f t="shared" si="1"/>
        <v>3.2562285644869027</v>
      </c>
      <c r="G17" s="2">
        <v>2028</v>
      </c>
      <c r="H17" s="3">
        <v>3.0742519000000001</v>
      </c>
      <c r="I17">
        <v>3.0489620999999998</v>
      </c>
      <c r="J17">
        <v>2028</v>
      </c>
      <c r="K17">
        <v>3.20994052545056</v>
      </c>
      <c r="M17">
        <f t="shared" si="2"/>
        <v>1.0591938040233146</v>
      </c>
      <c r="N17">
        <f t="shared" si="3"/>
        <v>-5.9193804023314645E-2</v>
      </c>
      <c r="O17">
        <f t="shared" si="4"/>
        <v>1.0441371201398817</v>
      </c>
      <c r="P17">
        <f t="shared" si="5"/>
        <v>-4.4137120139881691E-2</v>
      </c>
    </row>
    <row r="18" spans="1:16" x14ac:dyDescent="0.25">
      <c r="A18" s="1">
        <v>2030</v>
      </c>
      <c r="B18" s="1">
        <v>244.31332699999999</v>
      </c>
      <c r="C18" s="1">
        <v>0</v>
      </c>
      <c r="D18" s="1">
        <f t="shared" si="0"/>
        <v>473154.32944593829</v>
      </c>
      <c r="E18">
        <f t="shared" si="1"/>
        <v>2.9962847940599442</v>
      </c>
      <c r="G18" s="2">
        <v>2030</v>
      </c>
      <c r="H18" s="3">
        <v>2.8569067000000001</v>
      </c>
      <c r="I18">
        <v>2.8188121000000002</v>
      </c>
      <c r="J18">
        <v>2030</v>
      </c>
      <c r="K18">
        <v>2.9685356484373502</v>
      </c>
      <c r="M18">
        <f t="shared" si="2"/>
        <v>1.0487863653580092</v>
      </c>
      <c r="N18">
        <f t="shared" si="3"/>
        <v>-4.8786365358009176E-2</v>
      </c>
      <c r="O18">
        <f t="shared" si="4"/>
        <v>1.0390733615617724</v>
      </c>
      <c r="P18">
        <f t="shared" si="5"/>
        <v>-3.9073361561772435E-2</v>
      </c>
    </row>
    <row r="19" spans="1:16" x14ac:dyDescent="0.25">
      <c r="A19" s="1">
        <v>2032</v>
      </c>
      <c r="B19" s="1">
        <v>224.73386500000001</v>
      </c>
      <c r="C19" s="1">
        <v>0</v>
      </c>
      <c r="D19" s="1">
        <f t="shared" si="0"/>
        <v>435235.36969339795</v>
      </c>
      <c r="E19">
        <f t="shared" si="1"/>
        <v>2.7561601762715973</v>
      </c>
      <c r="G19" s="2">
        <v>2032</v>
      </c>
      <c r="H19" s="3">
        <v>2.6619871000000002</v>
      </c>
      <c r="I19">
        <v>2.6123718999999999</v>
      </c>
      <c r="J19">
        <v>2032</v>
      </c>
      <c r="K19">
        <v>2.74646469710662</v>
      </c>
      <c r="M19">
        <f t="shared" si="2"/>
        <v>1.0353769844608176</v>
      </c>
      <c r="N19">
        <f t="shared" si="3"/>
        <v>-3.5376984460817607E-2</v>
      </c>
      <c r="O19">
        <f t="shared" si="4"/>
        <v>1.0317347883115662</v>
      </c>
      <c r="P19">
        <f t="shared" si="5"/>
        <v>-3.1734788311566176E-2</v>
      </c>
    </row>
    <row r="20" spans="1:16" x14ac:dyDescent="0.25">
      <c r="A20" s="1">
        <v>2034</v>
      </c>
      <c r="B20" s="1">
        <v>207.43221299999999</v>
      </c>
      <c r="C20" s="1">
        <v>0</v>
      </c>
      <c r="D20" s="1">
        <f t="shared" si="0"/>
        <v>401727.77659199102</v>
      </c>
      <c r="E20">
        <f t="shared" si="1"/>
        <v>2.543970864144073</v>
      </c>
      <c r="G20" s="2">
        <v>2034</v>
      </c>
      <c r="H20" s="3">
        <v>2.4949503000000002</v>
      </c>
      <c r="I20">
        <v>2.4359962999999998</v>
      </c>
      <c r="J20">
        <v>2034</v>
      </c>
      <c r="K20">
        <v>2.5507275147494202</v>
      </c>
      <c r="M20">
        <f t="shared" si="2"/>
        <v>1.0196479120822859</v>
      </c>
      <c r="N20">
        <f t="shared" si="3"/>
        <v>-1.964791208228589E-2</v>
      </c>
      <c r="O20">
        <f t="shared" si="4"/>
        <v>1.0223560424227369</v>
      </c>
      <c r="P20">
        <f t="shared" si="5"/>
        <v>-2.2356042422736921E-2</v>
      </c>
    </row>
    <row r="21" spans="1:16" x14ac:dyDescent="0.25">
      <c r="A21" s="1">
        <v>2036</v>
      </c>
      <c r="B21" s="1">
        <v>192.983587</v>
      </c>
      <c r="C21" s="1">
        <v>0</v>
      </c>
      <c r="D21" s="1">
        <f t="shared" si="0"/>
        <v>373745.55380295275</v>
      </c>
      <c r="E21">
        <f t="shared" si="1"/>
        <v>2.3667713682735134</v>
      </c>
      <c r="G21" s="2">
        <v>2036</v>
      </c>
      <c r="H21" s="3">
        <v>2.3617143999999999</v>
      </c>
      <c r="I21">
        <v>2.2957033999999998</v>
      </c>
      <c r="J21">
        <v>2036</v>
      </c>
      <c r="K21">
        <v>2.3874679499273701</v>
      </c>
      <c r="M21">
        <f t="shared" si="2"/>
        <v>1.0021412276918469</v>
      </c>
      <c r="N21">
        <f t="shared" si="3"/>
        <v>-2.1412276918468809E-3</v>
      </c>
      <c r="O21">
        <f t="shared" si="4"/>
        <v>1.0109045996109309</v>
      </c>
      <c r="P21">
        <f t="shared" si="5"/>
        <v>-1.0904599610930932E-2</v>
      </c>
    </row>
    <row r="22" spans="1:16" x14ac:dyDescent="0.25">
      <c r="A22" s="1">
        <v>2038</v>
      </c>
      <c r="B22" s="1">
        <v>181.84738100000001</v>
      </c>
      <c r="C22" s="1">
        <v>0</v>
      </c>
      <c r="D22" s="1">
        <f t="shared" si="0"/>
        <v>352178.39597655291</v>
      </c>
      <c r="E22">
        <f t="shared" si="1"/>
        <v>2.230195745850267</v>
      </c>
      <c r="G22" s="2">
        <v>2038</v>
      </c>
      <c r="H22" s="3">
        <v>2.2659707</v>
      </c>
      <c r="I22">
        <v>2.1954107</v>
      </c>
      <c r="J22">
        <v>2038</v>
      </c>
      <c r="K22">
        <v>2.2614378900121701</v>
      </c>
      <c r="M22">
        <f t="shared" si="2"/>
        <v>0.98421208440615182</v>
      </c>
      <c r="N22">
        <f t="shared" si="3"/>
        <v>1.5787915593848179E-2</v>
      </c>
      <c r="O22">
        <f t="shared" si="4"/>
        <v>0.99799961668179116</v>
      </c>
      <c r="P22">
        <f t="shared" si="5"/>
        <v>2.0003833182088426E-3</v>
      </c>
    </row>
    <row r="23" spans="1:16" x14ac:dyDescent="0.25">
      <c r="A23" s="1">
        <v>2040</v>
      </c>
      <c r="B23" s="1">
        <v>174.35364899999999</v>
      </c>
      <c r="C23" s="1">
        <v>0</v>
      </c>
      <c r="D23" s="1">
        <f t="shared" si="0"/>
        <v>337665.50884490833</v>
      </c>
      <c r="E23">
        <f t="shared" si="1"/>
        <v>2.1382918144598992</v>
      </c>
      <c r="G23" s="2">
        <v>2040</v>
      </c>
      <c r="H23" s="3">
        <v>2.2096553000000001</v>
      </c>
      <c r="I23">
        <v>2.1374561999999999</v>
      </c>
      <c r="J23">
        <v>2040</v>
      </c>
      <c r="K23">
        <v>2.17633040676886</v>
      </c>
      <c r="M23">
        <f t="shared" si="2"/>
        <v>0.96770379274084029</v>
      </c>
      <c r="N23">
        <f t="shared" si="3"/>
        <v>3.2296207259159715E-2</v>
      </c>
      <c r="O23">
        <f t="shared" si="4"/>
        <v>0.98491851048842771</v>
      </c>
      <c r="P23">
        <f t="shared" si="5"/>
        <v>1.5081489511572288E-2</v>
      </c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abSelected="1" topLeftCell="H1" workbookViewId="0">
      <selection activeCell="I3" sqref="I3:I23"/>
    </sheetView>
  </sheetViews>
  <sheetFormatPr defaultRowHeight="15.75" x14ac:dyDescent="0.25"/>
  <cols>
    <col min="1" max="1" width="15" customWidth="1"/>
    <col min="5" max="5" width="15.25" customWidth="1"/>
    <col min="7" max="7" width="15.5" style="2" customWidth="1"/>
    <col min="8" max="8" width="16.25" style="3" customWidth="1"/>
    <col min="9" max="9" width="12.5" customWidth="1"/>
    <col min="10" max="10" width="15.5" customWidth="1"/>
    <col min="11" max="11" width="15.375" customWidth="1"/>
    <col min="13" max="13" width="12.625" customWidth="1"/>
    <col min="15" max="15" width="12.25" customWidth="1"/>
  </cols>
  <sheetData>
    <row r="1" spans="1:16" x14ac:dyDescent="0.25">
      <c r="B1" t="s">
        <v>5</v>
      </c>
      <c r="H1" s="3" t="s">
        <v>6</v>
      </c>
      <c r="I1" t="s">
        <v>12</v>
      </c>
      <c r="K1" t="s">
        <v>7</v>
      </c>
      <c r="M1" t="s">
        <v>8</v>
      </c>
      <c r="N1" t="s">
        <v>9</v>
      </c>
      <c r="O1" t="s">
        <v>10</v>
      </c>
      <c r="P1" t="s">
        <v>9</v>
      </c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t="s">
        <v>4</v>
      </c>
    </row>
    <row r="3" spans="1:16" x14ac:dyDescent="0.25">
      <c r="A3">
        <v>2000</v>
      </c>
      <c r="B3">
        <v>368.544849</v>
      </c>
      <c r="C3">
        <v>0</v>
      </c>
      <c r="D3">
        <f t="shared" ref="D3:D23" si="0">B3*4*PI()/(0.0064886478302)</f>
        <v>713749.81070659962</v>
      </c>
      <c r="E3">
        <f>D3/(4000*PI())/(4*PI())</f>
        <v>4.5198734778304512</v>
      </c>
      <c r="G3" s="2">
        <v>2000</v>
      </c>
      <c r="H3" s="3">
        <v>4.4099917</v>
      </c>
      <c r="I3" s="4">
        <v>4.4751586999999997</v>
      </c>
      <c r="J3">
        <v>2000</v>
      </c>
      <c r="K3">
        <v>4.3464880934903096</v>
      </c>
      <c r="M3">
        <f>E3/H3</f>
        <v>1.0249165498044932</v>
      </c>
      <c r="N3">
        <f>1-M3</f>
        <v>-2.4916549804493204E-2</v>
      </c>
      <c r="O3">
        <f>K3/H3</f>
        <v>0.9856000621249037</v>
      </c>
      <c r="P3">
        <f>1-O3</f>
        <v>1.4399937875096303E-2</v>
      </c>
    </row>
    <row r="4" spans="1:16" x14ac:dyDescent="0.25">
      <c r="A4">
        <v>2002</v>
      </c>
      <c r="B4">
        <v>384.41298499999999</v>
      </c>
      <c r="C4">
        <v>0</v>
      </c>
      <c r="D4">
        <f t="shared" si="0"/>
        <v>744481.1561507103</v>
      </c>
      <c r="E4">
        <f t="shared" ref="E4:E23" si="1">D4/(4000*PI())/(4*PI())</f>
        <v>4.714481996287879</v>
      </c>
      <c r="G4" s="2">
        <v>2002</v>
      </c>
      <c r="H4" s="3">
        <v>4.5660819999999998</v>
      </c>
      <c r="I4" s="4">
        <v>4.6394019000000002</v>
      </c>
      <c r="J4">
        <v>2002</v>
      </c>
      <c r="K4">
        <v>4.5395472598105799</v>
      </c>
      <c r="M4">
        <f t="shared" ref="M4:M23" si="2">E4/H4</f>
        <v>1.0325005105663629</v>
      </c>
      <c r="N4">
        <f t="shared" ref="N4:N23" si="3">1-M4</f>
        <v>-3.2500510566362939E-2</v>
      </c>
      <c r="O4">
        <f t="shared" ref="O4:O23" si="4">K4/H4</f>
        <v>0.99418872893885402</v>
      </c>
      <c r="P4">
        <f t="shared" ref="P4:P23" si="5">1-O4</f>
        <v>5.8112710611459839E-3</v>
      </c>
    </row>
    <row r="5" spans="1:16" x14ac:dyDescent="0.25">
      <c r="A5">
        <v>2004</v>
      </c>
      <c r="B5">
        <v>396.50050099999999</v>
      </c>
      <c r="C5">
        <v>0</v>
      </c>
      <c r="D5">
        <f t="shared" si="0"/>
        <v>767890.68766450707</v>
      </c>
      <c r="E5">
        <f t="shared" si="1"/>
        <v>4.8627245863810353</v>
      </c>
      <c r="G5" s="2">
        <v>2004</v>
      </c>
      <c r="H5" s="3">
        <v>4.6796074000000001</v>
      </c>
      <c r="I5" s="4">
        <v>4.7588944</v>
      </c>
      <c r="J5">
        <v>2004</v>
      </c>
      <c r="K5">
        <v>4.6888953342894597</v>
      </c>
      <c r="M5">
        <f t="shared" si="2"/>
        <v>1.0391308865741675</v>
      </c>
      <c r="N5">
        <f t="shared" si="3"/>
        <v>-3.9130886574167523E-2</v>
      </c>
      <c r="O5">
        <f t="shared" si="4"/>
        <v>1.0019847678438707</v>
      </c>
      <c r="P5">
        <f t="shared" si="5"/>
        <v>-1.9847678438706939E-3</v>
      </c>
    </row>
    <row r="6" spans="1:16" x14ac:dyDescent="0.25">
      <c r="A6">
        <v>2006</v>
      </c>
      <c r="B6">
        <v>404.45351900000003</v>
      </c>
      <c r="C6">
        <v>0</v>
      </c>
      <c r="D6">
        <f t="shared" si="0"/>
        <v>783293.06028604438</v>
      </c>
      <c r="E6">
        <f t="shared" si="1"/>
        <v>4.960261250438192</v>
      </c>
      <c r="G6" s="2">
        <v>2006</v>
      </c>
      <c r="H6" s="3">
        <v>4.7483152999999998</v>
      </c>
      <c r="I6" s="4">
        <v>4.8308492000000003</v>
      </c>
      <c r="J6">
        <v>2006</v>
      </c>
      <c r="K6">
        <v>4.78988733879868</v>
      </c>
      <c r="M6">
        <f t="shared" si="2"/>
        <v>1.044636031317927</v>
      </c>
      <c r="N6">
        <f t="shared" si="3"/>
        <v>-4.4636031317927038E-2</v>
      </c>
      <c r="O6">
        <f t="shared" si="4"/>
        <v>1.0087551133764601</v>
      </c>
      <c r="P6">
        <f t="shared" si="5"/>
        <v>-8.7551133764600664E-3</v>
      </c>
    </row>
    <row r="7" spans="1:16" x14ac:dyDescent="0.25">
      <c r="A7">
        <v>2008</v>
      </c>
      <c r="B7">
        <v>408.07694099999998</v>
      </c>
      <c r="C7">
        <v>0</v>
      </c>
      <c r="D7">
        <f t="shared" si="0"/>
        <v>790310.43354096159</v>
      </c>
      <c r="E7">
        <f t="shared" si="1"/>
        <v>5.00469928570371</v>
      </c>
      <c r="G7" s="2">
        <v>2008</v>
      </c>
      <c r="H7" s="3">
        <v>4.7695761000000001</v>
      </c>
      <c r="I7" s="4">
        <v>4.8526296999999996</v>
      </c>
      <c r="J7">
        <v>2008</v>
      </c>
      <c r="K7">
        <v>4.8426124759279903</v>
      </c>
      <c r="M7">
        <f t="shared" si="2"/>
        <v>1.049296453348068</v>
      </c>
      <c r="N7">
        <f t="shared" si="3"/>
        <v>-4.9296453348067981E-2</v>
      </c>
      <c r="O7">
        <f t="shared" si="4"/>
        <v>1.0153129700410881</v>
      </c>
      <c r="P7">
        <f t="shared" si="5"/>
        <v>-1.5312970041088114E-2</v>
      </c>
    </row>
    <row r="8" spans="1:16" x14ac:dyDescent="0.25">
      <c r="A8">
        <v>2010</v>
      </c>
      <c r="B8">
        <v>407.28515299999998</v>
      </c>
      <c r="C8">
        <v>0</v>
      </c>
      <c r="D8">
        <f t="shared" si="0"/>
        <v>788777.00135040667</v>
      </c>
      <c r="E8">
        <f t="shared" si="1"/>
        <v>4.9949887129173174</v>
      </c>
      <c r="G8" s="2">
        <v>2010</v>
      </c>
      <c r="H8" s="3">
        <v>4.7434335000000001</v>
      </c>
      <c r="I8" s="4">
        <v>4.8242602000000003</v>
      </c>
      <c r="J8">
        <v>2010</v>
      </c>
      <c r="K8">
        <v>4.8466154595281301</v>
      </c>
      <c r="M8">
        <f t="shared" si="2"/>
        <v>1.0530323051682535</v>
      </c>
      <c r="N8">
        <f t="shared" si="3"/>
        <v>-5.3032305168253524E-2</v>
      </c>
      <c r="O8">
        <f t="shared" si="4"/>
        <v>1.0217525890324235</v>
      </c>
      <c r="P8">
        <f t="shared" si="5"/>
        <v>-2.1752589032423497E-2</v>
      </c>
    </row>
    <row r="9" spans="1:16" x14ac:dyDescent="0.25">
      <c r="A9">
        <v>2012</v>
      </c>
      <c r="B9">
        <v>402.18926299999998</v>
      </c>
      <c r="C9">
        <v>0</v>
      </c>
      <c r="D9">
        <f t="shared" si="0"/>
        <v>778907.94326222362</v>
      </c>
      <c r="E9">
        <f t="shared" si="1"/>
        <v>4.9324921724842117</v>
      </c>
      <c r="G9" s="2">
        <v>2012</v>
      </c>
      <c r="H9" s="3">
        <v>4.6718859999999998</v>
      </c>
      <c r="I9" s="4">
        <v>4.7474103000000003</v>
      </c>
      <c r="J9">
        <v>2012</v>
      </c>
      <c r="K9">
        <v>4.8013781560504798</v>
      </c>
      <c r="M9">
        <f t="shared" si="2"/>
        <v>1.0557817918682544</v>
      </c>
      <c r="N9">
        <f t="shared" si="3"/>
        <v>-5.5781791868254382E-2</v>
      </c>
      <c r="O9">
        <f t="shared" si="4"/>
        <v>1.0277173193118325</v>
      </c>
      <c r="P9">
        <f t="shared" si="5"/>
        <v>-2.7717319311832522E-2</v>
      </c>
    </row>
    <row r="10" spans="1:16" x14ac:dyDescent="0.25">
      <c r="A10">
        <v>2014</v>
      </c>
      <c r="B10">
        <v>393.023844</v>
      </c>
      <c r="C10">
        <v>0</v>
      </c>
      <c r="D10">
        <f t="shared" si="0"/>
        <v>761157.54980523454</v>
      </c>
      <c r="E10">
        <f t="shared" si="1"/>
        <v>4.8200864927855021</v>
      </c>
      <c r="G10" s="2">
        <v>2014</v>
      </c>
      <c r="H10" s="3">
        <v>4.5575847999999999</v>
      </c>
      <c r="I10" s="4">
        <v>4.6254071999999997</v>
      </c>
      <c r="J10">
        <v>2014</v>
      </c>
      <c r="K10">
        <v>4.7082539677281403</v>
      </c>
      <c r="M10">
        <f t="shared" si="2"/>
        <v>1.0575966667225813</v>
      </c>
      <c r="N10">
        <f t="shared" si="3"/>
        <v>-5.7596666722581347E-2</v>
      </c>
      <c r="O10">
        <f t="shared" si="4"/>
        <v>1.0330589938179846</v>
      </c>
      <c r="P10">
        <f t="shared" si="5"/>
        <v>-3.3058993817984605E-2</v>
      </c>
    </row>
    <row r="11" spans="1:16" x14ac:dyDescent="0.25">
      <c r="A11">
        <v>2016</v>
      </c>
      <c r="B11">
        <v>380.151838</v>
      </c>
      <c r="C11">
        <v>0</v>
      </c>
      <c r="D11">
        <f t="shared" si="0"/>
        <v>736228.71991969121</v>
      </c>
      <c r="E11">
        <f t="shared" si="1"/>
        <v>4.6622228333591442</v>
      </c>
      <c r="G11" s="2">
        <v>2016</v>
      </c>
      <c r="H11" s="3">
        <v>4.4054536999999998</v>
      </c>
      <c r="I11" s="4">
        <v>4.4633120999999996</v>
      </c>
      <c r="J11">
        <v>2016</v>
      </c>
      <c r="K11">
        <v>4.5727907314860001</v>
      </c>
      <c r="M11">
        <f t="shared" si="2"/>
        <v>1.058284379054794</v>
      </c>
      <c r="N11">
        <f t="shared" si="3"/>
        <v>-5.8284379054794E-2</v>
      </c>
      <c r="O11">
        <f t="shared" si="4"/>
        <v>1.037984063136562</v>
      </c>
      <c r="P11">
        <f t="shared" si="5"/>
        <v>-3.7984063136561996E-2</v>
      </c>
    </row>
    <row r="12" spans="1:16" x14ac:dyDescent="0.25">
      <c r="A12">
        <v>2018</v>
      </c>
      <c r="B12">
        <v>364.08924500000001</v>
      </c>
      <c r="C12">
        <v>0</v>
      </c>
      <c r="D12">
        <f t="shared" si="0"/>
        <v>705120.77540679125</v>
      </c>
      <c r="E12">
        <f t="shared" si="1"/>
        <v>4.4652294734386944</v>
      </c>
      <c r="G12" s="2">
        <v>2018</v>
      </c>
      <c r="H12" s="3">
        <v>4.2206501999999997</v>
      </c>
      <c r="I12" s="4">
        <v>4.2664676000000004</v>
      </c>
      <c r="J12">
        <v>2018</v>
      </c>
      <c r="K12">
        <v>4.4002575815434399</v>
      </c>
      <c r="M12">
        <f t="shared" si="2"/>
        <v>1.0579482453766709</v>
      </c>
      <c r="N12">
        <f t="shared" si="3"/>
        <v>-5.794824537667087E-2</v>
      </c>
      <c r="O12">
        <f t="shared" si="4"/>
        <v>1.0425544342773159</v>
      </c>
      <c r="P12">
        <f t="shared" si="5"/>
        <v>-4.2554434277315867E-2</v>
      </c>
    </row>
    <row r="13" spans="1:16" x14ac:dyDescent="0.25">
      <c r="A13">
        <v>2020</v>
      </c>
      <c r="B13">
        <v>345.43039399999998</v>
      </c>
      <c r="C13">
        <v>0</v>
      </c>
      <c r="D13">
        <f t="shared" si="0"/>
        <v>668984.73550448706</v>
      </c>
      <c r="E13">
        <f t="shared" si="1"/>
        <v>4.2363953274981814</v>
      </c>
      <c r="G13" s="2">
        <v>2020</v>
      </c>
      <c r="H13" s="3">
        <v>4.0107470000000003</v>
      </c>
      <c r="I13" s="4">
        <v>4.0432066999999998</v>
      </c>
      <c r="J13">
        <v>2020</v>
      </c>
      <c r="K13">
        <v>4.1953590670675398</v>
      </c>
      <c r="M13">
        <f t="shared" si="2"/>
        <v>1.0562609228401045</v>
      </c>
      <c r="N13">
        <f t="shared" si="3"/>
        <v>-5.6260922840104532E-2</v>
      </c>
      <c r="O13">
        <f t="shared" si="4"/>
        <v>1.0460293474177103</v>
      </c>
      <c r="P13">
        <f t="shared" si="5"/>
        <v>-4.6029347417710254E-2</v>
      </c>
    </row>
    <row r="14" spans="1:16" x14ac:dyDescent="0.25">
      <c r="A14">
        <v>2022</v>
      </c>
      <c r="B14">
        <v>324.83697799999999</v>
      </c>
      <c r="C14">
        <v>0</v>
      </c>
      <c r="D14">
        <f t="shared" si="0"/>
        <v>629102.08129921218</v>
      </c>
      <c r="E14">
        <f t="shared" si="1"/>
        <v>3.9838354693183997</v>
      </c>
      <c r="G14" s="2">
        <v>2022</v>
      </c>
      <c r="H14" s="3">
        <v>3.7825403</v>
      </c>
      <c r="I14" s="4">
        <v>3.8009651</v>
      </c>
      <c r="J14">
        <v>2022</v>
      </c>
      <c r="K14">
        <v>3.96427141822819</v>
      </c>
      <c r="M14">
        <f t="shared" si="2"/>
        <v>1.053216926550234</v>
      </c>
      <c r="N14">
        <f t="shared" si="3"/>
        <v>-5.3216926550234023E-2</v>
      </c>
      <c r="O14">
        <f t="shared" si="4"/>
        <v>1.048044727567923</v>
      </c>
      <c r="P14">
        <f t="shared" si="5"/>
        <v>-4.8044727567922996E-2</v>
      </c>
    </row>
    <row r="15" spans="1:16" x14ac:dyDescent="0.25">
      <c r="A15">
        <v>2024</v>
      </c>
      <c r="B15">
        <v>303.07318500000002</v>
      </c>
      <c r="C15">
        <v>0</v>
      </c>
      <c r="D15">
        <f t="shared" si="0"/>
        <v>586952.79288517812</v>
      </c>
      <c r="E15">
        <f t="shared" si="1"/>
        <v>3.716921982331387</v>
      </c>
      <c r="G15" s="2">
        <v>2024</v>
      </c>
      <c r="H15" s="3">
        <v>3.5451576999999999</v>
      </c>
      <c r="I15" s="4">
        <v>3.5487339000000002</v>
      </c>
      <c r="J15">
        <v>2024</v>
      </c>
      <c r="K15">
        <v>3.7170025466267602</v>
      </c>
      <c r="M15">
        <f t="shared" si="2"/>
        <v>1.0484503925823629</v>
      </c>
      <c r="N15">
        <f t="shared" si="3"/>
        <v>-4.8450392582362944E-2</v>
      </c>
      <c r="O15">
        <f t="shared" si="4"/>
        <v>1.0484731177478397</v>
      </c>
      <c r="P15">
        <f t="shared" si="5"/>
        <v>-4.8473117747839689E-2</v>
      </c>
    </row>
    <row r="16" spans="1:16" x14ac:dyDescent="0.25">
      <c r="A16">
        <v>2026</v>
      </c>
      <c r="B16">
        <v>280.89288699999997</v>
      </c>
      <c r="C16">
        <v>0</v>
      </c>
      <c r="D16">
        <f t="shared" si="0"/>
        <v>543996.87166725332</v>
      </c>
      <c r="E16">
        <f t="shared" si="1"/>
        <v>3.4449004334409397</v>
      </c>
      <c r="G16" s="2">
        <v>2026</v>
      </c>
      <c r="H16" s="3">
        <v>3.3064542000000001</v>
      </c>
      <c r="I16" s="4">
        <v>3.2953912999999999</v>
      </c>
      <c r="J16">
        <v>2026</v>
      </c>
      <c r="K16">
        <v>3.46265701439274</v>
      </c>
      <c r="M16">
        <f t="shared" si="2"/>
        <v>1.0418715110104775</v>
      </c>
      <c r="N16">
        <f t="shared" si="3"/>
        <v>-4.187151101047748E-2</v>
      </c>
      <c r="O16">
        <f t="shared" si="4"/>
        <v>1.0472417898281305</v>
      </c>
      <c r="P16">
        <f t="shared" si="5"/>
        <v>-4.7241789828130543E-2</v>
      </c>
    </row>
    <row r="17" spans="1:16" x14ac:dyDescent="0.25">
      <c r="A17">
        <v>2028</v>
      </c>
      <c r="B17">
        <v>259.06195600000001</v>
      </c>
      <c r="C17">
        <v>0</v>
      </c>
      <c r="D17">
        <f t="shared" si="0"/>
        <v>501717.5590921946</v>
      </c>
      <c r="E17">
        <f t="shared" si="1"/>
        <v>3.1771635588353568</v>
      </c>
      <c r="G17" s="2">
        <v>2028</v>
      </c>
      <c r="H17" s="3">
        <v>3.0745686999999999</v>
      </c>
      <c r="I17" s="4">
        <v>3.0493979000000002</v>
      </c>
      <c r="J17">
        <v>2028</v>
      </c>
      <c r="K17">
        <v>3.21017056329487</v>
      </c>
      <c r="M17">
        <f t="shared" si="2"/>
        <v>1.0333688620570933</v>
      </c>
      <c r="N17">
        <f t="shared" si="3"/>
        <v>-3.3368862057093329E-2</v>
      </c>
      <c r="O17">
        <f t="shared" si="4"/>
        <v>1.0441043530088854</v>
      </c>
      <c r="P17">
        <f t="shared" si="5"/>
        <v>-4.4104353008885377E-2</v>
      </c>
    </row>
    <row r="18" spans="1:16" x14ac:dyDescent="0.25">
      <c r="A18">
        <v>2030</v>
      </c>
      <c r="B18">
        <v>238.34987899999999</v>
      </c>
      <c r="C18">
        <v>0</v>
      </c>
      <c r="D18">
        <f t="shared" si="0"/>
        <v>461605.09766937734</v>
      </c>
      <c r="E18">
        <f t="shared" si="1"/>
        <v>2.9231484294498906</v>
      </c>
      <c r="G18" s="2">
        <v>2030</v>
      </c>
      <c r="H18" s="3">
        <v>2.8574896000000001</v>
      </c>
      <c r="I18" s="4">
        <v>2.819375</v>
      </c>
      <c r="J18">
        <v>2030</v>
      </c>
      <c r="K18">
        <v>2.9689415184049799</v>
      </c>
      <c r="M18">
        <f t="shared" si="2"/>
        <v>1.0229778017214448</v>
      </c>
      <c r="N18">
        <f t="shared" si="3"/>
        <v>-2.2977801721444813E-2</v>
      </c>
      <c r="O18">
        <f t="shared" si="4"/>
        <v>1.0390034379845092</v>
      </c>
      <c r="P18">
        <f t="shared" si="5"/>
        <v>-3.9003437984509226E-2</v>
      </c>
    </row>
    <row r="19" spans="1:16" x14ac:dyDescent="0.25">
      <c r="A19">
        <v>2032</v>
      </c>
      <c r="B19">
        <v>219.45850200000001</v>
      </c>
      <c r="C19">
        <v>0</v>
      </c>
      <c r="D19">
        <f t="shared" si="0"/>
        <v>425018.73160206323</v>
      </c>
      <c r="E19">
        <f t="shared" si="1"/>
        <v>2.6914625597553825</v>
      </c>
      <c r="G19" s="2">
        <v>2032</v>
      </c>
      <c r="H19" s="3">
        <v>2.6626897</v>
      </c>
      <c r="I19" s="4">
        <v>2.6131122000000002</v>
      </c>
      <c r="J19">
        <v>2032</v>
      </c>
      <c r="K19">
        <v>2.74701474720997</v>
      </c>
      <c r="M19">
        <f t="shared" si="2"/>
        <v>1.0108059379789476</v>
      </c>
      <c r="N19">
        <f t="shared" si="3"/>
        <v>-1.0805937978947577E-2</v>
      </c>
      <c r="O19">
        <f t="shared" si="4"/>
        <v>1.0316691228459591</v>
      </c>
      <c r="P19">
        <f t="shared" si="5"/>
        <v>-3.166912284595913E-2</v>
      </c>
    </row>
    <row r="20" spans="1:16" x14ac:dyDescent="0.25">
      <c r="A20">
        <v>2034</v>
      </c>
      <c r="B20">
        <v>203.01111599999999</v>
      </c>
      <c r="C20">
        <v>0</v>
      </c>
      <c r="D20">
        <f t="shared" si="0"/>
        <v>393165.56996930257</v>
      </c>
      <c r="E20">
        <f t="shared" si="1"/>
        <v>2.4897500572940072</v>
      </c>
      <c r="G20" s="2">
        <v>2034</v>
      </c>
      <c r="H20" s="3">
        <v>2.4956255000000001</v>
      </c>
      <c r="I20" s="4">
        <v>2.4367695</v>
      </c>
      <c r="J20">
        <v>2034</v>
      </c>
      <c r="K20">
        <v>2.5514191924030301</v>
      </c>
      <c r="M20">
        <f t="shared" si="2"/>
        <v>0.99764570336935854</v>
      </c>
      <c r="N20">
        <f t="shared" si="3"/>
        <v>2.3542966306414614E-3</v>
      </c>
      <c r="O20">
        <f t="shared" si="4"/>
        <v>1.0223565965338268</v>
      </c>
      <c r="P20">
        <f t="shared" si="5"/>
        <v>-2.2356596533826822E-2</v>
      </c>
    </row>
    <row r="21" spans="1:16" x14ac:dyDescent="0.25">
      <c r="A21">
        <v>2036</v>
      </c>
      <c r="B21">
        <v>189.561184</v>
      </c>
      <c r="C21">
        <v>0</v>
      </c>
      <c r="D21">
        <f t="shared" si="0"/>
        <v>367117.48804639757</v>
      </c>
      <c r="E21">
        <f t="shared" si="1"/>
        <v>2.3247986515414247</v>
      </c>
      <c r="G21" s="2">
        <v>2036</v>
      </c>
      <c r="H21" s="3">
        <v>2.3626029000000002</v>
      </c>
      <c r="I21" s="4">
        <v>2.2966275</v>
      </c>
      <c r="J21">
        <v>2036</v>
      </c>
      <c r="K21">
        <v>2.3882719601653002</v>
      </c>
      <c r="M21">
        <f t="shared" si="2"/>
        <v>0.98399889864751477</v>
      </c>
      <c r="N21">
        <f t="shared" si="3"/>
        <v>1.6001101352485225E-2</v>
      </c>
      <c r="O21">
        <f t="shared" si="4"/>
        <v>1.0108647374323041</v>
      </c>
      <c r="P21">
        <f t="shared" si="5"/>
        <v>-1.0864737432304095E-2</v>
      </c>
    </row>
    <row r="22" spans="1:16" x14ac:dyDescent="0.25">
      <c r="A22">
        <v>2038</v>
      </c>
      <c r="B22">
        <v>179.533312</v>
      </c>
      <c r="C22">
        <v>0</v>
      </c>
      <c r="D22">
        <f t="shared" si="0"/>
        <v>347696.80760218384</v>
      </c>
      <c r="E22">
        <f t="shared" si="1"/>
        <v>2.2018157559322158</v>
      </c>
      <c r="G22" s="2">
        <v>2038</v>
      </c>
      <c r="H22" s="3">
        <v>2.2668910000000002</v>
      </c>
      <c r="I22" s="4">
        <v>2.1963596000000001</v>
      </c>
      <c r="J22">
        <v>2038</v>
      </c>
      <c r="K22">
        <v>2.26234985959251</v>
      </c>
      <c r="M22">
        <f t="shared" si="2"/>
        <v>0.97129317463090004</v>
      </c>
      <c r="N22">
        <f t="shared" si="3"/>
        <v>2.8706825369099964E-2</v>
      </c>
      <c r="O22">
        <f t="shared" si="4"/>
        <v>0.9979967539650163</v>
      </c>
      <c r="P22">
        <f t="shared" si="5"/>
        <v>2.0032460349836967E-3</v>
      </c>
    </row>
    <row r="23" spans="1:16" x14ac:dyDescent="0.25">
      <c r="A23">
        <v>2040</v>
      </c>
      <c r="B23">
        <v>173.20182199999999</v>
      </c>
      <c r="C23">
        <v>0</v>
      </c>
      <c r="D23">
        <f t="shared" si="0"/>
        <v>335434.79986756825</v>
      </c>
      <c r="E23">
        <f t="shared" si="1"/>
        <v>2.1241656848382942</v>
      </c>
      <c r="G23" s="2">
        <v>2040</v>
      </c>
      <c r="H23" s="3">
        <v>2.2105882000000001</v>
      </c>
      <c r="I23" s="4">
        <v>2.1384020000000001</v>
      </c>
      <c r="J23">
        <v>2040</v>
      </c>
      <c r="K23">
        <v>2.17731345730515</v>
      </c>
      <c r="M23">
        <f t="shared" si="2"/>
        <v>0.96090519475237135</v>
      </c>
      <c r="N23">
        <f t="shared" si="3"/>
        <v>3.909480524762865E-2</v>
      </c>
      <c r="O23">
        <f t="shared" si="4"/>
        <v>0.98494756160606933</v>
      </c>
      <c r="P23">
        <f t="shared" si="5"/>
        <v>1.5052438393930667E-2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3"/>
  <sheetViews>
    <sheetView topLeftCell="G1" workbookViewId="0">
      <selection activeCell="H3" sqref="H3:H23"/>
    </sheetView>
  </sheetViews>
  <sheetFormatPr defaultRowHeight="15.75" x14ac:dyDescent="0.25"/>
  <cols>
    <col min="1" max="1" width="14.5" customWidth="1"/>
    <col min="5" max="5" width="15" customWidth="1"/>
    <col min="7" max="7" width="14.375" style="2" customWidth="1"/>
    <col min="8" max="8" width="15.125" style="3" customWidth="1"/>
    <col min="10" max="11" width="15" customWidth="1"/>
    <col min="26" max="26" width="12.75" customWidth="1"/>
    <col min="27" max="28" width="17.125" customWidth="1"/>
  </cols>
  <sheetData>
    <row r="1" spans="1:28" x14ac:dyDescent="0.25">
      <c r="B1" t="s">
        <v>5</v>
      </c>
      <c r="H1" s="3" t="s">
        <v>6</v>
      </c>
      <c r="K1" t="s">
        <v>7</v>
      </c>
      <c r="M1" t="s">
        <v>8</v>
      </c>
      <c r="N1" t="s">
        <v>9</v>
      </c>
      <c r="O1" t="s">
        <v>10</v>
      </c>
      <c r="P1" t="s">
        <v>9</v>
      </c>
      <c r="AA1" t="s">
        <v>11</v>
      </c>
    </row>
    <row r="2" spans="1:2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t="s">
        <v>4</v>
      </c>
    </row>
    <row r="3" spans="1:28" x14ac:dyDescent="0.25">
      <c r="A3">
        <v>2000</v>
      </c>
      <c r="B3">
        <v>369.09036800000001</v>
      </c>
      <c r="C3">
        <v>0</v>
      </c>
      <c r="D3">
        <f t="shared" ref="D3:D23" si="0">B3*4*PI()/(0.0064886478302)</f>
        <v>714806.3010741719</v>
      </c>
      <c r="E3">
        <f>D3/(4000*PI())/(4*PI())</f>
        <v>4.5265637812397728</v>
      </c>
      <c r="G3" s="2">
        <v>2000</v>
      </c>
      <c r="H3" s="3">
        <v>4.4393425000000004</v>
      </c>
      <c r="J3">
        <v>2000</v>
      </c>
      <c r="K3">
        <v>4.4376320638188904</v>
      </c>
      <c r="M3">
        <f>E3/H3</f>
        <v>1.0196473421998353</v>
      </c>
      <c r="N3">
        <f>1-M3</f>
        <v>-1.9647342199835327E-2</v>
      </c>
      <c r="O3">
        <f>K3/H3</f>
        <v>0.99961470956991716</v>
      </c>
      <c r="P3">
        <f>1-O3</f>
        <v>3.8529043008284081E-4</v>
      </c>
      <c r="Z3">
        <v>2000</v>
      </c>
      <c r="AA3">
        <v>4.3099983116458898</v>
      </c>
      <c r="AB3">
        <f>AA3/H3</f>
        <v>0.97086411144125273</v>
      </c>
    </row>
    <row r="4" spans="1:28" x14ac:dyDescent="0.25">
      <c r="A4">
        <v>2002</v>
      </c>
      <c r="B4">
        <v>383.95766200000003</v>
      </c>
      <c r="C4">
        <v>0</v>
      </c>
      <c r="D4">
        <f t="shared" si="0"/>
        <v>743599.34568465117</v>
      </c>
      <c r="E4">
        <f t="shared" ref="E4:E23" si="1">D4/(4000*PI())/(4*PI())</f>
        <v>4.7088978662772973</v>
      </c>
      <c r="G4" s="2">
        <v>2002</v>
      </c>
      <c r="H4" s="3">
        <v>4.5989570999999998</v>
      </c>
      <c r="J4">
        <v>2002</v>
      </c>
      <c r="K4">
        <v>4.5973096026830902</v>
      </c>
      <c r="M4">
        <f t="shared" ref="M4:M23" si="2">E4/H4</f>
        <v>1.0239055863942061</v>
      </c>
      <c r="N4">
        <f t="shared" ref="N4:N23" si="3">1-M4</f>
        <v>-2.3905586394206146E-2</v>
      </c>
      <c r="O4">
        <f t="shared" ref="O4:O23" si="4">K4/H4</f>
        <v>0.99964176719175968</v>
      </c>
      <c r="P4">
        <f t="shared" ref="P4:P23" si="5">1-O4</f>
        <v>3.5823280824032189E-4</v>
      </c>
      <c r="Z4">
        <v>2002</v>
      </c>
      <c r="AA4">
        <v>4.4984367177355598</v>
      </c>
      <c r="AB4">
        <f t="shared" ref="AB4:AB23" si="6">AA4/H4</f>
        <v>0.9781427875758093</v>
      </c>
    </row>
    <row r="5" spans="1:28" x14ac:dyDescent="0.25">
      <c r="A5">
        <v>2004</v>
      </c>
      <c r="B5">
        <v>395.04862600000001</v>
      </c>
      <c r="C5">
        <v>0</v>
      </c>
      <c r="D5">
        <f t="shared" si="0"/>
        <v>765078.88467979175</v>
      </c>
      <c r="E5">
        <f t="shared" si="1"/>
        <v>4.8449186359697594</v>
      </c>
      <c r="G5" s="2">
        <v>2004</v>
      </c>
      <c r="H5" s="3">
        <v>4.7154641000000002</v>
      </c>
      <c r="J5">
        <v>2004</v>
      </c>
      <c r="K5">
        <v>4.7137968911815804</v>
      </c>
      <c r="M5">
        <f t="shared" si="2"/>
        <v>1.0274531908682667</v>
      </c>
      <c r="N5">
        <f t="shared" si="3"/>
        <v>-2.7453190868266697E-2</v>
      </c>
      <c r="O5">
        <f t="shared" si="4"/>
        <v>0.99964643802114417</v>
      </c>
      <c r="P5">
        <f t="shared" si="5"/>
        <v>3.5356197885583196E-4</v>
      </c>
      <c r="Z5">
        <v>2004</v>
      </c>
      <c r="AA5">
        <v>4.6443176365656704</v>
      </c>
      <c r="AB5">
        <f t="shared" si="6"/>
        <v>0.98491209731947071</v>
      </c>
    </row>
    <row r="6" spans="1:28" x14ac:dyDescent="0.25">
      <c r="A6">
        <v>2006</v>
      </c>
      <c r="B6">
        <v>401.97802200000001</v>
      </c>
      <c r="C6">
        <v>0</v>
      </c>
      <c r="D6">
        <f t="shared" si="0"/>
        <v>778498.83912151319</v>
      </c>
      <c r="E6">
        <f t="shared" si="1"/>
        <v>4.9299014902486009</v>
      </c>
      <c r="G6" s="2">
        <v>2006</v>
      </c>
      <c r="H6" s="3">
        <v>4.7856503000000004</v>
      </c>
      <c r="J6">
        <v>2006</v>
      </c>
      <c r="K6">
        <v>4.7837617694648999</v>
      </c>
      <c r="M6">
        <f t="shared" si="2"/>
        <v>1.0301424427623975</v>
      </c>
      <c r="N6">
        <f t="shared" si="3"/>
        <v>-3.0142442762397526E-2</v>
      </c>
      <c r="O6">
        <f t="shared" si="4"/>
        <v>0.99960537640305636</v>
      </c>
      <c r="P6">
        <f t="shared" si="5"/>
        <v>3.9462359694364402E-4</v>
      </c>
      <c r="Z6">
        <v>2006</v>
      </c>
      <c r="AA6">
        <v>4.74322677859967</v>
      </c>
      <c r="AB6">
        <f t="shared" si="6"/>
        <v>0.99113526506516147</v>
      </c>
    </row>
    <row r="7" spans="1:28" x14ac:dyDescent="0.25">
      <c r="A7">
        <v>2008</v>
      </c>
      <c r="B7">
        <v>404.60934800000001</v>
      </c>
      <c r="C7">
        <v>0</v>
      </c>
      <c r="D7">
        <f t="shared" si="0"/>
        <v>783594.84965999529</v>
      </c>
      <c r="E7">
        <f t="shared" si="1"/>
        <v>4.9621723539744034</v>
      </c>
      <c r="G7" s="2">
        <v>2008</v>
      </c>
      <c r="H7" s="3">
        <v>4.8071780000000004</v>
      </c>
      <c r="J7">
        <v>2008</v>
      </c>
      <c r="K7">
        <v>4.8054601075735697</v>
      </c>
      <c r="M7">
        <f t="shared" si="2"/>
        <v>1.0322422747762623</v>
      </c>
      <c r="N7">
        <f t="shared" si="3"/>
        <v>-3.2242274776262292E-2</v>
      </c>
      <c r="O7">
        <f t="shared" si="4"/>
        <v>0.99964264014637472</v>
      </c>
      <c r="P7">
        <f t="shared" si="5"/>
        <v>3.5735985362528311E-4</v>
      </c>
      <c r="Z7">
        <v>2008</v>
      </c>
      <c r="AA7">
        <v>4.79531924317084</v>
      </c>
      <c r="AB7">
        <f t="shared" si="6"/>
        <v>0.99753311468201089</v>
      </c>
    </row>
    <row r="8" spans="1:28" x14ac:dyDescent="0.25">
      <c r="A8">
        <v>2010</v>
      </c>
      <c r="B8">
        <v>402.802997</v>
      </c>
      <c r="C8">
        <v>0</v>
      </c>
      <c r="D8">
        <f t="shared" si="0"/>
        <v>780096.54358458018</v>
      </c>
      <c r="E8">
        <f t="shared" si="1"/>
        <v>4.9400190719553878</v>
      </c>
      <c r="G8" s="2">
        <v>2010</v>
      </c>
      <c r="H8" s="3">
        <v>4.7801179999999999</v>
      </c>
      <c r="J8">
        <v>2010</v>
      </c>
      <c r="K8">
        <v>4.7787558585553302</v>
      </c>
      <c r="M8">
        <f t="shared" si="2"/>
        <v>1.0334512813188688</v>
      </c>
      <c r="N8">
        <f t="shared" si="3"/>
        <v>-3.3451281318868764E-2</v>
      </c>
      <c r="O8">
        <f t="shared" si="4"/>
        <v>0.99971504020514357</v>
      </c>
      <c r="P8">
        <f t="shared" si="5"/>
        <v>2.8495979485643197E-4</v>
      </c>
      <c r="Z8">
        <v>2010</v>
      </c>
      <c r="AA8">
        <v>4.80016276790208</v>
      </c>
      <c r="AB8">
        <f t="shared" si="6"/>
        <v>1.0041933625701458</v>
      </c>
    </row>
    <row r="9" spans="1:28" x14ac:dyDescent="0.25">
      <c r="A9">
        <v>2012</v>
      </c>
      <c r="B9">
        <v>396.74109299999998</v>
      </c>
      <c r="C9">
        <v>0</v>
      </c>
      <c r="D9">
        <f t="shared" si="0"/>
        <v>768356.63501100626</v>
      </c>
      <c r="E9">
        <f t="shared" si="1"/>
        <v>4.8656752324224293</v>
      </c>
      <c r="G9" s="2">
        <v>2012</v>
      </c>
      <c r="H9" s="3">
        <v>4.7064785999999996</v>
      </c>
      <c r="J9">
        <v>2012</v>
      </c>
      <c r="K9">
        <v>4.7051418555727</v>
      </c>
      <c r="M9">
        <f t="shared" si="2"/>
        <v>1.0338249986778714</v>
      </c>
      <c r="N9">
        <f t="shared" si="3"/>
        <v>-3.3824998677871365E-2</v>
      </c>
      <c r="O9">
        <f t="shared" si="4"/>
        <v>0.99971597779552224</v>
      </c>
      <c r="P9">
        <f t="shared" si="5"/>
        <v>2.8402220447776294E-4</v>
      </c>
      <c r="Z9">
        <v>2012</v>
      </c>
      <c r="AA9">
        <v>4.7572167169770898</v>
      </c>
      <c r="AB9">
        <f t="shared" si="6"/>
        <v>1.0107804839433647</v>
      </c>
    </row>
    <row r="10" spans="1:28" x14ac:dyDescent="0.25">
      <c r="A10">
        <v>2014</v>
      </c>
      <c r="B10">
        <v>386.63103799999999</v>
      </c>
      <c r="C10">
        <v>0</v>
      </c>
      <c r="D10">
        <f t="shared" si="0"/>
        <v>748776.79320325039</v>
      </c>
      <c r="E10">
        <f t="shared" si="1"/>
        <v>4.7416844357042072</v>
      </c>
      <c r="G10" s="2">
        <v>2014</v>
      </c>
      <c r="H10" s="3">
        <v>4.5887298999999997</v>
      </c>
      <c r="J10">
        <v>2014</v>
      </c>
      <c r="K10">
        <v>4.5877472724337798</v>
      </c>
      <c r="M10">
        <f t="shared" si="2"/>
        <v>1.0333326517440495</v>
      </c>
      <c r="N10">
        <f t="shared" si="3"/>
        <v>-3.3332651744049535E-2</v>
      </c>
      <c r="O10">
        <f t="shared" si="4"/>
        <v>0.99978586066566699</v>
      </c>
      <c r="P10">
        <f t="shared" si="5"/>
        <v>2.141393343330078E-4</v>
      </c>
      <c r="Z10">
        <v>2014</v>
      </c>
      <c r="AA10">
        <v>4.6677736801462002</v>
      </c>
      <c r="AB10">
        <f t="shared" si="6"/>
        <v>1.0172256336434622</v>
      </c>
    </row>
    <row r="11" spans="1:28" x14ac:dyDescent="0.25">
      <c r="A11">
        <v>2016</v>
      </c>
      <c r="B11">
        <v>372.920434</v>
      </c>
      <c r="C11">
        <v>0</v>
      </c>
      <c r="D11">
        <f t="shared" si="0"/>
        <v>722223.87559708639</v>
      </c>
      <c r="E11">
        <f t="shared" si="1"/>
        <v>4.5735361206408323</v>
      </c>
      <c r="G11" s="2">
        <v>2016</v>
      </c>
      <c r="H11" s="3">
        <v>4.4322176000000004</v>
      </c>
      <c r="J11">
        <v>2016</v>
      </c>
      <c r="K11">
        <v>4.4312874932378099</v>
      </c>
      <c r="M11">
        <f t="shared" si="2"/>
        <v>1.0318843823554222</v>
      </c>
      <c r="N11">
        <f t="shared" si="3"/>
        <v>-3.1884382355422236E-2</v>
      </c>
      <c r="O11">
        <f t="shared" si="4"/>
        <v>0.99979014866910176</v>
      </c>
      <c r="P11">
        <f t="shared" si="5"/>
        <v>2.0985133089823638E-4</v>
      </c>
      <c r="Z11">
        <v>2016</v>
      </c>
      <c r="AA11">
        <v>4.5372671600348804</v>
      </c>
      <c r="AB11">
        <f t="shared" si="6"/>
        <v>1.0237013543818065</v>
      </c>
    </row>
    <row r="12" spans="1:28" x14ac:dyDescent="0.25">
      <c r="A12">
        <v>2018</v>
      </c>
      <c r="B12">
        <v>356.12049999999999</v>
      </c>
      <c r="C12">
        <v>0</v>
      </c>
      <c r="D12">
        <f t="shared" si="0"/>
        <v>689687.94477368915</v>
      </c>
      <c r="E12">
        <f t="shared" si="1"/>
        <v>4.3674999317700927</v>
      </c>
      <c r="G12" s="2">
        <v>2018</v>
      </c>
      <c r="H12" s="3">
        <v>4.2420077000000003</v>
      </c>
      <c r="J12">
        <v>2018</v>
      </c>
      <c r="K12">
        <v>4.2416833419637596</v>
      </c>
      <c r="M12">
        <f t="shared" si="2"/>
        <v>1.0295832164024814</v>
      </c>
      <c r="N12">
        <f t="shared" si="3"/>
        <v>-2.9583216402481405E-2</v>
      </c>
      <c r="O12">
        <f t="shared" si="4"/>
        <v>0.99992353666961975</v>
      </c>
      <c r="P12">
        <f t="shared" si="5"/>
        <v>7.6463330380249772E-5</v>
      </c>
      <c r="Z12">
        <v>2018</v>
      </c>
      <c r="AA12">
        <v>4.3707579072506899</v>
      </c>
      <c r="AB12">
        <f t="shared" si="6"/>
        <v>1.0303512431744737</v>
      </c>
    </row>
    <row r="13" spans="1:28" x14ac:dyDescent="0.25">
      <c r="A13">
        <v>2020</v>
      </c>
      <c r="B13">
        <v>336.900419</v>
      </c>
      <c r="C13">
        <v>0</v>
      </c>
      <c r="D13">
        <f t="shared" si="0"/>
        <v>652464.98747897067</v>
      </c>
      <c r="E13">
        <f t="shared" si="1"/>
        <v>4.1317828010345261</v>
      </c>
      <c r="G13" s="2">
        <v>2020</v>
      </c>
      <c r="H13" s="3">
        <v>4.0260924999999999</v>
      </c>
      <c r="J13">
        <v>2020</v>
      </c>
      <c r="K13">
        <v>4.0258782673300404</v>
      </c>
      <c r="M13">
        <f t="shared" si="2"/>
        <v>1.0262513345221269</v>
      </c>
      <c r="N13">
        <f t="shared" si="3"/>
        <v>-2.6251334522126912E-2</v>
      </c>
      <c r="O13">
        <f t="shared" si="4"/>
        <v>0.99994678893493893</v>
      </c>
      <c r="P13">
        <f t="shared" si="5"/>
        <v>5.3211065061065099E-5</v>
      </c>
      <c r="Z13">
        <v>2020</v>
      </c>
      <c r="AA13">
        <v>4.1727036299038396</v>
      </c>
      <c r="AB13">
        <f t="shared" si="6"/>
        <v>1.0364152413050221</v>
      </c>
    </row>
    <row r="14" spans="1:28" x14ac:dyDescent="0.25">
      <c r="A14">
        <v>2022</v>
      </c>
      <c r="B14">
        <v>315.88589300000001</v>
      </c>
      <c r="C14">
        <v>0</v>
      </c>
      <c r="D14">
        <f t="shared" si="0"/>
        <v>611766.78210373025</v>
      </c>
      <c r="E14">
        <f t="shared" si="1"/>
        <v>3.8740584047383808</v>
      </c>
      <c r="G14" s="2">
        <v>2022</v>
      </c>
      <c r="H14" s="3">
        <v>3.7915716000000002</v>
      </c>
      <c r="J14">
        <v>2022</v>
      </c>
      <c r="K14">
        <v>3.7918458825815602</v>
      </c>
      <c r="M14">
        <f t="shared" si="2"/>
        <v>1.0217553071497794</v>
      </c>
      <c r="N14">
        <f t="shared" si="3"/>
        <v>-2.1755307149779357E-2</v>
      </c>
      <c r="O14">
        <f t="shared" si="4"/>
        <v>1.0000723400770171</v>
      </c>
      <c r="P14">
        <f t="shared" si="5"/>
        <v>-7.2340077017063464E-5</v>
      </c>
      <c r="Z14">
        <v>2022</v>
      </c>
      <c r="AA14">
        <v>3.9492870928977202</v>
      </c>
      <c r="AB14">
        <f t="shared" si="6"/>
        <v>1.0415963377554891</v>
      </c>
    </row>
    <row r="15" spans="1:28" x14ac:dyDescent="0.25">
      <c r="A15">
        <v>2024</v>
      </c>
      <c r="B15">
        <v>293.89472699999999</v>
      </c>
      <c r="C15">
        <v>0</v>
      </c>
      <c r="D15">
        <f t="shared" si="0"/>
        <v>569177.14718600712</v>
      </c>
      <c r="E15">
        <f t="shared" si="1"/>
        <v>3.6043563909409593</v>
      </c>
      <c r="G15" s="2">
        <v>2024</v>
      </c>
      <c r="H15" s="3">
        <v>3.5473146</v>
      </c>
      <c r="J15">
        <v>2024</v>
      </c>
      <c r="K15">
        <v>3.5479345720436499</v>
      </c>
      <c r="M15">
        <f t="shared" si="2"/>
        <v>1.0160802740588499</v>
      </c>
      <c r="N15">
        <f t="shared" si="3"/>
        <v>-1.608027405884993E-2</v>
      </c>
      <c r="O15">
        <f t="shared" si="4"/>
        <v>1.0001747722188639</v>
      </c>
      <c r="P15">
        <f t="shared" si="5"/>
        <v>-1.7477221886386118E-4</v>
      </c>
      <c r="Z15">
        <v>2024</v>
      </c>
      <c r="AA15">
        <v>3.7100740436644499</v>
      </c>
      <c r="AB15">
        <f t="shared" si="6"/>
        <v>1.0458824384125529</v>
      </c>
    </row>
    <row r="16" spans="1:28" x14ac:dyDescent="0.25">
      <c r="A16">
        <v>2026</v>
      </c>
      <c r="B16">
        <v>271.63117199999999</v>
      </c>
      <c r="C16">
        <v>0</v>
      </c>
      <c r="D16">
        <f t="shared" si="0"/>
        <v>526059.98462079116</v>
      </c>
      <c r="E16">
        <f t="shared" si="1"/>
        <v>3.3313137692905355</v>
      </c>
      <c r="G16" s="2">
        <v>2026</v>
      </c>
      <c r="H16" s="3">
        <v>3.301806</v>
      </c>
      <c r="J16">
        <v>2026</v>
      </c>
      <c r="K16">
        <v>3.30269121002015</v>
      </c>
      <c r="M16">
        <f t="shared" si="2"/>
        <v>1.0089368573715523</v>
      </c>
      <c r="N16">
        <f t="shared" si="3"/>
        <v>-8.9368573715522537E-3</v>
      </c>
      <c r="O16">
        <f t="shared" si="4"/>
        <v>1.0002680987375243</v>
      </c>
      <c r="P16">
        <f t="shared" si="5"/>
        <v>-2.6809873752431379E-4</v>
      </c>
      <c r="Z16">
        <v>2026</v>
      </c>
      <c r="AA16">
        <v>3.4638915438466298</v>
      </c>
      <c r="AB16">
        <f t="shared" si="6"/>
        <v>1.0490899658691728</v>
      </c>
    </row>
    <row r="17" spans="1:28" x14ac:dyDescent="0.25">
      <c r="A17">
        <v>2028</v>
      </c>
      <c r="B17">
        <v>249.98122100000001</v>
      </c>
      <c r="C17">
        <v>0</v>
      </c>
      <c r="D17">
        <f t="shared" si="0"/>
        <v>484131.17061081121</v>
      </c>
      <c r="E17">
        <f t="shared" si="1"/>
        <v>3.0657964527773731</v>
      </c>
      <c r="G17" s="2">
        <v>2028</v>
      </c>
      <c r="H17" s="3">
        <v>3.0633279999999998</v>
      </c>
      <c r="J17">
        <v>2028</v>
      </c>
      <c r="K17">
        <v>3.06458907152438</v>
      </c>
      <c r="M17">
        <f t="shared" si="2"/>
        <v>1.0008058075326485</v>
      </c>
      <c r="N17">
        <f t="shared" si="3"/>
        <v>-8.058075326484726E-4</v>
      </c>
      <c r="O17">
        <f t="shared" si="4"/>
        <v>1.0004116671555838</v>
      </c>
      <c r="P17">
        <f t="shared" si="5"/>
        <v>-4.1166715558382805E-4</v>
      </c>
      <c r="Z17">
        <v>2028</v>
      </c>
      <c r="AA17">
        <v>3.2192864305139399</v>
      </c>
      <c r="AB17">
        <f t="shared" si="6"/>
        <v>1.050911437010317</v>
      </c>
    </row>
    <row r="18" spans="1:28" x14ac:dyDescent="0.25">
      <c r="A18">
        <v>2030</v>
      </c>
      <c r="B18">
        <v>229.572644</v>
      </c>
      <c r="C18">
        <v>0</v>
      </c>
      <c r="D18">
        <f t="shared" si="0"/>
        <v>444606.48858075234</v>
      </c>
      <c r="E18">
        <f t="shared" si="1"/>
        <v>2.8155034798790854</v>
      </c>
      <c r="G18" s="2">
        <v>2030</v>
      </c>
      <c r="H18" s="3">
        <v>2.8403434999999999</v>
      </c>
      <c r="J18">
        <v>2030</v>
      </c>
      <c r="K18">
        <v>2.8416596251093198</v>
      </c>
      <c r="M18">
        <f t="shared" si="2"/>
        <v>0.9912545718076301</v>
      </c>
      <c r="N18">
        <f t="shared" si="3"/>
        <v>8.7454281923698973E-3</v>
      </c>
      <c r="O18">
        <f t="shared" si="4"/>
        <v>1.0004633682895467</v>
      </c>
      <c r="P18">
        <f t="shared" si="5"/>
        <v>-4.6336828954673948E-4</v>
      </c>
      <c r="Z18">
        <v>2030</v>
      </c>
      <c r="AA18">
        <v>2.9854840019192301</v>
      </c>
      <c r="AB18">
        <f t="shared" si="6"/>
        <v>1.0510996299987063</v>
      </c>
    </row>
    <row r="19" spans="1:28" x14ac:dyDescent="0.25">
      <c r="A19">
        <v>2032</v>
      </c>
      <c r="B19">
        <v>211.212346</v>
      </c>
      <c r="C19">
        <v>0</v>
      </c>
      <c r="D19">
        <f t="shared" si="0"/>
        <v>409048.6473639381</v>
      </c>
      <c r="E19">
        <f t="shared" si="1"/>
        <v>2.5903308198882149</v>
      </c>
      <c r="G19" s="2">
        <v>2032</v>
      </c>
      <c r="H19" s="3">
        <v>2.6400329999999999</v>
      </c>
      <c r="J19">
        <v>2032</v>
      </c>
      <c r="K19">
        <v>2.6413650669120301</v>
      </c>
      <c r="M19">
        <f t="shared" si="2"/>
        <v>0.98117365195367445</v>
      </c>
      <c r="N19">
        <f t="shared" si="3"/>
        <v>1.8826348046325547E-2</v>
      </c>
      <c r="O19">
        <f t="shared" si="4"/>
        <v>1.0005045644929553</v>
      </c>
      <c r="P19">
        <f t="shared" si="5"/>
        <v>-5.0456449295532835E-4</v>
      </c>
      <c r="Z19">
        <v>2032</v>
      </c>
      <c r="AA19">
        <v>2.7702619361330298</v>
      </c>
      <c r="AB19">
        <f t="shared" si="6"/>
        <v>1.0493285258680591</v>
      </c>
    </row>
    <row r="20" spans="1:28" x14ac:dyDescent="0.25">
      <c r="A20">
        <v>2034</v>
      </c>
      <c r="B20">
        <v>195.32378</v>
      </c>
      <c r="C20">
        <v>0</v>
      </c>
      <c r="D20">
        <f t="shared" si="0"/>
        <v>378277.73574851267</v>
      </c>
      <c r="E20">
        <f t="shared" si="1"/>
        <v>2.3954717457239236</v>
      </c>
      <c r="G20" s="2">
        <v>2034</v>
      </c>
      <c r="H20" s="3">
        <v>2.4687022999999999</v>
      </c>
      <c r="J20">
        <v>2034</v>
      </c>
      <c r="K20">
        <v>2.4703303405291699</v>
      </c>
      <c r="M20">
        <f t="shared" si="2"/>
        <v>0.97033641752750976</v>
      </c>
      <c r="N20">
        <f t="shared" si="3"/>
        <v>2.9663582472490235E-2</v>
      </c>
      <c r="O20">
        <f t="shared" si="4"/>
        <v>1.0006594721968582</v>
      </c>
      <c r="P20">
        <f t="shared" si="5"/>
        <v>-6.5947219685824621E-4</v>
      </c>
      <c r="Z20">
        <v>2034</v>
      </c>
      <c r="AA20">
        <v>2.5803354291706802</v>
      </c>
      <c r="AB20">
        <f t="shared" si="6"/>
        <v>1.0452193564087011</v>
      </c>
    </row>
    <row r="21" spans="1:28" x14ac:dyDescent="0.25">
      <c r="A21">
        <v>2036</v>
      </c>
      <c r="B21">
        <v>182.63402600000001</v>
      </c>
      <c r="C21">
        <v>0</v>
      </c>
      <c r="D21">
        <f t="shared" si="0"/>
        <v>353701.86787248845</v>
      </c>
      <c r="E21">
        <f t="shared" si="1"/>
        <v>2.2398432443341436</v>
      </c>
      <c r="G21" s="2">
        <v>2036</v>
      </c>
      <c r="H21" s="3">
        <v>2.3322064999999998</v>
      </c>
      <c r="J21">
        <v>2036</v>
      </c>
      <c r="K21">
        <v>2.3337560653206202</v>
      </c>
      <c r="M21">
        <f t="shared" si="2"/>
        <v>0.96039662196899966</v>
      </c>
      <c r="N21">
        <f t="shared" si="3"/>
        <v>3.9603378031000336E-2</v>
      </c>
      <c r="O21">
        <f t="shared" si="4"/>
        <v>1.0006644202906647</v>
      </c>
      <c r="P21">
        <f t="shared" si="5"/>
        <v>-6.6442029066471342E-4</v>
      </c>
      <c r="Z21">
        <v>2036</v>
      </c>
      <c r="AA21">
        <v>2.4217111255753201</v>
      </c>
      <c r="AB21">
        <f t="shared" si="6"/>
        <v>1.0383776589145601</v>
      </c>
    </row>
    <row r="22" spans="1:28" x14ac:dyDescent="0.25">
      <c r="A22">
        <v>2038</v>
      </c>
      <c r="B22">
        <v>173.30008000000001</v>
      </c>
      <c r="C22">
        <v>0</v>
      </c>
      <c r="D22">
        <f t="shared" si="0"/>
        <v>335625.09320389002</v>
      </c>
      <c r="E22">
        <f t="shared" si="1"/>
        <v>2.125370731468005</v>
      </c>
      <c r="G22" s="2">
        <v>2038</v>
      </c>
      <c r="H22" s="3">
        <v>2.2342824999999999</v>
      </c>
      <c r="J22">
        <v>2038</v>
      </c>
      <c r="K22">
        <v>2.2355645112421398</v>
      </c>
      <c r="M22">
        <f t="shared" si="2"/>
        <v>0.95125425342050751</v>
      </c>
      <c r="N22">
        <f t="shared" si="3"/>
        <v>4.8745746579492488E-2</v>
      </c>
      <c r="O22">
        <f t="shared" si="4"/>
        <v>1.0005737910233554</v>
      </c>
      <c r="P22">
        <f t="shared" si="5"/>
        <v>-5.7379102335541887E-4</v>
      </c>
      <c r="Z22">
        <v>2038</v>
      </c>
      <c r="AA22">
        <v>2.2990298516275001</v>
      </c>
      <c r="AB22">
        <f t="shared" si="6"/>
        <v>1.0289790353849615</v>
      </c>
    </row>
    <row r="23" spans="1:28" x14ac:dyDescent="0.25">
      <c r="A23">
        <v>2040</v>
      </c>
      <c r="B23">
        <v>167.69925799999999</v>
      </c>
      <c r="C23">
        <v>0</v>
      </c>
      <c r="D23">
        <f t="shared" si="0"/>
        <v>324778.14837981149</v>
      </c>
      <c r="E23">
        <f t="shared" si="1"/>
        <v>2.0566816509380819</v>
      </c>
      <c r="G23" s="2">
        <v>2040</v>
      </c>
      <c r="H23" s="3">
        <v>2.1771110999999999</v>
      </c>
      <c r="J23">
        <v>2040</v>
      </c>
      <c r="K23">
        <v>2.1783805101765799</v>
      </c>
      <c r="M23">
        <f t="shared" si="2"/>
        <v>0.9446838293820109</v>
      </c>
      <c r="N23">
        <f t="shared" si="3"/>
        <v>5.5316170617989102E-2</v>
      </c>
      <c r="O23">
        <f t="shared" si="4"/>
        <v>1.0005830709220949</v>
      </c>
      <c r="P23">
        <f t="shared" si="5"/>
        <v>-5.8307092209486377E-4</v>
      </c>
      <c r="Z23">
        <v>2040</v>
      </c>
      <c r="AA23">
        <v>2.21579090090707</v>
      </c>
      <c r="AB23">
        <f t="shared" si="6"/>
        <v>1.0177665719067208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3"/>
  <sheetViews>
    <sheetView topLeftCell="H1" workbookViewId="0">
      <selection activeCell="H3" sqref="H3:H23"/>
    </sheetView>
  </sheetViews>
  <sheetFormatPr defaultRowHeight="15.75" x14ac:dyDescent="0.25"/>
  <cols>
    <col min="1" max="1" width="15" customWidth="1"/>
    <col min="5" max="5" width="15.5" customWidth="1"/>
    <col min="7" max="7" width="15.625" style="2" customWidth="1"/>
    <col min="8" max="8" width="14.75" style="3" customWidth="1"/>
    <col min="10" max="10" width="15.625" customWidth="1"/>
    <col min="11" max="11" width="15.5" customWidth="1"/>
    <col min="13" max="13" width="10.625" customWidth="1"/>
    <col min="15" max="15" width="11.125" customWidth="1"/>
    <col min="25" max="25" width="10.375" customWidth="1"/>
    <col min="26" max="27" width="16.625" customWidth="1"/>
  </cols>
  <sheetData>
    <row r="1" spans="1:27" x14ac:dyDescent="0.25">
      <c r="B1" t="s">
        <v>5</v>
      </c>
      <c r="H1" s="3" t="s">
        <v>6</v>
      </c>
      <c r="K1" t="s">
        <v>7</v>
      </c>
      <c r="M1" t="s">
        <v>8</v>
      </c>
      <c r="N1" t="s">
        <v>9</v>
      </c>
      <c r="O1" t="s">
        <v>10</v>
      </c>
      <c r="P1" t="s">
        <v>9</v>
      </c>
      <c r="Z1" t="s">
        <v>11</v>
      </c>
    </row>
    <row r="2" spans="1:2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4</v>
      </c>
      <c r="J2" t="s">
        <v>0</v>
      </c>
      <c r="K2" t="s">
        <v>4</v>
      </c>
    </row>
    <row r="3" spans="1:27" x14ac:dyDescent="0.25">
      <c r="A3">
        <v>2000</v>
      </c>
      <c r="B3">
        <v>368.825537</v>
      </c>
      <c r="C3">
        <v>0</v>
      </c>
      <c r="D3">
        <f t="shared" ref="D3:D23" si="0">B3*4*PI()/(0.0064886478302)</f>
        <v>714293.41077972844</v>
      </c>
      <c r="E3">
        <f>D3/(4000*PI())/(4*PI())</f>
        <v>4.5233158655077927</v>
      </c>
      <c r="G3" s="2">
        <v>2000</v>
      </c>
      <c r="H3" s="3">
        <v>4.4384598999999998</v>
      </c>
      <c r="J3">
        <v>2000</v>
      </c>
      <c r="K3">
        <v>4.4367855954693001</v>
      </c>
      <c r="M3">
        <f>E3/H3</f>
        <v>1.0191183355081777</v>
      </c>
      <c r="N3">
        <f>1-M3</f>
        <v>-1.9118335508177653E-2</v>
      </c>
      <c r="O3">
        <f>K3/H3</f>
        <v>0.99962277353667206</v>
      </c>
      <c r="P3">
        <f>1-O3</f>
        <v>3.7722646332793985E-4</v>
      </c>
      <c r="Y3">
        <v>2000</v>
      </c>
      <c r="Z3">
        <v>4.3092011718040304</v>
      </c>
      <c r="AA3">
        <f>Z3/H3</f>
        <v>0.97087757215155435</v>
      </c>
    </row>
    <row r="4" spans="1:27" x14ac:dyDescent="0.25">
      <c r="A4">
        <v>2002</v>
      </c>
      <c r="B4">
        <v>383.640874</v>
      </c>
      <c r="C4">
        <v>0</v>
      </c>
      <c r="D4">
        <f t="shared" si="0"/>
        <v>742985.83181884186</v>
      </c>
      <c r="E4">
        <f t="shared" ref="E4:E23" si="1">D4/(4000*PI())/(4*PI())</f>
        <v>4.7050127443357477</v>
      </c>
      <c r="G4" s="2">
        <v>2002</v>
      </c>
      <c r="H4" s="3">
        <v>4.5979643000000001</v>
      </c>
      <c r="J4">
        <v>2002</v>
      </c>
      <c r="K4">
        <v>4.5963324696085701</v>
      </c>
      <c r="M4">
        <f t="shared" ref="M4:M23" si="2">E4/H4</f>
        <v>1.02328170410887</v>
      </c>
      <c r="N4">
        <f t="shared" ref="N4:N23" si="3">1-M4</f>
        <v>-2.3281704108869983E-2</v>
      </c>
      <c r="O4">
        <f t="shared" ref="O4:O23" si="4">K4/H4</f>
        <v>0.99964509720281425</v>
      </c>
      <c r="P4">
        <f t="shared" ref="P4:P23" si="5">1-O4</f>
        <v>3.5490279718575213E-4</v>
      </c>
      <c r="Y4">
        <v>2002</v>
      </c>
      <c r="Z4">
        <v>4.4974623311607802</v>
      </c>
      <c r="AA4">
        <f t="shared" ref="AA4:AA23" si="6">Z4/H4</f>
        <v>0.9781420728213962</v>
      </c>
    </row>
    <row r="5" spans="1:27" x14ac:dyDescent="0.25">
      <c r="A5">
        <v>2004</v>
      </c>
      <c r="B5">
        <v>394.480908</v>
      </c>
      <c r="C5">
        <v>0</v>
      </c>
      <c r="D5">
        <f t="shared" si="0"/>
        <v>763979.4021713963</v>
      </c>
      <c r="E5">
        <f t="shared" si="1"/>
        <v>4.8379560816482172</v>
      </c>
      <c r="G5" s="2">
        <v>2004</v>
      </c>
      <c r="H5" s="3">
        <v>4.7143698000000001</v>
      </c>
      <c r="J5">
        <v>2004</v>
      </c>
      <c r="K5">
        <v>4.7127310149586998</v>
      </c>
      <c r="M5">
        <f t="shared" si="2"/>
        <v>1.0262148042879915</v>
      </c>
      <c r="N5">
        <f t="shared" si="3"/>
        <v>-2.62148042879915E-2</v>
      </c>
      <c r="O5">
        <f t="shared" si="4"/>
        <v>0.99965238513081855</v>
      </c>
      <c r="P5">
        <f t="shared" si="5"/>
        <v>3.4761486918144513E-4</v>
      </c>
      <c r="Y5">
        <v>2004</v>
      </c>
      <c r="Z5">
        <v>4.6432936188082703</v>
      </c>
      <c r="AA5">
        <f t="shared" si="6"/>
        <v>0.98492350320254263</v>
      </c>
    </row>
    <row r="6" spans="1:27" x14ac:dyDescent="0.25">
      <c r="A6">
        <v>2006</v>
      </c>
      <c r="B6">
        <v>401.379929</v>
      </c>
      <c r="C6">
        <v>0</v>
      </c>
      <c r="D6">
        <f t="shared" si="0"/>
        <v>777340.53025708802</v>
      </c>
      <c r="E6">
        <f t="shared" si="1"/>
        <v>4.9225664136756659</v>
      </c>
      <c r="G6" s="2">
        <v>2006</v>
      </c>
      <c r="H6" s="3">
        <v>4.7845887999999999</v>
      </c>
      <c r="J6">
        <v>2006</v>
      </c>
      <c r="K6">
        <v>4.78265773759993</v>
      </c>
      <c r="M6">
        <f t="shared" si="2"/>
        <v>1.0288379251474371</v>
      </c>
      <c r="N6">
        <f t="shared" si="3"/>
        <v>-2.8837925147437105E-2</v>
      </c>
      <c r="O6">
        <f t="shared" si="4"/>
        <v>0.99959639950666823</v>
      </c>
      <c r="P6">
        <f t="shared" si="5"/>
        <v>4.0360049333176828E-4</v>
      </c>
      <c r="Y6">
        <v>2006</v>
      </c>
      <c r="Z6">
        <v>4.7422378080380296</v>
      </c>
      <c r="AA6">
        <f t="shared" si="6"/>
        <v>0.99114845732156331</v>
      </c>
    </row>
    <row r="7" spans="1:27" x14ac:dyDescent="0.25">
      <c r="A7">
        <v>2008</v>
      </c>
      <c r="B7">
        <v>403.81043099999999</v>
      </c>
      <c r="C7">
        <v>0</v>
      </c>
      <c r="D7">
        <f t="shared" si="0"/>
        <v>782047.61094788881</v>
      </c>
      <c r="E7">
        <f t="shared" si="1"/>
        <v>4.9523743503689115</v>
      </c>
      <c r="G7" s="2">
        <v>2008</v>
      </c>
      <c r="H7" s="3">
        <v>4.8061503999999999</v>
      </c>
      <c r="J7">
        <v>2008</v>
      </c>
      <c r="K7">
        <v>4.8043680574758101</v>
      </c>
      <c r="M7">
        <f t="shared" si="2"/>
        <v>1.0304243392734675</v>
      </c>
      <c r="N7">
        <f t="shared" si="3"/>
        <v>-3.0424339273467549E-2</v>
      </c>
      <c r="O7">
        <f t="shared" si="4"/>
        <v>0.99962915381836781</v>
      </c>
      <c r="P7">
        <f t="shared" si="5"/>
        <v>3.7084618163218952E-4</v>
      </c>
      <c r="Y7">
        <v>2008</v>
      </c>
      <c r="Z7">
        <v>4.7942795957849498</v>
      </c>
      <c r="AA7">
        <f t="shared" si="6"/>
        <v>0.99753008057861647</v>
      </c>
    </row>
    <row r="8" spans="1:27" x14ac:dyDescent="0.25">
      <c r="A8">
        <v>2010</v>
      </c>
      <c r="B8">
        <v>401.95237700000001</v>
      </c>
      <c r="C8">
        <v>0</v>
      </c>
      <c r="D8">
        <f t="shared" si="0"/>
        <v>778449.17321532767</v>
      </c>
      <c r="E8">
        <f t="shared" si="1"/>
        <v>4.9295869772235141</v>
      </c>
      <c r="G8" s="2">
        <v>2010</v>
      </c>
      <c r="H8" s="3">
        <v>4.7790780000000002</v>
      </c>
      <c r="J8">
        <v>2010</v>
      </c>
      <c r="K8">
        <v>4.7776862192876397</v>
      </c>
      <c r="M8">
        <f t="shared" si="2"/>
        <v>1.0314933083794644</v>
      </c>
      <c r="N8">
        <f t="shared" si="3"/>
        <v>-3.1493308379464402E-2</v>
      </c>
      <c r="O8">
        <f t="shared" si="4"/>
        <v>0.99970877631368216</v>
      </c>
      <c r="P8">
        <f t="shared" si="5"/>
        <v>2.9122368631784301E-4</v>
      </c>
      <c r="Y8">
        <v>2010</v>
      </c>
      <c r="Z8">
        <v>4.7990639635981198</v>
      </c>
      <c r="AA8">
        <f t="shared" si="6"/>
        <v>1.0041819705805428</v>
      </c>
    </row>
    <row r="9" spans="1:27" x14ac:dyDescent="0.25">
      <c r="A9">
        <v>2012</v>
      </c>
      <c r="B9">
        <v>395.83094999999997</v>
      </c>
      <c r="C9">
        <v>0</v>
      </c>
      <c r="D9">
        <f t="shared" si="0"/>
        <v>766593.98822397727</v>
      </c>
      <c r="E9">
        <f t="shared" si="1"/>
        <v>4.8545131412471081</v>
      </c>
      <c r="G9" s="2">
        <v>2012</v>
      </c>
      <c r="H9" s="3">
        <v>4.7054086000000002</v>
      </c>
      <c r="J9">
        <v>2012</v>
      </c>
      <c r="K9">
        <v>4.7041429769925003</v>
      </c>
      <c r="M9">
        <f t="shared" si="2"/>
        <v>1.0316879051156382</v>
      </c>
      <c r="N9">
        <f t="shared" si="3"/>
        <v>-3.1687905115638237E-2</v>
      </c>
      <c r="O9">
        <f t="shared" si="4"/>
        <v>0.99973102803282587</v>
      </c>
      <c r="P9">
        <f t="shared" si="5"/>
        <v>2.689719671741253E-4</v>
      </c>
      <c r="Y9">
        <v>2012</v>
      </c>
      <c r="Z9">
        <v>4.7561502694108801</v>
      </c>
      <c r="AA9">
        <f t="shared" si="6"/>
        <v>1.0107836903708809</v>
      </c>
    </row>
    <row r="10" spans="1:27" x14ac:dyDescent="0.25">
      <c r="A10">
        <v>2014</v>
      </c>
      <c r="B10">
        <v>385.678945</v>
      </c>
      <c r="C10">
        <v>0</v>
      </c>
      <c r="D10">
        <f t="shared" si="0"/>
        <v>746932.90310312016</v>
      </c>
      <c r="E10">
        <f t="shared" si="1"/>
        <v>4.7300078652384832</v>
      </c>
      <c r="G10" s="2">
        <v>2014</v>
      </c>
      <c r="H10" s="3">
        <v>4.5878724999999996</v>
      </c>
      <c r="J10">
        <v>2014</v>
      </c>
      <c r="K10">
        <v>4.5868701642705796</v>
      </c>
      <c r="M10">
        <f t="shared" si="2"/>
        <v>1.0309806702863873</v>
      </c>
      <c r="N10">
        <f t="shared" si="3"/>
        <v>-3.0980670286387291E-2</v>
      </c>
      <c r="O10">
        <f t="shared" si="4"/>
        <v>0.99978152493788353</v>
      </c>
      <c r="P10">
        <f t="shared" si="5"/>
        <v>2.1847506211647438E-4</v>
      </c>
      <c r="Y10">
        <v>2014</v>
      </c>
      <c r="Z10">
        <v>4.6668287715165402</v>
      </c>
      <c r="AA10">
        <f t="shared" si="6"/>
        <v>1.0172097789370871</v>
      </c>
    </row>
    <row r="11" spans="1:27" x14ac:dyDescent="0.25">
      <c r="A11">
        <v>2016</v>
      </c>
      <c r="B11">
        <v>372.01126099999999</v>
      </c>
      <c r="C11">
        <v>0</v>
      </c>
      <c r="D11">
        <f t="shared" si="0"/>
        <v>720463.10738010996</v>
      </c>
      <c r="E11">
        <f t="shared" si="1"/>
        <v>4.5623859256493402</v>
      </c>
      <c r="G11" s="2">
        <v>2016</v>
      </c>
      <c r="H11" s="3">
        <v>4.4314837000000002</v>
      </c>
      <c r="J11">
        <v>2016</v>
      </c>
      <c r="K11">
        <v>4.4305317957243</v>
      </c>
      <c r="M11">
        <f t="shared" si="2"/>
        <v>1.0295391418565616</v>
      </c>
      <c r="N11">
        <f t="shared" si="3"/>
        <v>-2.953914185656159E-2</v>
      </c>
      <c r="O11">
        <f t="shared" si="4"/>
        <v>0.99978519513098962</v>
      </c>
      <c r="P11">
        <f t="shared" si="5"/>
        <v>2.1480486901037654E-4</v>
      </c>
      <c r="Y11">
        <v>2016</v>
      </c>
      <c r="Z11">
        <v>4.53642648512663</v>
      </c>
      <c r="AA11">
        <f t="shared" si="6"/>
        <v>1.0236811849554202</v>
      </c>
    </row>
    <row r="12" spans="1:27" x14ac:dyDescent="0.25">
      <c r="A12">
        <v>2018</v>
      </c>
      <c r="B12">
        <v>355.25676700000002</v>
      </c>
      <c r="C12">
        <v>0</v>
      </c>
      <c r="D12">
        <f t="shared" si="0"/>
        <v>688015.17884866323</v>
      </c>
      <c r="E12">
        <f t="shared" si="1"/>
        <v>4.3569070178025804</v>
      </c>
      <c r="G12" s="2">
        <v>2018</v>
      </c>
      <c r="H12" s="3">
        <v>4.2414255000000001</v>
      </c>
      <c r="J12">
        <v>2018</v>
      </c>
      <c r="K12">
        <v>4.2410859384320503</v>
      </c>
      <c r="M12">
        <f t="shared" si="2"/>
        <v>1.0272270532165613</v>
      </c>
      <c r="N12">
        <f t="shared" si="3"/>
        <v>-2.722705321656127E-2</v>
      </c>
      <c r="O12">
        <f t="shared" si="4"/>
        <v>0.99991994164038722</v>
      </c>
      <c r="P12">
        <f t="shared" si="5"/>
        <v>8.0058359612777963E-5</v>
      </c>
      <c r="Y12">
        <v>2018</v>
      </c>
      <c r="Z12">
        <v>4.37005754326933</v>
      </c>
      <c r="AA12">
        <f t="shared" si="6"/>
        <v>1.0303275498459963</v>
      </c>
    </row>
    <row r="13" spans="1:27" x14ac:dyDescent="0.25">
      <c r="A13">
        <v>2020</v>
      </c>
      <c r="B13">
        <v>336.05680000000001</v>
      </c>
      <c r="C13">
        <v>0</v>
      </c>
      <c r="D13">
        <f t="shared" si="0"/>
        <v>650831.17573748983</v>
      </c>
      <c r="E13">
        <f t="shared" si="1"/>
        <v>4.121436567316052</v>
      </c>
      <c r="G13" s="2">
        <v>2020</v>
      </c>
      <c r="H13" s="3">
        <v>4.0256610000000004</v>
      </c>
      <c r="J13">
        <v>2020</v>
      </c>
      <c r="K13">
        <v>4.0254774317348101</v>
      </c>
      <c r="M13">
        <f t="shared" si="2"/>
        <v>1.0237912649167558</v>
      </c>
      <c r="N13">
        <f t="shared" si="3"/>
        <v>-2.3791264916755761E-2</v>
      </c>
      <c r="O13">
        <f t="shared" si="4"/>
        <v>0.99995440046611217</v>
      </c>
      <c r="P13">
        <f t="shared" si="5"/>
        <v>4.5599533887830113E-5</v>
      </c>
      <c r="Y13">
        <v>2020</v>
      </c>
      <c r="Z13">
        <v>4.1721660482262299</v>
      </c>
      <c r="AA13">
        <f t="shared" si="6"/>
        <v>1.036392793190045</v>
      </c>
    </row>
    <row r="14" spans="1:27" x14ac:dyDescent="0.25">
      <c r="A14">
        <v>2022</v>
      </c>
      <c r="B14">
        <v>315.24404199999998</v>
      </c>
      <c r="C14">
        <v>0</v>
      </c>
      <c r="D14">
        <f t="shared" si="0"/>
        <v>610523.72842655936</v>
      </c>
      <c r="E14">
        <f t="shared" si="1"/>
        <v>3.8661866753695113</v>
      </c>
      <c r="G14" s="2">
        <v>2022</v>
      </c>
      <c r="H14" s="3">
        <v>3.7911581999999999</v>
      </c>
      <c r="J14">
        <v>2022</v>
      </c>
      <c r="K14">
        <v>3.7916311887119498</v>
      </c>
      <c r="M14">
        <f t="shared" si="2"/>
        <v>1.0197903836799824</v>
      </c>
      <c r="N14">
        <f t="shared" si="3"/>
        <v>-1.9790383679982426E-2</v>
      </c>
      <c r="O14">
        <f t="shared" si="4"/>
        <v>1.0001247610062671</v>
      </c>
      <c r="P14">
        <f t="shared" si="5"/>
        <v>-1.2476100626712672E-4</v>
      </c>
      <c r="Y14">
        <v>2022</v>
      </c>
      <c r="Z14">
        <v>3.94892166359798</v>
      </c>
      <c r="AA14">
        <f t="shared" si="6"/>
        <v>1.0416135268631048</v>
      </c>
    </row>
    <row r="15" spans="1:27" x14ac:dyDescent="0.25">
      <c r="A15">
        <v>2024</v>
      </c>
      <c r="B15">
        <v>293.29671100000002</v>
      </c>
      <c r="C15">
        <v>0</v>
      </c>
      <c r="D15">
        <f t="shared" si="0"/>
        <v>568018.98744518403</v>
      </c>
      <c r="E15">
        <f t="shared" si="1"/>
        <v>3.597022258704266</v>
      </c>
      <c r="G15" s="2">
        <v>2024</v>
      </c>
      <c r="H15" s="3">
        <v>3.5472548000000002</v>
      </c>
      <c r="J15">
        <v>2024</v>
      </c>
      <c r="K15">
        <v>3.5478938210639801</v>
      </c>
      <c r="M15">
        <f t="shared" si="2"/>
        <v>1.0140298516769266</v>
      </c>
      <c r="N15">
        <f t="shared" si="3"/>
        <v>-1.4029851676926608E-2</v>
      </c>
      <c r="O15">
        <f t="shared" si="4"/>
        <v>1.0001801452390677</v>
      </c>
      <c r="P15">
        <f t="shared" si="5"/>
        <v>-1.801452390677305E-4</v>
      </c>
      <c r="Y15">
        <v>2024</v>
      </c>
      <c r="Z15">
        <v>3.7098322323202799</v>
      </c>
      <c r="AA15">
        <f t="shared" si="6"/>
        <v>1.045831901424245</v>
      </c>
    </row>
    <row r="16" spans="1:27" x14ac:dyDescent="0.25">
      <c r="A16">
        <v>2026</v>
      </c>
      <c r="B16">
        <v>271.24939799999999</v>
      </c>
      <c r="C16">
        <v>0</v>
      </c>
      <c r="D16">
        <f t="shared" si="0"/>
        <v>525320.6143081357</v>
      </c>
      <c r="E16">
        <f t="shared" si="1"/>
        <v>3.3266316520887695</v>
      </c>
      <c r="G16" s="2">
        <v>2026</v>
      </c>
      <c r="H16" s="3">
        <v>3.3020119999999999</v>
      </c>
      <c r="J16">
        <v>2026</v>
      </c>
      <c r="K16">
        <v>3.3028293495007501</v>
      </c>
      <c r="M16">
        <f t="shared" si="2"/>
        <v>1.0074559547599371</v>
      </c>
      <c r="N16">
        <f t="shared" si="3"/>
        <v>-7.4559547599371001E-3</v>
      </c>
      <c r="O16">
        <f t="shared" si="4"/>
        <v>1.0002475307481469</v>
      </c>
      <c r="P16">
        <f t="shared" si="5"/>
        <v>-2.4753074814687359E-4</v>
      </c>
      <c r="Y16">
        <v>2026</v>
      </c>
      <c r="Z16">
        <v>3.4638397799904599</v>
      </c>
      <c r="AA16">
        <f t="shared" si="6"/>
        <v>1.0490088406675868</v>
      </c>
    </row>
    <row r="17" spans="1:27" x14ac:dyDescent="0.25">
      <c r="A17">
        <v>2028</v>
      </c>
      <c r="B17">
        <v>249.666844</v>
      </c>
      <c r="C17">
        <v>0</v>
      </c>
      <c r="D17">
        <f t="shared" si="0"/>
        <v>483522.32605675119</v>
      </c>
      <c r="E17">
        <f t="shared" si="1"/>
        <v>3.0619408995979014</v>
      </c>
      <c r="G17" s="2">
        <v>2028</v>
      </c>
      <c r="H17" s="3">
        <v>3.0637310000000002</v>
      </c>
      <c r="J17">
        <v>2028</v>
      </c>
      <c r="K17">
        <v>3.0649328429480098</v>
      </c>
      <c r="M17">
        <f t="shared" si="2"/>
        <v>0.99941571227953796</v>
      </c>
      <c r="N17">
        <f t="shared" si="3"/>
        <v>5.8428772046204003E-4</v>
      </c>
      <c r="O17">
        <f t="shared" si="4"/>
        <v>1.0003922808327526</v>
      </c>
      <c r="P17">
        <f t="shared" si="5"/>
        <v>-3.9228083275255621E-4</v>
      </c>
      <c r="Y17">
        <v>2028</v>
      </c>
      <c r="Z17">
        <v>3.2194833409485102</v>
      </c>
      <c r="AA17">
        <f t="shared" si="6"/>
        <v>1.0508374726594829</v>
      </c>
    </row>
    <row r="18" spans="1:27" x14ac:dyDescent="0.25">
      <c r="A18">
        <v>2030</v>
      </c>
      <c r="B18">
        <v>229.351641</v>
      </c>
      <c r="C18">
        <v>0</v>
      </c>
      <c r="D18">
        <f t="shared" si="0"/>
        <v>444178.47866596555</v>
      </c>
      <c r="E18">
        <f t="shared" si="1"/>
        <v>2.8127930754305317</v>
      </c>
      <c r="G18" s="2">
        <v>2030</v>
      </c>
      <c r="H18" s="3">
        <v>2.8407819000000001</v>
      </c>
      <c r="J18">
        <v>2030</v>
      </c>
      <c r="K18">
        <v>2.84219138885295</v>
      </c>
      <c r="M18">
        <f t="shared" si="2"/>
        <v>0.99014749264296975</v>
      </c>
      <c r="N18">
        <f t="shared" si="3"/>
        <v>9.852507357030249E-3</v>
      </c>
      <c r="O18">
        <f t="shared" si="4"/>
        <v>1.0004961622900195</v>
      </c>
      <c r="P18">
        <f t="shared" si="5"/>
        <v>-4.9616229001947509E-4</v>
      </c>
      <c r="Y18">
        <v>2030</v>
      </c>
      <c r="Z18">
        <v>2.98587269061913</v>
      </c>
      <c r="AA18">
        <f t="shared" si="6"/>
        <v>1.0510742449531694</v>
      </c>
    </row>
    <row r="19" spans="1:27" x14ac:dyDescent="0.25">
      <c r="A19">
        <v>2032</v>
      </c>
      <c r="B19">
        <v>211.19694699999999</v>
      </c>
      <c r="C19">
        <v>0</v>
      </c>
      <c r="D19">
        <f t="shared" si="0"/>
        <v>409018.824580185</v>
      </c>
      <c r="E19">
        <f t="shared" si="1"/>
        <v>2.590141964903879</v>
      </c>
      <c r="G19" s="2">
        <v>2032</v>
      </c>
      <c r="H19" s="3">
        <v>2.6407362999999999</v>
      </c>
      <c r="J19">
        <v>2032</v>
      </c>
      <c r="K19">
        <v>2.6420655061835401</v>
      </c>
      <c r="M19">
        <f t="shared" si="2"/>
        <v>0.98084082265384809</v>
      </c>
      <c r="N19">
        <f t="shared" si="3"/>
        <v>1.9159177346151912E-2</v>
      </c>
      <c r="O19">
        <f t="shared" si="4"/>
        <v>1.0005033468065478</v>
      </c>
      <c r="P19">
        <f t="shared" si="5"/>
        <v>-5.0334680654784414E-4</v>
      </c>
      <c r="Y19">
        <v>2032</v>
      </c>
      <c r="Z19">
        <v>2.77076559710699</v>
      </c>
      <c r="AA19">
        <f t="shared" si="6"/>
        <v>1.0492397885797951</v>
      </c>
    </row>
    <row r="20" spans="1:27" x14ac:dyDescent="0.25">
      <c r="A20">
        <v>2034</v>
      </c>
      <c r="B20">
        <v>195.407061</v>
      </c>
      <c r="C20">
        <v>0</v>
      </c>
      <c r="D20">
        <f t="shared" si="0"/>
        <v>378439.02357588767</v>
      </c>
      <c r="E20">
        <f t="shared" si="1"/>
        <v>2.3964931128224696</v>
      </c>
      <c r="G20" s="2">
        <v>2034</v>
      </c>
      <c r="H20" s="3">
        <v>2.4694262</v>
      </c>
      <c r="J20">
        <v>2034</v>
      </c>
      <c r="K20">
        <v>2.47113459470012</v>
      </c>
      <c r="M20">
        <f t="shared" si="2"/>
        <v>0.97046557326656269</v>
      </c>
      <c r="N20">
        <f t="shared" si="3"/>
        <v>2.9534426733437313E-2</v>
      </c>
      <c r="O20">
        <f t="shared" si="4"/>
        <v>1.0006918184880844</v>
      </c>
      <c r="P20">
        <f t="shared" si="5"/>
        <v>-6.9181848808441693E-4</v>
      </c>
      <c r="Y20">
        <v>2034</v>
      </c>
      <c r="Z20">
        <v>2.58095203797805</v>
      </c>
      <c r="AA20">
        <f t="shared" si="6"/>
        <v>1.0451626527563569</v>
      </c>
    </row>
    <row r="21" spans="1:27" x14ac:dyDescent="0.25">
      <c r="A21">
        <v>2036</v>
      </c>
      <c r="B21">
        <v>182.863066</v>
      </c>
      <c r="C21">
        <v>0</v>
      </c>
      <c r="D21">
        <f t="shared" si="0"/>
        <v>354145.44280532992</v>
      </c>
      <c r="E21">
        <f t="shared" si="1"/>
        <v>2.2426522154109918</v>
      </c>
      <c r="G21" s="2">
        <v>2036</v>
      </c>
      <c r="H21" s="3">
        <v>2.3331013</v>
      </c>
      <c r="J21">
        <v>2036</v>
      </c>
      <c r="K21">
        <v>2.3345965089591001</v>
      </c>
      <c r="M21">
        <f t="shared" si="2"/>
        <v>0.96123225142902791</v>
      </c>
      <c r="N21">
        <f t="shared" si="3"/>
        <v>3.8767748570972094E-2</v>
      </c>
      <c r="O21">
        <f t="shared" si="4"/>
        <v>1.0006408675693164</v>
      </c>
      <c r="P21">
        <f t="shared" si="5"/>
        <v>-6.4086756931636124E-4</v>
      </c>
      <c r="Y21">
        <v>2036</v>
      </c>
      <c r="Z21">
        <v>2.42246400329193</v>
      </c>
      <c r="AA21">
        <f t="shared" si="6"/>
        <v>1.0383021102821082</v>
      </c>
    </row>
    <row r="22" spans="1:27" x14ac:dyDescent="0.25">
      <c r="A22">
        <v>2038</v>
      </c>
      <c r="B22">
        <v>173.65998400000001</v>
      </c>
      <c r="C22">
        <v>0</v>
      </c>
      <c r="D22">
        <f t="shared" si="0"/>
        <v>336322.10854020406</v>
      </c>
      <c r="E22">
        <f t="shared" si="1"/>
        <v>2.1297846326487671</v>
      </c>
      <c r="G22" s="2">
        <v>2038</v>
      </c>
      <c r="H22" s="3">
        <v>2.2351747</v>
      </c>
      <c r="J22">
        <v>2038</v>
      </c>
      <c r="K22">
        <v>2.2364563211515001</v>
      </c>
      <c r="M22">
        <f t="shared" si="2"/>
        <v>0.9528492930099679</v>
      </c>
      <c r="N22">
        <f t="shared" si="3"/>
        <v>4.7150706990032099E-2</v>
      </c>
      <c r="O22">
        <f t="shared" si="4"/>
        <v>1.0005733874634051</v>
      </c>
      <c r="P22">
        <f t="shared" si="5"/>
        <v>-5.7338746340507285E-4</v>
      </c>
      <c r="Y22">
        <v>2038</v>
      </c>
      <c r="Z22">
        <v>2.29991755190966</v>
      </c>
      <c r="AA22">
        <f t="shared" si="6"/>
        <v>1.0289654548745832</v>
      </c>
    </row>
    <row r="23" spans="1:27" x14ac:dyDescent="0.25">
      <c r="A23">
        <v>2040</v>
      </c>
      <c r="B23">
        <v>168.165773</v>
      </c>
      <c r="C23">
        <v>0</v>
      </c>
      <c r="D23">
        <f t="shared" si="0"/>
        <v>325681.63405827171</v>
      </c>
      <c r="E23">
        <f t="shared" si="1"/>
        <v>2.062403040834675</v>
      </c>
      <c r="G23" s="2">
        <v>2040</v>
      </c>
      <c r="H23" s="3">
        <v>2.1779768000000002</v>
      </c>
      <c r="J23">
        <v>2040</v>
      </c>
      <c r="K23">
        <v>2.1793117297970301</v>
      </c>
      <c r="M23">
        <f t="shared" si="2"/>
        <v>0.94693526617669888</v>
      </c>
      <c r="N23">
        <f t="shared" si="3"/>
        <v>5.3064733823301125E-2</v>
      </c>
      <c r="O23">
        <f t="shared" si="4"/>
        <v>1.0006129219544626</v>
      </c>
      <c r="P23">
        <f t="shared" si="5"/>
        <v>-6.1292195446260855E-4</v>
      </c>
      <c r="Y23">
        <v>2040</v>
      </c>
      <c r="Z23">
        <v>2.2167247841098701</v>
      </c>
      <c r="AA23">
        <f t="shared" si="6"/>
        <v>1.0177908158203843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7 Full 0</vt:lpstr>
      <vt:lpstr>Ex 7 Full 1</vt:lpstr>
      <vt:lpstr>Ex 7 Gauss 0</vt:lpstr>
      <vt:lpstr>Ex 7 Gauss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ERYA-Profiling</dc:creator>
  <dc:description/>
  <cp:lastModifiedBy>Nuno Pessoa Barradas</cp:lastModifiedBy>
  <cp:revision>4</cp:revision>
  <dcterms:created xsi:type="dcterms:W3CDTF">2023-12-07T19:00:42Z</dcterms:created>
  <dcterms:modified xsi:type="dcterms:W3CDTF">2024-04-05T15:17:38Z</dcterms:modified>
  <dc:language>pt-PT</dc:language>
</cp:coreProperties>
</file>