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NPB round 3/"/>
    </mc:Choice>
  </mc:AlternateContent>
  <xr:revisionPtr revIDLastSave="0" documentId="13_ncr:1_{65B7463D-AB55-4637-A6D6-C38F0662FB7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 3 full 0" sheetId="1" r:id="rId1"/>
    <sheet name="Ex 3 full 1" sheetId="2" r:id="rId2"/>
    <sheet name="Ex 3 Gauss 0" sheetId="3" r:id="rId3"/>
    <sheet name="Ex 3 Gauss 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4" l="1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3" i="4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3" i="3"/>
  <c r="AC3" i="2"/>
  <c r="D4" i="2"/>
  <c r="M4" i="2" s="1"/>
  <c r="N4" i="2" s="1"/>
  <c r="D12" i="2"/>
  <c r="M12" i="2" s="1"/>
  <c r="N12" i="2" s="1"/>
  <c r="D22" i="3"/>
  <c r="N4" i="4"/>
  <c r="O4" i="4" s="1"/>
  <c r="N5" i="4"/>
  <c r="O5" i="4" s="1"/>
  <c r="N6" i="4"/>
  <c r="O6" i="4" s="1"/>
  <c r="N7" i="4"/>
  <c r="O7" i="4" s="1"/>
  <c r="N8" i="4"/>
  <c r="O8" i="4" s="1"/>
  <c r="N9" i="4"/>
  <c r="O9" i="4" s="1"/>
  <c r="N10" i="4"/>
  <c r="O10" i="4" s="1"/>
  <c r="N11" i="4"/>
  <c r="O11" i="4" s="1"/>
  <c r="N12" i="4"/>
  <c r="N13" i="4"/>
  <c r="O13" i="4" s="1"/>
  <c r="N14" i="4"/>
  <c r="O14" i="4" s="1"/>
  <c r="N15" i="4"/>
  <c r="O15" i="4" s="1"/>
  <c r="N16" i="4"/>
  <c r="O16" i="4" s="1"/>
  <c r="N17" i="4"/>
  <c r="O17" i="4" s="1"/>
  <c r="N18" i="4"/>
  <c r="O18" i="4" s="1"/>
  <c r="N19" i="4"/>
  <c r="O19" i="4" s="1"/>
  <c r="N20" i="4"/>
  <c r="N21" i="4"/>
  <c r="N22" i="4"/>
  <c r="O22" i="4" s="1"/>
  <c r="N23" i="4"/>
  <c r="O23" i="4" s="1"/>
  <c r="N24" i="4"/>
  <c r="O24" i="4" s="1"/>
  <c r="N25" i="4"/>
  <c r="O25" i="4" s="1"/>
  <c r="N26" i="4"/>
  <c r="O26" i="4" s="1"/>
  <c r="N27" i="4"/>
  <c r="O27" i="4" s="1"/>
  <c r="N3" i="4"/>
  <c r="O3" i="4" s="1"/>
  <c r="C27" i="4"/>
  <c r="D27" i="4" s="1"/>
  <c r="L27" i="4" s="1"/>
  <c r="C26" i="4"/>
  <c r="D26" i="4" s="1"/>
  <c r="L26" i="4" s="1"/>
  <c r="C25" i="4"/>
  <c r="D25" i="4" s="1"/>
  <c r="L25" i="4" s="1"/>
  <c r="C24" i="4"/>
  <c r="D24" i="4" s="1"/>
  <c r="L24" i="4" s="1"/>
  <c r="C23" i="4"/>
  <c r="C22" i="4"/>
  <c r="D22" i="4" s="1"/>
  <c r="L22" i="4" s="1"/>
  <c r="C21" i="4"/>
  <c r="C20" i="4"/>
  <c r="D20" i="4" s="1"/>
  <c r="L20" i="4" s="1"/>
  <c r="C19" i="4"/>
  <c r="D19" i="4" s="1"/>
  <c r="L19" i="4" s="1"/>
  <c r="C18" i="4"/>
  <c r="D18" i="4" s="1"/>
  <c r="L18" i="4" s="1"/>
  <c r="C17" i="4"/>
  <c r="D17" i="4" s="1"/>
  <c r="L17" i="4" s="1"/>
  <c r="C16" i="4"/>
  <c r="D16" i="4" s="1"/>
  <c r="L16" i="4" s="1"/>
  <c r="C15" i="4"/>
  <c r="C14" i="4"/>
  <c r="D14" i="4" s="1"/>
  <c r="L14" i="4" s="1"/>
  <c r="C13" i="4"/>
  <c r="C12" i="4"/>
  <c r="D12" i="4" s="1"/>
  <c r="L12" i="4" s="1"/>
  <c r="C11" i="4"/>
  <c r="D11" i="4" s="1"/>
  <c r="L11" i="4" s="1"/>
  <c r="C10" i="4"/>
  <c r="D10" i="4" s="1"/>
  <c r="L10" i="4" s="1"/>
  <c r="C9" i="4"/>
  <c r="D9" i="4" s="1"/>
  <c r="L9" i="4" s="1"/>
  <c r="C8" i="4"/>
  <c r="D8" i="4" s="1"/>
  <c r="L8" i="4" s="1"/>
  <c r="C7" i="4"/>
  <c r="C6" i="4"/>
  <c r="D6" i="4" s="1"/>
  <c r="L6" i="4" s="1"/>
  <c r="C5" i="4"/>
  <c r="C4" i="4"/>
  <c r="D4" i="4" s="1"/>
  <c r="L4" i="4" s="1"/>
  <c r="C3" i="4"/>
  <c r="D3" i="4" s="1"/>
  <c r="L3" i="4" s="1"/>
  <c r="N4" i="3"/>
  <c r="O4" i="3" s="1"/>
  <c r="N5" i="3"/>
  <c r="O5" i="3" s="1"/>
  <c r="N6" i="3"/>
  <c r="O6" i="3" s="1"/>
  <c r="N7" i="3"/>
  <c r="N8" i="3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N18" i="3"/>
  <c r="O18" i="3" s="1"/>
  <c r="N19" i="3"/>
  <c r="O19" i="3" s="1"/>
  <c r="N20" i="3"/>
  <c r="N21" i="3"/>
  <c r="O21" i="3" s="1"/>
  <c r="N22" i="3"/>
  <c r="O22" i="3" s="1"/>
  <c r="N23" i="3"/>
  <c r="N24" i="3"/>
  <c r="O24" i="3" s="1"/>
  <c r="N25" i="3"/>
  <c r="O25" i="3" s="1"/>
  <c r="N26" i="3"/>
  <c r="O26" i="3" s="1"/>
  <c r="N27" i="3"/>
  <c r="O27" i="3" s="1"/>
  <c r="N3" i="3"/>
  <c r="O3" i="3" s="1"/>
  <c r="L22" i="3"/>
  <c r="C27" i="3"/>
  <c r="D27" i="3" s="1"/>
  <c r="L27" i="3" s="1"/>
  <c r="M27" i="3" s="1"/>
  <c r="C26" i="3"/>
  <c r="D26" i="3" s="1"/>
  <c r="L26" i="3" s="1"/>
  <c r="C25" i="3"/>
  <c r="D25" i="3" s="1"/>
  <c r="L25" i="3" s="1"/>
  <c r="C24" i="3"/>
  <c r="D24" i="3" s="1"/>
  <c r="L24" i="3" s="1"/>
  <c r="C23" i="3"/>
  <c r="D23" i="3" s="1"/>
  <c r="L23" i="3" s="1"/>
  <c r="C22" i="3"/>
  <c r="C21" i="3"/>
  <c r="C20" i="3"/>
  <c r="D20" i="3" s="1"/>
  <c r="L20" i="3" s="1"/>
  <c r="C19" i="3"/>
  <c r="D19" i="3" s="1"/>
  <c r="L19" i="3" s="1"/>
  <c r="M19" i="3" s="1"/>
  <c r="C18" i="3"/>
  <c r="D18" i="3" s="1"/>
  <c r="L18" i="3" s="1"/>
  <c r="C17" i="3"/>
  <c r="D17" i="3" s="1"/>
  <c r="L17" i="3" s="1"/>
  <c r="C16" i="3"/>
  <c r="D16" i="3" s="1"/>
  <c r="L16" i="3" s="1"/>
  <c r="C15" i="3"/>
  <c r="D15" i="3" s="1"/>
  <c r="L15" i="3" s="1"/>
  <c r="M15" i="3" s="1"/>
  <c r="C14" i="3"/>
  <c r="D14" i="3" s="1"/>
  <c r="L14" i="3" s="1"/>
  <c r="C13" i="3"/>
  <c r="D13" i="3" s="1"/>
  <c r="L13" i="3" s="1"/>
  <c r="C12" i="3"/>
  <c r="D12" i="3" s="1"/>
  <c r="L12" i="3" s="1"/>
  <c r="C11" i="3"/>
  <c r="D11" i="3" s="1"/>
  <c r="L11" i="3" s="1"/>
  <c r="C10" i="3"/>
  <c r="D10" i="3" s="1"/>
  <c r="L10" i="3" s="1"/>
  <c r="C9" i="3"/>
  <c r="D9" i="3" s="1"/>
  <c r="L9" i="3" s="1"/>
  <c r="C8" i="3"/>
  <c r="D8" i="3" s="1"/>
  <c r="L8" i="3" s="1"/>
  <c r="C7" i="3"/>
  <c r="D7" i="3" s="1"/>
  <c r="L7" i="3" s="1"/>
  <c r="C6" i="3"/>
  <c r="D6" i="3" s="1"/>
  <c r="L6" i="3" s="1"/>
  <c r="C5" i="3"/>
  <c r="D5" i="3" s="1"/>
  <c r="L5" i="3" s="1"/>
  <c r="C4" i="3"/>
  <c r="D4" i="3" s="1"/>
  <c r="L4" i="3" s="1"/>
  <c r="C3" i="3"/>
  <c r="D3" i="3" s="1"/>
  <c r="L3" i="3" s="1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3" i="2"/>
  <c r="P3" i="2" s="1"/>
  <c r="C27" i="2"/>
  <c r="D27" i="2" s="1"/>
  <c r="M27" i="2" s="1"/>
  <c r="N27" i="2" s="1"/>
  <c r="C26" i="2"/>
  <c r="D26" i="2" s="1"/>
  <c r="M26" i="2" s="1"/>
  <c r="N26" i="2" s="1"/>
  <c r="C25" i="2"/>
  <c r="D25" i="2" s="1"/>
  <c r="M25" i="2" s="1"/>
  <c r="N25" i="2" s="1"/>
  <c r="C24" i="2"/>
  <c r="D24" i="2" s="1"/>
  <c r="M24" i="2" s="1"/>
  <c r="N24" i="2" s="1"/>
  <c r="C23" i="2"/>
  <c r="D23" i="2" s="1"/>
  <c r="M23" i="2" s="1"/>
  <c r="N23" i="2" s="1"/>
  <c r="C22" i="2"/>
  <c r="D22" i="2" s="1"/>
  <c r="M22" i="2" s="1"/>
  <c r="N22" i="2" s="1"/>
  <c r="C21" i="2"/>
  <c r="D21" i="2" s="1"/>
  <c r="M21" i="2" s="1"/>
  <c r="N21" i="2" s="1"/>
  <c r="C20" i="2"/>
  <c r="D20" i="2" s="1"/>
  <c r="M20" i="2" s="1"/>
  <c r="N20" i="2" s="1"/>
  <c r="C19" i="2"/>
  <c r="D19" i="2" s="1"/>
  <c r="M19" i="2" s="1"/>
  <c r="N19" i="2" s="1"/>
  <c r="C18" i="2"/>
  <c r="D18" i="2" s="1"/>
  <c r="M18" i="2" s="1"/>
  <c r="N18" i="2" s="1"/>
  <c r="C17" i="2"/>
  <c r="D17" i="2" s="1"/>
  <c r="M17" i="2" s="1"/>
  <c r="N17" i="2" s="1"/>
  <c r="C16" i="2"/>
  <c r="D16" i="2" s="1"/>
  <c r="M16" i="2" s="1"/>
  <c r="N16" i="2" s="1"/>
  <c r="C15" i="2"/>
  <c r="D15" i="2" s="1"/>
  <c r="M15" i="2" s="1"/>
  <c r="N15" i="2" s="1"/>
  <c r="C14" i="2"/>
  <c r="D14" i="2" s="1"/>
  <c r="M14" i="2" s="1"/>
  <c r="N14" i="2" s="1"/>
  <c r="C13" i="2"/>
  <c r="D13" i="2" s="1"/>
  <c r="M13" i="2" s="1"/>
  <c r="N13" i="2" s="1"/>
  <c r="C12" i="2"/>
  <c r="C11" i="2"/>
  <c r="D11" i="2" s="1"/>
  <c r="M11" i="2" s="1"/>
  <c r="N11" i="2" s="1"/>
  <c r="C10" i="2"/>
  <c r="D10" i="2" s="1"/>
  <c r="M10" i="2" s="1"/>
  <c r="N10" i="2" s="1"/>
  <c r="C9" i="2"/>
  <c r="D9" i="2" s="1"/>
  <c r="M9" i="2" s="1"/>
  <c r="N9" i="2" s="1"/>
  <c r="C8" i="2"/>
  <c r="D8" i="2" s="1"/>
  <c r="M8" i="2" s="1"/>
  <c r="N8" i="2" s="1"/>
  <c r="C7" i="2"/>
  <c r="D7" i="2" s="1"/>
  <c r="M7" i="2" s="1"/>
  <c r="N7" i="2" s="1"/>
  <c r="C6" i="2"/>
  <c r="D6" i="2" s="1"/>
  <c r="M6" i="2" s="1"/>
  <c r="N6" i="2" s="1"/>
  <c r="C5" i="2"/>
  <c r="D5" i="2" s="1"/>
  <c r="M5" i="2" s="1"/>
  <c r="N5" i="2" s="1"/>
  <c r="C4" i="2"/>
  <c r="C3" i="2"/>
  <c r="D3" i="2" s="1"/>
  <c r="M3" i="2" s="1"/>
  <c r="N3" i="2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" i="1"/>
  <c r="C27" i="1"/>
  <c r="D27" i="1" s="1"/>
  <c r="N27" i="1" s="1"/>
  <c r="C26" i="1"/>
  <c r="D26" i="1" s="1"/>
  <c r="N26" i="1" s="1"/>
  <c r="C25" i="1"/>
  <c r="D25" i="1" s="1"/>
  <c r="N25" i="1" s="1"/>
  <c r="C24" i="1"/>
  <c r="D24" i="1" s="1"/>
  <c r="N24" i="1" s="1"/>
  <c r="C23" i="1"/>
  <c r="D23" i="1" s="1"/>
  <c r="N23" i="1" s="1"/>
  <c r="C22" i="1"/>
  <c r="D22" i="1" s="1"/>
  <c r="N22" i="1" s="1"/>
  <c r="C21" i="1"/>
  <c r="D21" i="1" s="1"/>
  <c r="N21" i="1" s="1"/>
  <c r="C20" i="1"/>
  <c r="D20" i="1" s="1"/>
  <c r="N20" i="1" s="1"/>
  <c r="C19" i="1"/>
  <c r="D19" i="1" s="1"/>
  <c r="N19" i="1" s="1"/>
  <c r="C18" i="1"/>
  <c r="D18" i="1" s="1"/>
  <c r="N18" i="1" s="1"/>
  <c r="C17" i="1"/>
  <c r="D17" i="1" s="1"/>
  <c r="N17" i="1" s="1"/>
  <c r="C16" i="1"/>
  <c r="D16" i="1" s="1"/>
  <c r="N16" i="1" s="1"/>
  <c r="C15" i="1"/>
  <c r="D15" i="1" s="1"/>
  <c r="N15" i="1" s="1"/>
  <c r="C14" i="1"/>
  <c r="D14" i="1" s="1"/>
  <c r="N14" i="1" s="1"/>
  <c r="C13" i="1"/>
  <c r="D13" i="1" s="1"/>
  <c r="N13" i="1" s="1"/>
  <c r="C12" i="1"/>
  <c r="D12" i="1" s="1"/>
  <c r="N12" i="1" s="1"/>
  <c r="C11" i="1"/>
  <c r="D11" i="1" s="1"/>
  <c r="N11" i="1" s="1"/>
  <c r="C10" i="1"/>
  <c r="D10" i="1" s="1"/>
  <c r="N10" i="1" s="1"/>
  <c r="C9" i="1"/>
  <c r="D9" i="1" s="1"/>
  <c r="N9" i="1" s="1"/>
  <c r="C8" i="1"/>
  <c r="D8" i="1" s="1"/>
  <c r="N8" i="1" s="1"/>
  <c r="C7" i="1"/>
  <c r="D7" i="1" s="1"/>
  <c r="N7" i="1" s="1"/>
  <c r="C6" i="1"/>
  <c r="D6" i="1" s="1"/>
  <c r="N6" i="1" s="1"/>
  <c r="C5" i="1"/>
  <c r="D5" i="1" s="1"/>
  <c r="N5" i="1" s="1"/>
  <c r="C4" i="1"/>
  <c r="D4" i="1" s="1"/>
  <c r="N4" i="1" s="1"/>
  <c r="C3" i="1"/>
  <c r="D3" i="1" s="1"/>
  <c r="N3" i="1" s="1"/>
  <c r="O12" i="4"/>
  <c r="O20" i="4"/>
  <c r="O21" i="4"/>
  <c r="O7" i="3"/>
  <c r="O23" i="3"/>
  <c r="O8" i="3"/>
  <c r="O17" i="3"/>
  <c r="O20" i="3"/>
  <c r="M4" i="4" l="1"/>
  <c r="M12" i="4"/>
  <c r="M20" i="4"/>
  <c r="D23" i="4"/>
  <c r="L23" i="4" s="1"/>
  <c r="M23" i="4" s="1"/>
  <c r="D15" i="4"/>
  <c r="L15" i="4" s="1"/>
  <c r="M15" i="4" s="1"/>
  <c r="D7" i="4"/>
  <c r="L7" i="4" s="1"/>
  <c r="M7" i="4" s="1"/>
  <c r="D21" i="4"/>
  <c r="L21" i="4" s="1"/>
  <c r="M21" i="4" s="1"/>
  <c r="D13" i="4"/>
  <c r="L13" i="4" s="1"/>
  <c r="M13" i="4" s="1"/>
  <c r="D5" i="4"/>
  <c r="L5" i="4" s="1"/>
  <c r="M5" i="4" s="1"/>
  <c r="M6" i="3"/>
  <c r="M14" i="3"/>
  <c r="M22" i="3"/>
  <c r="M12" i="3"/>
  <c r="M8" i="3"/>
  <c r="M9" i="3"/>
  <c r="M17" i="3"/>
  <c r="M25" i="3"/>
  <c r="D21" i="3"/>
  <c r="L21" i="3" s="1"/>
  <c r="M21" i="3" s="1"/>
  <c r="M16" i="3"/>
  <c r="M10" i="3"/>
  <c r="M18" i="3"/>
  <c r="M26" i="3"/>
  <c r="M8" i="4"/>
  <c r="M16" i="4"/>
  <c r="M24" i="4"/>
  <c r="M10" i="4"/>
  <c r="M18" i="4"/>
  <c r="M26" i="4"/>
  <c r="M3" i="4"/>
  <c r="M6" i="4"/>
  <c r="M14" i="4"/>
  <c r="M22" i="4"/>
  <c r="M9" i="4"/>
  <c r="M17" i="4"/>
  <c r="M25" i="4"/>
  <c r="M11" i="4"/>
  <c r="M19" i="4"/>
  <c r="M27" i="4"/>
  <c r="M4" i="3"/>
  <c r="M23" i="3"/>
  <c r="M5" i="3"/>
  <c r="M11" i="3"/>
  <c r="M24" i="3"/>
  <c r="M13" i="3"/>
  <c r="M7" i="3"/>
  <c r="M20" i="3"/>
  <c r="M3" i="3"/>
</calcChain>
</file>

<file path=xl/sharedStrings.xml><?xml version="1.0" encoding="utf-8"?>
<sst xmlns="http://schemas.openxmlformats.org/spreadsheetml/2006/main" count="60" uniqueCount="11">
  <si>
    <t>Energy (keV)</t>
  </si>
  <si>
    <t>27Al (844 keV)</t>
  </si>
  <si>
    <t>Renormalization</t>
  </si>
  <si>
    <t>ERYA</t>
  </si>
  <si>
    <t>NDF</t>
  </si>
  <si>
    <t>SMNRA</t>
  </si>
  <si>
    <t>REL</t>
  </si>
  <si>
    <t>Count/msr/uC</t>
  </si>
  <si>
    <t>ERYA/NDF</t>
  </si>
  <si>
    <t>SMNRA/NDF</t>
  </si>
  <si>
    <t>SMNRA-asym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</si>
</sst>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"/>
    <numFmt numFmtId="166" formatCode="0.000000000"/>
    <numFmt numFmtId="167" formatCode="0.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</a:t>
            </a:r>
            <a:r>
              <a:rPr lang="en-GB" sz="1800" baseline="0"/>
              <a:t> 3 Full straggling </a:t>
            </a:r>
            <a:r>
              <a:rPr lang="el-GR" sz="1800" baseline="0"/>
              <a:t>Δ</a:t>
            </a:r>
            <a:r>
              <a:rPr lang="en-GB" sz="1800" baseline="0"/>
              <a:t>E=0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full 0'!$A$3:$A$27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0'!$D$3:$D$27</c:f>
              <c:numCache>
                <c:formatCode>General</c:formatCode>
                <c:ptCount val="25"/>
                <c:pt idx="0">
                  <c:v>9.8016847017497941</c:v>
                </c:pt>
                <c:pt idx="1">
                  <c:v>9.1562244047462293</c:v>
                </c:pt>
                <c:pt idx="2">
                  <c:v>8.5260346502487661</c:v>
                </c:pt>
                <c:pt idx="3">
                  <c:v>7.9772870655348624</c:v>
                </c:pt>
                <c:pt idx="4">
                  <c:v>7.534870907735268</c:v>
                </c:pt>
                <c:pt idx="5">
                  <c:v>7.2016994664213305</c:v>
                </c:pt>
                <c:pt idx="6">
                  <c:v>6.9867300161326149</c:v>
                </c:pt>
                <c:pt idx="7">
                  <c:v>6.8161708596992874</c:v>
                </c:pt>
                <c:pt idx="8">
                  <c:v>6.5796571997395716</c:v>
                </c:pt>
                <c:pt idx="9">
                  <c:v>6.2027211943342078</c:v>
                </c:pt>
                <c:pt idx="10">
                  <c:v>5.6663220446620963</c:v>
                </c:pt>
                <c:pt idx="11">
                  <c:v>4.9429323860549479</c:v>
                </c:pt>
                <c:pt idx="12">
                  <c:v>4.1275597170952265</c:v>
                </c:pt>
                <c:pt idx="13">
                  <c:v>3.4009797227386569</c:v>
                </c:pt>
                <c:pt idx="14">
                  <c:v>2.8795827278541459</c:v>
                </c:pt>
                <c:pt idx="15">
                  <c:v>2.5672920570766764</c:v>
                </c:pt>
                <c:pt idx="16">
                  <c:v>2.4115253759928561</c:v>
                </c:pt>
                <c:pt idx="17">
                  <c:v>2.3530706559969725</c:v>
                </c:pt>
                <c:pt idx="18">
                  <c:v>2.3709675692901775</c:v>
                </c:pt>
                <c:pt idx="19">
                  <c:v>2.4682627162873598</c:v>
                </c:pt>
                <c:pt idx="20">
                  <c:v>2.6964056694191054</c:v>
                </c:pt>
                <c:pt idx="21">
                  <c:v>2.9411612753469609</c:v>
                </c:pt>
                <c:pt idx="22">
                  <c:v>3.0957593709913063</c:v>
                </c:pt>
                <c:pt idx="23">
                  <c:v>3.1767235104105911</c:v>
                </c:pt>
                <c:pt idx="24">
                  <c:v>3.2123019547491327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1-46D0-B586-E152BF8F77B6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full 0'!$G$3:$G$27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0'!$H$3:$H$27</c:f>
              <c:numCache>
                <c:formatCode>0.0000000</c:formatCode>
                <c:ptCount val="25"/>
                <c:pt idx="0">
                  <c:v>9.7386006999999992</c:v>
                </c:pt>
                <c:pt idx="1">
                  <c:v>9.0975885000000005</c:v>
                </c:pt>
                <c:pt idx="2">
                  <c:v>8.4864826000000004</c:v>
                </c:pt>
                <c:pt idx="3">
                  <c:v>7.9635467999999996</c:v>
                </c:pt>
                <c:pt idx="4">
                  <c:v>7.5491419000000004</c:v>
                </c:pt>
                <c:pt idx="5">
                  <c:v>7.2402816000000003</c:v>
                </c:pt>
                <c:pt idx="6">
                  <c:v>7.0394635000000001</c:v>
                </c:pt>
                <c:pt idx="7">
                  <c:v>6.8600253999999996</c:v>
                </c:pt>
                <c:pt idx="8">
                  <c:v>6.5914593000000004</c:v>
                </c:pt>
                <c:pt idx="9">
                  <c:v>6.1714143999999997</c:v>
                </c:pt>
                <c:pt idx="10">
                  <c:v>5.5928725999999997</c:v>
                </c:pt>
                <c:pt idx="11">
                  <c:v>4.8460169000000004</c:v>
                </c:pt>
                <c:pt idx="12">
                  <c:v>4.0356592999999998</c:v>
                </c:pt>
                <c:pt idx="13">
                  <c:v>3.3322867999999999</c:v>
                </c:pt>
                <c:pt idx="14">
                  <c:v>2.8368220000000002</c:v>
                </c:pt>
                <c:pt idx="15">
                  <c:v>2.5455625</c:v>
                </c:pt>
                <c:pt idx="16">
                  <c:v>2.4044175000000001</c:v>
                </c:pt>
                <c:pt idx="17">
                  <c:v>2.3557693999999998</c:v>
                </c:pt>
                <c:pt idx="18">
                  <c:v>2.3804702999999998</c:v>
                </c:pt>
                <c:pt idx="19">
                  <c:v>2.4845052000000001</c:v>
                </c:pt>
                <c:pt idx="20">
                  <c:v>2.7174925999999999</c:v>
                </c:pt>
                <c:pt idx="21">
                  <c:v>2.9518445</c:v>
                </c:pt>
                <c:pt idx="22">
                  <c:v>3.0986612</c:v>
                </c:pt>
                <c:pt idx="23">
                  <c:v>3.1753464</c:v>
                </c:pt>
                <c:pt idx="24">
                  <c:v>3.2087142000000002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C1-46D0-B586-E152BF8F77B6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3 full 0'!$G$3:$G$27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0'!$L$3:$L$27</c:f>
              <c:numCache>
                <c:formatCode>0.000000000</c:formatCode>
                <c:ptCount val="25"/>
                <c:pt idx="0">
                  <c:v>9.9905465852459496</c:v>
                </c:pt>
                <c:pt idx="1">
                  <c:v>9.3563754719770493</c:v>
                </c:pt>
                <c:pt idx="2">
                  <c:v>8.7227813911960599</c:v>
                </c:pt>
                <c:pt idx="3">
                  <c:v>8.1634134920620607</c:v>
                </c:pt>
                <c:pt idx="4">
                  <c:v>7.7092808085406697</c:v>
                </c:pt>
                <c:pt idx="5">
                  <c:v>7.3635348794582303</c:v>
                </c:pt>
                <c:pt idx="6">
                  <c:v>7.1237853908464901</c:v>
                </c:pt>
                <c:pt idx="7">
                  <c:v>6.9424603829253302</c:v>
                </c:pt>
                <c:pt idx="8">
                  <c:v>6.72121373815963</c:v>
                </c:pt>
                <c:pt idx="9">
                  <c:v>6.3748142779472197</c:v>
                </c:pt>
                <c:pt idx="10">
                  <c:v>5.8746004441047699</c:v>
                </c:pt>
                <c:pt idx="11">
                  <c:v>5.1781650296693504</c:v>
                </c:pt>
                <c:pt idx="12">
                  <c:v>4.3563214903712399</c:v>
                </c:pt>
                <c:pt idx="13">
                  <c:v>3.5883453497055098</c:v>
                </c:pt>
                <c:pt idx="14">
                  <c:v>3.00703224635151</c:v>
                </c:pt>
                <c:pt idx="15">
                  <c:v>2.6382751198718002</c:v>
                </c:pt>
                <c:pt idx="16">
                  <c:v>2.4444139706549501</c:v>
                </c:pt>
                <c:pt idx="17">
                  <c:v>2.3647517834115201</c:v>
                </c:pt>
                <c:pt idx="18">
                  <c:v>2.3652825394663699</c:v>
                </c:pt>
                <c:pt idx="19">
                  <c:v>2.43643230671861</c:v>
                </c:pt>
                <c:pt idx="20">
                  <c:v>2.6206770019042001</c:v>
                </c:pt>
                <c:pt idx="21">
                  <c:v>2.8602526447519301</c:v>
                </c:pt>
                <c:pt idx="22">
                  <c:v>3.03915162287967</c:v>
                </c:pt>
                <c:pt idx="23">
                  <c:v>3.1460036891416499</c:v>
                </c:pt>
                <c:pt idx="24">
                  <c:v>3.19346317835087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C1-46D0-B586-E152BF8F7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766720"/>
        <c:axId val="258769280"/>
      </c:scatterChart>
      <c:valAx>
        <c:axId val="25876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769280"/>
        <c:crossesAt val="1"/>
        <c:crossBetween val="midCat"/>
      </c:valAx>
      <c:valAx>
        <c:axId val="2587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34592957130358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76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full 0'!$A$3:$A$27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0'!$N$3:$N$27</c:f>
              <c:numCache>
                <c:formatCode>General</c:formatCode>
                <c:ptCount val="25"/>
                <c:pt idx="0">
                  <c:v>1.0064777275188821</c:v>
                </c:pt>
                <c:pt idx="1">
                  <c:v>1.0064452139977784</c:v>
                </c:pt>
                <c:pt idx="2">
                  <c:v>1.0046605940426681</c:v>
                </c:pt>
                <c:pt idx="3">
                  <c:v>1.0017253952139595</c:v>
                </c:pt>
                <c:pt idx="4">
                  <c:v>0.99810958749301926</c:v>
                </c:pt>
                <c:pt idx="5">
                  <c:v>0.99467118328951876</c:v>
                </c:pt>
                <c:pt idx="6">
                  <c:v>0.99250887743542027</c:v>
                </c:pt>
                <c:pt idx="7">
                  <c:v>0.99360723353871072</c:v>
                </c:pt>
                <c:pt idx="8">
                  <c:v>0.9982094859843208</c:v>
                </c:pt>
                <c:pt idx="9">
                  <c:v>1.0050728718418598</c:v>
                </c:pt>
                <c:pt idx="10">
                  <c:v>1.0131326868883257</c:v>
                </c:pt>
                <c:pt idx="11">
                  <c:v>1.0199989987766958</c:v>
                </c:pt>
                <c:pt idx="12">
                  <c:v>1.0227720950317156</c:v>
                </c:pt>
                <c:pt idx="13">
                  <c:v>1.0206143489025785</c:v>
                </c:pt>
                <c:pt idx="14">
                  <c:v>1.015073461730819</c:v>
                </c:pt>
                <c:pt idx="15">
                  <c:v>1.0085362496802481</c:v>
                </c:pt>
                <c:pt idx="16">
                  <c:v>1.0029561737896417</c:v>
                </c:pt>
                <c:pt idx="17">
                  <c:v>0.9988544107912144</c:v>
                </c:pt>
                <c:pt idx="18">
                  <c:v>0.99600804483474448</c:v>
                </c:pt>
                <c:pt idx="19">
                  <c:v>0.99346248753569111</c:v>
                </c:pt>
                <c:pt idx="20">
                  <c:v>0.99224029880306042</c:v>
                </c:pt>
                <c:pt idx="21">
                  <c:v>0.99638083081509232</c:v>
                </c:pt>
                <c:pt idx="22">
                  <c:v>0.99906352168843315</c:v>
                </c:pt>
                <c:pt idx="23">
                  <c:v>1.0004336882459788</c:v>
                </c:pt>
                <c:pt idx="24">
                  <c:v>1.0011181284855886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0-401A-936E-0D071EA23457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full 0'!$K$3:$K$27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0'!$O$3:$O$27</c:f>
              <c:numCache>
                <c:formatCode>General</c:formatCode>
                <c:ptCount val="25"/>
                <c:pt idx="0">
                  <c:v>1.0258708507523007</c:v>
                </c:pt>
                <c:pt idx="1">
                  <c:v>1.0284456668904127</c:v>
                </c:pt>
                <c:pt idx="2">
                  <c:v>1.0278441378287937</c:v>
                </c:pt>
                <c:pt idx="3">
                  <c:v>1.0250976979330442</c:v>
                </c:pt>
                <c:pt idx="4">
                  <c:v>1.0212128624235648</c:v>
                </c:pt>
                <c:pt idx="5">
                  <c:v>1.0170232715062117</c:v>
                </c:pt>
                <c:pt idx="6">
                  <c:v>1.011978454160106</c:v>
                </c:pt>
                <c:pt idx="7">
                  <c:v>1.0120167168659946</c:v>
                </c:pt>
                <c:pt idx="8">
                  <c:v>1.0196852369489151</c:v>
                </c:pt>
                <c:pt idx="9">
                  <c:v>1.0329583892384897</c:v>
                </c:pt>
                <c:pt idx="10">
                  <c:v>1.0503726553872816</c:v>
                </c:pt>
                <c:pt idx="11">
                  <c:v>1.0685404398134373</c:v>
                </c:pt>
                <c:pt idx="12">
                  <c:v>1.0794572005548735</c:v>
                </c:pt>
                <c:pt idx="13">
                  <c:v>1.0768416901286857</c:v>
                </c:pt>
                <c:pt idx="14">
                  <c:v>1.0600003265455182</c:v>
                </c:pt>
                <c:pt idx="15">
                  <c:v>1.0364212702975473</c:v>
                </c:pt>
                <c:pt idx="16">
                  <c:v>1.0166345780859398</c:v>
                </c:pt>
                <c:pt idx="17">
                  <c:v>1.0038129298273084</c:v>
                </c:pt>
                <c:pt idx="18">
                  <c:v>0.99361984876113352</c:v>
                </c:pt>
                <c:pt idx="19">
                  <c:v>0.9806509186290332</c:v>
                </c:pt>
                <c:pt idx="20">
                  <c:v>0.96437318795429294</c:v>
                </c:pt>
                <c:pt idx="21">
                  <c:v>0.96897131429244665</c:v>
                </c:pt>
                <c:pt idx="22">
                  <c:v>0.9807950681667521</c:v>
                </c:pt>
                <c:pt idx="23">
                  <c:v>0.99075920949652918</c:v>
                </c:pt>
                <c:pt idx="24">
                  <c:v>0.9952469990474283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E-46EA-919D-7C5F96E9C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889984"/>
        <c:axId val="258896640"/>
      </c:scatterChart>
      <c:valAx>
        <c:axId val="25888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96640"/>
        <c:crossesAt val="0.1"/>
        <c:crossBetween val="midCat"/>
      </c:valAx>
      <c:valAx>
        <c:axId val="25889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8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3 Full straggling </a:t>
            </a:r>
            <a:r>
              <a:rPr lang="el-GR" sz="1800"/>
              <a:t>Δ</a:t>
            </a:r>
            <a:r>
              <a:rPr lang="en-GB" sz="18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full 1'!$A$3:$A$27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1'!$D$3:$D$27</c:f>
              <c:numCache>
                <c:formatCode>General</c:formatCode>
                <c:ptCount val="25"/>
                <c:pt idx="0">
                  <c:v>9.7687035254723451</c:v>
                </c:pt>
                <c:pt idx="1">
                  <c:v>9.1244021497919086</c:v>
                </c:pt>
                <c:pt idx="2">
                  <c:v>8.5076274519897677</c:v>
                </c:pt>
                <c:pt idx="3">
                  <c:v>7.9801434864418548</c:v>
                </c:pt>
                <c:pt idx="4">
                  <c:v>7.5624839985117847</c:v>
                </c:pt>
                <c:pt idx="5">
                  <c:v>7.2517054308120308</c:v>
                </c:pt>
                <c:pt idx="6">
                  <c:v>7.0477864437963404</c:v>
                </c:pt>
                <c:pt idx="7">
                  <c:v>6.8748016432158643</c:v>
                </c:pt>
                <c:pt idx="8">
                  <c:v>6.6203911926040133</c:v>
                </c:pt>
                <c:pt idx="9">
                  <c:v>6.2150131041066459</c:v>
                </c:pt>
                <c:pt idx="10">
                  <c:v>5.6432176688778855</c:v>
                </c:pt>
                <c:pt idx="11">
                  <c:v>4.893617172965163</c:v>
                </c:pt>
                <c:pt idx="12">
                  <c:v>4.0716109834117225</c:v>
                </c:pt>
                <c:pt idx="13">
                  <c:v>3.3543274887954948</c:v>
                </c:pt>
                <c:pt idx="14">
                  <c:v>2.8480756481866907</c:v>
                </c:pt>
                <c:pt idx="15">
                  <c:v>2.5498861741012102</c:v>
                </c:pt>
                <c:pt idx="16">
                  <c:v>2.4046437157213623</c:v>
                </c:pt>
                <c:pt idx="17">
                  <c:v>2.3541347880367738</c:v>
                </c:pt>
                <c:pt idx="18">
                  <c:v>2.3766768790413342</c:v>
                </c:pt>
                <c:pt idx="19">
                  <c:v>2.4782695653716669</c:v>
                </c:pt>
                <c:pt idx="20">
                  <c:v>2.7058016065393402</c:v>
                </c:pt>
                <c:pt idx="21">
                  <c:v>2.9461784111607874</c:v>
                </c:pt>
                <c:pt idx="22">
                  <c:v>3.0981493756433927</c:v>
                </c:pt>
                <c:pt idx="23">
                  <c:v>3.1743477075944586</c:v>
                </c:pt>
                <c:pt idx="24">
                  <c:v>3.2071975107572759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A-409A-9DC7-5FB9E2A358D0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full 1'!$G$3:$G$27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1'!$H$3:$H$27</c:f>
              <c:numCache>
                <c:formatCode>0.00000000</c:formatCode>
                <c:ptCount val="25"/>
                <c:pt idx="0">
                  <c:v>9.7383384999999993</c:v>
                </c:pt>
                <c:pt idx="1">
                  <c:v>9.0976809999999997</c:v>
                </c:pt>
                <c:pt idx="2">
                  <c:v>8.4868135000000002</c:v>
                </c:pt>
                <c:pt idx="3">
                  <c:v>7.9639034000000004</c:v>
                </c:pt>
                <c:pt idx="4">
                  <c:v>7.5495143000000002</c:v>
                </c:pt>
                <c:pt idx="5">
                  <c:v>7.2407532000000003</c:v>
                </c:pt>
                <c:pt idx="6">
                  <c:v>7.0395383999999996</c:v>
                </c:pt>
                <c:pt idx="7">
                  <c:v>6.8597473999999998</c:v>
                </c:pt>
                <c:pt idx="8">
                  <c:v>6.5907011000000004</c:v>
                </c:pt>
                <c:pt idx="9">
                  <c:v>6.1708373999999999</c:v>
                </c:pt>
                <c:pt idx="10">
                  <c:v>5.5922159999999996</c:v>
                </c:pt>
                <c:pt idx="11">
                  <c:v>4.8457575000000004</c:v>
                </c:pt>
                <c:pt idx="12">
                  <c:v>4.0360541000000003</c:v>
                </c:pt>
                <c:pt idx="13">
                  <c:v>3.3331024999999999</c:v>
                </c:pt>
                <c:pt idx="14">
                  <c:v>2.8375463000000001</c:v>
                </c:pt>
                <c:pt idx="15">
                  <c:v>2.5461018000000002</c:v>
                </c:pt>
                <c:pt idx="16">
                  <c:v>2.4047326999999998</c:v>
                </c:pt>
                <c:pt idx="17">
                  <c:v>2.3560468999999999</c:v>
                </c:pt>
                <c:pt idx="18">
                  <c:v>2.3806419000000001</c:v>
                </c:pt>
                <c:pt idx="19">
                  <c:v>2.4849806000000001</c:v>
                </c:pt>
                <c:pt idx="20">
                  <c:v>2.7171121</c:v>
                </c:pt>
                <c:pt idx="21">
                  <c:v>2.9515278</c:v>
                </c:pt>
                <c:pt idx="22">
                  <c:v>3.0984324999999999</c:v>
                </c:pt>
                <c:pt idx="23">
                  <c:v>3.1750984</c:v>
                </c:pt>
                <c:pt idx="24">
                  <c:v>3.2088971000000002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A-409A-9DC7-5FB9E2A358D0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3 full 1'!$G$3:$G$27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1'!$K$3:$K$27</c:f>
              <c:numCache>
                <c:formatCode>General</c:formatCode>
                <c:ptCount val="25"/>
                <c:pt idx="0">
                  <c:v>9.9905465852459496</c:v>
                </c:pt>
                <c:pt idx="1">
                  <c:v>9.3563754719770493</c:v>
                </c:pt>
                <c:pt idx="2">
                  <c:v>8.7227813911960599</c:v>
                </c:pt>
                <c:pt idx="3">
                  <c:v>8.1634134920620607</c:v>
                </c:pt>
                <c:pt idx="4">
                  <c:v>7.7092808085406697</c:v>
                </c:pt>
                <c:pt idx="5">
                  <c:v>7.3635348794582303</c:v>
                </c:pt>
                <c:pt idx="6">
                  <c:v>7.1237853908464901</c:v>
                </c:pt>
                <c:pt idx="7">
                  <c:v>6.9424603829253302</c:v>
                </c:pt>
                <c:pt idx="8">
                  <c:v>6.72121373815963</c:v>
                </c:pt>
                <c:pt idx="9">
                  <c:v>6.3748142779472197</c:v>
                </c:pt>
                <c:pt idx="10">
                  <c:v>5.8746004441047699</c:v>
                </c:pt>
                <c:pt idx="11">
                  <c:v>5.1781650296693504</c:v>
                </c:pt>
                <c:pt idx="12">
                  <c:v>4.3563214903712399</c:v>
                </c:pt>
                <c:pt idx="13">
                  <c:v>3.5883453497055098</c:v>
                </c:pt>
                <c:pt idx="14">
                  <c:v>3.00703224635151</c:v>
                </c:pt>
                <c:pt idx="15">
                  <c:v>2.6382751198718002</c:v>
                </c:pt>
                <c:pt idx="16">
                  <c:v>2.4444139706549501</c:v>
                </c:pt>
                <c:pt idx="17">
                  <c:v>2.3647517834115201</c:v>
                </c:pt>
                <c:pt idx="18">
                  <c:v>2.3652825394663699</c:v>
                </c:pt>
                <c:pt idx="19">
                  <c:v>2.43643230671861</c:v>
                </c:pt>
                <c:pt idx="20">
                  <c:v>2.6206770019042001</c:v>
                </c:pt>
                <c:pt idx="21">
                  <c:v>2.8602526447519301</c:v>
                </c:pt>
                <c:pt idx="22">
                  <c:v>3.03915162287967</c:v>
                </c:pt>
                <c:pt idx="23">
                  <c:v>3.1460036891416499</c:v>
                </c:pt>
                <c:pt idx="24">
                  <c:v>3.19346317835087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4A-409A-9DC7-5FB9E2A35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973696"/>
        <c:axId val="258976000"/>
      </c:scatterChart>
      <c:valAx>
        <c:axId val="25897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layout>
            <c:manualLayout>
              <c:xMode val="edge"/>
              <c:yMode val="edge"/>
              <c:x val="0.42204973032076221"/>
              <c:y val="0.844870179435517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976000"/>
        <c:crossesAt val="1"/>
        <c:crossBetween val="midCat"/>
      </c:valAx>
      <c:valAx>
        <c:axId val="25897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97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full 1'!$A$3:$A$27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1'!$M$3:$M$27</c:f>
              <c:numCache>
                <c:formatCode>General</c:formatCode>
                <c:ptCount val="25"/>
                <c:pt idx="0">
                  <c:v>1.0031180909836257</c:v>
                </c:pt>
                <c:pt idx="1">
                  <c:v>1.0029371385732153</c:v>
                </c:pt>
                <c:pt idx="2">
                  <c:v>1.0024525049348343</c:v>
                </c:pt>
                <c:pt idx="3">
                  <c:v>1.002039211882185</c:v>
                </c:pt>
                <c:pt idx="4">
                  <c:v>1.0017179513802343</c:v>
                </c:pt>
                <c:pt idx="5">
                  <c:v>1.0015125817037971</c:v>
                </c:pt>
                <c:pt idx="6">
                  <c:v>1.001171673954693</c:v>
                </c:pt>
                <c:pt idx="7">
                  <c:v>1.0021945769046634</c:v>
                </c:pt>
                <c:pt idx="8">
                  <c:v>1.0045048458659449</c:v>
                </c:pt>
                <c:pt idx="9">
                  <c:v>1.0071587859545037</c:v>
                </c:pt>
                <c:pt idx="10">
                  <c:v>1.0091201178348415</c:v>
                </c:pt>
                <c:pt idx="11">
                  <c:v>1.0098766132983672</c:v>
                </c:pt>
                <c:pt idx="12">
                  <c:v>1.0088098133797865</c:v>
                </c:pt>
                <c:pt idx="13">
                  <c:v>1.0063679376183285</c:v>
                </c:pt>
                <c:pt idx="14">
                  <c:v>1.0037107229533808</c:v>
                </c:pt>
                <c:pt idx="15">
                  <c:v>1.0014863404523771</c:v>
                </c:pt>
                <c:pt idx="16">
                  <c:v>0.99996299618721129</c:v>
                </c:pt>
                <c:pt idx="17">
                  <c:v>0.99918842364164051</c:v>
                </c:pt>
                <c:pt idx="18">
                  <c:v>0.99833447400944009</c:v>
                </c:pt>
                <c:pt idx="19">
                  <c:v>0.99729936135987007</c:v>
                </c:pt>
                <c:pt idx="20">
                  <c:v>0.99583731070180737</c:v>
                </c:pt>
                <c:pt idx="21">
                  <c:v>0.99818758649699568</c:v>
                </c:pt>
                <c:pt idx="22">
                  <c:v>0.99990862335822794</c:v>
                </c:pt>
                <c:pt idx="23">
                  <c:v>0.99976356877457995</c:v>
                </c:pt>
                <c:pt idx="24">
                  <c:v>0.99947035096802439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AB-4C11-910F-CDB2FE9FE19A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full 1'!$J$3:$J$27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1'!$O$3:$O$27</c:f>
              <c:numCache>
                <c:formatCode>General</c:formatCode>
                <c:ptCount val="25"/>
                <c:pt idx="0">
                  <c:v>1.0258984718230888</c:v>
                </c:pt>
                <c:pt idx="1">
                  <c:v>1.0284352102450118</c:v>
                </c:pt>
                <c:pt idx="2">
                  <c:v>1.027804062289817</c:v>
                </c:pt>
                <c:pt idx="3">
                  <c:v>1.0250517970951356</c:v>
                </c:pt>
                <c:pt idx="4">
                  <c:v>1.0211624883657309</c:v>
                </c:pt>
                <c:pt idx="5">
                  <c:v>1.0169570314119021</c:v>
                </c:pt>
                <c:pt idx="6">
                  <c:v>1.0119676868083411</c:v>
                </c:pt>
                <c:pt idx="7">
                  <c:v>1.0120577301323559</c:v>
                </c:pt>
                <c:pt idx="8">
                  <c:v>1.0198025424274861</c:v>
                </c:pt>
                <c:pt idx="9">
                  <c:v>1.0330549753178102</c:v>
                </c:pt>
                <c:pt idx="10">
                  <c:v>1.0504959830065166</c:v>
                </c:pt>
                <c:pt idx="11">
                  <c:v>1.0685976402387758</c:v>
                </c:pt>
                <c:pt idx="12">
                  <c:v>1.0793516098734255</c:v>
                </c:pt>
                <c:pt idx="13">
                  <c:v>1.076578157949091</c:v>
                </c:pt>
                <c:pt idx="14">
                  <c:v>1.0597297553705149</c:v>
                </c:pt>
                <c:pt idx="15">
                  <c:v>1.0362017417653135</c:v>
                </c:pt>
                <c:pt idx="16">
                  <c:v>1.0165013228517874</c:v>
                </c:pt>
                <c:pt idx="17">
                  <c:v>1.0036946986970081</c:v>
                </c:pt>
                <c:pt idx="18">
                  <c:v>0.99354822725180536</c:v>
                </c:pt>
                <c:pt idx="19">
                  <c:v>0.98046331094842754</c:v>
                </c:pt>
                <c:pt idx="20">
                  <c:v>0.96450823722149703</c:v>
                </c:pt>
                <c:pt idx="21">
                  <c:v>0.96907528526478048</c:v>
                </c:pt>
                <c:pt idx="22">
                  <c:v>0.98086746213760345</c:v>
                </c:pt>
                <c:pt idx="23">
                  <c:v>0.99083659553406278</c:v>
                </c:pt>
                <c:pt idx="24">
                  <c:v>0.99519027218132672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ED-42FF-812C-0C006EA35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814720"/>
        <c:axId val="258816640"/>
      </c:scatterChart>
      <c:valAx>
        <c:axId val="25881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16640"/>
        <c:crossesAt val="0.1"/>
        <c:crossBetween val="midCat"/>
      </c:valAx>
      <c:valAx>
        <c:axId val="2588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over NDF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6701735199766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14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3 Gauss Straggling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Gauss 0'!$F$3:$F$27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0'!$D$3:$D$27</c:f>
              <c:numCache>
                <c:formatCode>General</c:formatCode>
                <c:ptCount val="25"/>
                <c:pt idx="0">
                  <c:v>9.7724668525668648</c:v>
                </c:pt>
                <c:pt idx="1">
                  <c:v>9.1236100233821862</c:v>
                </c:pt>
                <c:pt idx="2">
                  <c:v>8.4969238544562042</c:v>
                </c:pt>
                <c:pt idx="3">
                  <c:v>7.9622156675989055</c:v>
                </c:pt>
                <c:pt idx="4">
                  <c:v>7.5445778258177629</c:v>
                </c:pt>
                <c:pt idx="5">
                  <c:v>7.2381750792464068</c:v>
                </c:pt>
                <c:pt idx="6">
                  <c:v>7.0394820612592506</c:v>
                </c:pt>
                <c:pt idx="7">
                  <c:v>6.862000576775479</c:v>
                </c:pt>
                <c:pt idx="8">
                  <c:v>6.5978210045302204</c:v>
                </c:pt>
                <c:pt idx="9">
                  <c:v>6.1908732207084674</c:v>
                </c:pt>
                <c:pt idx="10">
                  <c:v>5.6327626034735205</c:v>
                </c:pt>
                <c:pt idx="11">
                  <c:v>4.898370655005805</c:v>
                </c:pt>
                <c:pt idx="12">
                  <c:v>4.0755239203480418</c:v>
                </c:pt>
                <c:pt idx="13">
                  <c:v>3.3423445486717602</c:v>
                </c:pt>
                <c:pt idx="14">
                  <c:v>2.8239912230805557</c:v>
                </c:pt>
                <c:pt idx="15">
                  <c:v>2.5263889789684502</c:v>
                </c:pt>
                <c:pt idx="16">
                  <c:v>2.3880740854127542</c:v>
                </c:pt>
                <c:pt idx="17">
                  <c:v>2.3445597213690861</c:v>
                </c:pt>
                <c:pt idx="18">
                  <c:v>2.3736015315595393</c:v>
                </c:pt>
                <c:pt idx="19">
                  <c:v>2.4801687481958345</c:v>
                </c:pt>
                <c:pt idx="20">
                  <c:v>2.7123067219323316</c:v>
                </c:pt>
                <c:pt idx="21">
                  <c:v>2.9477738856381737</c:v>
                </c:pt>
                <c:pt idx="22">
                  <c:v>3.0962650937092806</c:v>
                </c:pt>
                <c:pt idx="23">
                  <c:v>3.1755124788966436</c:v>
                </c:pt>
                <c:pt idx="24">
                  <c:v>3.2117156936402145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5-4639-8BA5-CED442EDDFA8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Gauss 0'!$F$3:$F$27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0'!$G$3:$G$27</c:f>
              <c:numCache>
                <c:formatCode>0.0000000</c:formatCode>
                <c:ptCount val="25"/>
                <c:pt idx="0">
                  <c:v>9.7562245999999995</c:v>
                </c:pt>
                <c:pt idx="1">
                  <c:v>9.1099663</c:v>
                </c:pt>
                <c:pt idx="2">
                  <c:v>8.4885712000000009</c:v>
                </c:pt>
                <c:pt idx="3">
                  <c:v>7.9582233000000002</c:v>
                </c:pt>
                <c:pt idx="4">
                  <c:v>7.5426159000000004</c:v>
                </c:pt>
                <c:pt idx="5">
                  <c:v>7.2362976000000003</c:v>
                </c:pt>
                <c:pt idx="6">
                  <c:v>7.0365890999999996</c:v>
                </c:pt>
                <c:pt idx="7">
                  <c:v>6.8560410000000003</c:v>
                </c:pt>
                <c:pt idx="8">
                  <c:v>6.5867867000000002</c:v>
                </c:pt>
                <c:pt idx="9">
                  <c:v>6.1725491999999997</c:v>
                </c:pt>
                <c:pt idx="10">
                  <c:v>5.6071657999999998</c:v>
                </c:pt>
                <c:pt idx="11">
                  <c:v>4.8713230999999997</c:v>
                </c:pt>
                <c:pt idx="12">
                  <c:v>4.0551572</c:v>
                </c:pt>
                <c:pt idx="13">
                  <c:v>3.3325288</c:v>
                </c:pt>
                <c:pt idx="14">
                  <c:v>2.8224005999999999</c:v>
                </c:pt>
                <c:pt idx="15">
                  <c:v>2.528899</c:v>
                </c:pt>
                <c:pt idx="16">
                  <c:v>2.3920264000000002</c:v>
                </c:pt>
                <c:pt idx="17">
                  <c:v>2.3482826000000001</c:v>
                </c:pt>
                <c:pt idx="18">
                  <c:v>2.3764875000000001</c:v>
                </c:pt>
                <c:pt idx="19">
                  <c:v>2.4830613000000001</c:v>
                </c:pt>
                <c:pt idx="20">
                  <c:v>2.7155912</c:v>
                </c:pt>
                <c:pt idx="21">
                  <c:v>2.9503973000000001</c:v>
                </c:pt>
                <c:pt idx="22">
                  <c:v>3.0981084999999999</c:v>
                </c:pt>
                <c:pt idx="23">
                  <c:v>3.1762492999999998</c:v>
                </c:pt>
                <c:pt idx="24">
                  <c:v>3.2118793000000001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B5-4639-8BA5-CED442EDDFA8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3 Gauss 0'!$F$3:$F$27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0'!$J$3:$J$27</c:f>
              <c:numCache>
                <c:formatCode>General</c:formatCode>
                <c:ptCount val="25"/>
                <c:pt idx="0">
                  <c:v>9.7555131558822108</c:v>
                </c:pt>
                <c:pt idx="1">
                  <c:v>9.1095962259339096</c:v>
                </c:pt>
                <c:pt idx="2">
                  <c:v>8.4884752695289301</c:v>
                </c:pt>
                <c:pt idx="3">
                  <c:v>7.9580918332535697</c:v>
                </c:pt>
                <c:pt idx="4">
                  <c:v>7.54253206483037</c:v>
                </c:pt>
                <c:pt idx="5">
                  <c:v>7.2363032706890698</c:v>
                </c:pt>
                <c:pt idx="6">
                  <c:v>7.0366065357703098</c:v>
                </c:pt>
                <c:pt idx="7">
                  <c:v>6.8562050067457498</c:v>
                </c:pt>
                <c:pt idx="8">
                  <c:v>6.5867420612185503</c:v>
                </c:pt>
                <c:pt idx="9">
                  <c:v>6.1724625682690704</c:v>
                </c:pt>
                <c:pt idx="10">
                  <c:v>5.6073461759976801</c:v>
                </c:pt>
                <c:pt idx="11">
                  <c:v>4.8716450524027</c:v>
                </c:pt>
                <c:pt idx="12">
                  <c:v>4.0556568740976404</c:v>
                </c:pt>
                <c:pt idx="13">
                  <c:v>3.3330420239365099</c:v>
                </c:pt>
                <c:pt idx="14">
                  <c:v>2.8227238963833101</c:v>
                </c:pt>
                <c:pt idx="15">
                  <c:v>2.5291162675893899</c:v>
                </c:pt>
                <c:pt idx="16">
                  <c:v>2.3920309569799998</c:v>
                </c:pt>
                <c:pt idx="17">
                  <c:v>2.3481559353586801</c:v>
                </c:pt>
                <c:pt idx="18">
                  <c:v>2.3763343982323502</c:v>
                </c:pt>
                <c:pt idx="19">
                  <c:v>2.48291341350079</c:v>
                </c:pt>
                <c:pt idx="20">
                  <c:v>2.7154498774708702</c:v>
                </c:pt>
                <c:pt idx="21">
                  <c:v>2.9503107372025901</c:v>
                </c:pt>
                <c:pt idx="22">
                  <c:v>3.0979631471674098</c:v>
                </c:pt>
                <c:pt idx="23">
                  <c:v>3.1760705685661299</c:v>
                </c:pt>
                <c:pt idx="24">
                  <c:v>3.2116813752200901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B5-4639-8BA5-CED442EDDFA8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3 Gauss 0'!$AA$3:$AA$27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0'!$AB$3:$AB$27</c:f>
              <c:numCache>
                <c:formatCode>General</c:formatCode>
                <c:ptCount val="25"/>
                <c:pt idx="0">
                  <c:v>9.9948856493664504</c:v>
                </c:pt>
                <c:pt idx="1">
                  <c:v>9.3620190587485403</c:v>
                </c:pt>
                <c:pt idx="2">
                  <c:v>8.7288826132398398</c:v>
                </c:pt>
                <c:pt idx="3">
                  <c:v>8.1690720498836793</c:v>
                </c:pt>
                <c:pt idx="4">
                  <c:v>7.7139550573441902</c:v>
                </c:pt>
                <c:pt idx="5">
                  <c:v>7.3670742331223504</c:v>
                </c:pt>
                <c:pt idx="6">
                  <c:v>7.1262645043818296</c:v>
                </c:pt>
                <c:pt idx="7">
                  <c:v>6.9442433618745998</c:v>
                </c:pt>
                <c:pt idx="8">
                  <c:v>6.7232125440646104</c:v>
                </c:pt>
                <c:pt idx="9">
                  <c:v>6.3778996859847696</c:v>
                </c:pt>
                <c:pt idx="10">
                  <c:v>5.8790901640007496</c:v>
                </c:pt>
                <c:pt idx="11">
                  <c:v>5.1842031620691396</c:v>
                </c:pt>
                <c:pt idx="12">
                  <c:v>4.36358326062303</c:v>
                </c:pt>
                <c:pt idx="13">
                  <c:v>3.5957781620136902</c:v>
                </c:pt>
                <c:pt idx="14">
                  <c:v>3.01324368767024</c:v>
                </c:pt>
                <c:pt idx="15">
                  <c:v>2.6424426649498098</c:v>
                </c:pt>
                <c:pt idx="16">
                  <c:v>2.4467021318661701</c:v>
                </c:pt>
                <c:pt idx="17">
                  <c:v>2.36573506942071</c:v>
                </c:pt>
                <c:pt idx="18">
                  <c:v>2.3654123913084901</c:v>
                </c:pt>
                <c:pt idx="19">
                  <c:v>2.43594473696611</c:v>
                </c:pt>
                <c:pt idx="20">
                  <c:v>2.6193046473037298</c:v>
                </c:pt>
                <c:pt idx="21">
                  <c:v>2.8581938154253002</c:v>
                </c:pt>
                <c:pt idx="22">
                  <c:v>3.03732810977719</c:v>
                </c:pt>
                <c:pt idx="23">
                  <c:v>3.14474103101404</c:v>
                </c:pt>
                <c:pt idx="24">
                  <c:v>3.19275890614994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F3-4362-8F86-2D74622AA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111936"/>
        <c:axId val="259200512"/>
      </c:scatterChart>
      <c:valAx>
        <c:axId val="25911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00512"/>
        <c:crosses val="autoZero"/>
        <c:crossBetween val="midCat"/>
      </c:valAx>
      <c:valAx>
        <c:axId val="25920051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111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Gauss 0'!$F$3:$F$27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0'!$L$3:$L$27</c:f>
              <c:numCache>
                <c:formatCode>General</c:formatCode>
                <c:ptCount val="25"/>
                <c:pt idx="0">
                  <c:v>1.0016648092097906</c:v>
                </c:pt>
                <c:pt idx="1">
                  <c:v>1.0014976700168678</c:v>
                </c:pt>
                <c:pt idx="2">
                  <c:v>1.0009839882660352</c:v>
                </c:pt>
                <c:pt idx="3">
                  <c:v>1.0005016656920025</c:v>
                </c:pt>
                <c:pt idx="4">
                  <c:v>1.0002601121207515</c:v>
                </c:pt>
                <c:pt idx="5">
                  <c:v>1.0002594530173008</c:v>
                </c:pt>
                <c:pt idx="6">
                  <c:v>1.0004111311912829</c:v>
                </c:pt>
                <c:pt idx="7">
                  <c:v>1.0008692446231693</c:v>
                </c:pt>
                <c:pt idx="8">
                  <c:v>1.0016752181348487</c:v>
                </c:pt>
                <c:pt idx="9">
                  <c:v>1.0029686309682988</c:v>
                </c:pt>
                <c:pt idx="10">
                  <c:v>1.0045650163356183</c:v>
                </c:pt>
                <c:pt idx="11">
                  <c:v>1.0055524042340376</c:v>
                </c:pt>
                <c:pt idx="12">
                  <c:v>1.0050224243706365</c:v>
                </c:pt>
                <c:pt idx="13">
                  <c:v>1.0029454355118432</c:v>
                </c:pt>
                <c:pt idx="14">
                  <c:v>1.0005635709829979</c:v>
                </c:pt>
                <c:pt idx="15">
                  <c:v>0.99900746489616632</c:v>
                </c:pt>
                <c:pt idx="16">
                  <c:v>0.99834771280649492</c:v>
                </c:pt>
                <c:pt idx="17">
                  <c:v>0.99841463773103201</c:v>
                </c:pt>
                <c:pt idx="18">
                  <c:v>0.99878561598137561</c:v>
                </c:pt>
                <c:pt idx="19">
                  <c:v>0.99883508642973673</c:v>
                </c:pt>
                <c:pt idx="20">
                  <c:v>0.99879051085904669</c:v>
                </c:pt>
                <c:pt idx="21">
                  <c:v>0.99911082674803608</c:v>
                </c:pt>
                <c:pt idx="22">
                  <c:v>0.99940498975722791</c:v>
                </c:pt>
                <c:pt idx="23">
                  <c:v>0.99976802164006573</c:v>
                </c:pt>
                <c:pt idx="24">
                  <c:v>0.99994906210834711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0-44F4-BE7B-0C15C71070CE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Gauss 0'!$I$3:$I$27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0'!$N$3:$N$27</c:f>
              <c:numCache>
                <c:formatCode>General</c:formatCode>
                <c:ptCount val="25"/>
                <c:pt idx="0">
                  <c:v>0.99992707792748148</c:v>
                </c:pt>
                <c:pt idx="1">
                  <c:v>0.9999593770104187</c:v>
                </c:pt>
                <c:pt idx="2">
                  <c:v>0.99998869886712261</c:v>
                </c:pt>
                <c:pt idx="3">
                  <c:v>0.99998348038984652</c:v>
                </c:pt>
                <c:pt idx="4">
                  <c:v>0.99998888513338846</c:v>
                </c:pt>
                <c:pt idx="5">
                  <c:v>1.0000007836450879</c:v>
                </c:pt>
                <c:pt idx="6">
                  <c:v>1.0000024778724552</c:v>
                </c:pt>
                <c:pt idx="7">
                  <c:v>1.000023921494307</c:v>
                </c:pt>
                <c:pt idx="8">
                  <c:v>0.99999322298056958</c:v>
                </c:pt>
                <c:pt idx="9">
                  <c:v>0.99998596499952896</c:v>
                </c:pt>
                <c:pt idx="10">
                  <c:v>1.0000321688361133</c:v>
                </c:pt>
                <c:pt idx="11">
                  <c:v>1.0000660913669841</c:v>
                </c:pt>
                <c:pt idx="12">
                  <c:v>1.0001232194149319</c:v>
                </c:pt>
                <c:pt idx="13">
                  <c:v>1.0001540043514432</c:v>
                </c:pt>
                <c:pt idx="14">
                  <c:v>1.0001145465967198</c:v>
                </c:pt>
                <c:pt idx="15">
                  <c:v>1.0000859139053755</c:v>
                </c:pt>
                <c:pt idx="16">
                  <c:v>1.0000019050709472</c:v>
                </c:pt>
                <c:pt idx="17">
                  <c:v>0.99994606073335468</c:v>
                </c:pt>
                <c:pt idx="18">
                  <c:v>0.9999355764473199</c:v>
                </c:pt>
                <c:pt idx="19">
                  <c:v>0.9999404418653659</c:v>
                </c:pt>
                <c:pt idx="20">
                  <c:v>0.99994795883521426</c:v>
                </c:pt>
                <c:pt idx="21">
                  <c:v>0.99997066063021067</c:v>
                </c:pt>
                <c:pt idx="22">
                  <c:v>0.99995308336277111</c:v>
                </c:pt>
                <c:pt idx="23">
                  <c:v>0.9999437287766203</c:v>
                </c:pt>
                <c:pt idx="24">
                  <c:v>0.9999383772671937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13-490A-A9EC-1C5C68C05836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3 Gauss 0'!$AA$3:$AA$27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0'!$AC$3:$AC$27</c:f>
              <c:numCache>
                <c:formatCode>General</c:formatCode>
                <c:ptCount val="25"/>
                <c:pt idx="0">
                  <c:v>1.0244624390224115</c:v>
                </c:pt>
                <c:pt idx="1">
                  <c:v>1.027667803639245</c:v>
                </c:pt>
                <c:pt idx="2">
                  <c:v>1.0283099955902872</c:v>
                </c:pt>
                <c:pt idx="3">
                  <c:v>1.0264944500720004</c:v>
                </c:pt>
                <c:pt idx="4">
                  <c:v>1.0227161451167346</c:v>
                </c:pt>
                <c:pt idx="5">
                  <c:v>1.0180723127144951</c:v>
                </c:pt>
                <c:pt idx="6">
                  <c:v>1.0127441581577969</c:v>
                </c:pt>
                <c:pt idx="7">
                  <c:v>1.0128649116705397</c:v>
                </c:pt>
                <c:pt idx="8">
                  <c:v>1.0207120482684842</c:v>
                </c:pt>
                <c:pt idx="9">
                  <c:v>1.033268343326412</c:v>
                </c:pt>
                <c:pt idx="10">
                  <c:v>1.0484958664858368</c:v>
                </c:pt>
                <c:pt idx="11">
                  <c:v>1.0642289693469809</c:v>
                </c:pt>
                <c:pt idx="12">
                  <c:v>1.0760577322681917</c:v>
                </c:pt>
                <c:pt idx="13">
                  <c:v>1.0789938745656722</c:v>
                </c:pt>
                <c:pt idx="14">
                  <c:v>1.0676172927649745</c:v>
                </c:pt>
                <c:pt idx="15">
                  <c:v>1.0448984577675147</c:v>
                </c:pt>
                <c:pt idx="16">
                  <c:v>1.0228574951623317</c:v>
                </c:pt>
                <c:pt idx="17">
                  <c:v>1.0074320141113808</c:v>
                </c:pt>
                <c:pt idx="18">
                  <c:v>0.99533971515040165</c:v>
                </c:pt>
                <c:pt idx="19">
                  <c:v>0.9810248087576855</c:v>
                </c:pt>
                <c:pt idx="20">
                  <c:v>0.96454306056954742</c:v>
                </c:pt>
                <c:pt idx="21">
                  <c:v>0.96874879034945571</c:v>
                </c:pt>
                <c:pt idx="22">
                  <c:v>0.98038145203022753</c:v>
                </c:pt>
                <c:pt idx="23">
                  <c:v>0.99008003906180797</c:v>
                </c:pt>
                <c:pt idx="24">
                  <c:v>0.99404697622041394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0-47F3-BCCF-1A2F97CB8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232896"/>
        <c:axId val="259235200"/>
      </c:scatterChart>
      <c:valAx>
        <c:axId val="25923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layout>
            <c:manualLayout>
              <c:xMode val="edge"/>
              <c:yMode val="edge"/>
              <c:x val="0.40207441311779524"/>
              <c:y val="0.77826448254396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35200"/>
        <c:crosses val="autoZero"/>
        <c:crossBetween val="midCat"/>
      </c:valAx>
      <c:valAx>
        <c:axId val="2592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3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Gauss Straggling </a:t>
            </a:r>
            <a:r>
              <a:rPr lang="el-GR" sz="1800"/>
              <a:t>Δ</a:t>
            </a:r>
            <a:r>
              <a:rPr lang="en-GB" sz="18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Gauss 1'!$F$3:$F$27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1'!$D$3:$D$27</c:f>
              <c:numCache>
                <c:formatCode>General</c:formatCode>
                <c:ptCount val="25"/>
                <c:pt idx="0">
                  <c:v>9.7656267553541323</c:v>
                </c:pt>
                <c:pt idx="1">
                  <c:v>9.1181441806840233</c:v>
                </c:pt>
                <c:pt idx="2">
                  <c:v>8.4935411684519408</c:v>
                </c:pt>
                <c:pt idx="3">
                  <c:v>7.9603140687456486</c:v>
                </c:pt>
                <c:pt idx="4">
                  <c:v>7.5436355990019575</c:v>
                </c:pt>
                <c:pt idx="5">
                  <c:v>7.2379657432033113</c:v>
                </c:pt>
                <c:pt idx="6">
                  <c:v>7.0368172057042511</c:v>
                </c:pt>
                <c:pt idx="7">
                  <c:v>6.8566835467521603</c:v>
                </c:pt>
                <c:pt idx="8">
                  <c:v>6.5900693898257172</c:v>
                </c:pt>
                <c:pt idx="9">
                  <c:v>6.1825551268997057</c:v>
                </c:pt>
                <c:pt idx="10">
                  <c:v>5.6225615399901008</c:v>
                </c:pt>
                <c:pt idx="11">
                  <c:v>4.8889297821973683</c:v>
                </c:pt>
                <c:pt idx="12">
                  <c:v>4.0703963462503054</c:v>
                </c:pt>
                <c:pt idx="13">
                  <c:v>3.3419415623784752</c:v>
                </c:pt>
                <c:pt idx="14">
                  <c:v>2.8262199301968294</c:v>
                </c:pt>
                <c:pt idx="15">
                  <c:v>2.5294054219441242</c:v>
                </c:pt>
                <c:pt idx="16">
                  <c:v>2.3908090916600329</c:v>
                </c:pt>
                <c:pt idx="17">
                  <c:v>2.3470602256256186</c:v>
                </c:pt>
                <c:pt idx="18">
                  <c:v>2.3753480630433583</c:v>
                </c:pt>
                <c:pt idx="19">
                  <c:v>2.483339829297198</c:v>
                </c:pt>
                <c:pt idx="20">
                  <c:v>2.7124317545036218</c:v>
                </c:pt>
                <c:pt idx="21">
                  <c:v>2.9464683101230413</c:v>
                </c:pt>
                <c:pt idx="22">
                  <c:v>3.0956551260814504</c:v>
                </c:pt>
                <c:pt idx="23">
                  <c:v>3.174934250777838</c:v>
                </c:pt>
                <c:pt idx="24">
                  <c:v>3.2133920008471124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3-49A4-96B0-ECE44E9CB250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Gauss 1'!$F$3:$F$27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1'!$G$3:$G$27</c:f>
              <c:numCache>
                <c:formatCode>0.0000000</c:formatCode>
                <c:ptCount val="25"/>
                <c:pt idx="0">
                  <c:v>9.7558936999999997</c:v>
                </c:pt>
                <c:pt idx="1">
                  <c:v>9.1100253999999996</c:v>
                </c:pt>
                <c:pt idx="2">
                  <c:v>8.4890108000000009</c:v>
                </c:pt>
                <c:pt idx="3">
                  <c:v>7.9587088000000001</c:v>
                </c:pt>
                <c:pt idx="4">
                  <c:v>7.5429955</c:v>
                </c:pt>
                <c:pt idx="5">
                  <c:v>7.2367438999999996</c:v>
                </c:pt>
                <c:pt idx="6">
                  <c:v>7.0366939999999998</c:v>
                </c:pt>
                <c:pt idx="7">
                  <c:v>6.8557962999999997</c:v>
                </c:pt>
                <c:pt idx="8">
                  <c:v>6.5860824999999998</c:v>
                </c:pt>
                <c:pt idx="9">
                  <c:v>6.1719603999999997</c:v>
                </c:pt>
                <c:pt idx="10">
                  <c:v>5.606503</c:v>
                </c:pt>
                <c:pt idx="11">
                  <c:v>4.8710680000000002</c:v>
                </c:pt>
                <c:pt idx="12">
                  <c:v>4.0555472000000004</c:v>
                </c:pt>
                <c:pt idx="13">
                  <c:v>3.3333507</c:v>
                </c:pt>
                <c:pt idx="14">
                  <c:v>2.8231432000000001</c:v>
                </c:pt>
                <c:pt idx="15">
                  <c:v>2.5294544999999999</c:v>
                </c:pt>
                <c:pt idx="16">
                  <c:v>2.3923326</c:v>
                </c:pt>
                <c:pt idx="17">
                  <c:v>2.3485567999999999</c:v>
                </c:pt>
                <c:pt idx="18">
                  <c:v>2.3766663000000001</c:v>
                </c:pt>
                <c:pt idx="19">
                  <c:v>2.4835289</c:v>
                </c:pt>
                <c:pt idx="20">
                  <c:v>2.7153944999999999</c:v>
                </c:pt>
                <c:pt idx="21">
                  <c:v>2.9500720999999999</c:v>
                </c:pt>
                <c:pt idx="22">
                  <c:v>3.0978734000000001</c:v>
                </c:pt>
                <c:pt idx="23">
                  <c:v>3.1759970000000002</c:v>
                </c:pt>
                <c:pt idx="24">
                  <c:v>3.2120565999999999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33-49A4-96B0-ECE44E9CB250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3 Gauss 1'!$F$3:$F$27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1'!$J$3:$J$27</c:f>
              <c:numCache>
                <c:formatCode>General</c:formatCode>
                <c:ptCount val="25"/>
                <c:pt idx="0">
                  <c:v>9.7552996810777106</c:v>
                </c:pt>
                <c:pt idx="1">
                  <c:v>9.1097801324108403</c:v>
                </c:pt>
                <c:pt idx="2">
                  <c:v>8.4889410558237</c:v>
                </c:pt>
                <c:pt idx="3">
                  <c:v>7.9585576130241904</c:v>
                </c:pt>
                <c:pt idx="4">
                  <c:v>7.5429704243620996</c:v>
                </c:pt>
                <c:pt idx="5">
                  <c:v>7.2368083835136998</c:v>
                </c:pt>
                <c:pt idx="6">
                  <c:v>7.0366704997438099</c:v>
                </c:pt>
                <c:pt idx="7">
                  <c:v>6.8558839820071098</c:v>
                </c:pt>
                <c:pt idx="8">
                  <c:v>6.58606526425109</c:v>
                </c:pt>
                <c:pt idx="9">
                  <c:v>6.1717481039896498</c:v>
                </c:pt>
                <c:pt idx="10">
                  <c:v>5.6064617609298102</c:v>
                </c:pt>
                <c:pt idx="11">
                  <c:v>4.8711947781942699</c:v>
                </c:pt>
                <c:pt idx="12">
                  <c:v>4.05603714119085</c:v>
                </c:pt>
                <c:pt idx="13">
                  <c:v>3.3339224967308199</c:v>
                </c:pt>
                <c:pt idx="14">
                  <c:v>2.8235428733543801</c:v>
                </c:pt>
                <c:pt idx="15">
                  <c:v>2.5296702710803398</c:v>
                </c:pt>
                <c:pt idx="16">
                  <c:v>2.3923453381870399</c:v>
                </c:pt>
                <c:pt idx="17">
                  <c:v>2.3484415714864202</c:v>
                </c:pt>
                <c:pt idx="18">
                  <c:v>2.3765228824456699</c:v>
                </c:pt>
                <c:pt idx="19">
                  <c:v>2.4833905635159601</c:v>
                </c:pt>
                <c:pt idx="20">
                  <c:v>2.71528014342916</c:v>
                </c:pt>
                <c:pt idx="21">
                  <c:v>2.9500233107664902</c:v>
                </c:pt>
                <c:pt idx="22">
                  <c:v>3.0977702341178501</c:v>
                </c:pt>
                <c:pt idx="23">
                  <c:v>3.1758497795170002</c:v>
                </c:pt>
                <c:pt idx="24">
                  <c:v>3.21185436944099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33-49A4-96B0-ECE44E9CB250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3 Gauss 1'!$AA$3:$AA$27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1'!$AB$3:$AB$27</c:f>
              <c:numCache>
                <c:formatCode>General</c:formatCode>
                <c:ptCount val="25"/>
                <c:pt idx="0">
                  <c:v>9.9944768204129595</c:v>
                </c:pt>
                <c:pt idx="1">
                  <c:v>9.3619116316960795</c:v>
                </c:pt>
                <c:pt idx="2">
                  <c:v>8.7290975301786293</c:v>
                </c:pt>
                <c:pt idx="3">
                  <c:v>8.1694742842975003</c:v>
                </c:pt>
                <c:pt idx="4">
                  <c:v>7.71431081051088</c:v>
                </c:pt>
                <c:pt idx="5">
                  <c:v>7.3673597594259004</c:v>
                </c:pt>
                <c:pt idx="6">
                  <c:v>7.1257844253902096</c:v>
                </c:pt>
                <c:pt idx="7">
                  <c:v>6.9438833160125402</c:v>
                </c:pt>
                <c:pt idx="8">
                  <c:v>6.7228770032565999</c:v>
                </c:pt>
                <c:pt idx="9">
                  <c:v>6.3778970694438302</c:v>
                </c:pt>
                <c:pt idx="10">
                  <c:v>5.8786677460066397</c:v>
                </c:pt>
                <c:pt idx="11">
                  <c:v>5.18387502057878</c:v>
                </c:pt>
                <c:pt idx="12">
                  <c:v>4.3637974597878904</c:v>
                </c:pt>
                <c:pt idx="13">
                  <c:v>3.5964111975272401</c:v>
                </c:pt>
                <c:pt idx="14">
                  <c:v>3.0140048206439198</c:v>
                </c:pt>
                <c:pt idx="15">
                  <c:v>2.6431190339628499</c:v>
                </c:pt>
                <c:pt idx="16">
                  <c:v>2.4471632907274201</c:v>
                </c:pt>
                <c:pt idx="17">
                  <c:v>2.3661639983367801</c:v>
                </c:pt>
                <c:pt idx="18">
                  <c:v>2.36550957739149</c:v>
                </c:pt>
                <c:pt idx="19">
                  <c:v>2.43607319731057</c:v>
                </c:pt>
                <c:pt idx="20">
                  <c:v>2.6186572899953702</c:v>
                </c:pt>
                <c:pt idx="21">
                  <c:v>2.8576187488925999</c:v>
                </c:pt>
                <c:pt idx="22">
                  <c:v>3.0374262796643401</c:v>
                </c:pt>
                <c:pt idx="23">
                  <c:v>3.1447673574053199</c:v>
                </c:pt>
                <c:pt idx="24">
                  <c:v>3.19316931248781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FE-4F98-91C2-49203896C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362816"/>
        <c:axId val="259365120"/>
      </c:scatterChart>
      <c:valAx>
        <c:axId val="25936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365120"/>
        <c:crosses val="autoZero"/>
        <c:crossBetween val="midCat"/>
      </c:valAx>
      <c:valAx>
        <c:axId val="2593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362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Gauss 1'!$F$3:$F$27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1'!$L$3:$L$27</c:f>
              <c:numCache>
                <c:formatCode>General</c:formatCode>
                <c:ptCount val="25"/>
                <c:pt idx="0">
                  <c:v>1.000997659020632</c:v>
                </c:pt>
                <c:pt idx="1">
                  <c:v>1.0008911918822996</c:v>
                </c:pt>
                <c:pt idx="2">
                  <c:v>1.0005336744832436</c:v>
                </c:pt>
                <c:pt idx="3">
                  <c:v>1.0002016996457577</c:v>
                </c:pt>
                <c:pt idx="4">
                  <c:v>1.0000848600535368</c:v>
                </c:pt>
                <c:pt idx="5">
                  <c:v>1.00016883880654</c:v>
                </c:pt>
                <c:pt idx="6">
                  <c:v>1.0000175090325445</c:v>
                </c:pt>
                <c:pt idx="7">
                  <c:v>1.0001294155650686</c:v>
                </c:pt>
                <c:pt idx="8">
                  <c:v>1.0006053507264321</c:v>
                </c:pt>
                <c:pt idx="9">
                  <c:v>1.0017165902262928</c:v>
                </c:pt>
                <c:pt idx="10">
                  <c:v>1.002864270292926</c:v>
                </c:pt>
                <c:pt idx="11">
                  <c:v>1.0036669129228679</c:v>
                </c:pt>
                <c:pt idx="12">
                  <c:v>1.0036614408655644</c:v>
                </c:pt>
                <c:pt idx="13">
                  <c:v>1.0025772452860946</c:v>
                </c:pt>
                <c:pt idx="14">
                  <c:v>1.0010898243478508</c:v>
                </c:pt>
                <c:pt idx="15">
                  <c:v>0.99998059737549116</c:v>
                </c:pt>
                <c:pt idx="16">
                  <c:v>0.99936317034681255</c:v>
                </c:pt>
                <c:pt idx="17">
                  <c:v>0.99936276849919858</c:v>
                </c:pt>
                <c:pt idx="18">
                  <c:v>0.99944534200840829</c:v>
                </c:pt>
                <c:pt idx="19">
                  <c:v>0.99992387014187678</c:v>
                </c:pt>
                <c:pt idx="20">
                  <c:v>0.99890890789666908</c:v>
                </c:pt>
                <c:pt idx="21">
                  <c:v>0.99877840616947688</c:v>
                </c:pt>
                <c:pt idx="22">
                  <c:v>0.99928393654868219</c:v>
                </c:pt>
                <c:pt idx="23">
                  <c:v>0.99966538091120294</c:v>
                </c:pt>
                <c:pt idx="24">
                  <c:v>1.00041574636235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C-45BA-A003-E7847D5924FC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Gauss 1'!$A$3:$A$27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1'!$N$3:$N$27</c:f>
              <c:numCache>
                <c:formatCode>General</c:formatCode>
                <c:ptCount val="25"/>
                <c:pt idx="0">
                  <c:v>0.99993911178816053</c:v>
                </c:pt>
                <c:pt idx="1">
                  <c:v>0.99997307717834027</c:v>
                </c:pt>
                <c:pt idx="2">
                  <c:v>0.99999178418099066</c:v>
                </c:pt>
                <c:pt idx="3">
                  <c:v>0.99998100357990105</c:v>
                </c:pt>
                <c:pt idx="4">
                  <c:v>0.99999667563928674</c:v>
                </c:pt>
                <c:pt idx="5">
                  <c:v>1.000008910570084</c:v>
                </c:pt>
                <c:pt idx="6">
                  <c:v>0.99999666032710954</c:v>
                </c:pt>
                <c:pt idx="7">
                  <c:v>1.0000127894708759</c:v>
                </c:pt>
                <c:pt idx="8">
                  <c:v>0.99999738300440211</c:v>
                </c:pt>
                <c:pt idx="9">
                  <c:v>0.99996560314768868</c:v>
                </c:pt>
                <c:pt idx="10">
                  <c:v>0.99999264442198821</c:v>
                </c:pt>
                <c:pt idx="11">
                  <c:v>1.0000260267757028</c:v>
                </c:pt>
                <c:pt idx="12">
                  <c:v>1.0001208076658188</c:v>
                </c:pt>
                <c:pt idx="13">
                  <c:v>1.0001715381255323</c:v>
                </c:pt>
                <c:pt idx="14">
                  <c:v>1.0001415703441399</c:v>
                </c:pt>
                <c:pt idx="15">
                  <c:v>1.000085303404485</c:v>
                </c:pt>
                <c:pt idx="16">
                  <c:v>1.0000053245886629</c:v>
                </c:pt>
                <c:pt idx="17">
                  <c:v>0.99995093645868827</c:v>
                </c:pt>
                <c:pt idx="18">
                  <c:v>0.99993965599868595</c:v>
                </c:pt>
                <c:pt idx="19">
                  <c:v>0.99994429841986543</c:v>
                </c:pt>
                <c:pt idx="20">
                  <c:v>0.99995788583543199</c:v>
                </c:pt>
                <c:pt idx="21">
                  <c:v>0.99998346168098406</c:v>
                </c:pt>
                <c:pt idx="22">
                  <c:v>0.99996669783789427</c:v>
                </c:pt>
                <c:pt idx="23">
                  <c:v>0.99995364589985447</c:v>
                </c:pt>
                <c:pt idx="24">
                  <c:v>0.9999370401632991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B-4AAF-A225-289CE701D32C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3 Gauss 1'!$AA$3:$AA$27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1'!$AC$3:$AC$27</c:f>
              <c:numCache>
                <c:formatCode>General</c:formatCode>
                <c:ptCount val="25"/>
                <c:pt idx="0">
                  <c:v>1.0244552808537633</c:v>
                </c:pt>
                <c:pt idx="1">
                  <c:v>1.0276493446106176</c:v>
                </c:pt>
                <c:pt idx="2">
                  <c:v>1.0282820620488111</c:v>
                </c:pt>
                <c:pt idx="3">
                  <c:v>1.0264823716502229</c:v>
                </c:pt>
                <c:pt idx="4">
                  <c:v>1.0227118404764897</c:v>
                </c:pt>
                <c:pt idx="5">
                  <c:v>1.0180489818668172</c:v>
                </c:pt>
                <c:pt idx="6">
                  <c:v>1.0126608355273385</c:v>
                </c:pt>
                <c:pt idx="7">
                  <c:v>1.0128485462750025</c:v>
                </c:pt>
                <c:pt idx="8">
                  <c:v>1.0207702383407131</c:v>
                </c:pt>
                <c:pt idx="9">
                  <c:v>1.0333664923455812</c:v>
                </c:pt>
                <c:pt idx="10">
                  <c:v>1.0485444752293256</c:v>
                </c:pt>
                <c:pt idx="11">
                  <c:v>1.0642173380824862</c:v>
                </c:pt>
                <c:pt idx="12">
                  <c:v>1.0760070699677444</c:v>
                </c:pt>
                <c:pt idx="13">
                  <c:v>1.0789177380967565</c:v>
                </c:pt>
                <c:pt idx="14">
                  <c:v>1.0676060713618494</c:v>
                </c:pt>
                <c:pt idx="15">
                  <c:v>1.0449363821182986</c:v>
                </c:pt>
                <c:pt idx="16">
                  <c:v>1.0229193427065368</c:v>
                </c:pt>
                <c:pt idx="17">
                  <c:v>1.0074970289570089</c:v>
                </c:pt>
                <c:pt idx="18">
                  <c:v>0.99530572608846679</c:v>
                </c:pt>
                <c:pt idx="19">
                  <c:v>0.98089182586543289</c:v>
                </c:pt>
                <c:pt idx="20">
                  <c:v>0.96437452826665526</c:v>
                </c:pt>
                <c:pt idx="21">
                  <c:v>0.9686606469355783</c:v>
                </c:pt>
                <c:pt idx="22">
                  <c:v>0.98048754337873845</c:v>
                </c:pt>
                <c:pt idx="23">
                  <c:v>0.99016697981935109</c:v>
                </c:pt>
                <c:pt idx="24">
                  <c:v>0.99411987711792194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A-4AD7-8C07-0B3571D4A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692416"/>
        <c:axId val="259699072"/>
      </c:scatterChart>
      <c:valAx>
        <c:axId val="2596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layout>
            <c:manualLayout>
              <c:xMode val="edge"/>
              <c:yMode val="edge"/>
              <c:x val="0.37195372061735016"/>
              <c:y val="0.796198237327216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99072"/>
        <c:crosses val="autoZero"/>
        <c:crossBetween val="midCat"/>
      </c:valAx>
      <c:valAx>
        <c:axId val="25969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19049</xdr:colOff>
      <xdr:row>0</xdr:row>
      <xdr:rowOff>33336</xdr:rowOff>
    </xdr:from>
    <xdr:to>
      <xdr:col>25</xdr:col>
      <xdr:colOff>85724</xdr:colOff>
      <xdr:row>22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593E6F-6432-3692-EAF1-85E126A00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23811</xdr:colOff>
      <xdr:row>23</xdr:row>
      <xdr:rowOff>4762</xdr:rowOff>
    </xdr:from>
    <xdr:to>
      <xdr:col>25</xdr:col>
      <xdr:colOff>97692</xdr:colOff>
      <xdr:row>45</xdr:row>
      <xdr:rowOff>122115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BDE85D-7E03-2511-628E-CFCC3EA0C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204786</xdr:colOff>
      <xdr:row>0</xdr:row>
      <xdr:rowOff>61911</xdr:rowOff>
    </xdr:from>
    <xdr:to>
      <xdr:col>25</xdr:col>
      <xdr:colOff>390525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19975-D904-793C-0121-74CB10CF2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204786</xdr:colOff>
      <xdr:row>23</xdr:row>
      <xdr:rowOff>42861</xdr:rowOff>
    </xdr:from>
    <xdr:to>
      <xdr:col>25</xdr:col>
      <xdr:colOff>381000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70E121-6069-EB44-6A58-A7102BF52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514349</xdr:colOff>
      <xdr:row>0</xdr:row>
      <xdr:rowOff>57150</xdr:rowOff>
    </xdr:from>
    <xdr:to>
      <xdr:col>24</xdr:col>
      <xdr:colOff>371475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2E7C3-C41D-0943-494C-229A40A71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519111</xdr:colOff>
      <xdr:row>23</xdr:row>
      <xdr:rowOff>23811</xdr:rowOff>
    </xdr:from>
    <xdr:to>
      <xdr:col>24</xdr:col>
      <xdr:colOff>371474</xdr:colOff>
      <xdr:row>43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5335C5-7BA9-4171-6E1A-AF515C950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61911</xdr:rowOff>
    </xdr:from>
    <xdr:to>
      <xdr:col>24</xdr:col>
      <xdr:colOff>283482</xdr:colOff>
      <xdr:row>22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544C1-7431-12FB-8224-7DC2069CA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14287</xdr:colOff>
      <xdr:row>23</xdr:row>
      <xdr:rowOff>14286</xdr:rowOff>
    </xdr:from>
    <xdr:to>
      <xdr:col>24</xdr:col>
      <xdr:colOff>283482</xdr:colOff>
      <xdr:row>42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DBC884-E6E5-8F72-988F-5E43F7DED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topLeftCell="F1" zoomScaleNormal="100" workbookViewId="0">
      <selection activeCell="H3" sqref="H3:H27"/>
    </sheetView>
  </sheetViews>
  <sheetFormatPr defaultRowHeight="15" x14ac:dyDescent="0.25"/>
  <cols>
    <col min="1" max="1" width="13.140625" customWidth="1"/>
    <col min="4" max="4" width="17.42578125" customWidth="1"/>
    <col min="7" max="7" width="12.85546875" style="1" customWidth="1"/>
    <col min="8" max="8" width="17.140625" style="2" customWidth="1"/>
    <col min="11" max="11" width="12.85546875" customWidth="1"/>
    <col min="12" max="12" width="17.5703125" style="4" customWidth="1"/>
    <col min="14" max="14" width="13.42578125" customWidth="1"/>
    <col min="15" max="15" width="12.5703125" customWidth="1"/>
    <col min="27" max="27" width="16.42578125" customWidth="1"/>
    <col min="28" max="28" width="17.42578125" style="5" bestFit="1" customWidth="1"/>
  </cols>
  <sheetData>
    <row r="1" spans="1:15" x14ac:dyDescent="0.25">
      <c r="B1" t="s">
        <v>3</v>
      </c>
      <c r="H1" s="2" t="s">
        <v>4</v>
      </c>
      <c r="L1" s="4" t="s">
        <v>5</v>
      </c>
      <c r="N1" t="s">
        <v>8</v>
      </c>
      <c r="O1" t="s">
        <v>9</v>
      </c>
    </row>
    <row r="2" spans="1:15" x14ac:dyDescent="0.25">
      <c r="A2" t="s">
        <v>0</v>
      </c>
      <c r="B2" t="s">
        <v>1</v>
      </c>
      <c r="C2" t="s">
        <v>2</v>
      </c>
      <c r="D2" t="s">
        <v>7</v>
      </c>
      <c r="G2" t="s">
        <v>0</v>
      </c>
      <c r="H2" t="s">
        <v>7</v>
      </c>
      <c r="K2" t="s">
        <v>0</v>
      </c>
      <c r="L2" t="s">
        <v>7</v>
      </c>
    </row>
    <row r="3" spans="1:15" x14ac:dyDescent="0.25">
      <c r="A3">
        <v>2000</v>
      </c>
      <c r="B3">
        <v>799.21715200000006</v>
      </c>
      <c r="C3">
        <f t="shared" ref="C3:C27" si="0">B3*4*PI()/(0.0064886478302)</f>
        <v>1547820.0075276799</v>
      </c>
      <c r="D3">
        <f>C3/(4000*PI())/(4*PI())</f>
        <v>9.8016847017497941</v>
      </c>
      <c r="G3" s="1">
        <v>2000</v>
      </c>
      <c r="H3" s="2">
        <v>9.7386006999999992</v>
      </c>
      <c r="K3">
        <v>2000</v>
      </c>
      <c r="L3" s="4">
        <v>9.9905465852459496</v>
      </c>
      <c r="N3">
        <f>D3/H3</f>
        <v>1.0064777275188821</v>
      </c>
      <c r="O3">
        <f>L3/H3</f>
        <v>1.0258708507523007</v>
      </c>
    </row>
    <row r="4" spans="1:15" x14ac:dyDescent="0.25">
      <c r="A4">
        <v>2005</v>
      </c>
      <c r="B4">
        <v>746.58712400000002</v>
      </c>
      <c r="C4">
        <f t="shared" si="0"/>
        <v>1445893.0029191228</v>
      </c>
      <c r="D4">
        <f t="shared" ref="D4:D27" si="1">C4/(4000*PI())/(4*PI())</f>
        <v>9.1562244047462293</v>
      </c>
      <c r="G4" s="1">
        <v>2005</v>
      </c>
      <c r="H4" s="2">
        <v>9.0975885000000005</v>
      </c>
      <c r="K4">
        <v>2005</v>
      </c>
      <c r="L4" s="4">
        <v>9.3563754719770493</v>
      </c>
      <c r="N4">
        <f t="shared" ref="N4:N27" si="2">D4/H4</f>
        <v>1.0064452139977784</v>
      </c>
      <c r="O4">
        <f t="shared" ref="O4:O27" si="3">L4/H4</f>
        <v>1.0284456668904127</v>
      </c>
    </row>
    <row r="5" spans="1:15" x14ac:dyDescent="0.25">
      <c r="A5">
        <v>2010</v>
      </c>
      <c r="B5">
        <v>695.20223699999997</v>
      </c>
      <c r="C5">
        <f t="shared" si="0"/>
        <v>1346377.4257269693</v>
      </c>
      <c r="D5">
        <f t="shared" si="1"/>
        <v>8.5260346502487661</v>
      </c>
      <c r="G5" s="1">
        <v>2010</v>
      </c>
      <c r="H5" s="2">
        <v>8.4864826000000004</v>
      </c>
      <c r="K5">
        <v>2010</v>
      </c>
      <c r="L5" s="4">
        <v>8.7227813911960599</v>
      </c>
      <c r="N5">
        <f t="shared" si="2"/>
        <v>1.0046605940426681</v>
      </c>
      <c r="O5">
        <f t="shared" si="3"/>
        <v>1.0278441378287937</v>
      </c>
    </row>
    <row r="6" spans="1:15" x14ac:dyDescent="0.25">
      <c r="A6">
        <v>2015</v>
      </c>
      <c r="B6">
        <v>650.45804299999998</v>
      </c>
      <c r="C6">
        <f t="shared" si="0"/>
        <v>1259722.6804920973</v>
      </c>
      <c r="D6">
        <f t="shared" si="1"/>
        <v>7.9772870655348624</v>
      </c>
      <c r="G6" s="1">
        <v>2015</v>
      </c>
      <c r="H6" s="2">
        <v>7.9635467999999996</v>
      </c>
      <c r="K6">
        <v>2015</v>
      </c>
      <c r="L6" s="4">
        <v>8.1634134920620607</v>
      </c>
      <c r="N6">
        <f t="shared" si="2"/>
        <v>1.0017253952139595</v>
      </c>
      <c r="O6">
        <f t="shared" si="3"/>
        <v>1.0250976979330442</v>
      </c>
    </row>
    <row r="7" spans="1:15" x14ac:dyDescent="0.25">
      <c r="A7">
        <v>2020</v>
      </c>
      <c r="B7">
        <v>614.38398099999995</v>
      </c>
      <c r="C7">
        <f t="shared" si="0"/>
        <v>1189859.1211619866</v>
      </c>
      <c r="D7">
        <f t="shared" si="1"/>
        <v>7.534870907735268</v>
      </c>
      <c r="G7" s="1">
        <v>2020</v>
      </c>
      <c r="H7" s="2">
        <v>7.5491419000000004</v>
      </c>
      <c r="K7">
        <v>2020</v>
      </c>
      <c r="L7" s="4">
        <v>7.7092808085406697</v>
      </c>
      <c r="N7">
        <f t="shared" si="2"/>
        <v>0.99810958749301926</v>
      </c>
      <c r="O7">
        <f t="shared" si="3"/>
        <v>1.0212128624235648</v>
      </c>
    </row>
    <row r="8" spans="1:15" x14ac:dyDescent="0.25">
      <c r="A8">
        <v>2025</v>
      </c>
      <c r="B8">
        <v>587.21759699999996</v>
      </c>
      <c r="C8">
        <f t="shared" si="0"/>
        <v>1137246.7959858375</v>
      </c>
      <c r="D8">
        <f t="shared" si="1"/>
        <v>7.2016994664213305</v>
      </c>
      <c r="G8" s="1">
        <v>2025</v>
      </c>
      <c r="H8" s="2">
        <v>7.2402816000000003</v>
      </c>
      <c r="K8">
        <v>2025</v>
      </c>
      <c r="L8" s="4">
        <v>7.3635348794582303</v>
      </c>
      <c r="N8">
        <f t="shared" si="2"/>
        <v>0.99467118328951876</v>
      </c>
      <c r="O8">
        <f t="shared" si="3"/>
        <v>1.0170232715062117</v>
      </c>
    </row>
    <row r="9" spans="1:15" x14ac:dyDescent="0.25">
      <c r="A9">
        <v>2030</v>
      </c>
      <c r="B9">
        <v>569.689256</v>
      </c>
      <c r="C9">
        <f t="shared" si="0"/>
        <v>1103300.1810631291</v>
      </c>
      <c r="D9">
        <f t="shared" si="1"/>
        <v>6.9867300161326149</v>
      </c>
      <c r="G9" s="1">
        <v>2030</v>
      </c>
      <c r="H9" s="2">
        <v>7.0394635000000001</v>
      </c>
      <c r="K9">
        <v>2030</v>
      </c>
      <c r="L9" s="4">
        <v>7.1237853908464901</v>
      </c>
      <c r="N9">
        <f t="shared" si="2"/>
        <v>0.99250887743542027</v>
      </c>
      <c r="O9">
        <f t="shared" si="3"/>
        <v>1.011978454160106</v>
      </c>
    </row>
    <row r="10" spans="1:15" x14ac:dyDescent="0.25">
      <c r="A10">
        <v>2035</v>
      </c>
      <c r="B10">
        <v>555.78207499999996</v>
      </c>
      <c r="C10">
        <f t="shared" si="0"/>
        <v>1076366.5586474419</v>
      </c>
      <c r="D10">
        <f t="shared" si="1"/>
        <v>6.8161708596992874</v>
      </c>
      <c r="G10" s="1">
        <v>2035</v>
      </c>
      <c r="H10" s="2">
        <v>6.8600253999999996</v>
      </c>
      <c r="K10">
        <v>2035</v>
      </c>
      <c r="L10" s="4">
        <v>6.9424603829253302</v>
      </c>
      <c r="N10">
        <f t="shared" si="2"/>
        <v>0.99360723353871072</v>
      </c>
      <c r="O10">
        <f t="shared" si="3"/>
        <v>1.0120167168659946</v>
      </c>
    </row>
    <row r="11" spans="1:15" x14ac:dyDescent="0.25">
      <c r="A11">
        <v>2040</v>
      </c>
      <c r="B11">
        <v>536.49704599999995</v>
      </c>
      <c r="C11">
        <f t="shared" si="0"/>
        <v>1039017.8184993432</v>
      </c>
      <c r="D11">
        <f t="shared" si="1"/>
        <v>6.5796571997395716</v>
      </c>
      <c r="G11" s="1">
        <v>2040</v>
      </c>
      <c r="H11" s="2">
        <v>6.5914593000000004</v>
      </c>
      <c r="K11">
        <v>2040</v>
      </c>
      <c r="L11" s="4">
        <v>6.72121373815963</v>
      </c>
      <c r="N11">
        <f t="shared" si="2"/>
        <v>0.9982094859843208</v>
      </c>
      <c r="O11">
        <f t="shared" si="3"/>
        <v>1.0196852369489151</v>
      </c>
    </row>
    <row r="12" spans="1:15" x14ac:dyDescent="0.25">
      <c r="A12">
        <v>2045</v>
      </c>
      <c r="B12">
        <v>505.76215400000001</v>
      </c>
      <c r="C12">
        <f t="shared" si="0"/>
        <v>979494.47037329804</v>
      </c>
      <c r="D12">
        <f t="shared" si="1"/>
        <v>6.2027211943342078</v>
      </c>
      <c r="G12" s="1">
        <v>2045</v>
      </c>
      <c r="H12" s="2">
        <v>6.1714143999999997</v>
      </c>
      <c r="K12">
        <v>2045</v>
      </c>
      <c r="L12" s="4">
        <v>6.3748142779472197</v>
      </c>
      <c r="N12">
        <f t="shared" si="2"/>
        <v>1.0050728718418598</v>
      </c>
      <c r="O12">
        <f t="shared" si="3"/>
        <v>1.0329583892384897</v>
      </c>
    </row>
    <row r="13" spans="1:15" x14ac:dyDescent="0.25">
      <c r="A13">
        <v>2050</v>
      </c>
      <c r="B13">
        <v>462.02483599999999</v>
      </c>
      <c r="C13">
        <f t="shared" si="0"/>
        <v>894789.71183978673</v>
      </c>
      <c r="D13">
        <f t="shared" si="1"/>
        <v>5.6663220446620963</v>
      </c>
      <c r="G13" s="1">
        <v>2050</v>
      </c>
      <c r="H13" s="2">
        <v>5.5928725999999997</v>
      </c>
      <c r="K13">
        <v>2050</v>
      </c>
      <c r="L13" s="4">
        <v>5.8746004441047699</v>
      </c>
      <c r="N13">
        <f t="shared" si="2"/>
        <v>1.0131326868883257</v>
      </c>
      <c r="O13">
        <f t="shared" si="3"/>
        <v>1.0503726553872816</v>
      </c>
    </row>
    <row r="14" spans="1:15" x14ac:dyDescent="0.25">
      <c r="A14">
        <v>2055</v>
      </c>
      <c r="B14">
        <v>403.04054500000001</v>
      </c>
      <c r="C14">
        <f t="shared" si="0"/>
        <v>780556.59570712049</v>
      </c>
      <c r="D14">
        <f t="shared" si="1"/>
        <v>4.9429323860549479</v>
      </c>
      <c r="G14" s="1">
        <v>2055</v>
      </c>
      <c r="H14" s="2">
        <v>4.8460169000000004</v>
      </c>
      <c r="K14">
        <v>2055</v>
      </c>
      <c r="L14" s="4">
        <v>5.1781650296693504</v>
      </c>
      <c r="N14">
        <f t="shared" si="2"/>
        <v>1.0199989987766958</v>
      </c>
      <c r="O14">
        <f t="shared" si="3"/>
        <v>1.0685404398134373</v>
      </c>
    </row>
    <row r="15" spans="1:15" x14ac:dyDescent="0.25">
      <c r="A15">
        <v>2060</v>
      </c>
      <c r="B15">
        <v>336.55607400000002</v>
      </c>
      <c r="C15">
        <f t="shared" si="0"/>
        <v>651798.10479363496</v>
      </c>
      <c r="D15">
        <f t="shared" si="1"/>
        <v>4.1275597170952265</v>
      </c>
      <c r="G15" s="1">
        <v>2060</v>
      </c>
      <c r="H15" s="2">
        <v>4.0356592999999998</v>
      </c>
      <c r="K15">
        <v>2060</v>
      </c>
      <c r="L15" s="4">
        <v>4.3563214903712399</v>
      </c>
      <c r="N15">
        <f t="shared" si="2"/>
        <v>1.0227720950317156</v>
      </c>
      <c r="O15">
        <f t="shared" si="3"/>
        <v>1.0794572005548735</v>
      </c>
    </row>
    <row r="16" spans="1:15" x14ac:dyDescent="0.25">
      <c r="A16">
        <v>2065</v>
      </c>
      <c r="B16">
        <v>277.31164699999999</v>
      </c>
      <c r="C16">
        <f t="shared" si="0"/>
        <v>537061.19103291375</v>
      </c>
      <c r="D16">
        <f t="shared" si="1"/>
        <v>3.4009797227386569</v>
      </c>
      <c r="G16" s="1">
        <v>2065</v>
      </c>
      <c r="H16" s="2">
        <v>3.3322867999999999</v>
      </c>
      <c r="K16">
        <v>2065</v>
      </c>
      <c r="L16" s="4">
        <v>3.5883453497055098</v>
      </c>
      <c r="N16">
        <f t="shared" si="2"/>
        <v>1.0206143489025785</v>
      </c>
      <c r="O16">
        <f t="shared" si="3"/>
        <v>1.0768416901286857</v>
      </c>
    </row>
    <row r="17" spans="1:15" x14ac:dyDescent="0.25">
      <c r="A17">
        <v>2070</v>
      </c>
      <c r="B17">
        <v>234.797586</v>
      </c>
      <c r="C17">
        <f t="shared" si="0"/>
        <v>454725.47782608279</v>
      </c>
      <c r="D17">
        <f t="shared" si="1"/>
        <v>2.8795827278541459</v>
      </c>
      <c r="G17" s="1">
        <v>2070</v>
      </c>
      <c r="H17" s="2">
        <v>2.8368220000000002</v>
      </c>
      <c r="K17">
        <v>2070</v>
      </c>
      <c r="L17" s="4">
        <v>3.00703224635151</v>
      </c>
      <c r="N17">
        <f t="shared" si="2"/>
        <v>1.015073461730819</v>
      </c>
      <c r="O17">
        <f t="shared" si="3"/>
        <v>1.0600003265455182</v>
      </c>
    </row>
    <row r="18" spans="1:15" x14ac:dyDescent="0.25">
      <c r="A18">
        <v>2075</v>
      </c>
      <c r="B18">
        <v>209.33379400000001</v>
      </c>
      <c r="C18">
        <f t="shared" si="0"/>
        <v>405410.51176649146</v>
      </c>
      <c r="D18">
        <f t="shared" si="1"/>
        <v>2.5672920570766764</v>
      </c>
      <c r="G18" s="1">
        <v>2075</v>
      </c>
      <c r="H18" s="2">
        <v>2.5455625</v>
      </c>
      <c r="K18">
        <v>2075</v>
      </c>
      <c r="L18" s="4">
        <v>2.6382751198718002</v>
      </c>
      <c r="N18">
        <f t="shared" si="2"/>
        <v>1.0085362496802481</v>
      </c>
      <c r="O18">
        <f t="shared" si="3"/>
        <v>1.0364212702975473</v>
      </c>
    </row>
    <row r="19" spans="1:15" x14ac:dyDescent="0.25">
      <c r="A19">
        <v>2080</v>
      </c>
      <c r="B19">
        <v>196.63277299999999</v>
      </c>
      <c r="C19">
        <f t="shared" si="0"/>
        <v>380812.82342780416</v>
      </c>
      <c r="D19">
        <f t="shared" si="1"/>
        <v>2.4115253759928561</v>
      </c>
      <c r="G19" s="1">
        <v>2080</v>
      </c>
      <c r="H19" s="2">
        <v>2.4044175000000001</v>
      </c>
      <c r="K19">
        <v>2080</v>
      </c>
      <c r="L19" s="4">
        <v>2.4444139706549501</v>
      </c>
      <c r="N19">
        <f t="shared" si="2"/>
        <v>1.0029561737896417</v>
      </c>
      <c r="O19">
        <f t="shared" si="3"/>
        <v>1.0166345780859398</v>
      </c>
    </row>
    <row r="20" spans="1:15" x14ac:dyDescent="0.25">
      <c r="A20">
        <v>2085</v>
      </c>
      <c r="B20">
        <v>191.86644799999999</v>
      </c>
      <c r="C20">
        <f t="shared" si="0"/>
        <v>371582.02404003107</v>
      </c>
      <c r="D20">
        <f t="shared" si="1"/>
        <v>2.3530706559969725</v>
      </c>
      <c r="G20" s="1">
        <v>2085</v>
      </c>
      <c r="H20" s="2">
        <v>2.3557693999999998</v>
      </c>
      <c r="K20">
        <v>2085</v>
      </c>
      <c r="L20" s="4">
        <v>2.3647517834115201</v>
      </c>
      <c r="N20">
        <f t="shared" si="2"/>
        <v>0.9988544107912144</v>
      </c>
      <c r="O20">
        <f t="shared" si="3"/>
        <v>1.0038129298273084</v>
      </c>
    </row>
    <row r="21" spans="1:15" x14ac:dyDescent="0.25">
      <c r="A21">
        <v>2090</v>
      </c>
      <c r="B21">
        <v>193.32574</v>
      </c>
      <c r="C21">
        <f t="shared" si="0"/>
        <v>374408.19130730355</v>
      </c>
      <c r="D21">
        <f t="shared" si="1"/>
        <v>2.3709675692901775</v>
      </c>
      <c r="G21" s="1">
        <v>2090</v>
      </c>
      <c r="H21" s="2">
        <v>2.3804702999999998</v>
      </c>
      <c r="K21">
        <v>2090</v>
      </c>
      <c r="L21" s="4">
        <v>2.3652825394663699</v>
      </c>
      <c r="N21">
        <f t="shared" si="2"/>
        <v>0.99600804483474448</v>
      </c>
      <c r="O21">
        <f t="shared" si="3"/>
        <v>0.99361984876113352</v>
      </c>
    </row>
    <row r="22" spans="1:15" x14ac:dyDescent="0.25">
      <c r="A22">
        <v>2095</v>
      </c>
      <c r="B22">
        <v>201.25906499999999</v>
      </c>
      <c r="C22">
        <f t="shared" si="0"/>
        <v>389772.42508343194</v>
      </c>
      <c r="D22">
        <f t="shared" si="1"/>
        <v>2.4682627162873598</v>
      </c>
      <c r="G22" s="1">
        <v>2095</v>
      </c>
      <c r="H22" s="2">
        <v>2.4845052000000001</v>
      </c>
      <c r="K22">
        <v>2095</v>
      </c>
      <c r="L22" s="4">
        <v>2.43643230671861</v>
      </c>
      <c r="N22">
        <f t="shared" si="2"/>
        <v>0.99346248753569111</v>
      </c>
      <c r="O22">
        <f t="shared" si="3"/>
        <v>0.9806509186290332</v>
      </c>
    </row>
    <row r="23" spans="1:15" x14ac:dyDescent="0.25">
      <c r="A23">
        <v>2100</v>
      </c>
      <c r="B23">
        <v>219.861557</v>
      </c>
      <c r="C23">
        <f t="shared" si="0"/>
        <v>425799.31619233749</v>
      </c>
      <c r="D23">
        <f t="shared" si="1"/>
        <v>2.6964056694191054</v>
      </c>
      <c r="G23" s="1">
        <v>2100</v>
      </c>
      <c r="H23" s="2">
        <v>2.7174925999999999</v>
      </c>
      <c r="K23">
        <v>2100</v>
      </c>
      <c r="L23" s="4">
        <v>2.6206770019042001</v>
      </c>
      <c r="N23">
        <f t="shared" si="2"/>
        <v>0.99224029880306042</v>
      </c>
      <c r="O23">
        <f t="shared" si="3"/>
        <v>0.96437318795429294</v>
      </c>
    </row>
    <row r="24" spans="1:15" x14ac:dyDescent="0.25">
      <c r="A24">
        <v>2105</v>
      </c>
      <c r="B24">
        <v>239.818624</v>
      </c>
      <c r="C24">
        <f t="shared" si="0"/>
        <v>464449.57227964723</v>
      </c>
      <c r="D24">
        <f t="shared" si="1"/>
        <v>2.9411612753469609</v>
      </c>
      <c r="G24" s="1">
        <v>2105</v>
      </c>
      <c r="H24" s="2">
        <v>2.9518445</v>
      </c>
      <c r="K24">
        <v>2105</v>
      </c>
      <c r="L24" s="4">
        <v>2.8602526447519301</v>
      </c>
      <c r="N24">
        <f t="shared" si="2"/>
        <v>0.99638083081509232</v>
      </c>
      <c r="O24">
        <f t="shared" si="3"/>
        <v>0.96897131429244665</v>
      </c>
    </row>
    <row r="25" spans="1:15" x14ac:dyDescent="0.25">
      <c r="A25">
        <v>2110</v>
      </c>
      <c r="B25">
        <v>252.42436000000001</v>
      </c>
      <c r="C25">
        <f t="shared" si="0"/>
        <v>488862.72500239062</v>
      </c>
      <c r="D25">
        <f t="shared" si="1"/>
        <v>3.0957593709913063</v>
      </c>
      <c r="G25" s="1">
        <v>2110</v>
      </c>
      <c r="H25" s="2">
        <v>3.0986612</v>
      </c>
      <c r="K25">
        <v>2110</v>
      </c>
      <c r="L25" s="4">
        <v>3.03915162287967</v>
      </c>
      <c r="N25">
        <f t="shared" si="2"/>
        <v>0.99906352168843315</v>
      </c>
      <c r="O25">
        <f t="shared" si="3"/>
        <v>0.9807950681667521</v>
      </c>
    </row>
    <row r="26" spans="1:15" x14ac:dyDescent="0.25">
      <c r="A26">
        <v>2115</v>
      </c>
      <c r="B26">
        <v>259.02607499999999</v>
      </c>
      <c r="C26">
        <f t="shared" si="0"/>
        <v>501648.06943027844</v>
      </c>
      <c r="D26">
        <f t="shared" si="1"/>
        <v>3.1767235104105911</v>
      </c>
      <c r="G26" s="1">
        <v>2115</v>
      </c>
      <c r="H26" s="2">
        <v>3.1753464</v>
      </c>
      <c r="K26">
        <v>2115</v>
      </c>
      <c r="L26" s="4">
        <v>3.1460036891416499</v>
      </c>
      <c r="N26">
        <f t="shared" si="2"/>
        <v>1.0004336882459788</v>
      </c>
      <c r="O26">
        <f t="shared" si="3"/>
        <v>0.99075920949652918</v>
      </c>
    </row>
    <row r="27" spans="1:15" x14ac:dyDescent="0.25">
      <c r="A27">
        <v>2120</v>
      </c>
      <c r="B27">
        <v>261.927097</v>
      </c>
      <c r="C27">
        <f t="shared" si="0"/>
        <v>507266.39216351975</v>
      </c>
      <c r="D27">
        <f t="shared" si="1"/>
        <v>3.2123019547491327</v>
      </c>
      <c r="G27" s="1">
        <v>2120</v>
      </c>
      <c r="H27" s="2">
        <v>3.2087142000000002</v>
      </c>
      <c r="K27">
        <v>2120</v>
      </c>
      <c r="L27" s="4">
        <v>3.19346317835087</v>
      </c>
      <c r="N27">
        <f t="shared" si="2"/>
        <v>1.0011181284855886</v>
      </c>
      <c r="O27">
        <f t="shared" si="3"/>
        <v>0.9952469990474283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7"/>
  <sheetViews>
    <sheetView workbookViewId="0">
      <selection activeCell="H3" sqref="H3:H27"/>
    </sheetView>
  </sheetViews>
  <sheetFormatPr defaultRowHeight="15" x14ac:dyDescent="0.25"/>
  <cols>
    <col min="1" max="1" width="13.7109375" customWidth="1"/>
    <col min="4" max="4" width="16.7109375" customWidth="1"/>
    <col min="7" max="7" width="14.5703125" customWidth="1"/>
    <col min="8" max="8" width="16.7109375" customWidth="1"/>
    <col min="10" max="10" width="13.5703125" customWidth="1"/>
    <col min="11" max="11" width="16.140625" customWidth="1"/>
    <col min="13" max="13" width="13" customWidth="1"/>
    <col min="15" max="15" width="14.7109375" customWidth="1"/>
    <col min="27" max="27" width="11" customWidth="1"/>
  </cols>
  <sheetData>
    <row r="1" spans="1:29" x14ac:dyDescent="0.25">
      <c r="B1" t="s">
        <v>3</v>
      </c>
      <c r="H1" t="s">
        <v>4</v>
      </c>
      <c r="K1" t="s">
        <v>5</v>
      </c>
      <c r="M1" t="s">
        <v>8</v>
      </c>
      <c r="N1" t="s">
        <v>6</v>
      </c>
      <c r="O1" t="s">
        <v>9</v>
      </c>
      <c r="P1" t="s">
        <v>6</v>
      </c>
    </row>
    <row r="2" spans="1:29" x14ac:dyDescent="0.25">
      <c r="A2" t="s">
        <v>0</v>
      </c>
      <c r="B2" t="s">
        <v>1</v>
      </c>
      <c r="C2" t="s">
        <v>2</v>
      </c>
      <c r="D2" t="s">
        <v>7</v>
      </c>
      <c r="G2" t="s">
        <v>0</v>
      </c>
      <c r="H2" t="s">
        <v>7</v>
      </c>
      <c r="J2" t="s">
        <v>0</v>
      </c>
      <c r="K2" t="s">
        <v>7</v>
      </c>
    </row>
    <row r="3" spans="1:29" x14ac:dyDescent="0.25">
      <c r="A3">
        <v>2000</v>
      </c>
      <c r="B3">
        <v>796.52790800000002</v>
      </c>
      <c r="C3">
        <f t="shared" ref="C3:C27" si="0">B3*4*PI()/(0.0064886478302)</f>
        <v>1542611.8289270236</v>
      </c>
      <c r="D3">
        <f>C3/(4000*PI())/(4*PI())</f>
        <v>9.7687035254723451</v>
      </c>
      <c r="G3" s="1">
        <v>2000</v>
      </c>
      <c r="H3" s="3">
        <v>9.7383384999999993</v>
      </c>
      <c r="J3">
        <v>2000</v>
      </c>
      <c r="K3">
        <v>9.9905465852459496</v>
      </c>
      <c r="M3">
        <f>D3/H3</f>
        <v>1.0031180909836257</v>
      </c>
      <c r="N3">
        <f>1-M3</f>
        <v>-3.1180909836256987E-3</v>
      </c>
      <c r="O3">
        <f>K3/H3</f>
        <v>1.0258984718230888</v>
      </c>
      <c r="P3">
        <f>1-O3</f>
        <v>-2.5898471823088798E-2</v>
      </c>
      <c r="AA3">
        <v>2000</v>
      </c>
      <c r="AB3">
        <v>9.9948856493664504</v>
      </c>
      <c r="AC3">
        <f>AB3/H3</f>
        <v>1.0263440369593284</v>
      </c>
    </row>
    <row r="4" spans="1:29" x14ac:dyDescent="0.25">
      <c r="A4">
        <v>2005</v>
      </c>
      <c r="B4">
        <v>743.99237700000003</v>
      </c>
      <c r="C4">
        <f t="shared" si="0"/>
        <v>1440867.8338383266</v>
      </c>
      <c r="D4">
        <f t="shared" ref="D4:D27" si="1">C4/(4000*PI())/(4*PI())</f>
        <v>9.1244021497919086</v>
      </c>
      <c r="G4" s="1">
        <v>2005</v>
      </c>
      <c r="H4" s="3">
        <v>9.0976809999999997</v>
      </c>
      <c r="J4">
        <v>2005</v>
      </c>
      <c r="K4">
        <v>9.3563754719770493</v>
      </c>
      <c r="M4">
        <f t="shared" ref="M4:M27" si="2">D4/H4</f>
        <v>1.0029371385732153</v>
      </c>
      <c r="N4">
        <f t="shared" ref="N4:N27" si="3">1-M4</f>
        <v>-2.9371385732153144E-3</v>
      </c>
      <c r="O4">
        <f t="shared" ref="O4:O27" si="4">K4/H4</f>
        <v>1.0284352102450118</v>
      </c>
      <c r="P4">
        <f t="shared" ref="P4:P27" si="5">1-O4</f>
        <v>-2.8435210245011833E-2</v>
      </c>
      <c r="AA4">
        <v>2005</v>
      </c>
      <c r="AB4">
        <v>9.3620190587485403</v>
      </c>
    </row>
    <row r="5" spans="1:29" x14ac:dyDescent="0.25">
      <c r="A5">
        <v>2010</v>
      </c>
      <c r="B5">
        <v>693.70133699999997</v>
      </c>
      <c r="C5">
        <f t="shared" si="0"/>
        <v>1343470.6774877894</v>
      </c>
      <c r="D5">
        <f t="shared" si="1"/>
        <v>8.5076274519897677</v>
      </c>
      <c r="G5" s="1">
        <v>2010</v>
      </c>
      <c r="H5" s="3">
        <v>8.4868135000000002</v>
      </c>
      <c r="J5">
        <v>2010</v>
      </c>
      <c r="K5">
        <v>8.7227813911960599</v>
      </c>
      <c r="M5">
        <f t="shared" si="2"/>
        <v>1.0024525049348343</v>
      </c>
      <c r="N5">
        <f t="shared" si="3"/>
        <v>-2.4525049348342876E-3</v>
      </c>
      <c r="O5">
        <f t="shared" si="4"/>
        <v>1.027804062289817</v>
      </c>
      <c r="P5">
        <f t="shared" si="5"/>
        <v>-2.7804062289817022E-2</v>
      </c>
      <c r="AA5">
        <v>2010</v>
      </c>
      <c r="AB5">
        <v>8.7288826132398398</v>
      </c>
    </row>
    <row r="6" spans="1:29" x14ac:dyDescent="0.25">
      <c r="A6">
        <v>2015</v>
      </c>
      <c r="B6">
        <v>650.69095200000004</v>
      </c>
      <c r="C6">
        <f t="shared" si="0"/>
        <v>1260173.7484017776</v>
      </c>
      <c r="D6">
        <f t="shared" si="1"/>
        <v>7.9801434864418548</v>
      </c>
      <c r="G6" s="1">
        <v>2015</v>
      </c>
      <c r="H6" s="3">
        <v>7.9639034000000004</v>
      </c>
      <c r="J6">
        <v>2015</v>
      </c>
      <c r="K6">
        <v>8.1634134920620607</v>
      </c>
      <c r="M6">
        <f t="shared" si="2"/>
        <v>1.002039211882185</v>
      </c>
      <c r="N6">
        <f t="shared" si="3"/>
        <v>-2.0392118821850325E-3</v>
      </c>
      <c r="O6">
        <f t="shared" si="4"/>
        <v>1.0250517970951356</v>
      </c>
      <c r="P6">
        <f t="shared" si="5"/>
        <v>-2.5051797095135608E-2</v>
      </c>
      <c r="AA6">
        <v>2015</v>
      </c>
      <c r="AB6">
        <v>8.1690720498836793</v>
      </c>
    </row>
    <row r="7" spans="1:29" x14ac:dyDescent="0.25">
      <c r="A7">
        <v>2020</v>
      </c>
      <c r="B7">
        <v>616.63551800000005</v>
      </c>
      <c r="C7">
        <f t="shared" si="0"/>
        <v>1194219.6056780759</v>
      </c>
      <c r="D7">
        <f t="shared" si="1"/>
        <v>7.5624839985117847</v>
      </c>
      <c r="G7" s="1">
        <v>2020</v>
      </c>
      <c r="H7" s="3">
        <v>7.5495143000000002</v>
      </c>
      <c r="J7">
        <v>2020</v>
      </c>
      <c r="K7">
        <v>7.7092808085406697</v>
      </c>
      <c r="M7">
        <f t="shared" si="2"/>
        <v>1.0017179513802343</v>
      </c>
      <c r="N7">
        <f t="shared" si="3"/>
        <v>-1.7179513802343394E-3</v>
      </c>
      <c r="O7">
        <f t="shared" si="4"/>
        <v>1.0211624883657309</v>
      </c>
      <c r="P7">
        <f t="shared" si="5"/>
        <v>-2.1162488365730869E-2</v>
      </c>
      <c r="AA7">
        <v>2020</v>
      </c>
      <c r="AB7">
        <v>7.7139550573441902</v>
      </c>
    </row>
    <row r="8" spans="1:29" x14ac:dyDescent="0.25">
      <c r="A8">
        <v>2025</v>
      </c>
      <c r="B8">
        <v>591.29502100000002</v>
      </c>
      <c r="C8">
        <f t="shared" si="0"/>
        <v>1145143.4213655361</v>
      </c>
      <c r="D8">
        <f t="shared" si="1"/>
        <v>7.2517054308120308</v>
      </c>
      <c r="G8" s="1">
        <v>2025</v>
      </c>
      <c r="H8" s="3">
        <v>7.2407532000000003</v>
      </c>
      <c r="J8">
        <v>2025</v>
      </c>
      <c r="K8">
        <v>7.3635348794582303</v>
      </c>
      <c r="M8">
        <f t="shared" si="2"/>
        <v>1.0015125817037971</v>
      </c>
      <c r="N8">
        <f t="shared" si="3"/>
        <v>-1.512581703797089E-3</v>
      </c>
      <c r="O8">
        <f t="shared" si="4"/>
        <v>1.0169570314119021</v>
      </c>
      <c r="P8">
        <f t="shared" si="5"/>
        <v>-1.6957031411902079E-2</v>
      </c>
      <c r="AA8">
        <v>2025</v>
      </c>
      <c r="AB8">
        <v>7.3670742331223504</v>
      </c>
    </row>
    <row r="9" spans="1:29" x14ac:dyDescent="0.25">
      <c r="A9">
        <v>2030</v>
      </c>
      <c r="B9">
        <v>574.66772100000003</v>
      </c>
      <c r="C9">
        <f t="shared" si="0"/>
        <v>1112941.8256580844</v>
      </c>
      <c r="D9">
        <f t="shared" si="1"/>
        <v>7.0477864437963404</v>
      </c>
      <c r="G9" s="1">
        <v>2030</v>
      </c>
      <c r="H9" s="3">
        <v>7.0395383999999996</v>
      </c>
      <c r="J9">
        <v>2030</v>
      </c>
      <c r="K9">
        <v>7.1237853908464901</v>
      </c>
      <c r="M9">
        <f t="shared" si="2"/>
        <v>1.001171673954693</v>
      </c>
      <c r="N9">
        <f t="shared" si="3"/>
        <v>-1.1716739546929755E-3</v>
      </c>
      <c r="O9">
        <f t="shared" si="4"/>
        <v>1.0119676868083411</v>
      </c>
      <c r="P9">
        <f t="shared" si="5"/>
        <v>-1.1967686808341149E-2</v>
      </c>
      <c r="AA9">
        <v>2030</v>
      </c>
      <c r="AB9">
        <v>7.1262645043818296</v>
      </c>
    </row>
    <row r="10" spans="1:29" x14ac:dyDescent="0.25">
      <c r="A10">
        <v>2035</v>
      </c>
      <c r="B10">
        <v>560.56275600000004</v>
      </c>
      <c r="C10">
        <f t="shared" si="0"/>
        <v>1085625.1608719942</v>
      </c>
      <c r="D10">
        <f t="shared" si="1"/>
        <v>6.8748016432158643</v>
      </c>
      <c r="G10" s="1">
        <v>2035</v>
      </c>
      <c r="H10" s="3">
        <v>6.8597473999999998</v>
      </c>
      <c r="J10">
        <v>2035</v>
      </c>
      <c r="K10">
        <v>6.9424603829253302</v>
      </c>
      <c r="M10">
        <f t="shared" si="2"/>
        <v>1.0021945769046634</v>
      </c>
      <c r="N10">
        <f t="shared" si="3"/>
        <v>-2.1945769046634034E-3</v>
      </c>
      <c r="O10">
        <f t="shared" si="4"/>
        <v>1.0120577301323559</v>
      </c>
      <c r="P10">
        <f t="shared" si="5"/>
        <v>-1.2057730132355893E-2</v>
      </c>
      <c r="AA10">
        <v>2035</v>
      </c>
      <c r="AB10">
        <v>6.9442433618745998</v>
      </c>
    </row>
    <row r="11" spans="1:29" x14ac:dyDescent="0.25">
      <c r="A11">
        <v>2040</v>
      </c>
      <c r="B11">
        <v>539.818445</v>
      </c>
      <c r="C11">
        <f t="shared" si="0"/>
        <v>1045450.2728233245</v>
      </c>
      <c r="D11">
        <f t="shared" si="1"/>
        <v>6.6203911926040133</v>
      </c>
      <c r="G11" s="1">
        <v>2040</v>
      </c>
      <c r="H11" s="3">
        <v>6.5907011000000004</v>
      </c>
      <c r="J11">
        <v>2040</v>
      </c>
      <c r="K11">
        <v>6.72121373815963</v>
      </c>
      <c r="M11">
        <f t="shared" si="2"/>
        <v>1.0045048458659449</v>
      </c>
      <c r="N11">
        <f t="shared" si="3"/>
        <v>-4.5048458659449064E-3</v>
      </c>
      <c r="O11">
        <f t="shared" si="4"/>
        <v>1.0198025424274861</v>
      </c>
      <c r="P11">
        <f t="shared" si="5"/>
        <v>-1.9802542427486136E-2</v>
      </c>
      <c r="AA11">
        <v>2040</v>
      </c>
      <c r="AB11">
        <v>6.7232125440646104</v>
      </c>
    </row>
    <row r="12" spans="1:29" x14ac:dyDescent="0.25">
      <c r="A12">
        <v>2045</v>
      </c>
      <c r="B12">
        <v>506.76442100000003</v>
      </c>
      <c r="C12">
        <f t="shared" si="0"/>
        <v>981435.53096190363</v>
      </c>
      <c r="D12">
        <f t="shared" si="1"/>
        <v>6.2150131041066459</v>
      </c>
      <c r="G12" s="1">
        <v>2045</v>
      </c>
      <c r="H12" s="3">
        <v>6.1708373999999999</v>
      </c>
      <c r="J12">
        <v>2045</v>
      </c>
      <c r="K12">
        <v>6.3748142779472197</v>
      </c>
      <c r="M12">
        <f t="shared" si="2"/>
        <v>1.0071587859545037</v>
      </c>
      <c r="N12">
        <f t="shared" si="3"/>
        <v>-7.1587859545036991E-3</v>
      </c>
      <c r="O12">
        <f t="shared" si="4"/>
        <v>1.0330549753178102</v>
      </c>
      <c r="P12">
        <f t="shared" si="5"/>
        <v>-3.3054975317810209E-2</v>
      </c>
      <c r="AA12">
        <v>2045</v>
      </c>
      <c r="AB12">
        <v>6.3778996859847696</v>
      </c>
    </row>
    <row r="13" spans="1:29" x14ac:dyDescent="0.25">
      <c r="A13">
        <v>2050</v>
      </c>
      <c r="B13">
        <v>460.14093400000002</v>
      </c>
      <c r="C13">
        <f t="shared" si="0"/>
        <v>891141.21505699831</v>
      </c>
      <c r="D13">
        <f t="shared" si="1"/>
        <v>5.6432176688778855</v>
      </c>
      <c r="G13" s="1">
        <v>2050</v>
      </c>
      <c r="H13" s="3">
        <v>5.5922159999999996</v>
      </c>
      <c r="J13">
        <v>2050</v>
      </c>
      <c r="K13">
        <v>5.8746004441047699</v>
      </c>
      <c r="M13">
        <f t="shared" si="2"/>
        <v>1.0091201178348415</v>
      </c>
      <c r="N13">
        <f t="shared" si="3"/>
        <v>-9.1201178348414569E-3</v>
      </c>
      <c r="O13">
        <f t="shared" si="4"/>
        <v>1.0504959830065166</v>
      </c>
      <c r="P13">
        <f t="shared" si="5"/>
        <v>-5.0495983006516587E-2</v>
      </c>
      <c r="AA13">
        <v>2050</v>
      </c>
      <c r="AB13">
        <v>5.8790901640007496</v>
      </c>
    </row>
    <row r="14" spans="1:29" x14ac:dyDescent="0.25">
      <c r="A14">
        <v>2055</v>
      </c>
      <c r="B14">
        <v>399.01944400000002</v>
      </c>
      <c r="C14">
        <f t="shared" si="0"/>
        <v>772769.0494006949</v>
      </c>
      <c r="D14">
        <f t="shared" si="1"/>
        <v>4.893617172965163</v>
      </c>
      <c r="G14" s="1">
        <v>2055</v>
      </c>
      <c r="H14" s="3">
        <v>4.8457575000000004</v>
      </c>
      <c r="J14">
        <v>2055</v>
      </c>
      <c r="K14">
        <v>5.1781650296693504</v>
      </c>
      <c r="M14">
        <f t="shared" si="2"/>
        <v>1.0098766132983672</v>
      </c>
      <c r="N14">
        <f t="shared" si="3"/>
        <v>-9.8766132983671984E-3</v>
      </c>
      <c r="O14">
        <f t="shared" si="4"/>
        <v>1.0685976402387758</v>
      </c>
      <c r="P14">
        <f t="shared" si="5"/>
        <v>-6.8597640238775792E-2</v>
      </c>
      <c r="AA14">
        <v>2055</v>
      </c>
      <c r="AB14">
        <v>5.1842031620691396</v>
      </c>
    </row>
    <row r="15" spans="1:29" x14ac:dyDescent="0.25">
      <c r="A15">
        <v>2060</v>
      </c>
      <c r="B15">
        <v>331.99408399999999</v>
      </c>
      <c r="C15">
        <f t="shared" si="0"/>
        <v>642963.03490246565</v>
      </c>
      <c r="D15">
        <f t="shared" si="1"/>
        <v>4.0716109834117225</v>
      </c>
      <c r="G15" s="1">
        <v>2060</v>
      </c>
      <c r="H15" s="3">
        <v>4.0360541000000003</v>
      </c>
      <c r="J15">
        <v>2060</v>
      </c>
      <c r="K15">
        <v>4.3563214903712399</v>
      </c>
      <c r="M15">
        <f t="shared" si="2"/>
        <v>1.0088098133797865</v>
      </c>
      <c r="N15">
        <f t="shared" si="3"/>
        <v>-8.8098133797864797E-3</v>
      </c>
      <c r="O15">
        <f t="shared" si="4"/>
        <v>1.0793516098734255</v>
      </c>
      <c r="P15">
        <f t="shared" si="5"/>
        <v>-7.9351609873425488E-2</v>
      </c>
      <c r="AA15">
        <v>2060</v>
      </c>
      <c r="AB15">
        <v>4.36358326062303</v>
      </c>
    </row>
    <row r="16" spans="1:29" x14ac:dyDescent="0.25">
      <c r="A16">
        <v>2065</v>
      </c>
      <c r="B16">
        <v>273.50768199999999</v>
      </c>
      <c r="C16">
        <f t="shared" si="0"/>
        <v>529694.16553777643</v>
      </c>
      <c r="D16">
        <f t="shared" si="1"/>
        <v>3.3543274887954948</v>
      </c>
      <c r="G16" s="1">
        <v>2065</v>
      </c>
      <c r="H16" s="3">
        <v>3.3331024999999999</v>
      </c>
      <c r="J16">
        <v>2065</v>
      </c>
      <c r="K16">
        <v>3.5883453497055098</v>
      </c>
      <c r="M16">
        <f t="shared" si="2"/>
        <v>1.0063679376183285</v>
      </c>
      <c r="N16">
        <f t="shared" si="3"/>
        <v>-6.3679376183285452E-3</v>
      </c>
      <c r="O16">
        <f t="shared" si="4"/>
        <v>1.076578157949091</v>
      </c>
      <c r="P16">
        <f t="shared" si="5"/>
        <v>-7.6578157949090953E-2</v>
      </c>
      <c r="AA16">
        <v>2065</v>
      </c>
      <c r="AB16">
        <v>3.5957781620136902</v>
      </c>
    </row>
    <row r="17" spans="1:28" x14ac:dyDescent="0.25">
      <c r="A17">
        <v>2070</v>
      </c>
      <c r="B17">
        <v>232.22853799999999</v>
      </c>
      <c r="C17">
        <f t="shared" si="0"/>
        <v>449750.07923166052</v>
      </c>
      <c r="D17">
        <f t="shared" si="1"/>
        <v>2.8480756481866907</v>
      </c>
      <c r="G17" s="1">
        <v>2070</v>
      </c>
      <c r="H17" s="3">
        <v>2.8375463000000001</v>
      </c>
      <c r="J17">
        <v>2070</v>
      </c>
      <c r="K17">
        <v>3.00703224635151</v>
      </c>
      <c r="M17">
        <f t="shared" si="2"/>
        <v>1.0037107229533808</v>
      </c>
      <c r="N17">
        <f t="shared" si="3"/>
        <v>-3.7107229533808184E-3</v>
      </c>
      <c r="O17">
        <f t="shared" si="4"/>
        <v>1.0597297553705149</v>
      </c>
      <c r="P17">
        <f t="shared" si="5"/>
        <v>-5.9729755370514948E-2</v>
      </c>
      <c r="AA17">
        <v>2070</v>
      </c>
      <c r="AB17">
        <v>3.01324368767024</v>
      </c>
    </row>
    <row r="18" spans="1:28" x14ac:dyDescent="0.25">
      <c r="A18">
        <v>2075</v>
      </c>
      <c r="B18">
        <v>207.91453999999999</v>
      </c>
      <c r="C18">
        <f t="shared" si="0"/>
        <v>402661.88489897933</v>
      </c>
      <c r="D18">
        <f t="shared" si="1"/>
        <v>2.5498861741012102</v>
      </c>
      <c r="G18" s="1">
        <v>2075</v>
      </c>
      <c r="H18" s="3">
        <v>2.5461018000000002</v>
      </c>
      <c r="J18">
        <v>2075</v>
      </c>
      <c r="K18">
        <v>2.6382751198718002</v>
      </c>
      <c r="M18">
        <f t="shared" si="2"/>
        <v>1.0014863404523771</v>
      </c>
      <c r="N18">
        <f t="shared" si="3"/>
        <v>-1.4863404523770551E-3</v>
      </c>
      <c r="O18">
        <f t="shared" si="4"/>
        <v>1.0362017417653135</v>
      </c>
      <c r="P18">
        <f t="shared" si="5"/>
        <v>-3.6201741765313544E-2</v>
      </c>
      <c r="AA18">
        <v>2075</v>
      </c>
      <c r="AB18">
        <v>2.6424426649498098</v>
      </c>
    </row>
    <row r="19" spans="1:28" x14ac:dyDescent="0.25">
      <c r="A19">
        <v>2080</v>
      </c>
      <c r="B19">
        <v>196.071651</v>
      </c>
      <c r="C19">
        <f t="shared" si="0"/>
        <v>379726.11519576673</v>
      </c>
      <c r="D19">
        <f t="shared" si="1"/>
        <v>2.4046437157213623</v>
      </c>
      <c r="G19" s="1">
        <v>2080</v>
      </c>
      <c r="H19" s="3">
        <v>2.4047326999999998</v>
      </c>
      <c r="J19">
        <v>2080</v>
      </c>
      <c r="K19">
        <v>2.4444139706549501</v>
      </c>
      <c r="M19">
        <f t="shared" si="2"/>
        <v>0.99996299618721129</v>
      </c>
      <c r="N19">
        <f t="shared" si="3"/>
        <v>3.7003812788705126E-5</v>
      </c>
      <c r="O19">
        <f t="shared" si="4"/>
        <v>1.0165013228517874</v>
      </c>
      <c r="P19">
        <f t="shared" si="5"/>
        <v>-1.6501322851787403E-2</v>
      </c>
      <c r="AA19">
        <v>2080</v>
      </c>
      <c r="AB19">
        <v>2.4467021318661701</v>
      </c>
    </row>
    <row r="20" spans="1:28" x14ac:dyDescent="0.25">
      <c r="A20">
        <v>2085</v>
      </c>
      <c r="B20">
        <v>191.953216</v>
      </c>
      <c r="C20">
        <f t="shared" si="0"/>
        <v>371750.06503624487</v>
      </c>
      <c r="D20">
        <f t="shared" si="1"/>
        <v>2.3541347880367738</v>
      </c>
      <c r="G20" s="1">
        <v>2085</v>
      </c>
      <c r="H20" s="3">
        <v>2.3560468999999999</v>
      </c>
      <c r="J20">
        <v>2085</v>
      </c>
      <c r="K20">
        <v>2.3647517834115201</v>
      </c>
      <c r="M20">
        <f t="shared" si="2"/>
        <v>0.99918842364164051</v>
      </c>
      <c r="N20">
        <f t="shared" si="3"/>
        <v>8.1157635835948927E-4</v>
      </c>
      <c r="O20">
        <f t="shared" si="4"/>
        <v>1.0036946986970081</v>
      </c>
      <c r="P20">
        <f t="shared" si="5"/>
        <v>-3.6946986970081142E-3</v>
      </c>
      <c r="AA20">
        <v>2085</v>
      </c>
      <c r="AB20">
        <v>2.36573506942071</v>
      </c>
    </row>
    <row r="21" spans="1:28" x14ac:dyDescent="0.25">
      <c r="A21">
        <v>2090</v>
      </c>
      <c r="B21">
        <v>193.79127</v>
      </c>
      <c r="C21">
        <f t="shared" si="0"/>
        <v>375309.76936565875</v>
      </c>
      <c r="D21">
        <f t="shared" si="1"/>
        <v>2.3766768790413342</v>
      </c>
      <c r="G21" s="1">
        <v>2090</v>
      </c>
      <c r="H21" s="3">
        <v>2.3806419000000001</v>
      </c>
      <c r="J21">
        <v>2090</v>
      </c>
      <c r="K21">
        <v>2.3652825394663699</v>
      </c>
      <c r="M21">
        <f t="shared" si="2"/>
        <v>0.99833447400944009</v>
      </c>
      <c r="N21">
        <f t="shared" si="3"/>
        <v>1.6655259905599129E-3</v>
      </c>
      <c r="O21">
        <f t="shared" si="4"/>
        <v>0.99354822725180536</v>
      </c>
      <c r="P21">
        <f t="shared" si="5"/>
        <v>6.4517727481946396E-3</v>
      </c>
      <c r="AA21">
        <v>2090</v>
      </c>
      <c r="AB21">
        <v>2.3654123913084901</v>
      </c>
    </row>
    <row r="22" spans="1:28" x14ac:dyDescent="0.25">
      <c r="A22">
        <v>2095</v>
      </c>
      <c r="B22">
        <v>202.07501099999999</v>
      </c>
      <c r="C22">
        <f t="shared" si="0"/>
        <v>391352.64335164818</v>
      </c>
      <c r="D22">
        <f t="shared" si="1"/>
        <v>2.4782695653716669</v>
      </c>
      <c r="G22" s="1">
        <v>2095</v>
      </c>
      <c r="H22" s="3">
        <v>2.4849806000000001</v>
      </c>
      <c r="J22">
        <v>2095</v>
      </c>
      <c r="K22">
        <v>2.43643230671861</v>
      </c>
      <c r="M22">
        <f t="shared" si="2"/>
        <v>0.99729936135987007</v>
      </c>
      <c r="N22">
        <f t="shared" si="3"/>
        <v>2.7006386401299265E-3</v>
      </c>
      <c r="O22">
        <f t="shared" si="4"/>
        <v>0.98046331094842754</v>
      </c>
      <c r="P22">
        <f t="shared" si="5"/>
        <v>1.9536689051572464E-2</v>
      </c>
      <c r="AA22">
        <v>2095</v>
      </c>
      <c r="AB22">
        <v>2.43594473696611</v>
      </c>
    </row>
    <row r="23" spans="1:28" x14ac:dyDescent="0.25">
      <c r="A23">
        <v>2100</v>
      </c>
      <c r="B23">
        <v>220.62769</v>
      </c>
      <c r="C23">
        <f t="shared" si="0"/>
        <v>427283.06311000523</v>
      </c>
      <c r="D23">
        <f t="shared" si="1"/>
        <v>2.7058016065393402</v>
      </c>
      <c r="G23" s="1">
        <v>2100</v>
      </c>
      <c r="H23" s="3">
        <v>2.7171121</v>
      </c>
      <c r="J23">
        <v>2100</v>
      </c>
      <c r="K23">
        <v>2.6206770019042001</v>
      </c>
      <c r="M23">
        <f t="shared" si="2"/>
        <v>0.99583731070180737</v>
      </c>
      <c r="N23">
        <f t="shared" si="3"/>
        <v>4.1626892981926344E-3</v>
      </c>
      <c r="O23">
        <f t="shared" si="4"/>
        <v>0.96450823722149703</v>
      </c>
      <c r="P23">
        <f t="shared" si="5"/>
        <v>3.5491762778502967E-2</v>
      </c>
      <c r="AA23">
        <v>2100</v>
      </c>
      <c r="AB23">
        <v>2.6193046473037298</v>
      </c>
    </row>
    <row r="24" spans="1:28" x14ac:dyDescent="0.25">
      <c r="A24">
        <v>2105</v>
      </c>
      <c r="B24">
        <v>240.22771499999999</v>
      </c>
      <c r="C24">
        <f t="shared" si="0"/>
        <v>465241.84661099128</v>
      </c>
      <c r="D24">
        <f t="shared" si="1"/>
        <v>2.9461784111607874</v>
      </c>
      <c r="G24" s="1">
        <v>2105</v>
      </c>
      <c r="H24" s="3">
        <v>2.9515278</v>
      </c>
      <c r="J24">
        <v>2105</v>
      </c>
      <c r="K24">
        <v>2.8602526447519301</v>
      </c>
      <c r="M24">
        <f t="shared" si="2"/>
        <v>0.99818758649699568</v>
      </c>
      <c r="N24">
        <f t="shared" si="3"/>
        <v>1.8124135030043176E-3</v>
      </c>
      <c r="O24">
        <f t="shared" si="4"/>
        <v>0.96907528526478048</v>
      </c>
      <c r="P24">
        <f t="shared" si="5"/>
        <v>3.0924714735219516E-2</v>
      </c>
      <c r="AA24">
        <v>2105</v>
      </c>
      <c r="AB24">
        <v>2.8581938154253002</v>
      </c>
    </row>
    <row r="25" spans="1:28" x14ac:dyDescent="0.25">
      <c r="A25">
        <v>2110</v>
      </c>
      <c r="B25">
        <v>252.619238</v>
      </c>
      <c r="C25">
        <f t="shared" si="0"/>
        <v>489240.13940931635</v>
      </c>
      <c r="D25">
        <f t="shared" si="1"/>
        <v>3.0981493756433927</v>
      </c>
      <c r="G25" s="1">
        <v>2110</v>
      </c>
      <c r="H25" s="3">
        <v>3.0984324999999999</v>
      </c>
      <c r="J25">
        <v>2110</v>
      </c>
      <c r="K25">
        <v>3.03915162287967</v>
      </c>
      <c r="M25">
        <f t="shared" si="2"/>
        <v>0.99990862335822794</v>
      </c>
      <c r="N25">
        <f t="shared" si="3"/>
        <v>9.1376641772056288E-5</v>
      </c>
      <c r="O25">
        <f t="shared" si="4"/>
        <v>0.98086746213760345</v>
      </c>
      <c r="P25">
        <f t="shared" si="5"/>
        <v>1.9132537862396548E-2</v>
      </c>
      <c r="AA25">
        <v>2110</v>
      </c>
      <c r="AB25">
        <v>3.03732810977719</v>
      </c>
    </row>
    <row r="26" spans="1:28" x14ac:dyDescent="0.25">
      <c r="A26">
        <v>2115</v>
      </c>
      <c r="B26">
        <v>258.83235500000001</v>
      </c>
      <c r="C26">
        <f t="shared" si="0"/>
        <v>501272.89768739493</v>
      </c>
      <c r="D26">
        <f t="shared" si="1"/>
        <v>3.1743477075944586</v>
      </c>
      <c r="G26" s="1">
        <v>2115</v>
      </c>
      <c r="H26" s="3">
        <v>3.1750984</v>
      </c>
      <c r="J26">
        <v>2115</v>
      </c>
      <c r="K26">
        <v>3.1460036891416499</v>
      </c>
      <c r="M26">
        <f t="shared" si="2"/>
        <v>0.99976356877457995</v>
      </c>
      <c r="N26">
        <f t="shared" si="3"/>
        <v>2.364312254200529E-4</v>
      </c>
      <c r="O26">
        <f t="shared" si="4"/>
        <v>0.99083659553406278</v>
      </c>
      <c r="P26">
        <f t="shared" si="5"/>
        <v>9.1634044659372194E-3</v>
      </c>
      <c r="AA26">
        <v>2115</v>
      </c>
      <c r="AB26">
        <v>3.14474103101404</v>
      </c>
    </row>
    <row r="27" spans="1:28" x14ac:dyDescent="0.25">
      <c r="A27">
        <v>2120</v>
      </c>
      <c r="B27">
        <v>261.51088700000003</v>
      </c>
      <c r="C27">
        <f t="shared" si="0"/>
        <v>506460.33067732543</v>
      </c>
      <c r="D27">
        <f t="shared" si="1"/>
        <v>3.2071975107572759</v>
      </c>
      <c r="G27" s="1">
        <v>2120</v>
      </c>
      <c r="H27" s="3">
        <v>3.2088971000000002</v>
      </c>
      <c r="J27">
        <v>2120</v>
      </c>
      <c r="K27">
        <v>3.19346317835087</v>
      </c>
      <c r="M27">
        <f t="shared" si="2"/>
        <v>0.99947035096802439</v>
      </c>
      <c r="N27">
        <f t="shared" si="3"/>
        <v>5.2964903197560975E-4</v>
      </c>
      <c r="O27">
        <f t="shared" si="4"/>
        <v>0.99519027218132672</v>
      </c>
      <c r="P27">
        <f t="shared" si="5"/>
        <v>4.8097278186732817E-3</v>
      </c>
      <c r="AA27">
        <v>2120</v>
      </c>
      <c r="AB27">
        <v>3.19275890614994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7"/>
  <sheetViews>
    <sheetView topLeftCell="G1" workbookViewId="0">
      <selection activeCell="J36" sqref="J36"/>
    </sheetView>
  </sheetViews>
  <sheetFormatPr defaultRowHeight="15" x14ac:dyDescent="0.25"/>
  <cols>
    <col min="1" max="1" width="13.5703125" customWidth="1"/>
    <col min="4" max="4" width="16.7109375" customWidth="1"/>
    <col min="6" max="6" width="14.42578125" style="1" customWidth="1"/>
    <col min="7" max="7" width="17.42578125" customWidth="1"/>
    <col min="8" max="8" width="12.7109375" customWidth="1"/>
    <col min="9" max="9" width="15.140625" customWidth="1"/>
    <col min="10" max="10" width="17.5703125" customWidth="1"/>
    <col min="11" max="11" width="13.5703125" customWidth="1"/>
    <col min="12" max="13" width="13.140625" customWidth="1"/>
    <col min="14" max="14" width="13.42578125" customWidth="1"/>
    <col min="26" max="26" width="11.5703125" customWidth="1"/>
    <col min="27" max="27" width="14.5703125" customWidth="1"/>
    <col min="28" max="28" width="15" customWidth="1"/>
  </cols>
  <sheetData>
    <row r="1" spans="1:29" x14ac:dyDescent="0.25">
      <c r="B1" t="s">
        <v>3</v>
      </c>
      <c r="G1" t="s">
        <v>4</v>
      </c>
      <c r="J1" t="s">
        <v>5</v>
      </c>
      <c r="L1" t="s">
        <v>8</v>
      </c>
      <c r="M1" t="s">
        <v>6</v>
      </c>
      <c r="N1" t="s">
        <v>9</v>
      </c>
      <c r="O1" t="s">
        <v>6</v>
      </c>
      <c r="AB1" t="s">
        <v>10</v>
      </c>
    </row>
    <row r="2" spans="1:29" x14ac:dyDescent="0.25">
      <c r="A2" t="s">
        <v>0</v>
      </c>
      <c r="B2" t="s">
        <v>1</v>
      </c>
      <c r="C2" t="s">
        <v>2</v>
      </c>
      <c r="D2" t="s">
        <v>7</v>
      </c>
      <c r="F2" t="s">
        <v>0</v>
      </c>
      <c r="G2" t="s">
        <v>7</v>
      </c>
      <c r="I2" t="s">
        <v>0</v>
      </c>
      <c r="J2" t="s">
        <v>7</v>
      </c>
    </row>
    <row r="3" spans="1:29" x14ac:dyDescent="0.25">
      <c r="A3">
        <v>2000</v>
      </c>
      <c r="B3">
        <v>796.83476499999995</v>
      </c>
      <c r="C3">
        <f t="shared" ref="C3:C27" si="0">B3*4*PI()/(0.0064886478302)</f>
        <v>1543206.1097215004</v>
      </c>
      <c r="D3">
        <f>C3/(4000*PI())/(4*PI())</f>
        <v>9.7724668525668648</v>
      </c>
      <c r="F3" s="1">
        <v>2000</v>
      </c>
      <c r="G3" s="2">
        <v>9.7562245999999995</v>
      </c>
      <c r="H3" s="2"/>
      <c r="I3">
        <v>2000</v>
      </c>
      <c r="J3">
        <v>9.7555131558822108</v>
      </c>
      <c r="L3">
        <f>D3/G3</f>
        <v>1.0016648092097906</v>
      </c>
      <c r="M3">
        <f>1-L3</f>
        <v>-1.6648092097906186E-3</v>
      </c>
      <c r="N3">
        <f>J3/G3</f>
        <v>0.99992707792748148</v>
      </c>
      <c r="O3">
        <f>1-N3</f>
        <v>7.2922072518522008E-5</v>
      </c>
      <c r="AA3">
        <v>2000</v>
      </c>
      <c r="AB3">
        <v>9.9948856493664504</v>
      </c>
      <c r="AC3">
        <f>AB3/G3</f>
        <v>1.0244624390224115</v>
      </c>
    </row>
    <row r="4" spans="1:29" x14ac:dyDescent="0.25">
      <c r="A4">
        <v>2005</v>
      </c>
      <c r="B4">
        <v>743.92778799999996</v>
      </c>
      <c r="C4">
        <f t="shared" si="0"/>
        <v>1440742.7462495328</v>
      </c>
      <c r="D4">
        <f t="shared" ref="D4:D27" si="1">C4/(4000*PI())/(4*PI())</f>
        <v>9.1236100233821862</v>
      </c>
      <c r="F4" s="1">
        <v>2005</v>
      </c>
      <c r="G4" s="2">
        <v>9.1099663</v>
      </c>
      <c r="H4" s="2"/>
      <c r="I4">
        <v>2005</v>
      </c>
      <c r="J4">
        <v>9.1095962259339096</v>
      </c>
      <c r="L4">
        <f t="shared" ref="L4:L27" si="2">D4/G4</f>
        <v>1.0014976700168678</v>
      </c>
      <c r="M4">
        <f t="shared" ref="M4:M27" si="3">1-L4</f>
        <v>-1.497670016867847E-3</v>
      </c>
      <c r="N4">
        <f t="shared" ref="N4:N27" si="4">J4/G4</f>
        <v>0.9999593770104187</v>
      </c>
      <c r="O4">
        <f t="shared" ref="O4:O27" si="5">1-N4</f>
        <v>4.0622989581295954E-5</v>
      </c>
      <c r="AA4">
        <v>2005</v>
      </c>
      <c r="AB4">
        <v>9.3620190587485403</v>
      </c>
      <c r="AC4">
        <f t="shared" ref="AC4:AC27" si="6">AB4/G4</f>
        <v>1.027667803639245</v>
      </c>
    </row>
    <row r="5" spans="1:29" x14ac:dyDescent="0.25">
      <c r="A5">
        <v>2010</v>
      </c>
      <c r="B5">
        <v>692.82857899999999</v>
      </c>
      <c r="C5">
        <f t="shared" si="0"/>
        <v>1341780.4331145934</v>
      </c>
      <c r="D5">
        <f t="shared" si="1"/>
        <v>8.4969238544562042</v>
      </c>
      <c r="F5" s="1">
        <v>2010</v>
      </c>
      <c r="G5" s="2">
        <v>8.4885712000000009</v>
      </c>
      <c r="H5" s="2"/>
      <c r="I5">
        <v>2010</v>
      </c>
      <c r="J5">
        <v>8.4884752695289301</v>
      </c>
      <c r="L5">
        <f t="shared" si="2"/>
        <v>1.0009839882660352</v>
      </c>
      <c r="M5">
        <f t="shared" si="3"/>
        <v>-9.8398826603518508E-4</v>
      </c>
      <c r="N5">
        <f t="shared" si="4"/>
        <v>0.99998869886712261</v>
      </c>
      <c r="O5">
        <f t="shared" si="5"/>
        <v>1.130113287739487E-5</v>
      </c>
      <c r="AA5">
        <v>2010</v>
      </c>
      <c r="AB5">
        <v>8.7288826132398398</v>
      </c>
      <c r="AC5">
        <f t="shared" si="6"/>
        <v>1.0283099955902872</v>
      </c>
    </row>
    <row r="6" spans="1:29" x14ac:dyDescent="0.25">
      <c r="A6">
        <v>2015</v>
      </c>
      <c r="B6">
        <v>649.22914000000003</v>
      </c>
      <c r="C6">
        <f t="shared" si="0"/>
        <v>1257342.7007257086</v>
      </c>
      <c r="D6">
        <f t="shared" si="1"/>
        <v>7.9622156675989055</v>
      </c>
      <c r="F6" s="1">
        <v>2015</v>
      </c>
      <c r="G6" s="2">
        <v>7.9582233000000002</v>
      </c>
      <c r="H6" s="2"/>
      <c r="I6">
        <v>2015</v>
      </c>
      <c r="J6">
        <v>7.9580918332535697</v>
      </c>
      <c r="L6">
        <f t="shared" si="2"/>
        <v>1.0005016656920025</v>
      </c>
      <c r="M6">
        <f t="shared" si="3"/>
        <v>-5.0166569200249533E-4</v>
      </c>
      <c r="N6">
        <f t="shared" si="4"/>
        <v>0.99998348038984652</v>
      </c>
      <c r="O6">
        <f t="shared" si="5"/>
        <v>1.6519610153475917E-5</v>
      </c>
      <c r="AA6">
        <v>2015</v>
      </c>
      <c r="AB6">
        <v>8.1690720498836793</v>
      </c>
      <c r="AC6">
        <f t="shared" si="6"/>
        <v>1.0264944500720004</v>
      </c>
    </row>
    <row r="7" spans="1:29" x14ac:dyDescent="0.25">
      <c r="A7">
        <v>2020</v>
      </c>
      <c r="B7">
        <v>615.17547100000002</v>
      </c>
      <c r="C7">
        <f t="shared" si="0"/>
        <v>1191391.9762248346</v>
      </c>
      <c r="D7">
        <f t="shared" si="1"/>
        <v>7.5445778258177629</v>
      </c>
      <c r="F7" s="1">
        <v>2020</v>
      </c>
      <c r="G7" s="2">
        <v>7.5426159000000004</v>
      </c>
      <c r="H7" s="2"/>
      <c r="I7">
        <v>2020</v>
      </c>
      <c r="J7">
        <v>7.54253206483037</v>
      </c>
      <c r="L7">
        <f t="shared" si="2"/>
        <v>1.0002601121207515</v>
      </c>
      <c r="M7">
        <f t="shared" si="3"/>
        <v>-2.6011212075149892E-4</v>
      </c>
      <c r="N7">
        <f t="shared" si="4"/>
        <v>0.99998888513338846</v>
      </c>
      <c r="O7">
        <f t="shared" si="5"/>
        <v>1.1114866611539043E-5</v>
      </c>
      <c r="AA7">
        <v>2020</v>
      </c>
      <c r="AB7">
        <v>7.7139550573441902</v>
      </c>
      <c r="AC7">
        <f t="shared" si="6"/>
        <v>1.0227161451167346</v>
      </c>
    </row>
    <row r="8" spans="1:29" x14ac:dyDescent="0.25">
      <c r="A8">
        <v>2025</v>
      </c>
      <c r="B8">
        <v>590.19177300000001</v>
      </c>
      <c r="C8">
        <f t="shared" si="0"/>
        <v>1143006.7938877703</v>
      </c>
      <c r="D8">
        <f t="shared" si="1"/>
        <v>7.2381750792464068</v>
      </c>
      <c r="F8" s="1">
        <v>2025</v>
      </c>
      <c r="G8" s="2">
        <v>7.2362976000000003</v>
      </c>
      <c r="H8" s="2"/>
      <c r="I8">
        <v>2025</v>
      </c>
      <c r="J8">
        <v>7.2363032706890698</v>
      </c>
      <c r="L8">
        <f t="shared" si="2"/>
        <v>1.0002594530173008</v>
      </c>
      <c r="M8">
        <f t="shared" si="3"/>
        <v>-2.5945301730079251E-4</v>
      </c>
      <c r="N8">
        <f t="shared" si="4"/>
        <v>1.0000007836450879</v>
      </c>
      <c r="O8">
        <f t="shared" si="5"/>
        <v>-7.8364508793171694E-7</v>
      </c>
      <c r="AA8">
        <v>2025</v>
      </c>
      <c r="AB8">
        <v>7.3670742331223504</v>
      </c>
      <c r="AC8">
        <f t="shared" si="6"/>
        <v>1.0180723127144951</v>
      </c>
    </row>
    <row r="9" spans="1:29" x14ac:dyDescent="0.25">
      <c r="A9">
        <v>2030</v>
      </c>
      <c r="B9">
        <v>573.99059199999999</v>
      </c>
      <c r="C9">
        <f t="shared" si="0"/>
        <v>1111630.450131102</v>
      </c>
      <c r="D9">
        <f t="shared" si="1"/>
        <v>7.0394820612592506</v>
      </c>
      <c r="F9" s="1">
        <v>2030</v>
      </c>
      <c r="G9" s="2">
        <v>7.0365890999999996</v>
      </c>
      <c r="H9" s="2"/>
      <c r="I9">
        <v>2030</v>
      </c>
      <c r="J9">
        <v>7.0366065357703098</v>
      </c>
      <c r="L9">
        <f t="shared" si="2"/>
        <v>1.0004111311912829</v>
      </c>
      <c r="M9">
        <f t="shared" si="3"/>
        <v>-4.1113119128288744E-4</v>
      </c>
      <c r="N9">
        <f t="shared" si="4"/>
        <v>1.0000024778724552</v>
      </c>
      <c r="O9">
        <f t="shared" si="5"/>
        <v>-2.4778724552199094E-6</v>
      </c>
      <c r="AA9">
        <v>2030</v>
      </c>
      <c r="AB9">
        <v>7.1262645043818296</v>
      </c>
      <c r="AC9">
        <f t="shared" si="6"/>
        <v>1.0127441581577969</v>
      </c>
    </row>
    <row r="10" spans="1:29" x14ac:dyDescent="0.25">
      <c r="A10">
        <v>2035</v>
      </c>
      <c r="B10">
        <v>559.51897299999996</v>
      </c>
      <c r="C10">
        <f t="shared" si="0"/>
        <v>1083603.6974851356</v>
      </c>
      <c r="D10">
        <f t="shared" si="1"/>
        <v>6.862000576775479</v>
      </c>
      <c r="F10" s="1">
        <v>2035</v>
      </c>
      <c r="G10" s="2">
        <v>6.8560410000000003</v>
      </c>
      <c r="H10" s="2"/>
      <c r="I10">
        <v>2035</v>
      </c>
      <c r="J10">
        <v>6.8562050067457498</v>
      </c>
      <c r="L10">
        <f t="shared" si="2"/>
        <v>1.0008692446231693</v>
      </c>
      <c r="M10">
        <f t="shared" si="3"/>
        <v>-8.6924462316928519E-4</v>
      </c>
      <c r="N10">
        <f t="shared" si="4"/>
        <v>1.000023921494307</v>
      </c>
      <c r="O10">
        <f t="shared" si="5"/>
        <v>-2.3921494306966551E-5</v>
      </c>
      <c r="AA10">
        <v>2035</v>
      </c>
      <c r="AB10">
        <v>6.9442433618745998</v>
      </c>
      <c r="AC10">
        <f t="shared" si="6"/>
        <v>1.0128649116705397</v>
      </c>
    </row>
    <row r="11" spans="1:29" x14ac:dyDescent="0.25">
      <c r="A11">
        <v>2040</v>
      </c>
      <c r="B11">
        <v>537.97810000000004</v>
      </c>
      <c r="C11">
        <f t="shared" si="0"/>
        <v>1041886.1315825802</v>
      </c>
      <c r="D11">
        <f t="shared" si="1"/>
        <v>6.5978210045302204</v>
      </c>
      <c r="F11" s="1">
        <v>2040</v>
      </c>
      <c r="G11" s="2">
        <v>6.5867867000000002</v>
      </c>
      <c r="H11" s="2"/>
      <c r="I11">
        <v>2040</v>
      </c>
      <c r="J11">
        <v>6.5867420612185503</v>
      </c>
      <c r="L11">
        <f t="shared" si="2"/>
        <v>1.0016752181348487</v>
      </c>
      <c r="M11">
        <f t="shared" si="3"/>
        <v>-1.6752181348487216E-3</v>
      </c>
      <c r="N11">
        <f t="shared" si="4"/>
        <v>0.99999322298056958</v>
      </c>
      <c r="O11">
        <f t="shared" si="5"/>
        <v>6.7770194304150877E-6</v>
      </c>
      <c r="AA11">
        <v>2040</v>
      </c>
      <c r="AB11">
        <v>6.7232125440646104</v>
      </c>
      <c r="AC11">
        <f t="shared" si="6"/>
        <v>1.0207120482684842</v>
      </c>
    </row>
    <row r="12" spans="1:29" x14ac:dyDescent="0.25">
      <c r="A12">
        <v>2045</v>
      </c>
      <c r="B12">
        <v>504.79608500000001</v>
      </c>
      <c r="C12">
        <f t="shared" si="0"/>
        <v>977623.5133710485</v>
      </c>
      <c r="D12">
        <f t="shared" si="1"/>
        <v>6.1908732207084674</v>
      </c>
      <c r="F12" s="1">
        <v>2045</v>
      </c>
      <c r="G12" s="2">
        <v>6.1725491999999997</v>
      </c>
      <c r="H12" s="2"/>
      <c r="I12">
        <v>2045</v>
      </c>
      <c r="J12">
        <v>6.1724625682690704</v>
      </c>
      <c r="L12">
        <f t="shared" si="2"/>
        <v>1.0029686309682988</v>
      </c>
      <c r="M12">
        <f t="shared" si="3"/>
        <v>-2.9686309682988021E-3</v>
      </c>
      <c r="N12">
        <f t="shared" si="4"/>
        <v>0.99998596499952896</v>
      </c>
      <c r="O12">
        <f t="shared" si="5"/>
        <v>1.4035000471035453E-5</v>
      </c>
      <c r="AA12">
        <v>2045</v>
      </c>
      <c r="AB12">
        <v>6.3778996859847696</v>
      </c>
      <c r="AC12">
        <f t="shared" si="6"/>
        <v>1.033268343326412</v>
      </c>
    </row>
    <row r="13" spans="1:29" x14ac:dyDescent="0.25">
      <c r="A13">
        <v>2050</v>
      </c>
      <c r="B13">
        <v>459.28844099999998</v>
      </c>
      <c r="C13">
        <f t="shared" si="0"/>
        <v>889490.21730454091</v>
      </c>
      <c r="D13">
        <f t="shared" si="1"/>
        <v>5.6327626034735205</v>
      </c>
      <c r="F13" s="1">
        <v>2050</v>
      </c>
      <c r="G13" s="2">
        <v>5.6071657999999998</v>
      </c>
      <c r="H13" s="2"/>
      <c r="I13">
        <v>2050</v>
      </c>
      <c r="J13">
        <v>5.6073461759976801</v>
      </c>
      <c r="L13">
        <f t="shared" si="2"/>
        <v>1.0045650163356183</v>
      </c>
      <c r="M13">
        <f t="shared" si="3"/>
        <v>-4.5650163356183437E-3</v>
      </c>
      <c r="N13">
        <f t="shared" si="4"/>
        <v>1.0000321688361133</v>
      </c>
      <c r="O13">
        <f t="shared" si="5"/>
        <v>-3.2168836113344312E-5</v>
      </c>
      <c r="AA13">
        <v>2050</v>
      </c>
      <c r="AB13">
        <v>5.8790901640007496</v>
      </c>
      <c r="AC13">
        <f t="shared" si="6"/>
        <v>1.0484958664858368</v>
      </c>
    </row>
    <row r="14" spans="1:29" x14ac:dyDescent="0.25">
      <c r="A14">
        <v>2055</v>
      </c>
      <c r="B14">
        <v>399.407037</v>
      </c>
      <c r="C14">
        <f t="shared" si="0"/>
        <v>773519.68919699604</v>
      </c>
      <c r="D14">
        <f t="shared" si="1"/>
        <v>4.898370655005805</v>
      </c>
      <c r="F14" s="1">
        <v>2055</v>
      </c>
      <c r="G14" s="2">
        <v>4.8713230999999997</v>
      </c>
      <c r="H14" s="2"/>
      <c r="I14">
        <v>2055</v>
      </c>
      <c r="J14">
        <v>4.8716450524027</v>
      </c>
      <c r="L14">
        <f t="shared" si="2"/>
        <v>1.0055524042340376</v>
      </c>
      <c r="M14">
        <f t="shared" si="3"/>
        <v>-5.5524042340375779E-3</v>
      </c>
      <c r="N14">
        <f t="shared" si="4"/>
        <v>1.0000660913669841</v>
      </c>
      <c r="O14">
        <f t="shared" si="5"/>
        <v>-6.6091366984100119E-5</v>
      </c>
      <c r="AA14">
        <v>2055</v>
      </c>
      <c r="AB14">
        <v>5.1842031620691396</v>
      </c>
      <c r="AC14">
        <f t="shared" si="6"/>
        <v>1.0642289693469809</v>
      </c>
    </row>
    <row r="15" spans="1:29" x14ac:dyDescent="0.25">
      <c r="A15">
        <v>2060</v>
      </c>
      <c r="B15">
        <v>332.31313999999998</v>
      </c>
      <c r="C15">
        <f t="shared" si="0"/>
        <v>643580.94113619183</v>
      </c>
      <c r="D15">
        <f t="shared" si="1"/>
        <v>4.0755239203480418</v>
      </c>
      <c r="F15" s="1">
        <v>2060</v>
      </c>
      <c r="G15" s="2">
        <v>4.0551572</v>
      </c>
      <c r="H15" s="2"/>
      <c r="I15">
        <v>2060</v>
      </c>
      <c r="J15">
        <v>4.0556568740976404</v>
      </c>
      <c r="L15">
        <f t="shared" si="2"/>
        <v>1.0050224243706365</v>
      </c>
      <c r="M15">
        <f t="shared" si="3"/>
        <v>-5.0224243706364913E-3</v>
      </c>
      <c r="N15">
        <f t="shared" si="4"/>
        <v>1.0001232194149319</v>
      </c>
      <c r="O15">
        <f t="shared" si="5"/>
        <v>-1.2321941493187438E-4</v>
      </c>
      <c r="AA15">
        <v>2060</v>
      </c>
      <c r="AB15">
        <v>4.36358326062303</v>
      </c>
      <c r="AC15">
        <f t="shared" si="6"/>
        <v>1.0760577322681917</v>
      </c>
    </row>
    <row r="16" spans="1:29" x14ac:dyDescent="0.25">
      <c r="A16">
        <v>2065</v>
      </c>
      <c r="B16">
        <v>272.53060799999997</v>
      </c>
      <c r="C16">
        <f t="shared" si="0"/>
        <v>527801.89548044524</v>
      </c>
      <c r="D16">
        <f t="shared" si="1"/>
        <v>3.3423445486717602</v>
      </c>
      <c r="F16" s="1">
        <v>2065</v>
      </c>
      <c r="G16" s="2">
        <v>3.3325288</v>
      </c>
      <c r="H16" s="2"/>
      <c r="I16">
        <v>2065</v>
      </c>
      <c r="J16">
        <v>3.3330420239365099</v>
      </c>
      <c r="L16">
        <f t="shared" si="2"/>
        <v>1.0029454355118432</v>
      </c>
      <c r="M16">
        <f t="shared" si="3"/>
        <v>-2.9454355118432307E-3</v>
      </c>
      <c r="N16">
        <f t="shared" si="4"/>
        <v>1.0001540043514432</v>
      </c>
      <c r="O16">
        <f t="shared" si="5"/>
        <v>-1.5400435144319324E-4</v>
      </c>
      <c r="AA16">
        <v>2065</v>
      </c>
      <c r="AB16">
        <v>3.5957781620136902</v>
      </c>
      <c r="AC16">
        <f t="shared" si="6"/>
        <v>1.0789938745656722</v>
      </c>
    </row>
    <row r="17" spans="1:29" x14ac:dyDescent="0.25">
      <c r="A17">
        <v>2070</v>
      </c>
      <c r="B17">
        <v>230.264724</v>
      </c>
      <c r="C17">
        <f t="shared" si="0"/>
        <v>445946.81926325714</v>
      </c>
      <c r="D17">
        <f t="shared" si="1"/>
        <v>2.8239912230805557</v>
      </c>
      <c r="F17" s="1">
        <v>2070</v>
      </c>
      <c r="G17" s="2">
        <v>2.8224005999999999</v>
      </c>
      <c r="H17" s="2"/>
      <c r="I17">
        <v>2070</v>
      </c>
      <c r="J17">
        <v>2.8227238963833101</v>
      </c>
      <c r="L17">
        <f t="shared" si="2"/>
        <v>1.0005635709829979</v>
      </c>
      <c r="M17">
        <f t="shared" si="3"/>
        <v>-5.6357098299786301E-4</v>
      </c>
      <c r="N17">
        <f t="shared" si="4"/>
        <v>1.0001145465967198</v>
      </c>
      <c r="O17">
        <f t="shared" si="5"/>
        <v>-1.1454659671983336E-4</v>
      </c>
      <c r="AA17">
        <v>2070</v>
      </c>
      <c r="AB17">
        <v>3.01324368767024</v>
      </c>
      <c r="AC17">
        <f t="shared" si="6"/>
        <v>1.0676172927649745</v>
      </c>
    </row>
    <row r="18" spans="1:29" x14ac:dyDescent="0.25">
      <c r="A18">
        <v>2075</v>
      </c>
      <c r="B18">
        <v>205.99860799999999</v>
      </c>
      <c r="C18">
        <f t="shared" si="0"/>
        <v>398951.35657105059</v>
      </c>
      <c r="D18">
        <f t="shared" si="1"/>
        <v>2.5263889789684502</v>
      </c>
      <c r="F18" s="1">
        <v>2075</v>
      </c>
      <c r="G18" s="2">
        <v>2.528899</v>
      </c>
      <c r="H18" s="2"/>
      <c r="I18">
        <v>2075</v>
      </c>
      <c r="J18">
        <v>2.5291162675893899</v>
      </c>
      <c r="L18">
        <f t="shared" si="2"/>
        <v>0.99900746489616632</v>
      </c>
      <c r="M18">
        <f t="shared" si="3"/>
        <v>9.9253510383368049E-4</v>
      </c>
      <c r="N18">
        <f t="shared" si="4"/>
        <v>1.0000859139053755</v>
      </c>
      <c r="O18">
        <f t="shared" si="5"/>
        <v>-8.5913905375489819E-5</v>
      </c>
      <c r="AA18">
        <v>2075</v>
      </c>
      <c r="AB18">
        <v>2.6424426649498098</v>
      </c>
      <c r="AC18">
        <f t="shared" si="6"/>
        <v>1.0448984577675147</v>
      </c>
    </row>
    <row r="19" spans="1:29" x14ac:dyDescent="0.25">
      <c r="A19">
        <v>2080</v>
      </c>
      <c r="B19">
        <v>194.720584</v>
      </c>
      <c r="C19">
        <f t="shared" si="0"/>
        <v>377109.54405627452</v>
      </c>
      <c r="D19">
        <f t="shared" si="1"/>
        <v>2.3880740854127542</v>
      </c>
      <c r="F19" s="1">
        <v>2080</v>
      </c>
      <c r="G19" s="2">
        <v>2.3920264000000002</v>
      </c>
      <c r="H19" s="2"/>
      <c r="I19">
        <v>2080</v>
      </c>
      <c r="J19">
        <v>2.3920309569799998</v>
      </c>
      <c r="L19">
        <f t="shared" si="2"/>
        <v>0.99834771280649492</v>
      </c>
      <c r="M19">
        <f t="shared" si="3"/>
        <v>1.6522871935050754E-3</v>
      </c>
      <c r="N19">
        <f t="shared" si="4"/>
        <v>1.0000019050709472</v>
      </c>
      <c r="O19">
        <f t="shared" si="5"/>
        <v>-1.9050709472168137E-6</v>
      </c>
      <c r="AA19">
        <v>2080</v>
      </c>
      <c r="AB19">
        <v>2.4467021318661701</v>
      </c>
      <c r="AC19">
        <f t="shared" si="6"/>
        <v>1.0228574951623317</v>
      </c>
    </row>
    <row r="20" spans="1:29" x14ac:dyDescent="0.25">
      <c r="A20">
        <v>2085</v>
      </c>
      <c r="B20">
        <v>191.17247699999999</v>
      </c>
      <c r="C20">
        <f t="shared" si="0"/>
        <v>370238.03111425869</v>
      </c>
      <c r="D20">
        <f t="shared" si="1"/>
        <v>2.3445597213690861</v>
      </c>
      <c r="F20" s="1">
        <v>2085</v>
      </c>
      <c r="G20" s="2">
        <v>2.3482826000000001</v>
      </c>
      <c r="H20" s="2"/>
      <c r="I20">
        <v>2085</v>
      </c>
      <c r="J20">
        <v>2.3481559353586801</v>
      </c>
      <c r="L20">
        <f t="shared" si="2"/>
        <v>0.99841463773103201</v>
      </c>
      <c r="M20">
        <f t="shared" si="3"/>
        <v>1.5853622689679936E-3</v>
      </c>
      <c r="N20">
        <f t="shared" si="4"/>
        <v>0.99994606073335468</v>
      </c>
      <c r="O20">
        <f t="shared" si="5"/>
        <v>5.3939266645319783E-5</v>
      </c>
      <c r="AA20">
        <v>2085</v>
      </c>
      <c r="AB20">
        <v>2.36573506942071</v>
      </c>
      <c r="AC20">
        <f t="shared" si="6"/>
        <v>1.0074320141113808</v>
      </c>
    </row>
    <row r="21" spans="1:29" x14ac:dyDescent="0.25">
      <c r="A21">
        <v>2090</v>
      </c>
      <c r="B21">
        <v>193.54051000000001</v>
      </c>
      <c r="C21">
        <f t="shared" si="0"/>
        <v>374824.1299569995</v>
      </c>
      <c r="D21">
        <f t="shared" si="1"/>
        <v>2.3736015315595393</v>
      </c>
      <c r="F21" s="1">
        <v>2090</v>
      </c>
      <c r="G21" s="2">
        <v>2.3764875000000001</v>
      </c>
      <c r="H21" s="2"/>
      <c r="I21">
        <v>2090</v>
      </c>
      <c r="J21">
        <v>2.3763343982323502</v>
      </c>
      <c r="L21">
        <f t="shared" si="2"/>
        <v>0.99878561598137561</v>
      </c>
      <c r="M21">
        <f t="shared" si="3"/>
        <v>1.2143840186243926E-3</v>
      </c>
      <c r="N21">
        <f t="shared" si="4"/>
        <v>0.9999355764473199</v>
      </c>
      <c r="O21">
        <f t="shared" si="5"/>
        <v>6.4423552680104024E-5</v>
      </c>
      <c r="AA21">
        <v>2090</v>
      </c>
      <c r="AB21">
        <v>2.3654123913084901</v>
      </c>
      <c r="AC21">
        <f t="shared" si="6"/>
        <v>0.99533971515040165</v>
      </c>
    </row>
    <row r="22" spans="1:29" x14ac:dyDescent="0.25">
      <c r="A22">
        <v>2095</v>
      </c>
      <c r="B22">
        <v>202.22986800000001</v>
      </c>
      <c r="C22">
        <f t="shared" si="0"/>
        <v>391652.55028220627</v>
      </c>
      <c r="D22">
        <f t="shared" si="1"/>
        <v>2.4801687481958345</v>
      </c>
      <c r="F22" s="1">
        <v>2095</v>
      </c>
      <c r="G22" s="2">
        <v>2.4830613000000001</v>
      </c>
      <c r="H22" s="2"/>
      <c r="I22">
        <v>2095</v>
      </c>
      <c r="J22">
        <v>2.48291341350079</v>
      </c>
      <c r="L22">
        <f t="shared" si="2"/>
        <v>0.99883508642973673</v>
      </c>
      <c r="M22">
        <f t="shared" si="3"/>
        <v>1.1649135702632707E-3</v>
      </c>
      <c r="N22">
        <f t="shared" si="4"/>
        <v>0.9999404418653659</v>
      </c>
      <c r="O22">
        <f t="shared" si="5"/>
        <v>5.955813463409676E-5</v>
      </c>
      <c r="AA22">
        <v>2095</v>
      </c>
      <c r="AB22">
        <v>2.43594473696611</v>
      </c>
      <c r="AC22">
        <f t="shared" si="6"/>
        <v>0.9810248087576855</v>
      </c>
    </row>
    <row r="23" spans="1:29" x14ac:dyDescent="0.25">
      <c r="A23">
        <v>2100</v>
      </c>
      <c r="B23">
        <v>221.158109</v>
      </c>
      <c r="C23">
        <f t="shared" si="0"/>
        <v>428310.30975820136</v>
      </c>
      <c r="D23">
        <f t="shared" si="1"/>
        <v>2.7123067219323316</v>
      </c>
      <c r="F23" s="1">
        <v>2100</v>
      </c>
      <c r="G23" s="2">
        <v>2.7155912</v>
      </c>
      <c r="H23" s="2"/>
      <c r="I23">
        <v>2100</v>
      </c>
      <c r="J23">
        <v>2.7154498774708702</v>
      </c>
      <c r="L23">
        <f t="shared" si="2"/>
        <v>0.99879051085904669</v>
      </c>
      <c r="M23">
        <f t="shared" si="3"/>
        <v>1.2094891409533126E-3</v>
      </c>
      <c r="N23">
        <f t="shared" si="4"/>
        <v>0.99994795883521426</v>
      </c>
      <c r="O23">
        <f t="shared" si="5"/>
        <v>5.2041164785743277E-5</v>
      </c>
      <c r="AA23">
        <v>2100</v>
      </c>
      <c r="AB23">
        <v>2.6193046473037298</v>
      </c>
      <c r="AC23">
        <f t="shared" si="6"/>
        <v>0.96454306056954742</v>
      </c>
    </row>
    <row r="24" spans="1:29" x14ac:dyDescent="0.25">
      <c r="A24">
        <v>2105</v>
      </c>
      <c r="B24">
        <v>240.35780800000001</v>
      </c>
      <c r="C24">
        <f t="shared" si="0"/>
        <v>465493.79384177265</v>
      </c>
      <c r="D24">
        <f t="shared" si="1"/>
        <v>2.9477738856381737</v>
      </c>
      <c r="F24" s="1">
        <v>2105</v>
      </c>
      <c r="G24" s="2">
        <v>2.9503973000000001</v>
      </c>
      <c r="H24" s="2"/>
      <c r="I24">
        <v>2105</v>
      </c>
      <c r="J24">
        <v>2.9503107372025901</v>
      </c>
      <c r="L24">
        <f t="shared" si="2"/>
        <v>0.99911082674803608</v>
      </c>
      <c r="M24">
        <f t="shared" si="3"/>
        <v>8.8917325196391506E-4</v>
      </c>
      <c r="N24">
        <f t="shared" si="4"/>
        <v>0.99997066063021067</v>
      </c>
      <c r="O24">
        <f t="shared" si="5"/>
        <v>2.9339369789327385E-5</v>
      </c>
      <c r="AA24">
        <v>2105</v>
      </c>
      <c r="AB24">
        <v>2.8581938154253002</v>
      </c>
      <c r="AC24">
        <f t="shared" si="6"/>
        <v>0.96874879034945571</v>
      </c>
    </row>
    <row r="25" spans="1:29" x14ac:dyDescent="0.25">
      <c r="A25">
        <v>2110</v>
      </c>
      <c r="B25">
        <v>252.46559600000001</v>
      </c>
      <c r="C25">
        <f t="shared" si="0"/>
        <v>488942.58553299948</v>
      </c>
      <c r="D25">
        <f t="shared" si="1"/>
        <v>3.0962650937092806</v>
      </c>
      <c r="F25" s="1">
        <v>2110</v>
      </c>
      <c r="G25" s="2">
        <v>3.0981084999999999</v>
      </c>
      <c r="H25" s="2"/>
      <c r="I25">
        <v>2110</v>
      </c>
      <c r="J25">
        <v>3.0979631471674098</v>
      </c>
      <c r="L25">
        <f t="shared" si="2"/>
        <v>0.99940498975722791</v>
      </c>
      <c r="M25">
        <f t="shared" si="3"/>
        <v>5.9501024277208714E-4</v>
      </c>
      <c r="N25">
        <f t="shared" si="4"/>
        <v>0.99995308336277111</v>
      </c>
      <c r="O25">
        <f t="shared" si="5"/>
        <v>4.6916637228888725E-5</v>
      </c>
      <c r="AA25">
        <v>2110</v>
      </c>
      <c r="AB25">
        <v>3.03732810977719</v>
      </c>
      <c r="AC25">
        <f t="shared" si="6"/>
        <v>0.98038145203022753</v>
      </c>
    </row>
    <row r="26" spans="1:29" x14ac:dyDescent="0.25">
      <c r="A26">
        <v>2115</v>
      </c>
      <c r="B26">
        <v>258.92732899999999</v>
      </c>
      <c r="C26">
        <f t="shared" si="0"/>
        <v>501456.83099891985</v>
      </c>
      <c r="D26">
        <f t="shared" si="1"/>
        <v>3.1755124788966436</v>
      </c>
      <c r="F26" s="1">
        <v>2115</v>
      </c>
      <c r="G26" s="2">
        <v>3.1762492999999998</v>
      </c>
      <c r="H26" s="2"/>
      <c r="I26">
        <v>2115</v>
      </c>
      <c r="J26">
        <v>3.1760705685661299</v>
      </c>
      <c r="L26">
        <f t="shared" si="2"/>
        <v>0.99976802164006573</v>
      </c>
      <c r="M26">
        <f t="shared" si="3"/>
        <v>2.3197835993427063E-4</v>
      </c>
      <c r="N26">
        <f t="shared" si="4"/>
        <v>0.9999437287766203</v>
      </c>
      <c r="O26">
        <f t="shared" si="5"/>
        <v>5.6271223379700253E-5</v>
      </c>
      <c r="AA26">
        <v>2115</v>
      </c>
      <c r="AB26">
        <v>3.14474103101404</v>
      </c>
      <c r="AC26">
        <f t="shared" si="6"/>
        <v>0.99008003906180797</v>
      </c>
    </row>
    <row r="27" spans="1:29" x14ac:dyDescent="0.25">
      <c r="A27">
        <v>2120</v>
      </c>
      <c r="B27">
        <v>261.87929400000002</v>
      </c>
      <c r="C27">
        <f t="shared" si="0"/>
        <v>507173.81351998751</v>
      </c>
      <c r="D27">
        <f t="shared" si="1"/>
        <v>3.2117156936402145</v>
      </c>
      <c r="F27" s="1">
        <v>2120</v>
      </c>
      <c r="G27" s="2">
        <v>3.2118793000000001</v>
      </c>
      <c r="H27" s="2"/>
      <c r="I27">
        <v>2120</v>
      </c>
      <c r="J27">
        <v>3.2116813752200901</v>
      </c>
      <c r="L27">
        <f t="shared" si="2"/>
        <v>0.99994906210834711</v>
      </c>
      <c r="M27">
        <f t="shared" si="3"/>
        <v>5.0937891652891309E-5</v>
      </c>
      <c r="N27">
        <f t="shared" si="4"/>
        <v>0.9999383772671937</v>
      </c>
      <c r="O27">
        <f t="shared" si="5"/>
        <v>6.1622732806299041E-5</v>
      </c>
      <c r="AA27">
        <v>2120</v>
      </c>
      <c r="AB27">
        <v>3.19275890614994</v>
      </c>
      <c r="AC27">
        <f t="shared" si="6"/>
        <v>0.99404697622041394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7"/>
  <sheetViews>
    <sheetView topLeftCell="B1" zoomScale="84" zoomScaleNormal="84" workbookViewId="0">
      <selection activeCell="G3" sqref="G3:G27"/>
    </sheetView>
  </sheetViews>
  <sheetFormatPr defaultRowHeight="15" x14ac:dyDescent="0.25"/>
  <cols>
    <col min="1" max="1" width="15.42578125" customWidth="1"/>
    <col min="2" max="2" width="11.140625" customWidth="1"/>
    <col min="3" max="3" width="12.42578125" customWidth="1"/>
    <col min="4" max="4" width="15.5703125" customWidth="1"/>
    <col min="5" max="5" width="9.140625" customWidth="1"/>
    <col min="6" max="6" width="16.5703125" customWidth="1"/>
    <col min="7" max="7" width="16" style="2" customWidth="1"/>
    <col min="9" max="9" width="17.28515625" customWidth="1"/>
    <col min="10" max="10" width="16" customWidth="1"/>
    <col min="12" max="12" width="12.140625" customWidth="1"/>
    <col min="14" max="14" width="14.28515625" customWidth="1"/>
    <col min="27" max="27" width="11.5703125" customWidth="1"/>
    <col min="28" max="29" width="12.140625" customWidth="1"/>
  </cols>
  <sheetData>
    <row r="1" spans="1:29" x14ac:dyDescent="0.25">
      <c r="B1" t="s">
        <v>3</v>
      </c>
      <c r="F1" s="1"/>
      <c r="G1" s="2" t="s">
        <v>4</v>
      </c>
      <c r="I1" t="s">
        <v>5</v>
      </c>
      <c r="L1" t="s">
        <v>8</v>
      </c>
      <c r="M1" t="s">
        <v>6</v>
      </c>
      <c r="N1" t="s">
        <v>9</v>
      </c>
      <c r="O1" t="s">
        <v>6</v>
      </c>
      <c r="AB1" t="s">
        <v>10</v>
      </c>
    </row>
    <row r="2" spans="1:29" x14ac:dyDescent="0.25">
      <c r="A2" t="s">
        <v>0</v>
      </c>
      <c r="B2" t="s">
        <v>1</v>
      </c>
      <c r="C2" t="s">
        <v>2</v>
      </c>
      <c r="D2" t="s">
        <v>7</v>
      </c>
      <c r="F2" t="s">
        <v>0</v>
      </c>
      <c r="G2" t="s">
        <v>7</v>
      </c>
      <c r="I2" t="s">
        <v>0</v>
      </c>
      <c r="J2" t="s">
        <v>7</v>
      </c>
    </row>
    <row r="3" spans="1:29" x14ac:dyDescent="0.25">
      <c r="A3">
        <v>2000</v>
      </c>
      <c r="B3">
        <v>796.27703199999996</v>
      </c>
      <c r="C3">
        <f t="shared" ref="C3:C27" si="0">B3*4*PI()/(0.0064886478302)</f>
        <v>1542125.9648646261</v>
      </c>
      <c r="D3">
        <f>C3/(4000*PI())/(4*PI())</f>
        <v>9.7656267553541323</v>
      </c>
      <c r="F3" s="1">
        <v>2000</v>
      </c>
      <c r="G3" s="2">
        <v>9.7558936999999997</v>
      </c>
      <c r="I3">
        <v>2000</v>
      </c>
      <c r="J3">
        <v>9.7552996810777106</v>
      </c>
      <c r="L3">
        <f>D3/G3</f>
        <v>1.000997659020632</v>
      </c>
      <c r="M3">
        <f>1-L3</f>
        <v>-9.976590206319802E-4</v>
      </c>
      <c r="N3">
        <f>J3/G3</f>
        <v>0.99993911178816053</v>
      </c>
      <c r="O3">
        <f>1-N3</f>
        <v>6.0888211839471573E-5</v>
      </c>
      <c r="AA3">
        <v>2000</v>
      </c>
      <c r="AB3">
        <v>9.9944768204129595</v>
      </c>
      <c r="AC3">
        <f>AB3/G3</f>
        <v>1.0244552808537633</v>
      </c>
    </row>
    <row r="4" spans="1:29" x14ac:dyDescent="0.25">
      <c r="A4">
        <v>2005</v>
      </c>
      <c r="B4">
        <v>743.48211000000003</v>
      </c>
      <c r="C4">
        <f t="shared" si="0"/>
        <v>1439879.6149671415</v>
      </c>
      <c r="D4">
        <f t="shared" ref="D4:D27" si="1">C4/(4000*PI())/(4*PI())</f>
        <v>9.1181441806840233</v>
      </c>
      <c r="F4" s="1">
        <v>2005</v>
      </c>
      <c r="G4" s="2">
        <v>9.1100253999999996</v>
      </c>
      <c r="I4">
        <v>2005</v>
      </c>
      <c r="J4">
        <v>9.1097801324108403</v>
      </c>
      <c r="L4">
        <f t="shared" ref="L4:L27" si="2">D4/G4</f>
        <v>1.0008911918822996</v>
      </c>
      <c r="M4">
        <f t="shared" ref="M4:M27" si="3">1-L4</f>
        <v>-8.9119188229958013E-4</v>
      </c>
      <c r="N4">
        <f t="shared" ref="N4:N27" si="4">J4/G4</f>
        <v>0.99997307717834027</v>
      </c>
      <c r="O4">
        <f t="shared" ref="O4:O27" si="5">1-N4</f>
        <v>2.6922821659725038E-5</v>
      </c>
      <c r="AA4">
        <v>2005</v>
      </c>
      <c r="AB4">
        <v>9.3619116316960795</v>
      </c>
      <c r="AC4">
        <f t="shared" ref="AC4:AC27" si="6">AB4/G4</f>
        <v>1.0276493446106176</v>
      </c>
    </row>
    <row r="5" spans="1:29" x14ac:dyDescent="0.25">
      <c r="A5">
        <v>2010</v>
      </c>
      <c r="B5">
        <v>692.55275900000004</v>
      </c>
      <c r="C5">
        <f t="shared" si="0"/>
        <v>1341246.2607517908</v>
      </c>
      <c r="D5">
        <f t="shared" si="1"/>
        <v>8.4935411684519408</v>
      </c>
      <c r="F5" s="1">
        <v>2010</v>
      </c>
      <c r="G5" s="2">
        <v>8.4890108000000009</v>
      </c>
      <c r="I5">
        <v>2010</v>
      </c>
      <c r="J5">
        <v>8.4889410558237</v>
      </c>
      <c r="L5">
        <f t="shared" si="2"/>
        <v>1.0005336744832436</v>
      </c>
      <c r="M5">
        <f t="shared" si="3"/>
        <v>-5.3367448324359579E-4</v>
      </c>
      <c r="N5">
        <f t="shared" si="4"/>
        <v>0.99999178418099066</v>
      </c>
      <c r="O5">
        <f t="shared" si="5"/>
        <v>8.215819009338432E-6</v>
      </c>
      <c r="AA5">
        <v>2010</v>
      </c>
      <c r="AB5">
        <v>8.7290975301786293</v>
      </c>
      <c r="AC5">
        <f t="shared" si="6"/>
        <v>1.0282820620488111</v>
      </c>
    </row>
    <row r="6" spans="1:29" x14ac:dyDescent="0.25">
      <c r="A6">
        <v>2015</v>
      </c>
      <c r="B6">
        <v>649.07408599999997</v>
      </c>
      <c r="C6">
        <f t="shared" si="0"/>
        <v>1257042.4122711294</v>
      </c>
      <c r="D6">
        <f t="shared" si="1"/>
        <v>7.9603140687456486</v>
      </c>
      <c r="F6" s="1">
        <v>2015</v>
      </c>
      <c r="G6" s="2">
        <v>7.9587088000000001</v>
      </c>
      <c r="I6">
        <v>2015</v>
      </c>
      <c r="J6">
        <v>7.9585576130241904</v>
      </c>
      <c r="L6">
        <f t="shared" si="2"/>
        <v>1.0002016996457577</v>
      </c>
      <c r="M6">
        <f t="shared" si="3"/>
        <v>-2.0169964575766919E-4</v>
      </c>
      <c r="N6">
        <f t="shared" si="4"/>
        <v>0.99998100357990105</v>
      </c>
      <c r="O6">
        <f t="shared" si="5"/>
        <v>1.8996420098948974E-5</v>
      </c>
      <c r="AA6">
        <v>2015</v>
      </c>
      <c r="AB6">
        <v>8.1694742842975003</v>
      </c>
      <c r="AC6">
        <f t="shared" si="6"/>
        <v>1.0264823716502229</v>
      </c>
    </row>
    <row r="7" spans="1:29" x14ac:dyDescent="0.25">
      <c r="A7">
        <v>2020</v>
      </c>
      <c r="B7">
        <v>615.09864300000004</v>
      </c>
      <c r="C7">
        <f t="shared" si="0"/>
        <v>1191243.1857299851</v>
      </c>
      <c r="D7">
        <f t="shared" si="1"/>
        <v>7.5436355990019575</v>
      </c>
      <c r="F7" s="1">
        <v>2020</v>
      </c>
      <c r="G7" s="2">
        <v>7.5429955</v>
      </c>
      <c r="I7">
        <v>2020</v>
      </c>
      <c r="J7">
        <v>7.5429704243620996</v>
      </c>
      <c r="L7">
        <f t="shared" si="2"/>
        <v>1.0000848600535368</v>
      </c>
      <c r="M7">
        <f t="shared" si="3"/>
        <v>-8.4860053536806035E-5</v>
      </c>
      <c r="N7">
        <f t="shared" si="4"/>
        <v>0.99999667563928674</v>
      </c>
      <c r="O7">
        <f t="shared" si="5"/>
        <v>3.3243607132638076E-6</v>
      </c>
      <c r="AA7">
        <v>2020</v>
      </c>
      <c r="AB7">
        <v>7.71431081051088</v>
      </c>
      <c r="AC7">
        <f t="shared" si="6"/>
        <v>1.0227118404764897</v>
      </c>
    </row>
    <row r="8" spans="1:29" x14ac:dyDescent="0.25">
      <c r="A8">
        <v>2025</v>
      </c>
      <c r="B8">
        <v>590.17470400000002</v>
      </c>
      <c r="C8">
        <f t="shared" si="0"/>
        <v>1142973.7368648543</v>
      </c>
      <c r="D8">
        <f t="shared" si="1"/>
        <v>7.2379657432033113</v>
      </c>
      <c r="F8" s="1">
        <v>2025</v>
      </c>
      <c r="G8" s="2">
        <v>7.2367438999999996</v>
      </c>
      <c r="I8">
        <v>2025</v>
      </c>
      <c r="J8">
        <v>7.2368083835136998</v>
      </c>
      <c r="L8">
        <f t="shared" si="2"/>
        <v>1.00016883880654</v>
      </c>
      <c r="M8">
        <f t="shared" si="3"/>
        <v>-1.6883880653995043E-4</v>
      </c>
      <c r="N8">
        <f t="shared" si="4"/>
        <v>1.000008910570084</v>
      </c>
      <c r="O8">
        <f t="shared" si="5"/>
        <v>-8.9105700840086399E-6</v>
      </c>
      <c r="AA8">
        <v>2025</v>
      </c>
      <c r="AB8">
        <v>7.3673597594259004</v>
      </c>
      <c r="AC8">
        <f t="shared" si="6"/>
        <v>1.0180489818668172</v>
      </c>
    </row>
    <row r="9" spans="1:29" x14ac:dyDescent="0.25">
      <c r="A9">
        <v>2030</v>
      </c>
      <c r="B9">
        <v>573.77330300000006</v>
      </c>
      <c r="C9">
        <f t="shared" si="0"/>
        <v>1111209.6330092798</v>
      </c>
      <c r="D9">
        <f t="shared" si="1"/>
        <v>7.0368172057042511</v>
      </c>
      <c r="F9" s="1">
        <v>2030</v>
      </c>
      <c r="G9" s="2">
        <v>7.0366939999999998</v>
      </c>
      <c r="I9">
        <v>2030</v>
      </c>
      <c r="J9">
        <v>7.0366704997438099</v>
      </c>
      <c r="L9">
        <f t="shared" si="2"/>
        <v>1.0000175090325445</v>
      </c>
      <c r="M9">
        <f t="shared" si="3"/>
        <v>-1.7509032544493763E-5</v>
      </c>
      <c r="N9">
        <f t="shared" si="4"/>
        <v>0.99999666032710954</v>
      </c>
      <c r="O9">
        <f t="shared" si="5"/>
        <v>3.3396728904566686E-6</v>
      </c>
      <c r="AA9">
        <v>2030</v>
      </c>
      <c r="AB9">
        <v>7.1257844253902096</v>
      </c>
      <c r="AC9">
        <f t="shared" si="6"/>
        <v>1.0126608355273385</v>
      </c>
    </row>
    <row r="10" spans="1:29" x14ac:dyDescent="0.25">
      <c r="A10">
        <v>2035</v>
      </c>
      <c r="B10">
        <v>559.08542899999998</v>
      </c>
      <c r="C10">
        <f t="shared" si="0"/>
        <v>1082764.0657584337</v>
      </c>
      <c r="D10">
        <f t="shared" si="1"/>
        <v>6.8566835467521603</v>
      </c>
      <c r="F10" s="1">
        <v>2035</v>
      </c>
      <c r="G10" s="2">
        <v>6.8557962999999997</v>
      </c>
      <c r="I10">
        <v>2035</v>
      </c>
      <c r="J10">
        <v>6.8558839820071098</v>
      </c>
      <c r="L10">
        <f t="shared" si="2"/>
        <v>1.0001294155650686</v>
      </c>
      <c r="M10">
        <f t="shared" si="3"/>
        <v>-1.2941556506862462E-4</v>
      </c>
      <c r="N10">
        <f t="shared" si="4"/>
        <v>1.0000127894708759</v>
      </c>
      <c r="O10">
        <f t="shared" si="5"/>
        <v>-1.2789470875906872E-5</v>
      </c>
      <c r="AA10">
        <v>2035</v>
      </c>
      <c r="AB10">
        <v>6.9438833160125402</v>
      </c>
      <c r="AC10">
        <f t="shared" si="6"/>
        <v>1.0128485462750025</v>
      </c>
    </row>
    <row r="11" spans="1:29" x14ac:dyDescent="0.25">
      <c r="A11">
        <v>2040</v>
      </c>
      <c r="B11">
        <v>537.34604300000001</v>
      </c>
      <c r="C11">
        <f t="shared" si="0"/>
        <v>1040662.0456529304</v>
      </c>
      <c r="D11">
        <f t="shared" si="1"/>
        <v>6.5900693898257172</v>
      </c>
      <c r="F11" s="1">
        <v>2040</v>
      </c>
      <c r="G11" s="2">
        <v>6.5860824999999998</v>
      </c>
      <c r="I11">
        <v>2040</v>
      </c>
      <c r="J11">
        <v>6.58606526425109</v>
      </c>
      <c r="L11">
        <f t="shared" si="2"/>
        <v>1.0006053507264321</v>
      </c>
      <c r="M11">
        <f t="shared" si="3"/>
        <v>-6.0535072643208565E-4</v>
      </c>
      <c r="N11">
        <f t="shared" si="4"/>
        <v>0.99999738300440211</v>
      </c>
      <c r="O11">
        <f t="shared" si="5"/>
        <v>2.6169955978927462E-6</v>
      </c>
      <c r="AA11">
        <v>2040</v>
      </c>
      <c r="AB11">
        <v>6.7228770032565999</v>
      </c>
      <c r="AC11">
        <f t="shared" si="6"/>
        <v>1.0207702383407131</v>
      </c>
    </row>
    <row r="12" spans="1:29" x14ac:dyDescent="0.25">
      <c r="A12">
        <v>2045</v>
      </c>
      <c r="B12">
        <v>504.11783800000001</v>
      </c>
      <c r="C12">
        <f t="shared" si="0"/>
        <v>976309.97264683049</v>
      </c>
      <c r="D12">
        <f t="shared" si="1"/>
        <v>6.1825551268997057</v>
      </c>
      <c r="F12" s="1">
        <v>2045</v>
      </c>
      <c r="G12" s="2">
        <v>6.1719603999999997</v>
      </c>
      <c r="I12">
        <v>2045</v>
      </c>
      <c r="J12">
        <v>6.1717481039896498</v>
      </c>
      <c r="L12">
        <f t="shared" si="2"/>
        <v>1.0017165902262928</v>
      </c>
      <c r="M12">
        <f t="shared" si="3"/>
        <v>-1.7165902262927801E-3</v>
      </c>
      <c r="N12">
        <f t="shared" si="4"/>
        <v>0.99996560314768868</v>
      </c>
      <c r="O12">
        <f t="shared" si="5"/>
        <v>3.4396852311324722E-5</v>
      </c>
      <c r="AA12">
        <v>2045</v>
      </c>
      <c r="AB12">
        <v>6.3778970694438302</v>
      </c>
      <c r="AC12">
        <f t="shared" si="6"/>
        <v>1.0333664923455812</v>
      </c>
    </row>
    <row r="13" spans="1:29" x14ac:dyDescent="0.25">
      <c r="A13">
        <v>2050</v>
      </c>
      <c r="B13">
        <v>458.456659</v>
      </c>
      <c r="C13">
        <f t="shared" si="0"/>
        <v>887879.3299277128</v>
      </c>
      <c r="D13">
        <f t="shared" si="1"/>
        <v>5.6225615399901008</v>
      </c>
      <c r="F13" s="1">
        <v>2050</v>
      </c>
      <c r="G13" s="2">
        <v>5.606503</v>
      </c>
      <c r="I13">
        <v>2050</v>
      </c>
      <c r="J13">
        <v>5.6064617609298102</v>
      </c>
      <c r="L13">
        <f t="shared" si="2"/>
        <v>1.002864270292926</v>
      </c>
      <c r="M13">
        <f t="shared" si="3"/>
        <v>-2.8642702929260189E-3</v>
      </c>
      <c r="N13">
        <f t="shared" si="4"/>
        <v>0.99999264442198821</v>
      </c>
      <c r="O13">
        <f t="shared" si="5"/>
        <v>7.3555780117917635E-6</v>
      </c>
      <c r="AA13">
        <v>2050</v>
      </c>
      <c r="AB13">
        <v>5.8786677460066397</v>
      </c>
      <c r="AC13">
        <f t="shared" si="6"/>
        <v>1.0485444752293256</v>
      </c>
    </row>
    <row r="14" spans="1:29" x14ac:dyDescent="0.25">
      <c r="A14">
        <v>2055</v>
      </c>
      <c r="B14">
        <v>398.63724000000002</v>
      </c>
      <c r="C14">
        <f t="shared" si="0"/>
        <v>772028.84631987172</v>
      </c>
      <c r="D14">
        <f t="shared" si="1"/>
        <v>4.8889297821973683</v>
      </c>
      <c r="F14" s="1">
        <v>2055</v>
      </c>
      <c r="G14" s="2">
        <v>4.8710680000000002</v>
      </c>
      <c r="I14">
        <v>2055</v>
      </c>
      <c r="J14">
        <v>4.8711947781942699</v>
      </c>
      <c r="L14">
        <f t="shared" si="2"/>
        <v>1.0036669129228679</v>
      </c>
      <c r="M14">
        <f t="shared" si="3"/>
        <v>-3.6669129228679154E-3</v>
      </c>
      <c r="N14">
        <f t="shared" si="4"/>
        <v>1.0000260267757028</v>
      </c>
      <c r="O14">
        <f t="shared" si="5"/>
        <v>-2.6026775702847615E-5</v>
      </c>
      <c r="AA14">
        <v>2055</v>
      </c>
      <c r="AB14">
        <v>5.18387502057878</v>
      </c>
      <c r="AC14">
        <f t="shared" si="6"/>
        <v>1.0642173380824862</v>
      </c>
    </row>
    <row r="15" spans="1:29" x14ac:dyDescent="0.25">
      <c r="A15">
        <v>2060</v>
      </c>
      <c r="B15">
        <v>331.89504399999998</v>
      </c>
      <c r="C15">
        <f t="shared" si="0"/>
        <v>642771.22709008085</v>
      </c>
      <c r="D15">
        <f t="shared" si="1"/>
        <v>4.0703963462503054</v>
      </c>
      <c r="F15" s="1">
        <v>2060</v>
      </c>
      <c r="G15" s="2">
        <v>4.0555472000000004</v>
      </c>
      <c r="I15">
        <v>2060</v>
      </c>
      <c r="J15">
        <v>4.05603714119085</v>
      </c>
      <c r="L15">
        <f t="shared" si="2"/>
        <v>1.0036614408655644</v>
      </c>
      <c r="M15">
        <f t="shared" si="3"/>
        <v>-3.6614408655644137E-3</v>
      </c>
      <c r="N15">
        <f t="shared" si="4"/>
        <v>1.0001208076658188</v>
      </c>
      <c r="O15">
        <f t="shared" si="5"/>
        <v>-1.2080766581878954E-4</v>
      </c>
      <c r="AA15">
        <v>2060</v>
      </c>
      <c r="AB15">
        <v>4.3637974597878904</v>
      </c>
      <c r="AC15">
        <f t="shared" si="6"/>
        <v>1.0760070699677444</v>
      </c>
    </row>
    <row r="16" spans="1:29" x14ac:dyDescent="0.25">
      <c r="A16">
        <v>2065</v>
      </c>
      <c r="B16">
        <v>272.497749</v>
      </c>
      <c r="C16">
        <f t="shared" si="0"/>
        <v>527738.25843574468</v>
      </c>
      <c r="D16">
        <f t="shared" si="1"/>
        <v>3.3419415623784752</v>
      </c>
      <c r="F16" s="1">
        <v>2065</v>
      </c>
      <c r="G16" s="2">
        <v>3.3333507</v>
      </c>
      <c r="I16">
        <v>2065</v>
      </c>
      <c r="J16">
        <v>3.3339224967308199</v>
      </c>
      <c r="L16">
        <f t="shared" si="2"/>
        <v>1.0025772452860946</v>
      </c>
      <c r="M16">
        <f t="shared" si="3"/>
        <v>-2.5772452860945982E-3</v>
      </c>
      <c r="N16">
        <f t="shared" si="4"/>
        <v>1.0001715381255323</v>
      </c>
      <c r="O16">
        <f t="shared" si="5"/>
        <v>-1.7153812553227787E-4</v>
      </c>
      <c r="AA16">
        <v>2065</v>
      </c>
      <c r="AB16">
        <v>3.5964111975272401</v>
      </c>
      <c r="AC16">
        <f t="shared" si="6"/>
        <v>1.0789177380967565</v>
      </c>
    </row>
    <row r="17" spans="1:29" x14ac:dyDescent="0.25">
      <c r="A17">
        <v>2070</v>
      </c>
      <c r="B17">
        <v>230.44645</v>
      </c>
      <c r="C17">
        <f t="shared" si="0"/>
        <v>446298.76258427335</v>
      </c>
      <c r="D17">
        <f t="shared" si="1"/>
        <v>2.8262199301968294</v>
      </c>
      <c r="F17" s="1">
        <v>2070</v>
      </c>
      <c r="G17" s="2">
        <v>2.8231432000000001</v>
      </c>
      <c r="I17">
        <v>2070</v>
      </c>
      <c r="J17">
        <v>2.8235428733543801</v>
      </c>
      <c r="L17">
        <f t="shared" si="2"/>
        <v>1.0010898243478508</v>
      </c>
      <c r="M17">
        <f t="shared" si="3"/>
        <v>-1.0898243478507652E-3</v>
      </c>
      <c r="N17">
        <f t="shared" si="4"/>
        <v>1.0001415703441399</v>
      </c>
      <c r="O17">
        <f t="shared" si="5"/>
        <v>-1.4157034413986302E-4</v>
      </c>
      <c r="AA17">
        <v>2070</v>
      </c>
      <c r="AB17">
        <v>3.0140048206439198</v>
      </c>
      <c r="AC17">
        <f t="shared" si="6"/>
        <v>1.0676060713618494</v>
      </c>
    </row>
    <row r="18" spans="1:29" x14ac:dyDescent="0.25">
      <c r="A18">
        <v>2075</v>
      </c>
      <c r="B18">
        <v>206.24456499999999</v>
      </c>
      <c r="C18">
        <f t="shared" si="0"/>
        <v>399427.69415294414</v>
      </c>
      <c r="D18">
        <f t="shared" si="1"/>
        <v>2.5294054219441242</v>
      </c>
      <c r="F18" s="1">
        <v>2075</v>
      </c>
      <c r="G18" s="2">
        <v>2.5294544999999999</v>
      </c>
      <c r="I18">
        <v>2075</v>
      </c>
      <c r="J18">
        <v>2.5296702710803398</v>
      </c>
      <c r="L18">
        <f t="shared" si="2"/>
        <v>0.99998059737549116</v>
      </c>
      <c r="M18">
        <f t="shared" si="3"/>
        <v>1.9402624508835231E-5</v>
      </c>
      <c r="N18">
        <f t="shared" si="4"/>
        <v>1.000085303404485</v>
      </c>
      <c r="O18">
        <f t="shared" si="5"/>
        <v>-8.5303404484982082E-5</v>
      </c>
      <c r="AA18">
        <v>2075</v>
      </c>
      <c r="AB18">
        <v>2.6431190339628499</v>
      </c>
      <c r="AC18">
        <f t="shared" si="6"/>
        <v>1.0449363821182986</v>
      </c>
    </row>
    <row r="19" spans="1:29" x14ac:dyDescent="0.25">
      <c r="A19">
        <v>2080</v>
      </c>
      <c r="B19">
        <v>194.94359299999999</v>
      </c>
      <c r="C19">
        <f t="shared" si="0"/>
        <v>377541.43893139693</v>
      </c>
      <c r="D19">
        <f t="shared" si="1"/>
        <v>2.3908090916600329</v>
      </c>
      <c r="F19" s="1">
        <v>2080</v>
      </c>
      <c r="G19" s="2">
        <v>2.3923326</v>
      </c>
      <c r="I19">
        <v>2080</v>
      </c>
      <c r="J19">
        <v>2.3923453381870399</v>
      </c>
      <c r="L19">
        <f t="shared" si="2"/>
        <v>0.99936317034681255</v>
      </c>
      <c r="M19">
        <f t="shared" si="3"/>
        <v>6.3682965318745399E-4</v>
      </c>
      <c r="N19">
        <f t="shared" si="4"/>
        <v>1.0000053245886629</v>
      </c>
      <c r="O19">
        <f t="shared" si="5"/>
        <v>-5.324588662869445E-6</v>
      </c>
      <c r="AA19">
        <v>2080</v>
      </c>
      <c r="AB19">
        <v>2.4471632907274201</v>
      </c>
      <c r="AC19">
        <f t="shared" si="6"/>
        <v>1.0229193427065368</v>
      </c>
    </row>
    <row r="20" spans="1:29" x14ac:dyDescent="0.25">
      <c r="A20">
        <v>2085</v>
      </c>
      <c r="B20">
        <v>191.37636499999999</v>
      </c>
      <c r="C20">
        <f t="shared" si="0"/>
        <v>370632.8949193022</v>
      </c>
      <c r="D20">
        <f t="shared" si="1"/>
        <v>2.3470602256256186</v>
      </c>
      <c r="F20" s="1">
        <v>2085</v>
      </c>
      <c r="G20" s="2">
        <v>2.3485567999999999</v>
      </c>
      <c r="I20">
        <v>2085</v>
      </c>
      <c r="J20">
        <v>2.3484415714864202</v>
      </c>
      <c r="L20">
        <f t="shared" si="2"/>
        <v>0.99936276849919858</v>
      </c>
      <c r="M20">
        <f t="shared" si="3"/>
        <v>6.3723150080141622E-4</v>
      </c>
      <c r="N20">
        <f t="shared" si="4"/>
        <v>0.99995093645868827</v>
      </c>
      <c r="O20">
        <f t="shared" si="5"/>
        <v>4.9063541311733516E-5</v>
      </c>
      <c r="AA20">
        <v>2085</v>
      </c>
      <c r="AB20">
        <v>2.3661639983367801</v>
      </c>
      <c r="AC20">
        <f t="shared" si="6"/>
        <v>1.0074970289570089</v>
      </c>
    </row>
    <row r="21" spans="1:29" x14ac:dyDescent="0.25">
      <c r="A21">
        <v>2090</v>
      </c>
      <c r="B21">
        <v>193.68292</v>
      </c>
      <c r="C21">
        <f t="shared" si="0"/>
        <v>375099.93115410896</v>
      </c>
      <c r="D21">
        <f t="shared" si="1"/>
        <v>2.3753480630433583</v>
      </c>
      <c r="F21" s="1">
        <v>2090</v>
      </c>
      <c r="G21" s="2">
        <v>2.3766663000000001</v>
      </c>
      <c r="I21">
        <v>2090</v>
      </c>
      <c r="J21">
        <v>2.3765228824456699</v>
      </c>
      <c r="L21">
        <f t="shared" si="2"/>
        <v>0.99944534200840829</v>
      </c>
      <c r="M21">
        <f t="shared" si="3"/>
        <v>5.5465799159171159E-4</v>
      </c>
      <c r="N21">
        <f t="shared" si="4"/>
        <v>0.99993965599868595</v>
      </c>
      <c r="O21">
        <f t="shared" si="5"/>
        <v>6.0344001314049933E-5</v>
      </c>
      <c r="AA21">
        <v>2090</v>
      </c>
      <c r="AB21">
        <v>2.36550957739149</v>
      </c>
      <c r="AC21">
        <f t="shared" si="6"/>
        <v>0.99530572608846679</v>
      </c>
    </row>
    <row r="22" spans="1:29" x14ac:dyDescent="0.25">
      <c r="A22">
        <v>2095</v>
      </c>
      <c r="B22">
        <v>202.48843400000001</v>
      </c>
      <c r="C22">
        <f t="shared" si="0"/>
        <v>392153.3073381139</v>
      </c>
      <c r="D22">
        <f t="shared" si="1"/>
        <v>2.483339829297198</v>
      </c>
      <c r="F22" s="1">
        <v>2095</v>
      </c>
      <c r="G22" s="2">
        <v>2.4835289</v>
      </c>
      <c r="I22">
        <v>2095</v>
      </c>
      <c r="J22">
        <v>2.4833905635159601</v>
      </c>
      <c r="L22">
        <f t="shared" si="2"/>
        <v>0.99992387014187678</v>
      </c>
      <c r="M22">
        <f t="shared" si="3"/>
        <v>7.6129858123219485E-5</v>
      </c>
      <c r="N22">
        <f t="shared" si="4"/>
        <v>0.99994429841986543</v>
      </c>
      <c r="O22">
        <f t="shared" si="5"/>
        <v>5.5701580134570605E-5</v>
      </c>
      <c r="AA22">
        <v>2095</v>
      </c>
      <c r="AB22">
        <v>2.43607319731057</v>
      </c>
      <c r="AC22">
        <f t="shared" si="6"/>
        <v>0.98089182586543289</v>
      </c>
    </row>
    <row r="23" spans="1:29" x14ac:dyDescent="0.25">
      <c r="A23">
        <v>2100</v>
      </c>
      <c r="B23">
        <v>221.16830400000001</v>
      </c>
      <c r="C23">
        <f t="shared" si="0"/>
        <v>428330.05411045556</v>
      </c>
      <c r="D23">
        <f t="shared" si="1"/>
        <v>2.7124317545036218</v>
      </c>
      <c r="F23" s="1">
        <v>2100</v>
      </c>
      <c r="G23" s="2">
        <v>2.7153944999999999</v>
      </c>
      <c r="I23">
        <v>2100</v>
      </c>
      <c r="J23">
        <v>2.71528014342916</v>
      </c>
      <c r="L23">
        <f t="shared" si="2"/>
        <v>0.99890890789666908</v>
      </c>
      <c r="M23">
        <f t="shared" si="3"/>
        <v>1.0910921033309151E-3</v>
      </c>
      <c r="N23">
        <f t="shared" si="4"/>
        <v>0.99995788583543199</v>
      </c>
      <c r="O23">
        <f t="shared" si="5"/>
        <v>4.2114164568007872E-5</v>
      </c>
      <c r="AA23">
        <v>2100</v>
      </c>
      <c r="AB23">
        <v>2.6186572899953702</v>
      </c>
      <c r="AC23">
        <f t="shared" si="6"/>
        <v>0.96437452826665526</v>
      </c>
    </row>
    <row r="24" spans="1:29" x14ac:dyDescent="0.25">
      <c r="A24">
        <v>2105</v>
      </c>
      <c r="B24">
        <v>240.25135299999999</v>
      </c>
      <c r="C24">
        <f t="shared" si="0"/>
        <v>465287.62562017102</v>
      </c>
      <c r="D24">
        <f t="shared" si="1"/>
        <v>2.9464683101230413</v>
      </c>
      <c r="F24" s="1">
        <v>2105</v>
      </c>
      <c r="G24" s="2">
        <v>2.9500720999999999</v>
      </c>
      <c r="I24">
        <v>2105</v>
      </c>
      <c r="J24">
        <v>2.9500233107664902</v>
      </c>
      <c r="L24">
        <f t="shared" si="2"/>
        <v>0.99877840616947688</v>
      </c>
      <c r="M24">
        <f t="shared" si="3"/>
        <v>1.2215938305231155E-3</v>
      </c>
      <c r="N24">
        <f t="shared" si="4"/>
        <v>0.99998346168098406</v>
      </c>
      <c r="O24">
        <f t="shared" si="5"/>
        <v>1.6538319015935166E-5</v>
      </c>
      <c r="AA24">
        <v>2105</v>
      </c>
      <c r="AB24">
        <v>2.8576187488925999</v>
      </c>
      <c r="AC24">
        <f t="shared" si="6"/>
        <v>0.9686606469355783</v>
      </c>
    </row>
    <row r="25" spans="1:29" x14ac:dyDescent="0.25">
      <c r="A25">
        <v>2110</v>
      </c>
      <c r="B25">
        <v>252.41586000000001</v>
      </c>
      <c r="C25">
        <f t="shared" si="0"/>
        <v>488846.26330605301</v>
      </c>
      <c r="D25">
        <f t="shared" si="1"/>
        <v>3.0956551260814504</v>
      </c>
      <c r="F25" s="1">
        <v>2110</v>
      </c>
      <c r="G25" s="2">
        <v>3.0978734000000001</v>
      </c>
      <c r="I25">
        <v>2110</v>
      </c>
      <c r="J25">
        <v>3.0977702341178501</v>
      </c>
      <c r="L25">
        <f t="shared" si="2"/>
        <v>0.99928393654868219</v>
      </c>
      <c r="M25">
        <f t="shared" si="3"/>
        <v>7.1606345131780547E-4</v>
      </c>
      <c r="N25">
        <f t="shared" si="4"/>
        <v>0.99996669783789427</v>
      </c>
      <c r="O25">
        <f t="shared" si="5"/>
        <v>3.3302162105730559E-5</v>
      </c>
      <c r="AA25">
        <v>2110</v>
      </c>
      <c r="AB25">
        <v>3.0374262796643401</v>
      </c>
      <c r="AC25">
        <f t="shared" si="6"/>
        <v>0.98048754337873845</v>
      </c>
    </row>
    <row r="26" spans="1:29" x14ac:dyDescent="0.25">
      <c r="A26">
        <v>2115</v>
      </c>
      <c r="B26">
        <v>258.88018099999999</v>
      </c>
      <c r="C26">
        <f t="shared" si="0"/>
        <v>501365.52087434067</v>
      </c>
      <c r="D26">
        <f t="shared" si="1"/>
        <v>3.174934250777838</v>
      </c>
      <c r="F26" s="1">
        <v>2115</v>
      </c>
      <c r="G26" s="2">
        <v>3.1759970000000002</v>
      </c>
      <c r="I26">
        <v>2115</v>
      </c>
      <c r="J26">
        <v>3.1758497795170002</v>
      </c>
      <c r="L26">
        <f t="shared" si="2"/>
        <v>0.99966538091120294</v>
      </c>
      <c r="M26">
        <f t="shared" si="3"/>
        <v>3.3461908879706126E-4</v>
      </c>
      <c r="N26">
        <f t="shared" si="4"/>
        <v>0.99995364589985447</v>
      </c>
      <c r="O26">
        <f t="shared" si="5"/>
        <v>4.6354100145529209E-5</v>
      </c>
      <c r="AA26">
        <v>2115</v>
      </c>
      <c r="AB26">
        <v>3.1447673574053199</v>
      </c>
      <c r="AC26">
        <f t="shared" si="6"/>
        <v>0.99016697981935109</v>
      </c>
    </row>
    <row r="27" spans="1:29" x14ac:dyDescent="0.25">
      <c r="A27">
        <v>2120</v>
      </c>
      <c r="B27">
        <v>262.01597800000002</v>
      </c>
      <c r="C27">
        <f t="shared" si="0"/>
        <v>507438.52534377598</v>
      </c>
      <c r="D27">
        <f t="shared" si="1"/>
        <v>3.2133920008471124</v>
      </c>
      <c r="F27" s="1">
        <v>2120</v>
      </c>
      <c r="G27" s="2">
        <v>3.2120565999999999</v>
      </c>
      <c r="I27">
        <v>2120</v>
      </c>
      <c r="J27">
        <v>3.21185436944099</v>
      </c>
      <c r="L27">
        <f t="shared" si="2"/>
        <v>1.00041574636235</v>
      </c>
      <c r="M27">
        <f t="shared" si="3"/>
        <v>-4.1574636234997797E-4</v>
      </c>
      <c r="N27">
        <f t="shared" si="4"/>
        <v>0.9999370401632991</v>
      </c>
      <c r="O27">
        <f t="shared" si="5"/>
        <v>6.2959836700904326E-5</v>
      </c>
      <c r="AA27">
        <v>2120</v>
      </c>
      <c r="AB27">
        <v>3.19316931248781</v>
      </c>
      <c r="AC27">
        <f t="shared" si="6"/>
        <v>0.99411987711792194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3 full 0</vt:lpstr>
      <vt:lpstr>Ex 3 full 1</vt:lpstr>
      <vt:lpstr>Ex 3 Gauss 0</vt:lpstr>
      <vt:lpstr>Ex 3 Gauss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DIMITRIOU, Paraskevi</dc:creator>
  <cp:lastModifiedBy>DIMITRIOU, Paraskevi</cp:lastModifiedBy>
  <dcterms:created xsi:type="dcterms:W3CDTF">2024-01-09T16:33:46Z</dcterms:created>
  <dcterms:modified xsi:type="dcterms:W3CDTF">2024-04-19T15:19:49Z</dcterms:modified>
</cp:coreProperties>
</file>