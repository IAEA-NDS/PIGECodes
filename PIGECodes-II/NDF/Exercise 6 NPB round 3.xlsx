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DF\Nuno\IAEA\PIGE_IAEA_2023\round_2\all results 2\"/>
    </mc:Choice>
  </mc:AlternateContent>
  <xr:revisionPtr revIDLastSave="0" documentId="13_ncr:1_{60CB92CA-5570-4A24-93C7-E6EB3F89D12C}" xr6:coauthVersionLast="36" xr6:coauthVersionMax="36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Ex 6 Full 0" sheetId="1" r:id="rId1"/>
    <sheet name="Ex 6 Full 1" sheetId="2" r:id="rId2"/>
    <sheet name="Ex 6 Gauss 0" sheetId="3" r:id="rId3"/>
    <sheet name="Ex 6 Gauss 1" sheetId="4" r:id="rId4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AA4" i="4" l="1"/>
  <c r="AA5" i="4"/>
  <c r="AA6" i="4"/>
  <c r="AA7" i="4"/>
  <c r="AA8" i="4"/>
  <c r="AA9" i="4"/>
  <c r="AA3" i="4"/>
  <c r="AB4" i="3"/>
  <c r="AB5" i="3"/>
  <c r="AB6" i="3"/>
  <c r="AB7" i="3"/>
  <c r="AB8" i="3"/>
  <c r="AB9" i="3"/>
  <c r="AB3" i="3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3" i="4"/>
  <c r="P3" i="4" s="1"/>
  <c r="D9" i="4"/>
  <c r="E9" i="4" s="1"/>
  <c r="M9" i="4" s="1"/>
  <c r="N9" i="4" s="1"/>
  <c r="D8" i="4"/>
  <c r="E8" i="4" s="1"/>
  <c r="M8" i="4" s="1"/>
  <c r="N8" i="4" s="1"/>
  <c r="D7" i="4"/>
  <c r="E7" i="4" s="1"/>
  <c r="M7" i="4" s="1"/>
  <c r="N7" i="4" s="1"/>
  <c r="D6" i="4"/>
  <c r="E6" i="4" s="1"/>
  <c r="M6" i="4" s="1"/>
  <c r="N6" i="4" s="1"/>
  <c r="D5" i="4"/>
  <c r="E5" i="4" s="1"/>
  <c r="M5" i="4" s="1"/>
  <c r="N5" i="4" s="1"/>
  <c r="D4" i="4"/>
  <c r="E4" i="4" s="1"/>
  <c r="M4" i="4" s="1"/>
  <c r="N4" i="4" s="1"/>
  <c r="D3" i="4"/>
  <c r="E3" i="4" s="1"/>
  <c r="M3" i="4" s="1"/>
  <c r="N3" i="4" s="1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3" i="3"/>
  <c r="P3" i="3" s="1"/>
  <c r="D9" i="3"/>
  <c r="E9" i="3" s="1"/>
  <c r="M9" i="3" s="1"/>
  <c r="N9" i="3" s="1"/>
  <c r="D8" i="3"/>
  <c r="E8" i="3" s="1"/>
  <c r="M8" i="3" s="1"/>
  <c r="N8" i="3" s="1"/>
  <c r="D7" i="3"/>
  <c r="E7" i="3" s="1"/>
  <c r="M7" i="3" s="1"/>
  <c r="N7" i="3" s="1"/>
  <c r="D6" i="3"/>
  <c r="E6" i="3" s="1"/>
  <c r="M6" i="3" s="1"/>
  <c r="N6" i="3" s="1"/>
  <c r="D5" i="3"/>
  <c r="E5" i="3" s="1"/>
  <c r="M5" i="3" s="1"/>
  <c r="N5" i="3" s="1"/>
  <c r="D4" i="3"/>
  <c r="E4" i="3" s="1"/>
  <c r="M4" i="3" s="1"/>
  <c r="N4" i="3" s="1"/>
  <c r="D3" i="3"/>
  <c r="E3" i="3" s="1"/>
  <c r="M3" i="3" s="1"/>
  <c r="N3" i="3" s="1"/>
  <c r="P8" i="2"/>
  <c r="P9" i="2"/>
  <c r="O4" i="2"/>
  <c r="P4" i="2" s="1"/>
  <c r="O5" i="2"/>
  <c r="P5" i="2" s="1"/>
  <c r="O6" i="2"/>
  <c r="P6" i="2" s="1"/>
  <c r="O7" i="2"/>
  <c r="P7" i="2" s="1"/>
  <c r="O8" i="2"/>
  <c r="O9" i="2"/>
  <c r="O3" i="2"/>
  <c r="P3" i="2" s="1"/>
  <c r="M6" i="2"/>
  <c r="N6" i="2" s="1"/>
  <c r="M7" i="2"/>
  <c r="N7" i="2" s="1"/>
  <c r="M3" i="2"/>
  <c r="N3" i="2" s="1"/>
  <c r="D9" i="2"/>
  <c r="E9" i="2" s="1"/>
  <c r="M9" i="2" s="1"/>
  <c r="N9" i="2" s="1"/>
  <c r="D8" i="2"/>
  <c r="E8" i="2" s="1"/>
  <c r="M8" i="2" s="1"/>
  <c r="N8" i="2" s="1"/>
  <c r="D7" i="2"/>
  <c r="E7" i="2" s="1"/>
  <c r="D6" i="2"/>
  <c r="E6" i="2" s="1"/>
  <c r="D5" i="2"/>
  <c r="E5" i="2" s="1"/>
  <c r="M5" i="2" s="1"/>
  <c r="N5" i="2" s="1"/>
  <c r="D4" i="2"/>
  <c r="E4" i="2" s="1"/>
  <c r="M4" i="2" s="1"/>
  <c r="N4" i="2" s="1"/>
  <c r="D3" i="2"/>
  <c r="E3" i="2" s="1"/>
  <c r="P4" i="1"/>
  <c r="P5" i="1"/>
  <c r="P6" i="1"/>
  <c r="P7" i="1"/>
  <c r="P8" i="1"/>
  <c r="P9" i="1"/>
  <c r="P3" i="1"/>
  <c r="M5" i="1"/>
  <c r="N5" i="1" s="1"/>
  <c r="D9" i="1"/>
  <c r="E9" i="1" s="1"/>
  <c r="M9" i="1" s="1"/>
  <c r="N9" i="1" s="1"/>
  <c r="D8" i="1"/>
  <c r="E8" i="1" s="1"/>
  <c r="M8" i="1" s="1"/>
  <c r="N8" i="1" s="1"/>
  <c r="D7" i="1"/>
  <c r="E7" i="1" s="1"/>
  <c r="M7" i="1" s="1"/>
  <c r="N7" i="1" s="1"/>
  <c r="D6" i="1"/>
  <c r="E6" i="1" s="1"/>
  <c r="M6" i="1" s="1"/>
  <c r="N6" i="1" s="1"/>
  <c r="D5" i="1"/>
  <c r="E5" i="1" s="1"/>
  <c r="D4" i="1"/>
  <c r="E4" i="1" s="1"/>
  <c r="M4" i="1" s="1"/>
  <c r="N4" i="1" s="1"/>
  <c r="D3" i="1"/>
  <c r="E3" i="1" s="1"/>
  <c r="M3" i="1" s="1"/>
  <c r="N3" i="1" s="1"/>
</calcChain>
</file>

<file path=xl/sharedStrings.xml><?xml version="1.0" encoding="utf-8"?>
<sst xmlns="http://schemas.openxmlformats.org/spreadsheetml/2006/main" count="68" uniqueCount="13">
  <si>
    <t>Energy (keV)</t>
  </si>
  <si>
    <t>27Al (844 keV)</t>
  </si>
  <si>
    <t>28Si (1779 keV)</t>
  </si>
  <si>
    <t>Renormalization</t>
  </si>
  <si>
    <t>Count/msr/uC</t>
  </si>
  <si>
    <t>ERYA</t>
  </si>
  <si>
    <t>NDF</t>
  </si>
  <si>
    <t>SMNRA</t>
  </si>
  <si>
    <t>ERYA/NDF</t>
  </si>
  <si>
    <t>REL</t>
  </si>
  <si>
    <t>SMNRA/NDF</t>
  </si>
  <si>
    <t>SMNRA-asym</t>
  </si>
  <si>
    <t>NDF Yang 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</si>
</sst>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0000"/>
    <numFmt numFmtId="166" formatCode="0.0000000000000000"/>
    <numFmt numFmtId="167" formatCode="0.00000000000"/>
  </numFmts>
  <fonts count="1" x14ac:knownFonts="1"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 applyProtection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6 Full </a:t>
            </a:r>
            <a:r>
              <a:rPr lang="el-GR" sz="2000"/>
              <a:t>Δ</a:t>
            </a:r>
            <a:r>
              <a:rPr lang="en-GB" sz="20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0'!$E$3:$E$9</c:f>
              <c:numCache>
                <c:formatCode>General</c:formatCode>
                <c:ptCount val="7"/>
                <c:pt idx="0">
                  <c:v>8.6343104859603906E-2</c:v>
                </c:pt>
                <c:pt idx="1">
                  <c:v>8.8815576847578265E-2</c:v>
                </c:pt>
                <c:pt idx="2">
                  <c:v>9.0848666074366105E-2</c:v>
                </c:pt>
                <c:pt idx="3">
                  <c:v>9.3243618059226888E-2</c:v>
                </c:pt>
                <c:pt idx="4">
                  <c:v>9.5183467520838366E-2</c:v>
                </c:pt>
                <c:pt idx="5">
                  <c:v>9.7468843517202614E-2</c:v>
                </c:pt>
                <c:pt idx="6">
                  <c:v>9.9425799778705956E-2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F-4614-BD28-84C6F3C53782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0'!$H$3:$H$9</c:f>
              <c:numCache>
                <c:formatCode>0.00000000</c:formatCode>
                <c:ptCount val="7"/>
                <c:pt idx="0">
                  <c:v>9.2199519999999993E-2</c:v>
                </c:pt>
                <c:pt idx="1">
                  <c:v>9.4337980000000002E-2</c:v>
                </c:pt>
                <c:pt idx="2">
                  <c:v>9.6418760000000006E-2</c:v>
                </c:pt>
                <c:pt idx="3">
                  <c:v>9.8401719999999998E-2</c:v>
                </c:pt>
                <c:pt idx="4">
                  <c:v>0.10059653</c:v>
                </c:pt>
                <c:pt idx="5">
                  <c:v>0.10253898</c:v>
                </c:pt>
                <c:pt idx="6">
                  <c:v>0.10440437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4F-4614-BD28-84C6F3C53782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0'!$K$3:$K$9</c:f>
              <c:numCache>
                <c:formatCode>0.0000000000000000</c:formatCode>
                <c:ptCount val="7"/>
                <c:pt idx="0">
                  <c:v>8.7271654944522103E-2</c:v>
                </c:pt>
                <c:pt idx="1">
                  <c:v>8.9601970904878897E-2</c:v>
                </c:pt>
                <c:pt idx="2">
                  <c:v>9.1894970926917799E-2</c:v>
                </c:pt>
                <c:pt idx="3">
                  <c:v>9.4146147484297699E-2</c:v>
                </c:pt>
                <c:pt idx="4">
                  <c:v>9.6350670789399295E-2</c:v>
                </c:pt>
                <c:pt idx="5">
                  <c:v>9.85049309333349E-2</c:v>
                </c:pt>
                <c:pt idx="6">
                  <c:v>0.100604387622181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4F-4614-BD28-84C6F3C53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77472"/>
        <c:axId val="211179776"/>
      </c:scatterChart>
      <c:valAx>
        <c:axId val="21117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9776"/>
        <c:crosses val="autoZero"/>
        <c:crossBetween val="midCat"/>
      </c:valAx>
      <c:valAx>
        <c:axId val="211179776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0'!$M$3:$M$9</c:f>
              <c:numCache>
                <c:formatCode>General</c:formatCode>
                <c:ptCount val="7"/>
                <c:pt idx="0">
                  <c:v>0.93648106692533661</c:v>
                </c:pt>
                <c:pt idx="1">
                  <c:v>0.94146150731209488</c:v>
                </c:pt>
                <c:pt idx="2">
                  <c:v>0.94223018502173328</c:v>
                </c:pt>
                <c:pt idx="3">
                  <c:v>0.94758118109344924</c:v>
                </c:pt>
                <c:pt idx="4">
                  <c:v>0.9461903658191626</c:v>
                </c:pt>
                <c:pt idx="5">
                  <c:v>0.95055405775640256</c:v>
                </c:pt>
                <c:pt idx="6">
                  <c:v>0.95231454180228237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AE-40DD-ACB5-4438C644EE43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Full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0'!$O$3:$O$9</c:f>
              <c:numCache>
                <c:formatCode>General</c:formatCode>
                <c:ptCount val="7"/>
                <c:pt idx="0">
                  <c:v>0.94655216149196997</c:v>
                </c:pt>
                <c:pt idx="1">
                  <c:v>0.94979742946455814</c:v>
                </c:pt>
                <c:pt idx="2">
                  <c:v>0.95308185800064005</c:v>
                </c:pt>
                <c:pt idx="3">
                  <c:v>0.956753067774605</c:v>
                </c:pt>
                <c:pt idx="4">
                  <c:v>0.95779318421221182</c:v>
                </c:pt>
                <c:pt idx="5">
                  <c:v>0.96065838506814583</c:v>
                </c:pt>
                <c:pt idx="6">
                  <c:v>0.96360322486674654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AE-40DD-ACB5-4438C644E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28416"/>
        <c:axId val="211630720"/>
      </c:scatterChart>
      <c:valAx>
        <c:axId val="21162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0720"/>
        <c:crosses val="autoZero"/>
        <c:crossBetween val="midCat"/>
      </c:valAx>
      <c:valAx>
        <c:axId val="2116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8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6 Full Straggling </a:t>
            </a:r>
            <a:r>
              <a:rPr lang="el-GR" sz="1800"/>
              <a:t>Δ</a:t>
            </a:r>
            <a:r>
              <a:rPr lang="en-GB" sz="18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Full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1'!$E$3:$E$9</c:f>
              <c:numCache>
                <c:formatCode>General</c:formatCode>
                <c:ptCount val="7"/>
                <c:pt idx="0">
                  <c:v>8.8444313055330528E-2</c:v>
                </c:pt>
                <c:pt idx="1">
                  <c:v>9.0544442443856787E-2</c:v>
                </c:pt>
                <c:pt idx="2">
                  <c:v>9.2927065203570247E-2</c:v>
                </c:pt>
                <c:pt idx="3">
                  <c:v>9.5126753085160831E-2</c:v>
                </c:pt>
                <c:pt idx="4">
                  <c:v>9.7139961436398678E-2</c:v>
                </c:pt>
                <c:pt idx="5">
                  <c:v>9.9134984180544283E-2</c:v>
                </c:pt>
                <c:pt idx="6">
                  <c:v>0.10131864406944339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4-49B2-B2A3-B928D371E7D8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Full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1'!$H$3:$H$9</c:f>
              <c:numCache>
                <c:formatCode>0.000000000</c:formatCode>
                <c:ptCount val="7"/>
                <c:pt idx="0">
                  <c:v>9.2172729999999994E-2</c:v>
                </c:pt>
                <c:pt idx="1">
                  <c:v>9.4322539999999996E-2</c:v>
                </c:pt>
                <c:pt idx="2">
                  <c:v>9.640398E-2</c:v>
                </c:pt>
                <c:pt idx="3">
                  <c:v>9.8408170000000003E-2</c:v>
                </c:pt>
                <c:pt idx="4">
                  <c:v>0.10060482</c:v>
                </c:pt>
                <c:pt idx="5">
                  <c:v>0.10251502</c:v>
                </c:pt>
                <c:pt idx="6">
                  <c:v>0.10437936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94-49B2-B2A3-B928D371E7D8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Full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1'!$K$3:$K$9</c:f>
              <c:numCache>
                <c:formatCode>0.0000000000000000</c:formatCode>
                <c:ptCount val="7"/>
                <c:pt idx="0">
                  <c:v>8.7256179512968102E-2</c:v>
                </c:pt>
                <c:pt idx="1">
                  <c:v>8.9584553990842405E-2</c:v>
                </c:pt>
                <c:pt idx="2">
                  <c:v>9.1875674814498307E-2</c:v>
                </c:pt>
                <c:pt idx="3">
                  <c:v>9.4125101438403497E-2</c:v>
                </c:pt>
                <c:pt idx="4">
                  <c:v>9.6328054455293299E-2</c:v>
                </c:pt>
                <c:pt idx="5">
                  <c:v>9.8480926769979604E-2</c:v>
                </c:pt>
                <c:pt idx="6">
                  <c:v>0.100578957851512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94-49B2-B2A3-B928D371E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00448"/>
        <c:axId val="211583360"/>
      </c:scatterChart>
      <c:valAx>
        <c:axId val="21020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83360"/>
        <c:crosses val="autoZero"/>
        <c:crossBetween val="midCat"/>
      </c:valAx>
      <c:valAx>
        <c:axId val="211583360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0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Full 1'!$J$3:$J$9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1'!$M$3:$M$9</c:f>
              <c:numCache>
                <c:formatCode>General</c:formatCode>
                <c:ptCount val="7"/>
                <c:pt idx="0">
                  <c:v>0.95954967434869876</c:v>
                </c:pt>
                <c:pt idx="1">
                  <c:v>0.95994491288992845</c:v>
                </c:pt>
                <c:pt idx="2">
                  <c:v>0.96393390815991464</c:v>
                </c:pt>
                <c:pt idx="3">
                  <c:v>0.96665503570649502</c:v>
                </c:pt>
                <c:pt idx="4">
                  <c:v>0.96555971608913649</c:v>
                </c:pt>
                <c:pt idx="5">
                  <c:v>0.9670288722622723</c:v>
                </c:pt>
                <c:pt idx="6">
                  <c:v>0.97067700040930882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D-4D9C-9419-6E29A86696AC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Full 1'!$J$3:$J$9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Full 1'!$O$3:$O$9</c:f>
              <c:numCache>
                <c:formatCode>General</c:formatCode>
                <c:ptCount val="7"/>
                <c:pt idx="0">
                  <c:v>0.94665938084906576</c:v>
                </c:pt>
                <c:pt idx="1">
                  <c:v>0.9497682525390263</c:v>
                </c:pt>
                <c:pt idx="2">
                  <c:v>0.95302781912632972</c:v>
                </c:pt>
                <c:pt idx="3">
                  <c:v>0.95647649416103864</c:v>
                </c:pt>
                <c:pt idx="4">
                  <c:v>0.95748945682019315</c:v>
                </c:pt>
                <c:pt idx="5">
                  <c:v>0.96064875927429572</c:v>
                </c:pt>
                <c:pt idx="6">
                  <c:v>0.96359048236655209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D-4D9C-9419-6E29A8669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75392"/>
        <c:axId val="211682048"/>
      </c:scatterChart>
      <c:valAx>
        <c:axId val="21167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40942239240642864"/>
              <c:y val="0.776155438539188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82048"/>
        <c:crosses val="autoZero"/>
        <c:crossBetween val="midCat"/>
      </c:valAx>
      <c:valAx>
        <c:axId val="2116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7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6 Gauss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Gauss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0'!$E$3:$E$9</c:f>
              <c:numCache>
                <c:formatCode>General</c:formatCode>
                <c:ptCount val="7"/>
                <c:pt idx="0">
                  <c:v>8.7533183316945942E-2</c:v>
                </c:pt>
                <c:pt idx="1">
                  <c:v>8.9831350884400474E-2</c:v>
                </c:pt>
                <c:pt idx="2">
                  <c:v>8.9866180945441576E-2</c:v>
                </c:pt>
                <c:pt idx="3">
                  <c:v>9.5112882706870128E-2</c:v>
                </c:pt>
                <c:pt idx="4">
                  <c:v>9.5274395556299629E-2</c:v>
                </c:pt>
                <c:pt idx="5">
                  <c:v>9.5652286307064002E-2</c:v>
                </c:pt>
                <c:pt idx="6">
                  <c:v>0.10073762933437744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E-4AB2-A75B-6A6A96A09ECB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Gauss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0'!$H$3:$H$9</c:f>
              <c:numCache>
                <c:formatCode>0.000000000</c:formatCode>
                <c:ptCount val="7"/>
                <c:pt idx="0">
                  <c:v>9.3032420000000005E-2</c:v>
                </c:pt>
                <c:pt idx="1">
                  <c:v>9.5072076000000005E-2</c:v>
                </c:pt>
                <c:pt idx="2">
                  <c:v>9.7137362000000005E-2</c:v>
                </c:pt>
                <c:pt idx="3">
                  <c:v>9.9083415999999994E-2</c:v>
                </c:pt>
                <c:pt idx="4">
                  <c:v>0.10101673999999999</c:v>
                </c:pt>
                <c:pt idx="5">
                  <c:v>0.10289668</c:v>
                </c:pt>
                <c:pt idx="6">
                  <c:v>0.10483894000000001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DE-4AB2-A75B-6A6A96A09ECB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Gauss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0'!$K$3:$K$9</c:f>
              <c:numCache>
                <c:formatCode>0.0000000000000000</c:formatCode>
                <c:ptCount val="7"/>
                <c:pt idx="0">
                  <c:v>9.2403670646287697E-2</c:v>
                </c:pt>
                <c:pt idx="1">
                  <c:v>9.4533597814713002E-2</c:v>
                </c:pt>
                <c:pt idx="2">
                  <c:v>9.66201166540471E-2</c:v>
                </c:pt>
                <c:pt idx="3">
                  <c:v>9.8658728222784098E-2</c:v>
                </c:pt>
                <c:pt idx="4">
                  <c:v>0.100644827001142</c:v>
                </c:pt>
                <c:pt idx="5">
                  <c:v>0.1025739337526</c:v>
                </c:pt>
                <c:pt idx="6">
                  <c:v>0.104441849263709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DE-4AB2-A75B-6A6A96A09ECB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Gauss 0'!$Z$3:$Z$9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0'!$AA$3:$AA$9</c:f>
              <c:numCache>
                <c:formatCode>0.00000000000</c:formatCode>
                <c:ptCount val="7"/>
                <c:pt idx="0">
                  <c:v>8.6748775108352605E-2</c:v>
                </c:pt>
                <c:pt idx="1">
                  <c:v>8.9009935554309805E-2</c:v>
                </c:pt>
                <c:pt idx="2">
                  <c:v>9.1233972423638995E-2</c:v>
                </c:pt>
                <c:pt idx="3">
                  <c:v>9.3416637545149103E-2</c:v>
                </c:pt>
                <c:pt idx="4">
                  <c:v>9.5554148930652796E-2</c:v>
                </c:pt>
                <c:pt idx="5">
                  <c:v>9.7642283353961995E-2</c:v>
                </c:pt>
                <c:pt idx="6">
                  <c:v>9.9676709209592804E-2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F9-4034-8B6C-C2DD8B167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09248"/>
        <c:axId val="211911808"/>
      </c:scatterChart>
      <c:valAx>
        <c:axId val="21190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1808"/>
        <c:crosses val="autoZero"/>
        <c:crossBetween val="midCat"/>
      </c:valAx>
      <c:valAx>
        <c:axId val="211911808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Gauss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0'!$M$3:$M$9</c:f>
              <c:numCache>
                <c:formatCode>General</c:formatCode>
                <c:ptCount val="7"/>
                <c:pt idx="0">
                  <c:v>0.94088902897447946</c:v>
                </c:pt>
                <c:pt idx="1">
                  <c:v>0.9448762945325867</c:v>
                </c:pt>
                <c:pt idx="2">
                  <c:v>0.9251453724411578</c:v>
                </c:pt>
                <c:pt idx="3">
                  <c:v>0.95992736773296283</c:v>
                </c:pt>
                <c:pt idx="4">
                  <c:v>0.94315452623297524</c:v>
                </c:pt>
                <c:pt idx="5">
                  <c:v>0.92959545737592308</c:v>
                </c:pt>
                <c:pt idx="6">
                  <c:v>0.9608798919025453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BB-4B01-9AB5-3C122BF9D4E4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Gauss 0'!$J$3:$J$9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0'!$O$3:$O$9</c:f>
              <c:numCache>
                <c:formatCode>General</c:formatCode>
                <c:ptCount val="7"/>
                <c:pt idx="0">
                  <c:v>0.99324161025035884</c:v>
                </c:pt>
                <c:pt idx="1">
                  <c:v>0.99433610574268938</c:v>
                </c:pt>
                <c:pt idx="2">
                  <c:v>0.99467511434011457</c:v>
                </c:pt>
                <c:pt idx="3">
                  <c:v>0.99571383593379648</c:v>
                </c:pt>
                <c:pt idx="4">
                  <c:v>0.99631830329450344</c:v>
                </c:pt>
                <c:pt idx="5">
                  <c:v>0.99686339493752374</c:v>
                </c:pt>
                <c:pt idx="6">
                  <c:v>0.99621237360573267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BB-4B01-9AB5-3C122BF9D4E4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Gauss 0'!$Z$3:$Z$9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0'!$AB$3:$AB$9</c:f>
              <c:numCache>
                <c:formatCode>General</c:formatCode>
                <c:ptCount val="7"/>
                <c:pt idx="0">
                  <c:v>0.93245747136699875</c:v>
                </c:pt>
                <c:pt idx="1">
                  <c:v>0.93623637243715807</c:v>
                </c:pt>
                <c:pt idx="2">
                  <c:v>0.93922637536357012</c:v>
                </c:pt>
                <c:pt idx="3">
                  <c:v>0.94280800275546728</c:v>
                </c:pt>
                <c:pt idx="4">
                  <c:v>0.94592390261903925</c:v>
                </c:pt>
                <c:pt idx="5">
                  <c:v>0.94893521689875704</c:v>
                </c:pt>
                <c:pt idx="6">
                  <c:v>0.95076036832872213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D-4D80-B6DE-A42B4EAF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48640"/>
        <c:axId val="211250560"/>
      </c:scatterChart>
      <c:valAx>
        <c:axId val="21124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0560"/>
        <c:crosses val="autoZero"/>
        <c:crossBetween val="midCat"/>
      </c:valAx>
      <c:valAx>
        <c:axId val="21125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6701735199766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6 Gauss Straggling </a:t>
            </a:r>
            <a:r>
              <a:rPr lang="el-GR" sz="2000"/>
              <a:t>Δ</a:t>
            </a:r>
            <a:r>
              <a:rPr lang="en-GB" sz="20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1'!$E$3:$E$9</c:f>
              <c:numCache>
                <c:formatCode>General</c:formatCode>
                <c:ptCount val="7"/>
                <c:pt idx="0">
                  <c:v>8.4647528171223077E-2</c:v>
                </c:pt>
                <c:pt idx="1">
                  <c:v>9.0345479573042398E-2</c:v>
                </c:pt>
                <c:pt idx="2">
                  <c:v>9.0017368068810194E-2</c:v>
                </c:pt>
                <c:pt idx="3">
                  <c:v>9.5280097822930232E-2</c:v>
                </c:pt>
                <c:pt idx="4">
                  <c:v>9.6566652467049777E-2</c:v>
                </c:pt>
                <c:pt idx="5">
                  <c:v>9.5663536725010892E-2</c:v>
                </c:pt>
                <c:pt idx="6">
                  <c:v>0.10162425473778181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7-42B0-9E1C-DC5CB9C41204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Gauss 1'!$J$3:$J$9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1'!$H$3:$H$9</c:f>
              <c:numCache>
                <c:formatCode>0.000000000</c:formatCode>
                <c:ptCount val="7"/>
                <c:pt idx="0">
                  <c:v>9.3019821000000003E-2</c:v>
                </c:pt>
                <c:pt idx="1">
                  <c:v>9.5041573000000004E-2</c:v>
                </c:pt>
                <c:pt idx="2">
                  <c:v>9.7103811999999998E-2</c:v>
                </c:pt>
                <c:pt idx="3">
                  <c:v>9.9045812999999996E-2</c:v>
                </c:pt>
                <c:pt idx="4">
                  <c:v>0.10097966</c:v>
                </c:pt>
                <c:pt idx="5">
                  <c:v>0.10286385000000001</c:v>
                </c:pt>
                <c:pt idx="6">
                  <c:v>0.10482555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7-42B0-9E1C-DC5CB9C41204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1'!$K$3:$K$9</c:f>
              <c:numCache>
                <c:formatCode>0.00000000</c:formatCode>
                <c:ptCount val="7"/>
                <c:pt idx="0">
                  <c:v>9.2390595257915098E-2</c:v>
                </c:pt>
                <c:pt idx="1">
                  <c:v>9.4518602104534194E-2</c:v>
                </c:pt>
                <c:pt idx="2">
                  <c:v>9.6603229438056798E-2</c:v>
                </c:pt>
                <c:pt idx="3">
                  <c:v>9.8639981319895903E-2</c:v>
                </c:pt>
                <c:pt idx="4">
                  <c:v>0.100624431795974</c:v>
                </c:pt>
                <c:pt idx="5">
                  <c:v>0.102551966969986</c:v>
                </c:pt>
                <c:pt idx="6">
                  <c:v>0.104418228932266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57-42B0-9E1C-DC5CB9C41204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6 Gauss 1'!$Y$3:$Y$9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1'!$Z$3:$Z$9</c:f>
              <c:numCache>
                <c:formatCode>0.000000000</c:formatCode>
                <c:ptCount val="7"/>
                <c:pt idx="0">
                  <c:v>8.6741654037674101E-2</c:v>
                </c:pt>
                <c:pt idx="1">
                  <c:v>8.9000586006128604E-2</c:v>
                </c:pt>
                <c:pt idx="2">
                  <c:v>9.1222519796477206E-2</c:v>
                </c:pt>
                <c:pt idx="3">
                  <c:v>9.3403269350720602E-2</c:v>
                </c:pt>
                <c:pt idx="4">
                  <c:v>9.5538963031558594E-2</c:v>
                </c:pt>
                <c:pt idx="5">
                  <c:v>9.7625344827318702E-2</c:v>
                </c:pt>
                <c:pt idx="6">
                  <c:v>9.9658214876051199E-2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6-4D40-A68B-E24E5F2E7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47712"/>
        <c:axId val="211706624"/>
      </c:scatterChart>
      <c:valAx>
        <c:axId val="21134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6624"/>
        <c:crosses val="autoZero"/>
        <c:crossBetween val="midCat"/>
      </c:valAx>
      <c:valAx>
        <c:axId val="211706624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47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1'!$M$3:$M$9</c:f>
              <c:numCache>
                <c:formatCode>General</c:formatCode>
                <c:ptCount val="7"/>
                <c:pt idx="0">
                  <c:v>0.90999452870612463</c:v>
                </c:pt>
                <c:pt idx="1">
                  <c:v>0.95058906035827495</c:v>
                </c:pt>
                <c:pt idx="2">
                  <c:v>0.92702198003112579</c:v>
                </c:pt>
                <c:pt idx="3">
                  <c:v>0.9619800669709303</c:v>
                </c:pt>
                <c:pt idx="4">
                  <c:v>0.95629805514347921</c:v>
                </c:pt>
                <c:pt idx="5">
                  <c:v>0.93000151875523696</c:v>
                </c:pt>
                <c:pt idx="6">
                  <c:v>0.9694607348855484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97-48F1-8028-510F46E11AE0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6 Gauss 1'!$A$3:$A$9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1'!$O$3:$O$9</c:f>
              <c:numCache>
                <c:formatCode>General</c:formatCode>
                <c:ptCount val="7"/>
                <c:pt idx="0">
                  <c:v>0.99323557350121217</c:v>
                </c:pt>
                <c:pt idx="1">
                  <c:v>0.99449745117890875</c:v>
                </c:pt>
                <c:pt idx="2">
                  <c:v>0.99484487218747708</c:v>
                </c:pt>
                <c:pt idx="3">
                  <c:v>0.99590258620923133</c:v>
                </c:pt>
                <c:pt idx="4">
                  <c:v>0.99648218062898997</c:v>
                </c:pt>
                <c:pt idx="5">
                  <c:v>0.99696800158642707</c:v>
                </c:pt>
                <c:pt idx="6">
                  <c:v>0.99611429591608147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97-48F1-8028-510F46E11AE0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6 Gauss 1'!$Y$3:$Y$9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 6 Gauss 1'!$AA$3:$AA$9</c:f>
              <c:numCache>
                <c:formatCode>General</c:formatCode>
                <c:ptCount val="7"/>
                <c:pt idx="0">
                  <c:v>0.93250721303445749</c:v>
                </c:pt>
                <c:pt idx="1">
                  <c:v>0.93643847841332128</c:v>
                </c:pt>
                <c:pt idx="2">
                  <c:v>0.93943294210197648</c:v>
                </c:pt>
                <c:pt idx="3">
                  <c:v>0.9430309724523197</c:v>
                </c:pt>
                <c:pt idx="4">
                  <c:v>0.9461208626723302</c:v>
                </c:pt>
                <c:pt idx="5">
                  <c:v>0.94907340943702467</c:v>
                </c:pt>
                <c:pt idx="6">
                  <c:v>0.95070538505212898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6-4609-B7F9-E72063316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30784"/>
        <c:axId val="211437440"/>
      </c:scatterChart>
      <c:valAx>
        <c:axId val="21143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37440"/>
        <c:crosses val="autoZero"/>
        <c:crossBetween val="midCat"/>
      </c:valAx>
      <c:valAx>
        <c:axId val="2114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71646981627296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3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176211</xdr:colOff>
      <xdr:row>0</xdr:row>
      <xdr:rowOff>9524</xdr:rowOff>
    </xdr:from>
    <xdr:to>
      <xdr:col>19</xdr:col>
      <xdr:colOff>419099</xdr:colOff>
      <xdr:row>19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51028-5E25-E162-A7C8-B5A5227AF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176212</xdr:colOff>
      <xdr:row>19</xdr:row>
      <xdr:rowOff>66675</xdr:rowOff>
    </xdr:from>
    <xdr:to>
      <xdr:col>19</xdr:col>
      <xdr:colOff>428625</xdr:colOff>
      <xdr:row>35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67E42B-C8AD-8A95-588F-2B0232910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380999</xdr:colOff>
      <xdr:row>0</xdr:row>
      <xdr:rowOff>0</xdr:rowOff>
    </xdr:from>
    <xdr:to>
      <xdr:col>24</xdr:col>
      <xdr:colOff>447674</xdr:colOff>
      <xdr:row>18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4C4BD-2D14-3151-62F6-1E70C3E46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390525</xdr:colOff>
      <xdr:row>18</xdr:row>
      <xdr:rowOff>114299</xdr:rowOff>
    </xdr:from>
    <xdr:to>
      <xdr:col>24</xdr:col>
      <xdr:colOff>466725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7FB6D-1C3F-18BA-5AC0-826D797A4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438149</xdr:colOff>
      <xdr:row>0</xdr:row>
      <xdr:rowOff>95249</xdr:rowOff>
    </xdr:from>
    <xdr:to>
      <xdr:col>24</xdr:col>
      <xdr:colOff>9524</xdr:colOff>
      <xdr:row>18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31296-AEA6-5CA5-B565-7D790D717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452437</xdr:colOff>
      <xdr:row>19</xdr:row>
      <xdr:rowOff>28575</xdr:rowOff>
    </xdr:from>
    <xdr:to>
      <xdr:col>24</xdr:col>
      <xdr:colOff>9525</xdr:colOff>
      <xdr:row>37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238DC4-B74E-8AC2-17A0-8F5180CB5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128587</xdr:colOff>
      <xdr:row>0</xdr:row>
      <xdr:rowOff>38099</xdr:rowOff>
    </xdr:from>
    <xdr:to>
      <xdr:col>23</xdr:col>
      <xdr:colOff>142875</xdr:colOff>
      <xdr:row>19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DC856-C1C8-626A-B90B-B79692544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128586</xdr:colOff>
      <xdr:row>19</xdr:row>
      <xdr:rowOff>38099</xdr:rowOff>
    </xdr:from>
    <xdr:to>
      <xdr:col>23</xdr:col>
      <xdr:colOff>152399</xdr:colOff>
      <xdr:row>36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66FE4-054C-46D9-3234-C0DCBC815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opLeftCell="H1" zoomScaleNormal="100" workbookViewId="0">
      <selection activeCell="I3" sqref="I3:I9"/>
    </sheetView>
  </sheetViews>
  <sheetFormatPr defaultColWidth="20.625" defaultRowHeight="15.75" x14ac:dyDescent="0.25"/>
  <cols>
    <col min="1" max="1" width="12.75" customWidth="1"/>
    <col min="2" max="2" width="11.375" customWidth="1"/>
    <col min="3" max="3" width="13.25" customWidth="1"/>
    <col min="4" max="4" width="15.75" customWidth="1"/>
    <col min="5" max="5" width="16.125" customWidth="1"/>
    <col min="6" max="6" width="10.375" customWidth="1"/>
    <col min="7" max="7" width="16.375" style="2" customWidth="1"/>
    <col min="8" max="8" width="16.125" style="3" customWidth="1"/>
    <col min="9" max="9" width="13.375" customWidth="1"/>
    <col min="10" max="10" width="15.5" customWidth="1"/>
    <col min="11" max="11" width="21.75" style="5" bestFit="1" customWidth="1"/>
    <col min="12" max="12" width="17.5" style="5" customWidth="1"/>
    <col min="13" max="13" width="17.875" customWidth="1"/>
    <col min="14" max="14" width="14.625" customWidth="1"/>
    <col min="15" max="15" width="18.25" customWidth="1"/>
    <col min="16" max="16" width="14.25" customWidth="1"/>
  </cols>
  <sheetData>
    <row r="1" spans="1:16" x14ac:dyDescent="0.25">
      <c r="B1" t="s">
        <v>5</v>
      </c>
      <c r="H1" s="3" t="s">
        <v>6</v>
      </c>
      <c r="I1" t="s">
        <v>12</v>
      </c>
      <c r="K1" s="5" t="s">
        <v>7</v>
      </c>
      <c r="M1" t="s">
        <v>8</v>
      </c>
      <c r="N1" t="s">
        <v>9</v>
      </c>
      <c r="O1" t="s">
        <v>10</v>
      </c>
      <c r="P1" t="s">
        <v>9</v>
      </c>
    </row>
    <row r="2" spans="1:16" x14ac:dyDescent="0.25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  <c r="G2" s="1" t="s">
        <v>0</v>
      </c>
      <c r="H2" t="s">
        <v>4</v>
      </c>
      <c r="J2" s="1" t="s">
        <v>0</v>
      </c>
      <c r="K2" t="s">
        <v>4</v>
      </c>
    </row>
    <row r="3" spans="1:16" x14ac:dyDescent="0.25">
      <c r="A3" s="1">
        <v>2000</v>
      </c>
      <c r="B3" s="1">
        <v>0.56025000000000003</v>
      </c>
      <c r="C3" s="1">
        <v>0</v>
      </c>
      <c r="D3" s="1">
        <f t="shared" ref="D3:D9" si="0">B3*4*PI()/(0.0064886478302)</f>
        <v>1085.0194556602592</v>
      </c>
      <c r="E3">
        <f t="shared" ref="E3:E9" si="1">D3/(4000*PI())</f>
        <v>8.6343104859603906E-2</v>
      </c>
      <c r="G3" s="2">
        <v>2000</v>
      </c>
      <c r="H3" s="3">
        <v>9.2199519999999993E-2</v>
      </c>
      <c r="I3" s="3">
        <v>9.3442839999999999E-2</v>
      </c>
      <c r="J3">
        <v>2000</v>
      </c>
      <c r="K3" s="5">
        <v>8.7271654944522103E-2</v>
      </c>
      <c r="M3">
        <f>E3/H3</f>
        <v>0.93648106692533661</v>
      </c>
      <c r="N3">
        <f>1-M3</f>
        <v>6.3518933074663386E-2</v>
      </c>
      <c r="O3">
        <f>K3/H3</f>
        <v>0.94655216149196997</v>
      </c>
      <c r="P3">
        <f>1-O3</f>
        <v>5.3447838508030032E-2</v>
      </c>
    </row>
    <row r="4" spans="1:16" x14ac:dyDescent="0.25">
      <c r="A4" s="1">
        <v>2000.5</v>
      </c>
      <c r="B4" s="1">
        <v>0.57629300000000006</v>
      </c>
      <c r="C4" s="1">
        <v>0</v>
      </c>
      <c r="D4" s="1">
        <f t="shared" si="0"/>
        <v>1116.0894549947664</v>
      </c>
      <c r="E4">
        <f t="shared" si="1"/>
        <v>8.8815576847578265E-2</v>
      </c>
      <c r="G4" s="2">
        <v>2000.5</v>
      </c>
      <c r="H4" s="3">
        <v>9.4337980000000002E-2</v>
      </c>
      <c r="I4" s="3">
        <v>9.5675780000000002E-2</v>
      </c>
      <c r="J4">
        <v>2000.5</v>
      </c>
      <c r="K4" s="5">
        <v>8.9601970904878897E-2</v>
      </c>
      <c r="M4">
        <f t="shared" ref="M4:M9" si="2">E4/H4</f>
        <v>0.94146150731209488</v>
      </c>
      <c r="N4">
        <f t="shared" ref="N4:N9" si="3">1-M4</f>
        <v>5.8538492687905119E-2</v>
      </c>
      <c r="O4">
        <f t="shared" ref="O4:O9" si="4">K4/H4</f>
        <v>0.94979742946455814</v>
      </c>
      <c r="P4">
        <f t="shared" ref="P4:P9" si="5">1-O4</f>
        <v>5.0202570535441859E-2</v>
      </c>
    </row>
    <row r="5" spans="1:16" x14ac:dyDescent="0.25">
      <c r="A5" s="1">
        <v>2001</v>
      </c>
      <c r="B5" s="1">
        <v>0.58948500000000004</v>
      </c>
      <c r="C5" s="1">
        <v>0</v>
      </c>
      <c r="D5" s="1">
        <f t="shared" si="0"/>
        <v>1141.6380077106433</v>
      </c>
      <c r="E5">
        <f t="shared" si="1"/>
        <v>9.0848666074366105E-2</v>
      </c>
      <c r="G5" s="2">
        <v>2001</v>
      </c>
      <c r="H5" s="3">
        <v>9.6418760000000006E-2</v>
      </c>
      <c r="I5" s="3">
        <v>9.7626749999999998E-2</v>
      </c>
      <c r="J5">
        <v>2001</v>
      </c>
      <c r="K5" s="5">
        <v>9.1894970926917799E-2</v>
      </c>
      <c r="M5">
        <f t="shared" si="2"/>
        <v>0.94223018502173328</v>
      </c>
      <c r="N5">
        <f t="shared" si="3"/>
        <v>5.776981497826672E-2</v>
      </c>
      <c r="O5">
        <f t="shared" si="4"/>
        <v>0.95308185800064005</v>
      </c>
      <c r="P5">
        <f t="shared" si="5"/>
        <v>4.6918141999359952E-2</v>
      </c>
    </row>
    <row r="6" spans="1:16" x14ac:dyDescent="0.25">
      <c r="A6" s="1">
        <v>2001.5</v>
      </c>
      <c r="B6" s="1">
        <v>0.60502500000000003</v>
      </c>
      <c r="C6" s="1">
        <v>0</v>
      </c>
      <c r="D6" s="1">
        <f t="shared" si="0"/>
        <v>1171.7338619559989</v>
      </c>
      <c r="E6">
        <f t="shared" si="1"/>
        <v>9.3243618059226888E-2</v>
      </c>
      <c r="G6" s="2">
        <v>2001.5</v>
      </c>
      <c r="H6" s="3">
        <v>9.8401719999999998E-2</v>
      </c>
      <c r="I6" s="3">
        <v>9.9868940000000003E-2</v>
      </c>
      <c r="J6">
        <v>2001.5</v>
      </c>
      <c r="K6" s="5">
        <v>9.4146147484297699E-2</v>
      </c>
      <c r="M6">
        <f t="shared" si="2"/>
        <v>0.94758118109344924</v>
      </c>
      <c r="N6">
        <f t="shared" si="3"/>
        <v>5.2418818906550757E-2</v>
      </c>
      <c r="O6">
        <f t="shared" si="4"/>
        <v>0.956753067774605</v>
      </c>
      <c r="P6">
        <f t="shared" si="5"/>
        <v>4.3246932225394996E-2</v>
      </c>
    </row>
    <row r="7" spans="1:16" x14ac:dyDescent="0.25">
      <c r="A7" s="1">
        <v>2002</v>
      </c>
      <c r="B7" s="1">
        <v>0.61761200000000005</v>
      </c>
      <c r="C7" s="1">
        <v>0</v>
      </c>
      <c r="D7" s="1">
        <f t="shared" si="0"/>
        <v>1196.1107292266738</v>
      </c>
      <c r="E7">
        <f t="shared" si="1"/>
        <v>9.5183467520838366E-2</v>
      </c>
      <c r="G7" s="2">
        <v>2002</v>
      </c>
      <c r="H7" s="3">
        <v>0.10059653</v>
      </c>
      <c r="I7" s="3">
        <v>0.10193865000000001</v>
      </c>
      <c r="J7">
        <v>2002</v>
      </c>
      <c r="K7" s="5">
        <v>9.6350670789399295E-2</v>
      </c>
      <c r="M7">
        <f t="shared" si="2"/>
        <v>0.9461903658191626</v>
      </c>
      <c r="N7">
        <f t="shared" si="3"/>
        <v>5.3809634180837396E-2</v>
      </c>
      <c r="O7">
        <f t="shared" si="4"/>
        <v>0.95779318421221182</v>
      </c>
      <c r="P7">
        <f t="shared" si="5"/>
        <v>4.2206815787788177E-2</v>
      </c>
    </row>
    <row r="8" spans="1:16" x14ac:dyDescent="0.25">
      <c r="A8" s="1">
        <v>2002.5</v>
      </c>
      <c r="B8" s="1">
        <v>0.63244100000000003</v>
      </c>
      <c r="C8" s="1">
        <v>0</v>
      </c>
      <c r="D8" s="1">
        <f t="shared" si="0"/>
        <v>1224.8296109901473</v>
      </c>
      <c r="E8">
        <f t="shared" si="1"/>
        <v>9.7468843517202614E-2</v>
      </c>
      <c r="G8" s="2">
        <v>2002.5</v>
      </c>
      <c r="H8" s="3">
        <v>0.10253898</v>
      </c>
      <c r="I8" s="3">
        <v>0.10393543</v>
      </c>
      <c r="J8">
        <v>2002.5</v>
      </c>
      <c r="K8" s="5">
        <v>9.85049309333349E-2</v>
      </c>
      <c r="M8">
        <f t="shared" si="2"/>
        <v>0.95055405775640256</v>
      </c>
      <c r="N8">
        <f t="shared" si="3"/>
        <v>4.9445942243597441E-2</v>
      </c>
      <c r="O8">
        <f t="shared" si="4"/>
        <v>0.96065838506814583</v>
      </c>
      <c r="P8">
        <f t="shared" si="5"/>
        <v>3.9341614931854174E-2</v>
      </c>
    </row>
    <row r="9" spans="1:16" x14ac:dyDescent="0.25">
      <c r="A9" s="1">
        <v>2003</v>
      </c>
      <c r="B9" s="1">
        <v>0.64513900000000002</v>
      </c>
      <c r="C9" s="1">
        <v>0</v>
      </c>
      <c r="D9" s="1">
        <f t="shared" si="0"/>
        <v>1249.4214486482892</v>
      </c>
      <c r="E9">
        <f t="shared" si="1"/>
        <v>9.9425799778705956E-2</v>
      </c>
      <c r="G9" s="2">
        <v>2003</v>
      </c>
      <c r="H9" s="3">
        <v>0.10440437</v>
      </c>
      <c r="I9" s="3">
        <v>0.10611253</v>
      </c>
      <c r="J9">
        <v>2003</v>
      </c>
      <c r="K9" s="5">
        <v>0.100604387622181</v>
      </c>
      <c r="M9">
        <f t="shared" si="2"/>
        <v>0.95231454180228237</v>
      </c>
      <c r="N9">
        <f t="shared" si="3"/>
        <v>4.7685458197717634E-2</v>
      </c>
      <c r="O9">
        <f t="shared" si="4"/>
        <v>0.96360322486674654</v>
      </c>
      <c r="P9">
        <f t="shared" si="5"/>
        <v>3.6396775133253456E-2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abSelected="1" topLeftCell="D1" workbookViewId="0">
      <selection activeCell="I3" sqref="I3:I9"/>
    </sheetView>
  </sheetViews>
  <sheetFormatPr defaultRowHeight="15.75" x14ac:dyDescent="0.25"/>
  <cols>
    <col min="1" max="1" width="15" customWidth="1"/>
    <col min="5" max="5" width="13.75" customWidth="1"/>
    <col min="7" max="7" width="13.5" style="2" customWidth="1"/>
    <col min="8" max="8" width="14" style="4" customWidth="1"/>
    <col min="9" max="9" width="10.375" bestFit="1" customWidth="1"/>
    <col min="10" max="10" width="12.75" customWidth="1"/>
    <col min="11" max="11" width="18.875" style="5" customWidth="1"/>
    <col min="13" max="13" width="12" customWidth="1"/>
    <col min="15" max="15" width="11.5" customWidth="1"/>
  </cols>
  <sheetData>
    <row r="1" spans="1:16" x14ac:dyDescent="0.25">
      <c r="B1" t="s">
        <v>5</v>
      </c>
      <c r="G1" s="2" t="s">
        <v>6</v>
      </c>
      <c r="I1" t="s">
        <v>12</v>
      </c>
      <c r="K1" s="5" t="s">
        <v>7</v>
      </c>
      <c r="M1" t="s">
        <v>8</v>
      </c>
      <c r="N1" t="s">
        <v>9</v>
      </c>
      <c r="O1" t="s">
        <v>10</v>
      </c>
      <c r="P1" t="s">
        <v>9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4</v>
      </c>
      <c r="J2" t="s">
        <v>0</v>
      </c>
      <c r="K2" t="s">
        <v>4</v>
      </c>
    </row>
    <row r="3" spans="1:16" x14ac:dyDescent="0.25">
      <c r="A3">
        <v>2000</v>
      </c>
      <c r="B3">
        <v>0.57388399999999995</v>
      </c>
      <c r="C3">
        <v>0</v>
      </c>
      <c r="D3">
        <f t="shared" ref="D3:D9" si="0">B3*4*PI()/(0.0064886478302)</f>
        <v>1111.4240165856888</v>
      </c>
      <c r="E3">
        <f t="shared" ref="E3:E9" si="1">D3/(4000*PI())</f>
        <v>8.8444313055330528E-2</v>
      </c>
      <c r="G3" s="2">
        <v>2000</v>
      </c>
      <c r="H3" s="4">
        <v>9.2172729999999994E-2</v>
      </c>
      <c r="I3" s="3">
        <v>9.3411949999999994E-2</v>
      </c>
      <c r="J3">
        <v>2000</v>
      </c>
      <c r="K3" s="5">
        <v>8.7256179512968102E-2</v>
      </c>
      <c r="M3">
        <f>E3/H3</f>
        <v>0.95954967434869876</v>
      </c>
      <c r="N3">
        <f>1-M3</f>
        <v>4.0450325651301244E-2</v>
      </c>
      <c r="O3">
        <f>K3/H3</f>
        <v>0.94665938084906576</v>
      </c>
      <c r="P3">
        <f>1-O3</f>
        <v>5.3340619150934243E-2</v>
      </c>
    </row>
    <row r="4" spans="1:16" x14ac:dyDescent="0.25">
      <c r="A4">
        <v>2000.5</v>
      </c>
      <c r="B4">
        <v>0.58751100000000001</v>
      </c>
      <c r="C4">
        <v>0</v>
      </c>
      <c r="D4">
        <f t="shared" si="0"/>
        <v>1137.8150208200173</v>
      </c>
      <c r="E4">
        <f t="shared" si="1"/>
        <v>9.0544442443856787E-2</v>
      </c>
      <c r="G4" s="2">
        <v>2000.5</v>
      </c>
      <c r="H4" s="4">
        <v>9.4322539999999996E-2</v>
      </c>
      <c r="I4" s="3">
        <v>9.5645359999999999E-2</v>
      </c>
      <c r="J4">
        <v>2000.5</v>
      </c>
      <c r="K4" s="5">
        <v>8.9584553990842405E-2</v>
      </c>
      <c r="M4">
        <f t="shared" ref="M4:M9" si="2">E4/H4</f>
        <v>0.95994491288992845</v>
      </c>
      <c r="N4">
        <f t="shared" ref="N4:N9" si="3">1-M4</f>
        <v>4.0055087110071552E-2</v>
      </c>
      <c r="O4">
        <f t="shared" ref="O4:O9" si="4">K4/H4</f>
        <v>0.9497682525390263</v>
      </c>
      <c r="P4">
        <f t="shared" ref="P4:P9" si="5">1-O4</f>
        <v>5.0231747460973697E-2</v>
      </c>
    </row>
    <row r="5" spans="1:16" x14ac:dyDescent="0.25">
      <c r="A5">
        <v>2001</v>
      </c>
      <c r="B5">
        <v>0.60297100000000003</v>
      </c>
      <c r="C5">
        <v>0</v>
      </c>
      <c r="D5">
        <f t="shared" si="0"/>
        <v>1167.7559414527839</v>
      </c>
      <c r="E5">
        <f t="shared" si="1"/>
        <v>9.2927065203570247E-2</v>
      </c>
      <c r="G5" s="2">
        <v>2001</v>
      </c>
      <c r="H5" s="4">
        <v>9.640398E-2</v>
      </c>
      <c r="I5" s="3">
        <v>9.759545E-2</v>
      </c>
      <c r="J5">
        <v>2001</v>
      </c>
      <c r="K5" s="5">
        <v>9.1875674814498307E-2</v>
      </c>
      <c r="M5">
        <f t="shared" si="2"/>
        <v>0.96393390815991464</v>
      </c>
      <c r="N5">
        <f t="shared" si="3"/>
        <v>3.6066091840085357E-2</v>
      </c>
      <c r="O5">
        <f t="shared" si="4"/>
        <v>0.95302781912632972</v>
      </c>
      <c r="P5">
        <f t="shared" si="5"/>
        <v>4.6972180873670277E-2</v>
      </c>
    </row>
    <row r="6" spans="1:16" x14ac:dyDescent="0.25">
      <c r="A6">
        <v>2001.5</v>
      </c>
      <c r="B6">
        <v>0.61724400000000001</v>
      </c>
      <c r="C6">
        <v>0</v>
      </c>
      <c r="D6">
        <f t="shared" si="0"/>
        <v>1195.3980346087658</v>
      </c>
      <c r="E6">
        <f t="shared" si="1"/>
        <v>9.5126753085160831E-2</v>
      </c>
      <c r="G6" s="2">
        <v>2001.5</v>
      </c>
      <c r="H6" s="4">
        <v>9.8408170000000003E-2</v>
      </c>
      <c r="I6" s="3">
        <v>9.9844370000000002E-2</v>
      </c>
      <c r="J6">
        <v>2001.5</v>
      </c>
      <c r="K6" s="5">
        <v>9.4125101438403497E-2</v>
      </c>
      <c r="M6">
        <f t="shared" si="2"/>
        <v>0.96665503570649502</v>
      </c>
      <c r="N6">
        <f t="shared" si="3"/>
        <v>3.3344964293504975E-2</v>
      </c>
      <c r="O6">
        <f t="shared" si="4"/>
        <v>0.95647649416103864</v>
      </c>
      <c r="P6">
        <f t="shared" si="5"/>
        <v>4.3523505838961363E-2</v>
      </c>
    </row>
    <row r="7" spans="1:16" x14ac:dyDescent="0.25">
      <c r="A7">
        <v>2002</v>
      </c>
      <c r="B7">
        <v>0.63030699999999995</v>
      </c>
      <c r="C7">
        <v>0</v>
      </c>
      <c r="D7">
        <f t="shared" si="0"/>
        <v>1220.6967568743435</v>
      </c>
      <c r="E7">
        <f t="shared" si="1"/>
        <v>9.7139961436398678E-2</v>
      </c>
      <c r="G7" s="2">
        <v>2002</v>
      </c>
      <c r="H7" s="4">
        <v>0.10060482</v>
      </c>
      <c r="I7" s="3">
        <v>0.10191409999999999</v>
      </c>
      <c r="J7">
        <v>2002</v>
      </c>
      <c r="K7" s="5">
        <v>9.6328054455293299E-2</v>
      </c>
      <c r="M7">
        <f t="shared" si="2"/>
        <v>0.96555971608913649</v>
      </c>
      <c r="N7">
        <f t="shared" si="3"/>
        <v>3.4440283910863512E-2</v>
      </c>
      <c r="O7">
        <f t="shared" si="4"/>
        <v>0.95748945682019315</v>
      </c>
      <c r="P7">
        <f t="shared" si="5"/>
        <v>4.2510543179806848E-2</v>
      </c>
    </row>
    <row r="8" spans="1:16" x14ac:dyDescent="0.25">
      <c r="A8">
        <v>2002.5</v>
      </c>
      <c r="B8">
        <v>0.64325200000000005</v>
      </c>
      <c r="C8">
        <v>0</v>
      </c>
      <c r="D8">
        <f t="shared" si="0"/>
        <v>1245.7669520613531</v>
      </c>
      <c r="E8">
        <f t="shared" si="1"/>
        <v>9.9134984180544283E-2</v>
      </c>
      <c r="G8" s="2">
        <v>2002.5</v>
      </c>
      <c r="H8" s="4">
        <v>0.10251502</v>
      </c>
      <c r="I8" s="3">
        <v>0.10394166000000001</v>
      </c>
      <c r="J8">
        <v>2002.5</v>
      </c>
      <c r="K8" s="5">
        <v>9.8480926769979604E-2</v>
      </c>
      <c r="M8">
        <f t="shared" si="2"/>
        <v>0.9670288722622723</v>
      </c>
      <c r="N8">
        <f t="shared" si="3"/>
        <v>3.2971127737727701E-2</v>
      </c>
      <c r="O8">
        <f t="shared" si="4"/>
        <v>0.96064875927429572</v>
      </c>
      <c r="P8">
        <f t="shared" si="5"/>
        <v>3.9351240725704284E-2</v>
      </c>
    </row>
    <row r="9" spans="1:16" x14ac:dyDescent="0.25">
      <c r="A9">
        <v>2003</v>
      </c>
      <c r="B9">
        <v>0.65742100000000003</v>
      </c>
      <c r="C9">
        <v>0</v>
      </c>
      <c r="D9">
        <f t="shared" si="0"/>
        <v>1273.2076315209697</v>
      </c>
      <c r="E9">
        <f t="shared" si="1"/>
        <v>0.10131864406944339</v>
      </c>
      <c r="G9" s="2">
        <v>2003</v>
      </c>
      <c r="H9" s="4">
        <v>0.10437936</v>
      </c>
      <c r="I9" s="3">
        <v>0.1061097</v>
      </c>
      <c r="J9">
        <v>2003</v>
      </c>
      <c r="K9" s="5">
        <v>0.100578957851512</v>
      </c>
      <c r="M9">
        <f t="shared" si="2"/>
        <v>0.97067700040930882</v>
      </c>
      <c r="N9">
        <f t="shared" si="3"/>
        <v>2.9322999590691179E-2</v>
      </c>
      <c r="O9">
        <f t="shared" si="4"/>
        <v>0.96359048236655209</v>
      </c>
      <c r="P9">
        <f t="shared" si="5"/>
        <v>3.6409517633447908E-2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"/>
  <sheetViews>
    <sheetView topLeftCell="D1" zoomScale="91" zoomScaleNormal="91" workbookViewId="0">
      <selection activeCell="H3" sqref="H3:H9"/>
    </sheetView>
  </sheetViews>
  <sheetFormatPr defaultRowHeight="15.75" x14ac:dyDescent="0.25"/>
  <cols>
    <col min="1" max="1" width="14.125" customWidth="1"/>
    <col min="5" max="5" width="17.25" customWidth="1"/>
    <col min="7" max="7" width="15.75" style="2" customWidth="1"/>
    <col min="8" max="8" width="17.375" style="4" customWidth="1"/>
    <col min="10" max="10" width="15.125" customWidth="1"/>
    <col min="11" max="11" width="19.625" style="5" bestFit="1" customWidth="1"/>
    <col min="13" max="13" width="11.25" customWidth="1"/>
    <col min="15" max="15" width="11.625" customWidth="1"/>
    <col min="26" max="26" width="10.875" customWidth="1"/>
    <col min="27" max="27" width="12.875" style="6" customWidth="1"/>
    <col min="28" max="28" width="12.875" customWidth="1"/>
  </cols>
  <sheetData>
    <row r="1" spans="1:28" x14ac:dyDescent="0.25">
      <c r="B1" t="s">
        <v>5</v>
      </c>
      <c r="H1" s="4" t="s">
        <v>6</v>
      </c>
      <c r="K1" s="5" t="s">
        <v>7</v>
      </c>
      <c r="M1" t="s">
        <v>8</v>
      </c>
      <c r="N1" t="s">
        <v>9</v>
      </c>
      <c r="O1" t="s">
        <v>10</v>
      </c>
      <c r="P1" t="s">
        <v>9</v>
      </c>
      <c r="AA1" s="6" t="s">
        <v>11</v>
      </c>
    </row>
    <row r="2" spans="1: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4</v>
      </c>
      <c r="J2" t="s">
        <v>0</v>
      </c>
      <c r="K2" t="s">
        <v>4</v>
      </c>
    </row>
    <row r="3" spans="1:28" x14ac:dyDescent="0.25">
      <c r="A3">
        <v>2000</v>
      </c>
      <c r="B3">
        <v>0.56797200000000003</v>
      </c>
      <c r="C3">
        <v>0</v>
      </c>
      <c r="D3">
        <f t="shared" ref="D3:D9" si="0">B3*4*PI()/(0.0064886478302)</f>
        <v>1099.9744226153839</v>
      </c>
      <c r="E3">
        <f t="shared" ref="E3:E9" si="1">D3/(4000*PI())</f>
        <v>8.7533183316945942E-2</v>
      </c>
      <c r="G3" s="2">
        <v>2000</v>
      </c>
      <c r="H3" s="4">
        <v>9.3032420000000005E-2</v>
      </c>
      <c r="J3">
        <v>2000</v>
      </c>
      <c r="K3" s="5">
        <v>9.2403670646287697E-2</v>
      </c>
      <c r="M3">
        <f>E3/H3</f>
        <v>0.94088902897447946</v>
      </c>
      <c r="N3">
        <f>1-M3</f>
        <v>5.9110971025520542E-2</v>
      </c>
      <c r="O3">
        <f>K3/H3</f>
        <v>0.99324161025035884</v>
      </c>
      <c r="P3">
        <f>1-O3</f>
        <v>6.7583897496411582E-3</v>
      </c>
      <c r="Z3">
        <v>2000</v>
      </c>
      <c r="AA3" s="6">
        <v>8.6748775108352605E-2</v>
      </c>
      <c r="AB3">
        <f>AA3/H3</f>
        <v>0.93245747136699875</v>
      </c>
    </row>
    <row r="4" spans="1:28" x14ac:dyDescent="0.25">
      <c r="A4">
        <v>2000.5</v>
      </c>
      <c r="B4">
        <v>0.58288399999999996</v>
      </c>
      <c r="C4">
        <v>0</v>
      </c>
      <c r="D4">
        <f t="shared" si="0"/>
        <v>1128.8540480019178</v>
      </c>
      <c r="E4">
        <f t="shared" si="1"/>
        <v>8.9831350884400474E-2</v>
      </c>
      <c r="G4" s="2">
        <v>2000.5</v>
      </c>
      <c r="H4" s="4">
        <v>9.5072076000000005E-2</v>
      </c>
      <c r="J4">
        <v>2000.5</v>
      </c>
      <c r="K4" s="5">
        <v>9.4533597814713002E-2</v>
      </c>
      <c r="M4">
        <f t="shared" ref="M4:M9" si="2">E4/H4</f>
        <v>0.9448762945325867</v>
      </c>
      <c r="N4">
        <f t="shared" ref="N4:N9" si="3">1-M4</f>
        <v>5.5123705467413298E-2</v>
      </c>
      <c r="O4">
        <f t="shared" ref="O4:O9" si="4">K4/H4</f>
        <v>0.99433610574268938</v>
      </c>
      <c r="P4">
        <f t="shared" ref="P4:P9" si="5">1-O4</f>
        <v>5.6638942573106199E-3</v>
      </c>
      <c r="Z4">
        <v>2000.5</v>
      </c>
      <c r="AA4" s="6">
        <v>8.9009935554309805E-2</v>
      </c>
      <c r="AB4">
        <f t="shared" ref="AB4:AB9" si="6">AA4/H4</f>
        <v>0.93623637243715807</v>
      </c>
    </row>
    <row r="5" spans="1:28" x14ac:dyDescent="0.25">
      <c r="A5">
        <v>2001</v>
      </c>
      <c r="B5">
        <v>0.58311000000000002</v>
      </c>
      <c r="C5">
        <v>0</v>
      </c>
      <c r="D5">
        <f t="shared" si="0"/>
        <v>1129.2917354574811</v>
      </c>
      <c r="E5">
        <f t="shared" si="1"/>
        <v>8.9866180945441576E-2</v>
      </c>
      <c r="G5" s="2">
        <v>2001</v>
      </c>
      <c r="H5" s="4">
        <v>9.7137362000000005E-2</v>
      </c>
      <c r="J5">
        <v>2001</v>
      </c>
      <c r="K5" s="5">
        <v>9.66201166540471E-2</v>
      </c>
      <c r="M5">
        <f t="shared" si="2"/>
        <v>0.9251453724411578</v>
      </c>
      <c r="N5">
        <f t="shared" si="3"/>
        <v>7.4854627558842202E-2</v>
      </c>
      <c r="O5">
        <f t="shared" si="4"/>
        <v>0.99467511434011457</v>
      </c>
      <c r="P5">
        <f t="shared" si="5"/>
        <v>5.3248856598854255E-3</v>
      </c>
      <c r="Z5">
        <v>2001</v>
      </c>
      <c r="AA5" s="6">
        <v>9.1233972423638995E-2</v>
      </c>
      <c r="AB5">
        <f t="shared" si="6"/>
        <v>0.93922637536357012</v>
      </c>
    </row>
    <row r="6" spans="1:28" x14ac:dyDescent="0.25">
      <c r="A6">
        <v>2001.5</v>
      </c>
      <c r="B6">
        <v>0.61715399999999998</v>
      </c>
      <c r="C6">
        <v>0</v>
      </c>
      <c r="D6">
        <f t="shared" si="0"/>
        <v>1195.2237342946034</v>
      </c>
      <c r="E6">
        <f t="shared" si="1"/>
        <v>9.5112882706870128E-2</v>
      </c>
      <c r="G6" s="2">
        <v>2001.5</v>
      </c>
      <c r="H6" s="4">
        <v>9.9083415999999994E-2</v>
      </c>
      <c r="J6">
        <v>2001.5</v>
      </c>
      <c r="K6" s="5">
        <v>9.8658728222784098E-2</v>
      </c>
      <c r="M6">
        <f t="shared" si="2"/>
        <v>0.95992736773296283</v>
      </c>
      <c r="N6">
        <f t="shared" si="3"/>
        <v>4.0072632267037167E-2</v>
      </c>
      <c r="O6">
        <f t="shared" si="4"/>
        <v>0.99571383593379648</v>
      </c>
      <c r="P6">
        <f t="shared" si="5"/>
        <v>4.2861640662035239E-3</v>
      </c>
      <c r="Z6">
        <v>2001.5</v>
      </c>
      <c r="AA6" s="6">
        <v>9.3416637545149103E-2</v>
      </c>
      <c r="AB6">
        <f t="shared" si="6"/>
        <v>0.94280800275546728</v>
      </c>
    </row>
    <row r="7" spans="1:28" x14ac:dyDescent="0.25">
      <c r="A7">
        <v>2002</v>
      </c>
      <c r="B7">
        <v>0.61820200000000003</v>
      </c>
      <c r="C7">
        <v>0</v>
      </c>
      <c r="D7">
        <f t="shared" si="0"/>
        <v>1197.2533646195157</v>
      </c>
      <c r="E7">
        <f t="shared" si="1"/>
        <v>9.5274395556299629E-2</v>
      </c>
      <c r="G7" s="2">
        <v>2002</v>
      </c>
      <c r="H7" s="4">
        <v>0.10101673999999999</v>
      </c>
      <c r="J7">
        <v>2002</v>
      </c>
      <c r="K7" s="5">
        <v>0.100644827001142</v>
      </c>
      <c r="M7">
        <f t="shared" si="2"/>
        <v>0.94315452623297524</v>
      </c>
      <c r="N7">
        <f t="shared" si="3"/>
        <v>5.6845473767024757E-2</v>
      </c>
      <c r="O7">
        <f t="shared" si="4"/>
        <v>0.99631830329450344</v>
      </c>
      <c r="P7">
        <f t="shared" si="5"/>
        <v>3.6816967054965621E-3</v>
      </c>
      <c r="Z7">
        <v>2002</v>
      </c>
      <c r="AA7" s="6">
        <v>9.5554148930652796E-2</v>
      </c>
      <c r="AB7">
        <f t="shared" si="6"/>
        <v>0.94592390261903925</v>
      </c>
    </row>
    <row r="8" spans="1:28" x14ac:dyDescent="0.25">
      <c r="A8">
        <v>2002.5</v>
      </c>
      <c r="B8">
        <v>0.62065400000000004</v>
      </c>
      <c r="C8">
        <v>0</v>
      </c>
      <c r="D8">
        <f t="shared" si="0"/>
        <v>1202.0020798453593</v>
      </c>
      <c r="E8">
        <f t="shared" si="1"/>
        <v>9.5652286307064002E-2</v>
      </c>
      <c r="G8" s="2">
        <v>2002.5</v>
      </c>
      <c r="H8" s="4">
        <v>0.10289668</v>
      </c>
      <c r="J8">
        <v>2002.5</v>
      </c>
      <c r="K8" s="5">
        <v>0.1025739337526</v>
      </c>
      <c r="M8">
        <f t="shared" si="2"/>
        <v>0.92959545737592308</v>
      </c>
      <c r="N8">
        <f t="shared" si="3"/>
        <v>7.0404542624076916E-2</v>
      </c>
      <c r="O8">
        <f t="shared" si="4"/>
        <v>0.99686339493752374</v>
      </c>
      <c r="P8">
        <f t="shared" si="5"/>
        <v>3.1366050624762609E-3</v>
      </c>
      <c r="Z8">
        <v>2002.5</v>
      </c>
      <c r="AA8" s="6">
        <v>9.7642283353961995E-2</v>
      </c>
      <c r="AB8">
        <f t="shared" si="6"/>
        <v>0.94893521689875704</v>
      </c>
    </row>
    <row r="9" spans="1:28" x14ac:dyDescent="0.25">
      <c r="A9">
        <v>2003</v>
      </c>
      <c r="B9">
        <v>0.65365099999999998</v>
      </c>
      <c r="C9">
        <v>0</v>
      </c>
      <c r="D9">
        <f t="shared" si="0"/>
        <v>1265.9063850277271</v>
      </c>
      <c r="E9">
        <f t="shared" si="1"/>
        <v>0.10073762933437744</v>
      </c>
      <c r="G9" s="2">
        <v>2003</v>
      </c>
      <c r="H9" s="4">
        <v>0.10483894000000001</v>
      </c>
      <c r="J9">
        <v>2003</v>
      </c>
      <c r="K9" s="5">
        <v>0.104441849263709</v>
      </c>
      <c r="M9">
        <f t="shared" si="2"/>
        <v>0.9608798919025453</v>
      </c>
      <c r="N9">
        <f t="shared" si="3"/>
        <v>3.9120108097454698E-2</v>
      </c>
      <c r="O9">
        <f t="shared" si="4"/>
        <v>0.99621237360573267</v>
      </c>
      <c r="P9">
        <f t="shared" si="5"/>
        <v>3.7876263942673294E-3</v>
      </c>
      <c r="Z9">
        <v>2003</v>
      </c>
      <c r="AA9" s="6">
        <v>9.9676709209592804E-2</v>
      </c>
      <c r="AB9">
        <f t="shared" si="6"/>
        <v>0.95076036832872213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"/>
  <sheetViews>
    <sheetView topLeftCell="C1" workbookViewId="0">
      <selection activeCell="H3" sqref="H3:H9"/>
    </sheetView>
  </sheetViews>
  <sheetFormatPr defaultRowHeight="15.75" x14ac:dyDescent="0.25"/>
  <cols>
    <col min="1" max="1" width="16.125" customWidth="1"/>
    <col min="5" max="5" width="17.875" customWidth="1"/>
    <col min="7" max="7" width="16.5" style="2" customWidth="1"/>
    <col min="8" max="8" width="17.625" style="4" customWidth="1"/>
    <col min="9" max="9" width="5.125" customWidth="1"/>
    <col min="10" max="10" width="16.875" customWidth="1"/>
    <col min="11" max="11" width="19.125" style="3" customWidth="1"/>
    <col min="12" max="12" width="9" style="2"/>
    <col min="13" max="13" width="11.5" customWidth="1"/>
    <col min="15" max="15" width="12.5" customWidth="1"/>
    <col min="26" max="26" width="14.5" style="4" bestFit="1" customWidth="1"/>
  </cols>
  <sheetData>
    <row r="1" spans="1:27" x14ac:dyDescent="0.25">
      <c r="B1" t="s">
        <v>5</v>
      </c>
      <c r="H1" s="4" t="s">
        <v>6</v>
      </c>
      <c r="K1" s="3" t="s">
        <v>7</v>
      </c>
      <c r="M1" t="s">
        <v>8</v>
      </c>
      <c r="N1" t="s">
        <v>9</v>
      </c>
      <c r="O1" t="s">
        <v>10</v>
      </c>
      <c r="P1" t="s">
        <v>9</v>
      </c>
      <c r="Z1" s="4" t="s">
        <v>11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4</v>
      </c>
      <c r="J2" t="s">
        <v>0</v>
      </c>
      <c r="K2" s="3" t="s">
        <v>4</v>
      </c>
    </row>
    <row r="3" spans="1:27" x14ac:dyDescent="0.25">
      <c r="A3">
        <v>2000</v>
      </c>
      <c r="B3">
        <v>0.54924799999999996</v>
      </c>
      <c r="C3">
        <v>0</v>
      </c>
      <c r="D3">
        <f t="shared" ref="D3:D9" si="0">B3*4*PI()/(0.0064886478302)</f>
        <v>1063.7122105889978</v>
      </c>
      <c r="E3">
        <f t="shared" ref="E3:E9" si="1">D3/(4000*PI())</f>
        <v>8.4647528171223077E-2</v>
      </c>
      <c r="G3" s="2">
        <v>2000</v>
      </c>
      <c r="H3" s="4">
        <v>9.3019821000000003E-2</v>
      </c>
      <c r="J3">
        <v>2000</v>
      </c>
      <c r="K3" s="3">
        <v>9.2390595257915098E-2</v>
      </c>
      <c r="M3">
        <f>E3/H3</f>
        <v>0.90999452870612463</v>
      </c>
      <c r="N3">
        <f>1-M3</f>
        <v>9.0005471293875372E-2</v>
      </c>
      <c r="O3">
        <f>K3/H3</f>
        <v>0.99323557350121217</v>
      </c>
      <c r="P3">
        <f>1-O3</f>
        <v>6.7644264987878344E-3</v>
      </c>
      <c r="Y3">
        <v>2000</v>
      </c>
      <c r="Z3" s="4">
        <v>8.6741654037674101E-2</v>
      </c>
      <c r="AA3">
        <f>Z3/H3</f>
        <v>0.93250721303445749</v>
      </c>
    </row>
    <row r="4" spans="1:27" x14ac:dyDescent="0.25">
      <c r="A4">
        <v>2000.5</v>
      </c>
      <c r="B4">
        <v>0.58621999999999996</v>
      </c>
      <c r="C4">
        <v>0</v>
      </c>
      <c r="D4">
        <f t="shared" si="0"/>
        <v>1135.3147796468668</v>
      </c>
      <c r="E4">
        <f t="shared" si="1"/>
        <v>9.0345479573042398E-2</v>
      </c>
      <c r="G4" s="2">
        <v>2000.5</v>
      </c>
      <c r="H4" s="4">
        <v>9.5041573000000004E-2</v>
      </c>
      <c r="J4">
        <v>2000.5</v>
      </c>
      <c r="K4" s="3">
        <v>9.4518602104534194E-2</v>
      </c>
      <c r="M4">
        <f t="shared" ref="M4:M9" si="2">E4/H4</f>
        <v>0.95058906035827495</v>
      </c>
      <c r="N4">
        <f t="shared" ref="N4:N9" si="3">1-M4</f>
        <v>4.9410939641725049E-2</v>
      </c>
      <c r="O4">
        <f t="shared" ref="O4:O9" si="4">K4/H4</f>
        <v>0.99449745117890875</v>
      </c>
      <c r="P4">
        <f t="shared" ref="P4:P9" si="5">1-O4</f>
        <v>5.5025488210912465E-3</v>
      </c>
      <c r="Y4">
        <v>2000.5</v>
      </c>
      <c r="Z4" s="4">
        <v>8.9000586006128604E-2</v>
      </c>
      <c r="AA4">
        <f t="shared" ref="AA4:AA9" si="6">Z4/H4</f>
        <v>0.93643847841332128</v>
      </c>
    </row>
    <row r="5" spans="1:27" x14ac:dyDescent="0.25">
      <c r="A5">
        <v>2001</v>
      </c>
      <c r="B5">
        <v>0.58409100000000003</v>
      </c>
      <c r="C5">
        <v>0</v>
      </c>
      <c r="D5">
        <f t="shared" si="0"/>
        <v>1131.19160888185</v>
      </c>
      <c r="E5">
        <f t="shared" si="1"/>
        <v>9.0017368068810194E-2</v>
      </c>
      <c r="G5" s="2">
        <v>2001</v>
      </c>
      <c r="H5" s="4">
        <v>9.7103811999999998E-2</v>
      </c>
      <c r="J5">
        <v>2001</v>
      </c>
      <c r="K5" s="3">
        <v>9.6603229438056798E-2</v>
      </c>
      <c r="M5">
        <f t="shared" si="2"/>
        <v>0.92702198003112579</v>
      </c>
      <c r="N5">
        <f t="shared" si="3"/>
        <v>7.2978019968874208E-2</v>
      </c>
      <c r="O5">
        <f t="shared" si="4"/>
        <v>0.99484487218747708</v>
      </c>
      <c r="P5">
        <f t="shared" si="5"/>
        <v>5.1551278125229194E-3</v>
      </c>
      <c r="Y5">
        <v>2001</v>
      </c>
      <c r="Z5" s="4">
        <v>9.1222519796477206E-2</v>
      </c>
      <c r="AA5">
        <f t="shared" si="6"/>
        <v>0.93943294210197648</v>
      </c>
    </row>
    <row r="6" spans="1:27" x14ac:dyDescent="0.25">
      <c r="A6">
        <v>2001.5</v>
      </c>
      <c r="B6">
        <v>0.61823899999999998</v>
      </c>
      <c r="C6">
        <v>0</v>
      </c>
      <c r="D6">
        <f t="shared" si="0"/>
        <v>1197.3250214153377</v>
      </c>
      <c r="E6">
        <f t="shared" si="1"/>
        <v>9.5280097822930232E-2</v>
      </c>
      <c r="G6" s="2">
        <v>2001.5</v>
      </c>
      <c r="H6" s="4">
        <v>9.9045812999999996E-2</v>
      </c>
      <c r="J6">
        <v>2001.5</v>
      </c>
      <c r="K6" s="3">
        <v>9.8639981319895903E-2</v>
      </c>
      <c r="M6">
        <f t="shared" si="2"/>
        <v>0.9619800669709303</v>
      </c>
      <c r="N6">
        <f t="shared" si="3"/>
        <v>3.8019933029069697E-2</v>
      </c>
      <c r="O6">
        <f t="shared" si="4"/>
        <v>0.99590258620923133</v>
      </c>
      <c r="P6">
        <f t="shared" si="5"/>
        <v>4.097413790768667E-3</v>
      </c>
      <c r="Y6">
        <v>2001.5</v>
      </c>
      <c r="Z6" s="4">
        <v>9.3403269350720602E-2</v>
      </c>
      <c r="AA6">
        <f t="shared" si="6"/>
        <v>0.9430309724523197</v>
      </c>
    </row>
    <row r="7" spans="1:27" x14ac:dyDescent="0.25">
      <c r="A7">
        <v>2002</v>
      </c>
      <c r="B7">
        <v>0.62658700000000001</v>
      </c>
      <c r="C7">
        <v>0</v>
      </c>
      <c r="D7">
        <f t="shared" si="0"/>
        <v>1213.4923438889689</v>
      </c>
      <c r="E7">
        <f t="shared" si="1"/>
        <v>9.6566652467049777E-2</v>
      </c>
      <c r="G7" s="2">
        <v>2002</v>
      </c>
      <c r="H7" s="4">
        <v>0.10097966</v>
      </c>
      <c r="J7">
        <v>2002</v>
      </c>
      <c r="K7" s="3">
        <v>0.100624431795974</v>
      </c>
      <c r="M7">
        <f t="shared" si="2"/>
        <v>0.95629805514347921</v>
      </c>
      <c r="N7">
        <f t="shared" si="3"/>
        <v>4.3701944856520791E-2</v>
      </c>
      <c r="O7">
        <f t="shared" si="4"/>
        <v>0.99648218062898997</v>
      </c>
      <c r="P7">
        <f t="shared" si="5"/>
        <v>3.5178193710100336E-3</v>
      </c>
      <c r="Y7">
        <v>2002</v>
      </c>
      <c r="Z7" s="4">
        <v>9.5538963031558594E-2</v>
      </c>
      <c r="AA7">
        <f t="shared" si="6"/>
        <v>0.9461208626723302</v>
      </c>
    </row>
    <row r="8" spans="1:27" x14ac:dyDescent="0.25">
      <c r="A8">
        <v>2002.5</v>
      </c>
      <c r="B8">
        <v>0.62072700000000003</v>
      </c>
      <c r="C8">
        <v>0</v>
      </c>
      <c r="D8">
        <f t="shared" si="0"/>
        <v>1202.1434567668464</v>
      </c>
      <c r="E8">
        <f t="shared" si="1"/>
        <v>9.5663536725010892E-2</v>
      </c>
      <c r="G8" s="2">
        <v>2002.5</v>
      </c>
      <c r="H8" s="4">
        <v>0.10286385000000001</v>
      </c>
      <c r="J8">
        <v>2002.5</v>
      </c>
      <c r="K8" s="3">
        <v>0.102551966969986</v>
      </c>
      <c r="M8">
        <f t="shared" si="2"/>
        <v>0.93000151875523696</v>
      </c>
      <c r="N8">
        <f t="shared" si="3"/>
        <v>6.9998481244763044E-2</v>
      </c>
      <c r="O8">
        <f t="shared" si="4"/>
        <v>0.99696800158642707</v>
      </c>
      <c r="P8">
        <f t="shared" si="5"/>
        <v>3.0319984135729339E-3</v>
      </c>
      <c r="Y8">
        <v>2002.5</v>
      </c>
      <c r="Z8" s="4">
        <v>9.7625344827318702E-2</v>
      </c>
      <c r="AA8">
        <f t="shared" si="6"/>
        <v>0.94907340943702467</v>
      </c>
    </row>
    <row r="9" spans="1:27" x14ac:dyDescent="0.25">
      <c r="A9">
        <v>2003</v>
      </c>
      <c r="B9">
        <v>0.65940399999999999</v>
      </c>
      <c r="C9">
        <v>0</v>
      </c>
      <c r="D9">
        <f t="shared" si="0"/>
        <v>1277.048048443012</v>
      </c>
      <c r="E9">
        <f t="shared" si="1"/>
        <v>0.10162425473778181</v>
      </c>
      <c r="G9" s="2">
        <v>2003</v>
      </c>
      <c r="H9" s="4">
        <v>0.10482555</v>
      </c>
      <c r="J9">
        <v>2003</v>
      </c>
      <c r="K9" s="3">
        <v>0.104418228932266</v>
      </c>
      <c r="M9">
        <f t="shared" si="2"/>
        <v>0.9694607348855484</v>
      </c>
      <c r="N9">
        <f t="shared" si="3"/>
        <v>3.0539265114451597E-2</v>
      </c>
      <c r="O9">
        <f t="shared" si="4"/>
        <v>0.99611429591608147</v>
      </c>
      <c r="P9">
        <f t="shared" si="5"/>
        <v>3.8857040839185286E-3</v>
      </c>
      <c r="Y9">
        <v>2003</v>
      </c>
      <c r="Z9" s="4">
        <v>9.9658214876051199E-2</v>
      </c>
      <c r="AA9">
        <f t="shared" si="6"/>
        <v>0.95070538505212898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6 Full 0</vt:lpstr>
      <vt:lpstr>Ex 6 Full 1</vt:lpstr>
      <vt:lpstr>Ex 6 Gauss 0</vt:lpstr>
      <vt:lpstr>Ex 6 Gauss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dc:description/>
  <cp:lastModifiedBy>Nuno Pessoa Barradas</cp:lastModifiedBy>
  <cp:revision>5</cp:revision>
  <dcterms:created xsi:type="dcterms:W3CDTF">2023-12-07T16:54:54Z</dcterms:created>
  <dcterms:modified xsi:type="dcterms:W3CDTF">2024-04-05T15:10:12Z</dcterms:modified>
  <dc:language>pt-PT</dc:language>
</cp:coreProperties>
</file>