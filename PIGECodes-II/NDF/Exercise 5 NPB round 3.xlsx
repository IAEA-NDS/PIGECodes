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NPB round 3/"/>
    </mc:Choice>
  </mc:AlternateContent>
  <xr:revisionPtr revIDLastSave="2" documentId="13_ncr:1_{9E05B4B0-05D6-4325-BA49-2940B63710FD}" xr6:coauthVersionLast="47" xr6:coauthVersionMax="47" xr10:uidLastSave="{F0B90464-6923-4425-BAFF-DF93B709458E}"/>
  <bookViews>
    <workbookView xWindow="28680" yWindow="-120" windowWidth="29040" windowHeight="17520" tabRatio="500" activeTab="3" xr2:uid="{00000000-000D-0000-FFFF-FFFF00000000}"/>
  </bookViews>
  <sheets>
    <sheet name="Ex 5 Full 0" sheetId="1" r:id="rId1"/>
    <sheet name="Ex 5 Full 1" sheetId="2" r:id="rId2"/>
    <sheet name="Ex 5 Gauss 0" sheetId="3" r:id="rId3"/>
    <sheet name="Ex 5 Gauss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Z4" i="4" l="1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3" i="4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3" i="3"/>
  <c r="O17" i="4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N18" i="4"/>
  <c r="O18" i="4" s="1"/>
  <c r="N19" i="4"/>
  <c r="O19" i="4" s="1"/>
  <c r="N20" i="4"/>
  <c r="O20" i="4" s="1"/>
  <c r="N21" i="4"/>
  <c r="O21" i="4" s="1"/>
  <c r="N22" i="4"/>
  <c r="O22" i="4" s="1"/>
  <c r="N23" i="4"/>
  <c r="O23" i="4" s="1"/>
  <c r="N3" i="4"/>
  <c r="O3" i="4" s="1"/>
  <c r="D23" i="4"/>
  <c r="L23" i="4" s="1"/>
  <c r="M23" i="4" s="1"/>
  <c r="D22" i="4"/>
  <c r="L22" i="4" s="1"/>
  <c r="M22" i="4" s="1"/>
  <c r="D21" i="4"/>
  <c r="L21" i="4" s="1"/>
  <c r="M21" i="4" s="1"/>
  <c r="D20" i="4"/>
  <c r="L20" i="4" s="1"/>
  <c r="M20" i="4" s="1"/>
  <c r="D19" i="4"/>
  <c r="L19" i="4" s="1"/>
  <c r="M19" i="4" s="1"/>
  <c r="D18" i="4"/>
  <c r="L18" i="4" s="1"/>
  <c r="M18" i="4" s="1"/>
  <c r="D17" i="4"/>
  <c r="L17" i="4" s="1"/>
  <c r="M17" i="4" s="1"/>
  <c r="D16" i="4"/>
  <c r="L16" i="4" s="1"/>
  <c r="M16" i="4" s="1"/>
  <c r="D15" i="4"/>
  <c r="L15" i="4" s="1"/>
  <c r="M15" i="4" s="1"/>
  <c r="D14" i="4"/>
  <c r="L14" i="4" s="1"/>
  <c r="M14" i="4" s="1"/>
  <c r="D13" i="4"/>
  <c r="L13" i="4" s="1"/>
  <c r="M13" i="4" s="1"/>
  <c r="D12" i="4"/>
  <c r="L12" i="4" s="1"/>
  <c r="M12" i="4" s="1"/>
  <c r="D11" i="4"/>
  <c r="L11" i="4" s="1"/>
  <c r="M11" i="4" s="1"/>
  <c r="D10" i="4"/>
  <c r="L10" i="4" s="1"/>
  <c r="M10" i="4" s="1"/>
  <c r="D9" i="4"/>
  <c r="L9" i="4" s="1"/>
  <c r="M9" i="4" s="1"/>
  <c r="D8" i="4"/>
  <c r="L8" i="4" s="1"/>
  <c r="M8" i="4" s="1"/>
  <c r="D7" i="4"/>
  <c r="L7" i="4" s="1"/>
  <c r="M7" i="4" s="1"/>
  <c r="D6" i="4"/>
  <c r="L6" i="4" s="1"/>
  <c r="M6" i="4" s="1"/>
  <c r="D5" i="4"/>
  <c r="L5" i="4" s="1"/>
  <c r="M5" i="4" s="1"/>
  <c r="D4" i="4"/>
  <c r="L4" i="4" s="1"/>
  <c r="M4" i="4" s="1"/>
  <c r="D3" i="4"/>
  <c r="L3" i="4" s="1"/>
  <c r="M3" i="4" s="1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3" i="3"/>
  <c r="O3" i="3" s="1"/>
  <c r="L18" i="3"/>
  <c r="M18" i="3" s="1"/>
  <c r="L19" i="3"/>
  <c r="M19" i="3" s="1"/>
  <c r="D23" i="3"/>
  <c r="L23" i="3" s="1"/>
  <c r="M23" i="3" s="1"/>
  <c r="D22" i="3"/>
  <c r="L22" i="3" s="1"/>
  <c r="M22" i="3" s="1"/>
  <c r="D21" i="3"/>
  <c r="L21" i="3" s="1"/>
  <c r="M21" i="3" s="1"/>
  <c r="D20" i="3"/>
  <c r="L20" i="3" s="1"/>
  <c r="M20" i="3" s="1"/>
  <c r="D19" i="3"/>
  <c r="D18" i="3"/>
  <c r="D17" i="3"/>
  <c r="L17" i="3" s="1"/>
  <c r="M17" i="3" s="1"/>
  <c r="D16" i="3"/>
  <c r="L16" i="3" s="1"/>
  <c r="M16" i="3" s="1"/>
  <c r="D15" i="3"/>
  <c r="L15" i="3" s="1"/>
  <c r="M15" i="3" s="1"/>
  <c r="D14" i="3"/>
  <c r="L14" i="3" s="1"/>
  <c r="M14" i="3" s="1"/>
  <c r="D13" i="3"/>
  <c r="L13" i="3" s="1"/>
  <c r="M13" i="3" s="1"/>
  <c r="D12" i="3"/>
  <c r="L12" i="3" s="1"/>
  <c r="M12" i="3" s="1"/>
  <c r="D11" i="3"/>
  <c r="L11" i="3" s="1"/>
  <c r="M11" i="3" s="1"/>
  <c r="D10" i="3"/>
  <c r="L10" i="3" s="1"/>
  <c r="M10" i="3" s="1"/>
  <c r="D9" i="3"/>
  <c r="L9" i="3" s="1"/>
  <c r="M9" i="3" s="1"/>
  <c r="D8" i="3"/>
  <c r="L8" i="3" s="1"/>
  <c r="M8" i="3" s="1"/>
  <c r="D7" i="3"/>
  <c r="L7" i="3" s="1"/>
  <c r="M7" i="3" s="1"/>
  <c r="D6" i="3"/>
  <c r="L6" i="3" s="1"/>
  <c r="M6" i="3" s="1"/>
  <c r="D5" i="3"/>
  <c r="L5" i="3" s="1"/>
  <c r="M5" i="3" s="1"/>
  <c r="D4" i="3"/>
  <c r="L4" i="3" s="1"/>
  <c r="M4" i="3" s="1"/>
  <c r="D3" i="3"/>
  <c r="L3" i="3" s="1"/>
  <c r="M3" i="3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3" i="2"/>
  <c r="O3" i="2" s="1"/>
  <c r="L13" i="2"/>
  <c r="M13" i="2" s="1"/>
  <c r="L14" i="2"/>
  <c r="M14" i="2" s="1"/>
  <c r="L21" i="2"/>
  <c r="M21" i="2" s="1"/>
  <c r="D23" i="2"/>
  <c r="L23" i="2" s="1"/>
  <c r="M23" i="2" s="1"/>
  <c r="D22" i="2"/>
  <c r="L22" i="2" s="1"/>
  <c r="M22" i="2" s="1"/>
  <c r="D21" i="2"/>
  <c r="D20" i="2"/>
  <c r="L20" i="2" s="1"/>
  <c r="M20" i="2" s="1"/>
  <c r="D19" i="2"/>
  <c r="L19" i="2" s="1"/>
  <c r="M19" i="2" s="1"/>
  <c r="D18" i="2"/>
  <c r="L18" i="2" s="1"/>
  <c r="M18" i="2" s="1"/>
  <c r="D17" i="2"/>
  <c r="L17" i="2" s="1"/>
  <c r="M17" i="2" s="1"/>
  <c r="D16" i="2"/>
  <c r="L16" i="2" s="1"/>
  <c r="M16" i="2" s="1"/>
  <c r="D15" i="2"/>
  <c r="L15" i="2" s="1"/>
  <c r="M15" i="2" s="1"/>
  <c r="D14" i="2"/>
  <c r="D13" i="2"/>
  <c r="D12" i="2"/>
  <c r="L12" i="2" s="1"/>
  <c r="M12" i="2" s="1"/>
  <c r="D11" i="2"/>
  <c r="L11" i="2" s="1"/>
  <c r="M11" i="2" s="1"/>
  <c r="D10" i="2"/>
  <c r="L10" i="2" s="1"/>
  <c r="M10" i="2" s="1"/>
  <c r="D9" i="2"/>
  <c r="L9" i="2" s="1"/>
  <c r="M9" i="2" s="1"/>
  <c r="D8" i="2"/>
  <c r="L8" i="2" s="1"/>
  <c r="M8" i="2" s="1"/>
  <c r="D7" i="2"/>
  <c r="L7" i="2" s="1"/>
  <c r="M7" i="2" s="1"/>
  <c r="D6" i="2"/>
  <c r="L6" i="2" s="1"/>
  <c r="M6" i="2" s="1"/>
  <c r="D5" i="2"/>
  <c r="L5" i="2" s="1"/>
  <c r="M5" i="2" s="1"/>
  <c r="D4" i="2"/>
  <c r="L4" i="2" s="1"/>
  <c r="M4" i="2" s="1"/>
  <c r="D3" i="2"/>
  <c r="L3" i="2" s="1"/>
  <c r="M3" i="2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3" i="1"/>
  <c r="O3" i="1" s="1"/>
  <c r="L9" i="1"/>
  <c r="M9" i="1" s="1"/>
  <c r="L13" i="1"/>
  <c r="M13" i="1" s="1"/>
  <c r="L14" i="1"/>
  <c r="M14" i="1" s="1"/>
  <c r="L17" i="1"/>
  <c r="M17" i="1" s="1"/>
  <c r="D23" i="1"/>
  <c r="L23" i="1" s="1"/>
  <c r="M23" i="1" s="1"/>
  <c r="D22" i="1"/>
  <c r="L22" i="1" s="1"/>
  <c r="M22" i="1" s="1"/>
  <c r="D21" i="1"/>
  <c r="L21" i="1" s="1"/>
  <c r="M21" i="1" s="1"/>
  <c r="D20" i="1"/>
  <c r="L20" i="1" s="1"/>
  <c r="M20" i="1" s="1"/>
  <c r="D19" i="1"/>
  <c r="L19" i="1" s="1"/>
  <c r="M19" i="1" s="1"/>
  <c r="D18" i="1"/>
  <c r="L18" i="1" s="1"/>
  <c r="M18" i="1" s="1"/>
  <c r="D17" i="1"/>
  <c r="D16" i="1"/>
  <c r="L16" i="1" s="1"/>
  <c r="M16" i="1" s="1"/>
  <c r="D15" i="1"/>
  <c r="L15" i="1" s="1"/>
  <c r="M15" i="1" s="1"/>
  <c r="D14" i="1"/>
  <c r="D13" i="1"/>
  <c r="D12" i="1"/>
  <c r="L12" i="1" s="1"/>
  <c r="M12" i="1" s="1"/>
  <c r="D11" i="1"/>
  <c r="L11" i="1" s="1"/>
  <c r="M11" i="1" s="1"/>
  <c r="D10" i="1"/>
  <c r="L10" i="1" s="1"/>
  <c r="M10" i="1" s="1"/>
  <c r="D9" i="1"/>
  <c r="D8" i="1"/>
  <c r="L8" i="1" s="1"/>
  <c r="M8" i="1" s="1"/>
  <c r="D7" i="1"/>
  <c r="L7" i="1" s="1"/>
  <c r="M7" i="1" s="1"/>
  <c r="D6" i="1"/>
  <c r="L6" i="1" s="1"/>
  <c r="M6" i="1" s="1"/>
  <c r="D5" i="1"/>
  <c r="L5" i="1" s="1"/>
  <c r="M5" i="1" s="1"/>
  <c r="D4" i="1"/>
  <c r="L4" i="1" s="1"/>
  <c r="M4" i="1" s="1"/>
  <c r="D3" i="1"/>
  <c r="L3" i="1" s="1"/>
  <c r="M3" i="1" s="1"/>
</calcChain>
</file>

<file path=xl/sharedStrings.xml><?xml version="1.0" encoding="utf-8"?>
<sst xmlns="http://schemas.openxmlformats.org/spreadsheetml/2006/main" count="59" uniqueCount="12">
  <si>
    <t>Energy (keV)</t>
  </si>
  <si>
    <t>27Al (844 keV)</t>
  </si>
  <si>
    <t>28Si (1779 keV)</t>
  </si>
  <si>
    <t>Count/uC/msr</t>
  </si>
  <si>
    <t>ERYA</t>
  </si>
  <si>
    <t>NDF</t>
  </si>
  <si>
    <t>SMNRA</t>
  </si>
  <si>
    <t>ERYA/NDF</t>
  </si>
  <si>
    <t>REL</t>
  </si>
  <si>
    <t>SMNRA/NDF</t>
  </si>
  <si>
    <t>SMNRA--asym</t>
  </si>
  <si>
    <t>SMNRA-asym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</si>
</sst>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5 Full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Full 0'!$F$3:$F$23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0'!$D$3:$D$23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F-42BC-9EF7-BEC0DA330439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Full 0'!$F$3:$F$23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0'!$G$3:$G$23</c:f>
              <c:numCache>
                <c:formatCode>0.000000</c:formatCode>
                <c:ptCount val="21"/>
                <c:pt idx="0">
                  <c:v>36.887225999999998</c:v>
                </c:pt>
                <c:pt idx="1">
                  <c:v>36.887287000000001</c:v>
                </c:pt>
                <c:pt idx="2">
                  <c:v>36.887324999999997</c:v>
                </c:pt>
                <c:pt idx="3">
                  <c:v>36.887374999999999</c:v>
                </c:pt>
                <c:pt idx="4">
                  <c:v>36.887324999999997</c:v>
                </c:pt>
                <c:pt idx="5">
                  <c:v>36.887385999999999</c:v>
                </c:pt>
                <c:pt idx="6">
                  <c:v>36.887473999999997</c:v>
                </c:pt>
                <c:pt idx="7">
                  <c:v>36.887272000000003</c:v>
                </c:pt>
                <c:pt idx="8">
                  <c:v>36.887321</c:v>
                </c:pt>
                <c:pt idx="9">
                  <c:v>36.887318</c:v>
                </c:pt>
                <c:pt idx="10">
                  <c:v>36.887225999999998</c:v>
                </c:pt>
                <c:pt idx="11">
                  <c:v>36.887233999999999</c:v>
                </c:pt>
                <c:pt idx="12">
                  <c:v>36.887379000000003</c:v>
                </c:pt>
                <c:pt idx="13">
                  <c:v>36.887394</c:v>
                </c:pt>
                <c:pt idx="14">
                  <c:v>36.887366999999998</c:v>
                </c:pt>
                <c:pt idx="15">
                  <c:v>36.887439999999998</c:v>
                </c:pt>
                <c:pt idx="16">
                  <c:v>36.887348000000003</c:v>
                </c:pt>
                <c:pt idx="17">
                  <c:v>36.887385999999999</c:v>
                </c:pt>
                <c:pt idx="18">
                  <c:v>36.887318</c:v>
                </c:pt>
                <c:pt idx="19">
                  <c:v>36.887318</c:v>
                </c:pt>
                <c:pt idx="20">
                  <c:v>36.887455000000003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CF-42BC-9EF7-BEC0DA330439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Full 0'!$F$3:$F$23</c:f>
              <c:numCache>
                <c:formatCode>0.00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0'!$J$3:$J$23</c:f>
              <c:numCache>
                <c:formatCode>General</c:formatCode>
                <c:ptCount val="21"/>
                <c:pt idx="0">
                  <c:v>36.896884919274598</c:v>
                </c:pt>
                <c:pt idx="1">
                  <c:v>36.896897337861503</c:v>
                </c:pt>
                <c:pt idx="2">
                  <c:v>36.8967775177777</c:v>
                </c:pt>
                <c:pt idx="3">
                  <c:v>36.896983489385597</c:v>
                </c:pt>
                <c:pt idx="4">
                  <c:v>36.896570988842001</c:v>
                </c:pt>
                <c:pt idx="5">
                  <c:v>36.896960739573302</c:v>
                </c:pt>
                <c:pt idx="6">
                  <c:v>36.896536524933801</c:v>
                </c:pt>
                <c:pt idx="7">
                  <c:v>36.8969082809284</c:v>
                </c:pt>
                <c:pt idx="8">
                  <c:v>36.896629002414301</c:v>
                </c:pt>
                <c:pt idx="9">
                  <c:v>36.896642442565899</c:v>
                </c:pt>
                <c:pt idx="10">
                  <c:v>36.896604394352501</c:v>
                </c:pt>
                <c:pt idx="11">
                  <c:v>36.896581273817198</c:v>
                </c:pt>
                <c:pt idx="12">
                  <c:v>36.896622590616303</c:v>
                </c:pt>
                <c:pt idx="13">
                  <c:v>36.896501477389599</c:v>
                </c:pt>
                <c:pt idx="14">
                  <c:v>36.896726123996402</c:v>
                </c:pt>
                <c:pt idx="15">
                  <c:v>36.896322003107798</c:v>
                </c:pt>
                <c:pt idx="16">
                  <c:v>36.896700265240099</c:v>
                </c:pt>
                <c:pt idx="17">
                  <c:v>36.896434467537702</c:v>
                </c:pt>
                <c:pt idx="18">
                  <c:v>36.8964879141379</c:v>
                </c:pt>
                <c:pt idx="19">
                  <c:v>36.896368697182098</c:v>
                </c:pt>
                <c:pt idx="20">
                  <c:v>36.896562347131002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CF-42BC-9EF7-BEC0DA330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175232"/>
        <c:axId val="244177536"/>
      </c:scatterChart>
      <c:valAx>
        <c:axId val="24417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7536"/>
        <c:crosses val="autoZero"/>
        <c:crossBetween val="midCat"/>
      </c:valAx>
      <c:valAx>
        <c:axId val="244177536"/>
        <c:scaling>
          <c:orientation val="minMax"/>
          <c:max val="36.898000000000003"/>
          <c:min val="36.884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17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Full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0'!$L$3:$L$23</c:f>
              <c:numCache>
                <c:formatCode>General</c:formatCode>
                <c:ptCount val="21"/>
                <c:pt idx="0">
                  <c:v>1.0000025194072149</c:v>
                </c:pt>
                <c:pt idx="1">
                  <c:v>1.0000008657167798</c:v>
                </c:pt>
                <c:pt idx="2">
                  <c:v>0.99999983555173277</c:v>
                </c:pt>
                <c:pt idx="3">
                  <c:v>0.99999848007464132</c:v>
                </c:pt>
                <c:pt idx="4">
                  <c:v>0.99999983555173277</c:v>
                </c:pt>
                <c:pt idx="5">
                  <c:v>0.99999818187017431</c:v>
                </c:pt>
                <c:pt idx="6">
                  <c:v>0.99999579624084101</c:v>
                </c:pt>
                <c:pt idx="7">
                  <c:v>1.0000012723614615</c:v>
                </c:pt>
                <c:pt idx="8">
                  <c:v>0.99999994399005876</c:v>
                </c:pt>
                <c:pt idx="9">
                  <c:v>1.0000000253188188</c:v>
                </c:pt>
                <c:pt idx="10">
                  <c:v>1.0000025194072149</c:v>
                </c:pt>
                <c:pt idx="11">
                  <c:v>1.0000023025294691</c:v>
                </c:pt>
                <c:pt idx="12">
                  <c:v>0.99999837163663263</c:v>
                </c:pt>
                <c:pt idx="13">
                  <c:v>0.99999796499430993</c:v>
                </c:pt>
                <c:pt idx="14">
                  <c:v>0.99999869695072896</c:v>
                </c:pt>
                <c:pt idx="15">
                  <c:v>0.99999671795991596</c:v>
                </c:pt>
                <c:pt idx="16">
                  <c:v>0.99999921203181419</c:v>
                </c:pt>
                <c:pt idx="17">
                  <c:v>0.99999818187017431</c:v>
                </c:pt>
                <c:pt idx="18">
                  <c:v>1.0000000253188188</c:v>
                </c:pt>
                <c:pt idx="19">
                  <c:v>1.0000000253188188</c:v>
                </c:pt>
                <c:pt idx="20">
                  <c:v>0.99999631131893807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82-4FCC-A54C-FE8FB5C2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238208"/>
        <c:axId val="244257152"/>
      </c:scatterChart>
      <c:valAx>
        <c:axId val="24423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57152"/>
        <c:crosses val="autoZero"/>
        <c:crossBetween val="midCat"/>
      </c:valAx>
      <c:valAx>
        <c:axId val="2442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3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Full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0'!$N$3:$N$23</c:f>
              <c:numCache>
                <c:formatCode>General</c:formatCode>
                <c:ptCount val="21"/>
                <c:pt idx="0">
                  <c:v>1.0002618499768618</c:v>
                </c:pt>
                <c:pt idx="1">
                  <c:v>1.0002605325206351</c:v>
                </c:pt>
                <c:pt idx="2">
                  <c:v>1.0002562538155777</c:v>
                </c:pt>
                <c:pt idx="3">
                  <c:v>1.0002604817877552</c:v>
                </c:pt>
                <c:pt idx="4">
                  <c:v>1.0002506549022463</c:v>
                </c:pt>
                <c:pt idx="5">
                  <c:v>1.0002595667682526</c:v>
                </c:pt>
                <c:pt idx="6">
                  <c:v>1.0002456802798099</c:v>
                </c:pt>
                <c:pt idx="7">
                  <c:v>1.0002612359333158</c:v>
                </c:pt>
                <c:pt idx="8">
                  <c:v>1.0002523360916966</c:v>
                </c:pt>
                <c:pt idx="9">
                  <c:v>1.0002527817979583</c:v>
                </c:pt>
                <c:pt idx="10">
                  <c:v>1.0002542450427827</c:v>
                </c:pt>
                <c:pt idx="11">
                  <c:v>1.0002534013208255</c:v>
                </c:pt>
                <c:pt idx="12">
                  <c:v>1.0002505895205052</c:v>
                </c:pt>
                <c:pt idx="13">
                  <c:v>1.0002468994526856</c:v>
                </c:pt>
                <c:pt idx="14">
                  <c:v>1.0002537216602205</c:v>
                </c:pt>
                <c:pt idx="15">
                  <c:v>1.0002407866500846</c:v>
                </c:pt>
                <c:pt idx="16">
                  <c:v>1.0002535358530003</c:v>
                </c:pt>
                <c:pt idx="17">
                  <c:v>1.000245299776398</c:v>
                </c:pt>
                <c:pt idx="18">
                  <c:v>1.0002485925959133</c:v>
                </c:pt>
                <c:pt idx="19">
                  <c:v>1.0002453606733375</c:v>
                </c:pt>
                <c:pt idx="20">
                  <c:v>1.0002468955131494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6-471B-B3BE-5EEAD8586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364032"/>
        <c:axId val="244366336"/>
      </c:scatterChart>
      <c:valAx>
        <c:axId val="24436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6336"/>
        <c:crosses val="autoZero"/>
        <c:crossBetween val="midCat"/>
      </c:valAx>
      <c:valAx>
        <c:axId val="2443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</a:t>
            </a:r>
            <a:r>
              <a:rPr lang="en-US" baseline="0"/>
              <a:t> 5 Full Straggling </a:t>
            </a:r>
            <a:r>
              <a:rPr lang="el-GR" baseline="0"/>
              <a:t>Δ</a:t>
            </a:r>
            <a:r>
              <a:rPr lang="en-US" baseline="0"/>
              <a:t>E=1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1'!$L$3:$L$23</c:f>
              <c:numCache>
                <c:formatCode>General</c:formatCode>
                <c:ptCount val="21"/>
                <c:pt idx="0">
                  <c:v>0.99999921203181419</c:v>
                </c:pt>
                <c:pt idx="1">
                  <c:v>1.0000037664560781</c:v>
                </c:pt>
                <c:pt idx="2">
                  <c:v>1.0000009741553295</c:v>
                </c:pt>
                <c:pt idx="3">
                  <c:v>1.0000011639228474</c:v>
                </c:pt>
                <c:pt idx="4">
                  <c:v>1.000000133757186</c:v>
                </c:pt>
                <c:pt idx="5">
                  <c:v>0.9999988867173828</c:v>
                </c:pt>
                <c:pt idx="6">
                  <c:v>0.9999982631986476</c:v>
                </c:pt>
                <c:pt idx="7">
                  <c:v>0.99999579624084101</c:v>
                </c:pt>
                <c:pt idx="8">
                  <c:v>0.99999951023689559</c:v>
                </c:pt>
                <c:pt idx="9">
                  <c:v>0.99999848007464132</c:v>
                </c:pt>
                <c:pt idx="10">
                  <c:v>0.99999723303896237</c:v>
                </c:pt>
                <c:pt idx="11">
                  <c:v>0.99999682639756582</c:v>
                </c:pt>
                <c:pt idx="12">
                  <c:v>1.0000012723614615</c:v>
                </c:pt>
                <c:pt idx="13">
                  <c:v>1.0000005404012726</c:v>
                </c:pt>
                <c:pt idx="14">
                  <c:v>0.99999921203181419</c:v>
                </c:pt>
                <c:pt idx="15">
                  <c:v>0.99999961867515119</c:v>
                </c:pt>
                <c:pt idx="16">
                  <c:v>0.99999796499430993</c:v>
                </c:pt>
                <c:pt idx="17">
                  <c:v>1.0000008657167798</c:v>
                </c:pt>
                <c:pt idx="18">
                  <c:v>0.99999869695072896</c:v>
                </c:pt>
                <c:pt idx="19">
                  <c:v>0.99999858851267331</c:v>
                </c:pt>
                <c:pt idx="20">
                  <c:v>0.99999880538880803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F-40A6-91B9-F2C72EC37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002624"/>
        <c:axId val="245004928"/>
      </c:scatterChart>
      <c:valAx>
        <c:axId val="24500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04928"/>
        <c:crosses val="autoZero"/>
        <c:crossBetween val="midCat"/>
      </c:valAx>
      <c:valAx>
        <c:axId val="24500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0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1'!$N$3:$N$23</c:f>
              <c:numCache>
                <c:formatCode>General</c:formatCode>
                <c:ptCount val="21"/>
                <c:pt idx="0">
                  <c:v>1.0002586499906416</c:v>
                </c:pt>
                <c:pt idx="1">
                  <c:v>1.0002635461107543</c:v>
                </c:pt>
                <c:pt idx="2">
                  <c:v>1.0002574994172384</c:v>
                </c:pt>
                <c:pt idx="3">
                  <c:v>1.0002591960871818</c:v>
                </c:pt>
                <c:pt idx="4">
                  <c:v>1.0002510436629812</c:v>
                </c:pt>
                <c:pt idx="5">
                  <c:v>1.0002603784423796</c:v>
                </c:pt>
                <c:pt idx="6">
                  <c:v>1.0002482356078743</c:v>
                </c:pt>
                <c:pt idx="7">
                  <c:v>1.0002558625787876</c:v>
                </c:pt>
                <c:pt idx="8">
                  <c:v>1.0002519904298268</c:v>
                </c:pt>
                <c:pt idx="9">
                  <c:v>1.0002513225582195</c:v>
                </c:pt>
                <c:pt idx="10">
                  <c:v>1.0002490486659557</c:v>
                </c:pt>
                <c:pt idx="11">
                  <c:v>1.000248016847834</c:v>
                </c:pt>
                <c:pt idx="12">
                  <c:v>1.000253593952529</c:v>
                </c:pt>
                <c:pt idx="13">
                  <c:v>1.0002495814163921</c:v>
                </c:pt>
                <c:pt idx="14">
                  <c:v>1.0002543633876797</c:v>
                </c:pt>
                <c:pt idx="15">
                  <c:v>1.0002438042944606</c:v>
                </c:pt>
                <c:pt idx="16">
                  <c:v>1.0002524244104178</c:v>
                </c:pt>
                <c:pt idx="17">
                  <c:v>1.0002481043024578</c:v>
                </c:pt>
                <c:pt idx="18">
                  <c:v>1.000247379316751</c:v>
                </c:pt>
                <c:pt idx="19">
                  <c:v>1.0002440367075034</c:v>
                </c:pt>
                <c:pt idx="20">
                  <c:v>1.0002495130114288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68-4136-B04A-69077436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108096"/>
        <c:axId val="245159808"/>
      </c:scatterChart>
      <c:valAx>
        <c:axId val="2451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59808"/>
        <c:crosses val="autoZero"/>
        <c:crossBetween val="midCat"/>
      </c:valAx>
      <c:valAx>
        <c:axId val="24515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0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</a:t>
            </a:r>
            <a:r>
              <a:rPr lang="en-US" baseline="0"/>
              <a:t> 5 Full Straggling </a:t>
            </a:r>
            <a:r>
              <a:rPr lang="el-GR" baseline="0"/>
              <a:t>Δ</a:t>
            </a:r>
            <a:r>
              <a:rPr lang="en-US" baseline="0"/>
              <a:t>E=1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ERYA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1'!$D$3:$D$23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9E-4E1A-BE7F-AA67178DE39A}"/>
            </c:ext>
          </c:extLst>
        </c:ser>
        <c:ser>
          <c:idx val="2"/>
          <c:order val="1"/>
          <c:tx>
            <c:v>NDF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'Ex 5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1'!$G$3:$G$23</c:f>
              <c:numCache>
                <c:formatCode>0.000000</c:formatCode>
                <c:ptCount val="21"/>
                <c:pt idx="0">
                  <c:v>36.887348000000003</c:v>
                </c:pt>
                <c:pt idx="1">
                  <c:v>36.887180000000001</c:v>
                </c:pt>
                <c:pt idx="2">
                  <c:v>36.887282999999996</c:v>
                </c:pt>
                <c:pt idx="3">
                  <c:v>36.887276</c:v>
                </c:pt>
                <c:pt idx="4">
                  <c:v>36.887314000000003</c:v>
                </c:pt>
                <c:pt idx="5">
                  <c:v>36.887360000000001</c:v>
                </c:pt>
                <c:pt idx="6">
                  <c:v>36.887383</c:v>
                </c:pt>
                <c:pt idx="7">
                  <c:v>36.887473999999997</c:v>
                </c:pt>
                <c:pt idx="8">
                  <c:v>36.887337000000002</c:v>
                </c:pt>
                <c:pt idx="9">
                  <c:v>36.887374999999999</c:v>
                </c:pt>
                <c:pt idx="10">
                  <c:v>36.887421000000003</c:v>
                </c:pt>
                <c:pt idx="11">
                  <c:v>36.887436000000001</c:v>
                </c:pt>
                <c:pt idx="12">
                  <c:v>36.887272000000003</c:v>
                </c:pt>
                <c:pt idx="13">
                  <c:v>36.887298999999999</c:v>
                </c:pt>
                <c:pt idx="14">
                  <c:v>36.887348000000003</c:v>
                </c:pt>
                <c:pt idx="15">
                  <c:v>36.887332999999998</c:v>
                </c:pt>
                <c:pt idx="16">
                  <c:v>36.887394</c:v>
                </c:pt>
                <c:pt idx="17">
                  <c:v>36.887287000000001</c:v>
                </c:pt>
                <c:pt idx="18">
                  <c:v>36.887366999999998</c:v>
                </c:pt>
                <c:pt idx="19">
                  <c:v>36.887371000000002</c:v>
                </c:pt>
                <c:pt idx="20">
                  <c:v>36.887363000000001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9E-4E1A-BE7F-AA67178DE39A}"/>
            </c:ext>
          </c:extLst>
        </c:ser>
        <c:ser>
          <c:idx val="3"/>
          <c:order val="2"/>
          <c:tx>
            <c:v>SMNRA</c:v>
          </c:tx>
          <c:xVal>
            <c:numRef>
              <c:f>'Ex 5 Full 1'!$I$3:$I$23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Full 1'!$J$3:$J$23</c:f>
              <c:numCache>
                <c:formatCode>General</c:formatCode>
                <c:ptCount val="21"/>
                <c:pt idx="0">
                  <c:v>36.896888912214997</c:v>
                </c:pt>
                <c:pt idx="1">
                  <c:v>36.896901472825697</c:v>
                </c:pt>
                <c:pt idx="2">
                  <c:v>36.896781453876002</c:v>
                </c:pt>
                <c:pt idx="3">
                  <c:v>36.896837037605998</c:v>
                </c:pt>
                <c:pt idx="4">
                  <c:v>36.896574326424101</c:v>
                </c:pt>
                <c:pt idx="5">
                  <c:v>36.8969646733403</c:v>
                </c:pt>
                <c:pt idx="6">
                  <c:v>36.896539761941902</c:v>
                </c:pt>
                <c:pt idx="7">
                  <c:v>36.896912124222602</c:v>
                </c:pt>
                <c:pt idx="8">
                  <c:v>36.8966322559058</c:v>
                </c:pt>
                <c:pt idx="9">
                  <c:v>36.896645629451001</c:v>
                </c:pt>
                <c:pt idx="10">
                  <c:v>36.896607762990598</c:v>
                </c:pt>
                <c:pt idx="11">
                  <c:v>36.896584705601398</c:v>
                </c:pt>
                <c:pt idx="12">
                  <c:v>36.896626389104497</c:v>
                </c:pt>
                <c:pt idx="13">
                  <c:v>36.896505384331299</c:v>
                </c:pt>
                <c:pt idx="14">
                  <c:v>36.896730790799801</c:v>
                </c:pt>
                <c:pt idx="15">
                  <c:v>36.896326290196598</c:v>
                </c:pt>
                <c:pt idx="16">
                  <c:v>36.896705278682298</c:v>
                </c:pt>
                <c:pt idx="17">
                  <c:v>36.896438894610696</c:v>
                </c:pt>
                <c:pt idx="18">
                  <c:v>36.8964921716452</c:v>
                </c:pt>
                <c:pt idx="19">
                  <c:v>36.896372872567298</c:v>
                </c:pt>
                <c:pt idx="20">
                  <c:v>36.896566877025798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9E-4E1A-BE7F-AA67178DE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848896"/>
        <c:axId val="244871552"/>
      </c:scatterChart>
      <c:valAx>
        <c:axId val="24484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71552"/>
        <c:crosses val="autoZero"/>
        <c:crossBetween val="midCat"/>
      </c:valAx>
      <c:valAx>
        <c:axId val="2448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4889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5 Gauss Straggling </a:t>
            </a:r>
            <a:r>
              <a:rPr lang="el-GR" sz="2000"/>
              <a:t>Δ</a:t>
            </a:r>
            <a:r>
              <a:rPr lang="en-GB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0'!$D$3:$D$23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0-4003-8B8A-4A6761EF454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0'!$G$3:$G$23</c:f>
              <c:numCache>
                <c:formatCode>0.000000</c:formatCode>
                <c:ptCount val="21"/>
                <c:pt idx="0">
                  <c:v>36.887352</c:v>
                </c:pt>
                <c:pt idx="1">
                  <c:v>36.887267999999999</c:v>
                </c:pt>
                <c:pt idx="2">
                  <c:v>36.887450999999999</c:v>
                </c:pt>
                <c:pt idx="3">
                  <c:v>36.887241000000003</c:v>
                </c:pt>
                <c:pt idx="4">
                  <c:v>36.887230000000002</c:v>
                </c:pt>
                <c:pt idx="5">
                  <c:v>36.887005000000002</c:v>
                </c:pt>
                <c:pt idx="6">
                  <c:v>36.887577</c:v>
                </c:pt>
                <c:pt idx="7">
                  <c:v>36.887211000000001</c:v>
                </c:pt>
                <c:pt idx="8">
                  <c:v>36.887287000000001</c:v>
                </c:pt>
                <c:pt idx="9">
                  <c:v>36.887276</c:v>
                </c:pt>
                <c:pt idx="10">
                  <c:v>36.887568999999999</c:v>
                </c:pt>
                <c:pt idx="11">
                  <c:v>36.88747</c:v>
                </c:pt>
                <c:pt idx="12">
                  <c:v>36.887383</c:v>
                </c:pt>
                <c:pt idx="13">
                  <c:v>36.887256999999998</c:v>
                </c:pt>
                <c:pt idx="14">
                  <c:v>36.887253000000001</c:v>
                </c:pt>
                <c:pt idx="15">
                  <c:v>36.887562000000003</c:v>
                </c:pt>
                <c:pt idx="16">
                  <c:v>36.887298999999999</c:v>
                </c:pt>
                <c:pt idx="17">
                  <c:v>36.887573000000003</c:v>
                </c:pt>
                <c:pt idx="18">
                  <c:v>36.887301999999998</c:v>
                </c:pt>
                <c:pt idx="19">
                  <c:v>36.887416999999999</c:v>
                </c:pt>
                <c:pt idx="20">
                  <c:v>36.887402000000002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90-4003-8B8A-4A6761EF4548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Gauss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0'!$J$3:$J$23</c:f>
              <c:numCache>
                <c:formatCode>General</c:formatCode>
                <c:ptCount val="21"/>
                <c:pt idx="0">
                  <c:v>36.886740270193698</c:v>
                </c:pt>
                <c:pt idx="1">
                  <c:v>36.886414446835502</c:v>
                </c:pt>
                <c:pt idx="2">
                  <c:v>36.886738820940998</c:v>
                </c:pt>
                <c:pt idx="3">
                  <c:v>36.886328480316102</c:v>
                </c:pt>
                <c:pt idx="4">
                  <c:v>36.886818796242103</c:v>
                </c:pt>
                <c:pt idx="5">
                  <c:v>36.886474803397299</c:v>
                </c:pt>
                <c:pt idx="6">
                  <c:v>36.886598041168099</c:v>
                </c:pt>
                <c:pt idx="7">
                  <c:v>36.8865459955814</c:v>
                </c:pt>
                <c:pt idx="8">
                  <c:v>36.886747158843399</c:v>
                </c:pt>
                <c:pt idx="9">
                  <c:v>36.886542984292497</c:v>
                </c:pt>
                <c:pt idx="10">
                  <c:v>36.886559237023299</c:v>
                </c:pt>
                <c:pt idx="11">
                  <c:v>36.8867250501334</c:v>
                </c:pt>
                <c:pt idx="12">
                  <c:v>36.886324549261701</c:v>
                </c:pt>
                <c:pt idx="13">
                  <c:v>36.886727103370099</c:v>
                </c:pt>
                <c:pt idx="14">
                  <c:v>36.886470155676399</c:v>
                </c:pt>
                <c:pt idx="15">
                  <c:v>36.886810157349501</c:v>
                </c:pt>
                <c:pt idx="16">
                  <c:v>36.886460163403399</c:v>
                </c:pt>
                <c:pt idx="17">
                  <c:v>36.886737609240498</c:v>
                </c:pt>
                <c:pt idx="18">
                  <c:v>36.886530862560697</c:v>
                </c:pt>
                <c:pt idx="19">
                  <c:v>36.886552779129801</c:v>
                </c:pt>
                <c:pt idx="20">
                  <c:v>36.8867147605269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90-4003-8B8A-4A6761EF4548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5 Gauss 0'!$Z$3:$Z$23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0'!$AA$3:$AA$23</c:f>
              <c:numCache>
                <c:formatCode>General</c:formatCode>
                <c:ptCount val="21"/>
                <c:pt idx="0">
                  <c:v>36.886569537259199</c:v>
                </c:pt>
                <c:pt idx="1">
                  <c:v>36.886736061201901</c:v>
                </c:pt>
                <c:pt idx="2">
                  <c:v>36.886306215464501</c:v>
                </c:pt>
                <c:pt idx="3">
                  <c:v>36.886795931274698</c:v>
                </c:pt>
                <c:pt idx="4">
                  <c:v>36.8864567192797</c:v>
                </c:pt>
                <c:pt idx="5">
                  <c:v>36.8867525565242</c:v>
                </c:pt>
                <c:pt idx="6">
                  <c:v>36.886548315258203</c:v>
                </c:pt>
                <c:pt idx="7">
                  <c:v>36.886724661113703</c:v>
                </c:pt>
                <c:pt idx="8">
                  <c:v>36.886516499732203</c:v>
                </c:pt>
                <c:pt idx="9">
                  <c:v>36.886543479021199</c:v>
                </c:pt>
                <c:pt idx="10">
                  <c:v>36.886721323332303</c:v>
                </c:pt>
                <c:pt idx="11">
                  <c:v>36.8863211431878</c:v>
                </c:pt>
                <c:pt idx="12">
                  <c:v>36.886716801880603</c:v>
                </c:pt>
                <c:pt idx="13">
                  <c:v>36.886434206546397</c:v>
                </c:pt>
                <c:pt idx="14">
                  <c:v>36.886794573277399</c:v>
                </c:pt>
                <c:pt idx="15">
                  <c:v>36.886463364779203</c:v>
                </c:pt>
                <c:pt idx="16">
                  <c:v>36.886728175558297</c:v>
                </c:pt>
                <c:pt idx="17">
                  <c:v>36.886519407489899</c:v>
                </c:pt>
                <c:pt idx="18">
                  <c:v>36.886710115420797</c:v>
                </c:pt>
                <c:pt idx="19">
                  <c:v>36.886689264473297</c:v>
                </c:pt>
                <c:pt idx="20">
                  <c:v>36.886552159895402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24-463E-BB9F-0CAA42FE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479296"/>
        <c:axId val="245490048"/>
      </c:scatterChart>
      <c:valAx>
        <c:axId val="24547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90048"/>
        <c:crosses val="autoZero"/>
        <c:crossBetween val="midCat"/>
      </c:valAx>
      <c:valAx>
        <c:axId val="245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7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0'!$L$3:$L$23</c:f>
              <c:numCache>
                <c:formatCode>General</c:formatCode>
                <c:ptCount val="21"/>
                <c:pt idx="0">
                  <c:v>0.99999910359364697</c:v>
                </c:pt>
                <c:pt idx="1">
                  <c:v>1.0000013808000994</c:v>
                </c:pt>
                <c:pt idx="2">
                  <c:v>0.99999641975649989</c:v>
                </c:pt>
                <c:pt idx="3">
                  <c:v>1.0000021127615186</c:v>
                </c:pt>
                <c:pt idx="4">
                  <c:v>1.0000024109683301</c:v>
                </c:pt>
                <c:pt idx="5">
                  <c:v>1.0000085106921344</c:v>
                </c:pt>
                <c:pt idx="6">
                  <c:v>0.99999300398460222</c:v>
                </c:pt>
                <c:pt idx="7">
                  <c:v>1.0000029260532415</c:v>
                </c:pt>
                <c:pt idx="8">
                  <c:v>1.0000008657167798</c:v>
                </c:pt>
                <c:pt idx="9">
                  <c:v>1.0000011639228474</c:v>
                </c:pt>
                <c:pt idx="10">
                  <c:v>0.99999322085831466</c:v>
                </c:pt>
                <c:pt idx="11">
                  <c:v>0.99999590467829103</c:v>
                </c:pt>
                <c:pt idx="12">
                  <c:v>0.9999982631986476</c:v>
                </c:pt>
                <c:pt idx="13">
                  <c:v>1.0000016790064743</c:v>
                </c:pt>
                <c:pt idx="14">
                  <c:v>1.0000017874452001</c:v>
                </c:pt>
                <c:pt idx="15">
                  <c:v>0.99999341062289004</c:v>
                </c:pt>
                <c:pt idx="16">
                  <c:v>1.0000005404012726</c:v>
                </c:pt>
                <c:pt idx="17">
                  <c:v>0.99999311242144651</c:v>
                </c:pt>
                <c:pt idx="18">
                  <c:v>1.0000004590724287</c:v>
                </c:pt>
                <c:pt idx="19">
                  <c:v>0.99999734147672414</c:v>
                </c:pt>
                <c:pt idx="20">
                  <c:v>0.9999977481185397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A6-4169-83F4-56E2592B2E1B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0'!$I$3:$I$23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0'!$N$3:$N$23</c:f>
              <c:numCache>
                <c:formatCode>General</c:formatCode>
                <c:ptCount val="21"/>
                <c:pt idx="0">
                  <c:v>0.99998341627216014</c:v>
                </c:pt>
                <c:pt idx="1">
                  <c:v>0.9999768604938567</c:v>
                </c:pt>
                <c:pt idx="2">
                  <c:v>0.99998069318861305</c:v>
                </c:pt>
                <c:pt idx="3">
                  <c:v>0.99997526191552522</c:v>
                </c:pt>
                <c:pt idx="4">
                  <c:v>0.99998885240887159</c:v>
                </c:pt>
                <c:pt idx="5">
                  <c:v>0.99998562646648315</c:v>
                </c:pt>
                <c:pt idx="6">
                  <c:v>0.99997346101556361</c:v>
                </c:pt>
                <c:pt idx="7">
                  <c:v>0.99998197195178029</c:v>
                </c:pt>
                <c:pt idx="8">
                  <c:v>0.99998536511626346</c:v>
                </c:pt>
                <c:pt idx="9">
                  <c:v>0.99998012822341498</c:v>
                </c:pt>
                <c:pt idx="10">
                  <c:v>0.99997262592781055</c:v>
                </c:pt>
                <c:pt idx="11">
                  <c:v>0.99997980479912008</c:v>
                </c:pt>
                <c:pt idx="12">
                  <c:v>0.99997130588693972</c:v>
                </c:pt>
                <c:pt idx="13">
                  <c:v>0.99998563469683044</c:v>
                </c:pt>
                <c:pt idx="14">
                  <c:v>0.99997877737538221</c:v>
                </c:pt>
                <c:pt idx="15">
                  <c:v>0.99997961799019131</c:v>
                </c:pt>
                <c:pt idx="16">
                  <c:v>0.99997725947360361</c:v>
                </c:pt>
                <c:pt idx="17">
                  <c:v>0.99997735305709856</c:v>
                </c:pt>
                <c:pt idx="18">
                  <c:v>0.99997909477252356</c:v>
                </c:pt>
                <c:pt idx="19">
                  <c:v>0.99997657139099227</c:v>
                </c:pt>
                <c:pt idx="20">
                  <c:v>0.99998136926333003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A6-4169-83F4-56E2592B2E1B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Gauss 0'!$Z$3:$Z$23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0'!$AB$3:$AB$23</c:f>
              <c:numCache>
                <c:formatCode>General</c:formatCode>
                <c:ptCount val="21"/>
                <c:pt idx="0">
                  <c:v>0.99997878777688354</c:v>
                </c:pt>
                <c:pt idx="1">
                  <c:v>0.99998557933870036</c:v>
                </c:pt>
                <c:pt idx="2">
                  <c:v>0.99996896547458647</c:v>
                </c:pt>
                <c:pt idx="3">
                  <c:v>0.99998793434495936</c:v>
                </c:pt>
                <c:pt idx="4">
                  <c:v>0.99997903662811483</c:v>
                </c:pt>
                <c:pt idx="5">
                  <c:v>0.9999931563032618</c:v>
                </c:pt>
                <c:pt idx="6">
                  <c:v>0.99997211297608957</c:v>
                </c:pt>
                <c:pt idx="7">
                  <c:v>0.99998681551483259</c:v>
                </c:pt>
                <c:pt idx="8">
                  <c:v>0.99997911203749412</c:v>
                </c:pt>
                <c:pt idx="9">
                  <c:v>0.99998014163532156</c:v>
                </c:pt>
                <c:pt idx="10">
                  <c:v>0.99997701999099764</c:v>
                </c:pt>
                <c:pt idx="11">
                  <c:v>0.99996885509328237</c:v>
                </c:pt>
                <c:pt idx="12">
                  <c:v>0.99998193967516213</c:v>
                </c:pt>
                <c:pt idx="13">
                  <c:v>0.99997769437143025</c:v>
                </c:pt>
                <c:pt idx="14">
                  <c:v>0.99998757221844081</c:v>
                </c:pt>
                <c:pt idx="15">
                  <c:v>0.99997021664861452</c:v>
                </c:pt>
                <c:pt idx="16">
                  <c:v>0.99998452517649228</c:v>
                </c:pt>
                <c:pt idx="17">
                  <c:v>0.99997143773839214</c:v>
                </c:pt>
                <c:pt idx="18">
                  <c:v>0.99998395424584863</c:v>
                </c:pt>
                <c:pt idx="19">
                  <c:v>0.99998027144251656</c:v>
                </c:pt>
                <c:pt idx="20">
                  <c:v>0.99997696123721047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F0-476B-B687-EF81F7C95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541888"/>
        <c:axId val="245544448"/>
      </c:scatterChart>
      <c:valAx>
        <c:axId val="24554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44448"/>
        <c:crosses val="autoZero"/>
        <c:crossBetween val="midCat"/>
      </c:valAx>
      <c:valAx>
        <c:axId val="24554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54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5 Gauss Straggling</a:t>
            </a:r>
            <a:r>
              <a:rPr lang="en-GB" sz="1800" baseline="0"/>
              <a:t>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1'!$D$3:$D$23</c:f>
              <c:numCache>
                <c:formatCode>General</c:formatCode>
                <c:ptCount val="21"/>
                <c:pt idx="0">
                  <c:v>36.88731893394332</c:v>
                </c:pt>
                <c:pt idx="1">
                  <c:v>36.88731893394332</c:v>
                </c:pt>
                <c:pt idx="2">
                  <c:v>36.88731893394332</c:v>
                </c:pt>
                <c:pt idx="3">
                  <c:v>36.88731893394332</c:v>
                </c:pt>
                <c:pt idx="4">
                  <c:v>36.88731893394332</c:v>
                </c:pt>
                <c:pt idx="5">
                  <c:v>36.88731893394332</c:v>
                </c:pt>
                <c:pt idx="6">
                  <c:v>36.88731893394332</c:v>
                </c:pt>
                <c:pt idx="7">
                  <c:v>36.88731893394332</c:v>
                </c:pt>
                <c:pt idx="8">
                  <c:v>36.88731893394332</c:v>
                </c:pt>
                <c:pt idx="9">
                  <c:v>36.88731893394332</c:v>
                </c:pt>
                <c:pt idx="10">
                  <c:v>36.88731893394332</c:v>
                </c:pt>
                <c:pt idx="11">
                  <c:v>36.88731893394332</c:v>
                </c:pt>
                <c:pt idx="12">
                  <c:v>36.88731893394332</c:v>
                </c:pt>
                <c:pt idx="13">
                  <c:v>36.88731893394332</c:v>
                </c:pt>
                <c:pt idx="14">
                  <c:v>36.88731893394332</c:v>
                </c:pt>
                <c:pt idx="15">
                  <c:v>36.88731893394332</c:v>
                </c:pt>
                <c:pt idx="16">
                  <c:v>36.88731893394332</c:v>
                </c:pt>
                <c:pt idx="17">
                  <c:v>36.88731893394332</c:v>
                </c:pt>
                <c:pt idx="18">
                  <c:v>36.88731893394332</c:v>
                </c:pt>
                <c:pt idx="19">
                  <c:v>36.88731893394332</c:v>
                </c:pt>
                <c:pt idx="20">
                  <c:v>36.88731893394332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CF-4FB4-B96C-22B455D29883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1'!$G$3:$G$23</c:f>
              <c:numCache>
                <c:formatCode>0.000000</c:formatCode>
                <c:ptCount val="21"/>
                <c:pt idx="0">
                  <c:v>36.887394</c:v>
                </c:pt>
                <c:pt idx="1">
                  <c:v>36.887188000000002</c:v>
                </c:pt>
                <c:pt idx="2">
                  <c:v>36.887241000000003</c:v>
                </c:pt>
                <c:pt idx="3">
                  <c:v>36.887371000000002</c:v>
                </c:pt>
                <c:pt idx="4">
                  <c:v>36.887337000000002</c:v>
                </c:pt>
                <c:pt idx="5">
                  <c:v>36.887135000000001</c:v>
                </c:pt>
                <c:pt idx="6">
                  <c:v>36.887196000000003</c:v>
                </c:pt>
                <c:pt idx="7">
                  <c:v>36.887314000000003</c:v>
                </c:pt>
                <c:pt idx="8">
                  <c:v>36.887332999999998</c:v>
                </c:pt>
                <c:pt idx="9">
                  <c:v>36.887379000000003</c:v>
                </c:pt>
                <c:pt idx="10">
                  <c:v>36.88747</c:v>
                </c:pt>
                <c:pt idx="11">
                  <c:v>36.887096</c:v>
                </c:pt>
                <c:pt idx="12">
                  <c:v>36.887127</c:v>
                </c:pt>
                <c:pt idx="13">
                  <c:v>36.887301999999998</c:v>
                </c:pt>
                <c:pt idx="14">
                  <c:v>36.887348000000003</c:v>
                </c:pt>
                <c:pt idx="15">
                  <c:v>36.887272000000003</c:v>
                </c:pt>
                <c:pt idx="16">
                  <c:v>36.887390000000003</c:v>
                </c:pt>
                <c:pt idx="17">
                  <c:v>36.887282999999996</c:v>
                </c:pt>
                <c:pt idx="18">
                  <c:v>36.887462999999997</c:v>
                </c:pt>
                <c:pt idx="19">
                  <c:v>36.887287000000001</c:v>
                </c:pt>
                <c:pt idx="20">
                  <c:v>36.887058000000003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CF-4FB4-B96C-22B455D29883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Gauss 1'!$I$3:$I$23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1'!$J$3:$J$23</c:f>
              <c:numCache>
                <c:formatCode>General</c:formatCode>
                <c:ptCount val="21"/>
                <c:pt idx="0">
                  <c:v>36.886744551832301</c:v>
                </c:pt>
                <c:pt idx="1">
                  <c:v>36.886418196994299</c:v>
                </c:pt>
                <c:pt idx="2">
                  <c:v>36.886743117282997</c:v>
                </c:pt>
                <c:pt idx="3">
                  <c:v>36.886332042937497</c:v>
                </c:pt>
                <c:pt idx="4">
                  <c:v>36.886823188534201</c:v>
                </c:pt>
                <c:pt idx="5">
                  <c:v>36.886478624274602</c:v>
                </c:pt>
                <c:pt idx="6">
                  <c:v>36.886602033543603</c:v>
                </c:pt>
                <c:pt idx="7">
                  <c:v>36.886549946349803</c:v>
                </c:pt>
                <c:pt idx="8">
                  <c:v>36.8867514221512</c:v>
                </c:pt>
                <c:pt idx="9">
                  <c:v>36.886546929061502</c:v>
                </c:pt>
                <c:pt idx="10">
                  <c:v>36.8865631832399</c:v>
                </c:pt>
                <c:pt idx="11">
                  <c:v>36.8867292899847</c:v>
                </c:pt>
                <c:pt idx="12">
                  <c:v>36.886328086087701</c:v>
                </c:pt>
                <c:pt idx="13">
                  <c:v>36.886731347720897</c:v>
                </c:pt>
                <c:pt idx="14">
                  <c:v>36.8864739819997</c:v>
                </c:pt>
                <c:pt idx="15">
                  <c:v>36.886814567899101</c:v>
                </c:pt>
                <c:pt idx="16">
                  <c:v>36.886463970280801</c:v>
                </c:pt>
                <c:pt idx="17">
                  <c:v>36.886741838702598</c:v>
                </c:pt>
                <c:pt idx="18">
                  <c:v>36.886534764443198</c:v>
                </c:pt>
                <c:pt idx="19">
                  <c:v>36.886556671340003</c:v>
                </c:pt>
                <c:pt idx="20">
                  <c:v>36.8867189545985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CF-4FB4-B96C-22B455D29883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5 Gauss 1'!$X$3:$X$23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1'!$Y$3:$Y$23</c:f>
              <c:numCache>
                <c:formatCode>General</c:formatCode>
                <c:ptCount val="21"/>
                <c:pt idx="0">
                  <c:v>36.886573463573697</c:v>
                </c:pt>
                <c:pt idx="1">
                  <c:v>36.886740430897099</c:v>
                </c:pt>
                <c:pt idx="2">
                  <c:v>36.8863098042318</c:v>
                </c:pt>
                <c:pt idx="3">
                  <c:v>36.8868000219518</c:v>
                </c:pt>
                <c:pt idx="4">
                  <c:v>36.886460387596699</c:v>
                </c:pt>
                <c:pt idx="5">
                  <c:v>36.886756797641503</c:v>
                </c:pt>
                <c:pt idx="6">
                  <c:v>36.886552265544204</c:v>
                </c:pt>
                <c:pt idx="7">
                  <c:v>36.886728755170303</c:v>
                </c:pt>
                <c:pt idx="8">
                  <c:v>36.886520295131703</c:v>
                </c:pt>
                <c:pt idx="9">
                  <c:v>36.886547339672099</c:v>
                </c:pt>
                <c:pt idx="10">
                  <c:v>36.886725416847803</c:v>
                </c:pt>
                <c:pt idx="11">
                  <c:v>36.886324532868301</c:v>
                </c:pt>
                <c:pt idx="12">
                  <c:v>36.886720937145803</c:v>
                </c:pt>
                <c:pt idx="13">
                  <c:v>36.886438034793599</c:v>
                </c:pt>
                <c:pt idx="14">
                  <c:v>36.886799026688898</c:v>
                </c:pt>
                <c:pt idx="15">
                  <c:v>36.886467182918103</c:v>
                </c:pt>
                <c:pt idx="16">
                  <c:v>36.886732235130303</c:v>
                </c:pt>
                <c:pt idx="17">
                  <c:v>36.886522957123702</c:v>
                </c:pt>
                <c:pt idx="18">
                  <c:v>36.8867141080528</c:v>
                </c:pt>
                <c:pt idx="19">
                  <c:v>36.886693519238399</c:v>
                </c:pt>
                <c:pt idx="20">
                  <c:v>36.886556057561698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5-4233-B7BB-06CCB2617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385856"/>
        <c:axId val="245392512"/>
      </c:scatterChart>
      <c:valAx>
        <c:axId val="24538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37039155985983635"/>
              <c:y val="0.79593677341200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92512"/>
        <c:crosses val="autoZero"/>
        <c:crossBetween val="midCat"/>
      </c:valAx>
      <c:valAx>
        <c:axId val="24539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459295713035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8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1'!$L$3:$L$23</c:f>
              <c:numCache>
                <c:formatCode>General</c:formatCode>
                <c:ptCount val="21"/>
                <c:pt idx="0">
                  <c:v>0.99999796499430993</c:v>
                </c:pt>
                <c:pt idx="1">
                  <c:v>1.0000035495777915</c:v>
                </c:pt>
                <c:pt idx="2">
                  <c:v>1.0000021127615186</c:v>
                </c:pt>
                <c:pt idx="3">
                  <c:v>0.99999858851267331</c:v>
                </c:pt>
                <c:pt idx="4">
                  <c:v>0.99999951023689559</c:v>
                </c:pt>
                <c:pt idx="5">
                  <c:v>1.0000049863981932</c:v>
                </c:pt>
                <c:pt idx="6">
                  <c:v>1.000003332699599</c:v>
                </c:pt>
                <c:pt idx="7">
                  <c:v>1.000000133757186</c:v>
                </c:pt>
                <c:pt idx="8">
                  <c:v>0.99999961867515119</c:v>
                </c:pt>
                <c:pt idx="9">
                  <c:v>0.99999837163663263</c:v>
                </c:pt>
                <c:pt idx="10">
                  <c:v>0.99999590467829103</c:v>
                </c:pt>
                <c:pt idx="11">
                  <c:v>1.0000060436837674</c:v>
                </c:pt>
                <c:pt idx="12">
                  <c:v>1.0000052032771032</c:v>
                </c:pt>
                <c:pt idx="13">
                  <c:v>1.0000004590724287</c:v>
                </c:pt>
                <c:pt idx="14">
                  <c:v>0.99999921203181419</c:v>
                </c:pt>
                <c:pt idx="15">
                  <c:v>1.0000012723614615</c:v>
                </c:pt>
                <c:pt idx="16">
                  <c:v>0.99999807343223024</c:v>
                </c:pt>
                <c:pt idx="17">
                  <c:v>1.0000009741553295</c:v>
                </c:pt>
                <c:pt idx="18">
                  <c:v>0.99999609444388526</c:v>
                </c:pt>
                <c:pt idx="19">
                  <c:v>1.0000008657167798</c:v>
                </c:pt>
                <c:pt idx="20">
                  <c:v>1.0000070738616051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3-4947-9033-E2237D3AB482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5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1'!$N$3:$N$23</c:f>
              <c:numCache>
                <c:formatCode>General</c:formatCode>
                <c:ptCount val="21"/>
                <c:pt idx="0">
                  <c:v>0.99998239376390485</c:v>
                </c:pt>
                <c:pt idx="1">
                  <c:v>0.99997913088398871</c:v>
                </c:pt>
                <c:pt idx="2">
                  <c:v>0.99998650257640553</c:v>
                </c:pt>
                <c:pt idx="3">
                  <c:v>0.99997183434236869</c:v>
                </c:pt>
                <c:pt idx="4">
                  <c:v>0.99998607078993529</c:v>
                </c:pt>
                <c:pt idx="5">
                  <c:v>0.99998220583611608</c:v>
                </c:pt>
                <c:pt idx="6">
                  <c:v>0.99998389776071894</c:v>
                </c:pt>
                <c:pt idx="7">
                  <c:v>0.99997928681795045</c:v>
                </c:pt>
                <c:pt idx="8">
                  <c:v>0.99998423367043643</c:v>
                </c:pt>
                <c:pt idx="9">
                  <c:v>0.999977442936824</c:v>
                </c:pt>
                <c:pt idx="10">
                  <c:v>0.99997541667237955</c:v>
                </c:pt>
                <c:pt idx="11">
                  <c:v>0.99999005858267342</c:v>
                </c:pt>
                <c:pt idx="12">
                  <c:v>0.99997834166070187</c:v>
                </c:pt>
                <c:pt idx="13">
                  <c:v>0.99998452984501007</c:v>
                </c:pt>
                <c:pt idx="14">
                  <c:v>0.99997630575122121</c:v>
                </c:pt>
                <c:pt idx="15">
                  <c:v>0.99998759918866043</c:v>
                </c:pt>
                <c:pt idx="16">
                  <c:v>0.9999748957646718</c:v>
                </c:pt>
                <c:pt idx="17">
                  <c:v>0.99998532932616913</c:v>
                </c:pt>
                <c:pt idx="18">
                  <c:v>0.99997483601523918</c:v>
                </c:pt>
                <c:pt idx="19">
                  <c:v>0.99998020107415331</c:v>
                </c:pt>
                <c:pt idx="20">
                  <c:v>0.99999080855400546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13-4947-9033-E2237D3AB482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5 Gauss 1'!$X$3:$X$23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5 Gauss 1'!$Z$3:$Z$23</c:f>
              <c:numCache>
                <c:formatCode>General</c:formatCode>
                <c:ptCount val="21"/>
                <c:pt idx="0">
                  <c:v>0.99997775564122793</c:v>
                </c:pt>
                <c:pt idx="1">
                  <c:v>0.99998786654317751</c:v>
                </c:pt>
                <c:pt idx="2">
                  <c:v>0.99997475561351412</c:v>
                </c:pt>
                <c:pt idx="3">
                  <c:v>0.99998452104249436</c:v>
                </c:pt>
                <c:pt idx="4">
                  <c:v>0.99997623541099478</c:v>
                </c:pt>
                <c:pt idx="5">
                  <c:v>0.99998974703894739</c:v>
                </c:pt>
                <c:pt idx="6">
                  <c:v>0.99998254856628843</c:v>
                </c:pt>
                <c:pt idx="7">
                  <c:v>0.99998413425196264</c:v>
                </c:pt>
                <c:pt idx="8">
                  <c:v>0.99997796791466886</c:v>
                </c:pt>
                <c:pt idx="9">
                  <c:v>0.99997745406828975</c:v>
                </c:pt>
                <c:pt idx="10">
                  <c:v>0.99997981474055564</c:v>
                </c:pt>
                <c:pt idx="11">
                  <c:v>0.99997908571789718</c:v>
                </c:pt>
                <c:pt idx="12">
                  <c:v>0.999988991746248</c:v>
                </c:pt>
                <c:pt idx="13">
                  <c:v>0.99997657824889441</c:v>
                </c:pt>
                <c:pt idx="14">
                  <c:v>0.99998511757171848</c:v>
                </c:pt>
                <c:pt idx="15">
                  <c:v>0.99997818171314212</c:v>
                </c:pt>
                <c:pt idx="16">
                  <c:v>0.99998216830006947</c:v>
                </c:pt>
                <c:pt idx="17">
                  <c:v>0.99997939553107518</c:v>
                </c:pt>
                <c:pt idx="18">
                  <c:v>0.99997969792752628</c:v>
                </c:pt>
                <c:pt idx="19">
                  <c:v>0.99998391096743977</c:v>
                </c:pt>
                <c:pt idx="20">
                  <c:v>0.99998639245129539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0-4DC2-87FB-C66FFF2F7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304704"/>
        <c:axId val="245315456"/>
      </c:scatterChart>
      <c:valAx>
        <c:axId val="24530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15456"/>
        <c:crosses val="autoZero"/>
        <c:crossBetween val="midCat"/>
      </c:valAx>
      <c:valAx>
        <c:axId val="2453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30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166687</xdr:colOff>
      <xdr:row>0</xdr:row>
      <xdr:rowOff>47625</xdr:rowOff>
    </xdr:from>
    <xdr:to>
      <xdr:col>18</xdr:col>
      <xdr:colOff>1104900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1C80C6-A1E0-302E-D6EB-2A6B2D999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166686</xdr:colOff>
      <xdr:row>19</xdr:row>
      <xdr:rowOff>47624</xdr:rowOff>
    </xdr:from>
    <xdr:to>
      <xdr:col>18</xdr:col>
      <xdr:colOff>1133474</xdr:colOff>
      <xdr:row>36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4C543-080C-F9B9-CD87-16D70FB6C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166686</xdr:colOff>
      <xdr:row>36</xdr:row>
      <xdr:rowOff>95250</xdr:rowOff>
    </xdr:from>
    <xdr:to>
      <xdr:col>18</xdr:col>
      <xdr:colOff>1133474</xdr:colOff>
      <xdr:row>53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2D2C7E-AD39-2816-D216-9F03DEAB1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547686</xdr:colOff>
      <xdr:row>0</xdr:row>
      <xdr:rowOff>20473</xdr:rowOff>
    </xdr:from>
    <xdr:to>
      <xdr:col>23</xdr:col>
      <xdr:colOff>38099</xdr:colOff>
      <xdr:row>19</xdr:row>
      <xdr:rowOff>49048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3FD88-8AD1-872F-9E45-8175ACB98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538161</xdr:colOff>
      <xdr:row>19</xdr:row>
      <xdr:rowOff>66675</xdr:rowOff>
    </xdr:from>
    <xdr:to>
      <xdr:col>23</xdr:col>
      <xdr:colOff>28574</xdr:colOff>
      <xdr:row>36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4E7C06-8CAD-3EDA-9D4C-EAC354C84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394137</xdr:colOff>
      <xdr:row>24</xdr:row>
      <xdr:rowOff>1</xdr:rowOff>
    </xdr:from>
    <xdr:to>
      <xdr:col>14</xdr:col>
      <xdr:colOff>103515</xdr:colOff>
      <xdr:row>40</xdr:row>
      <xdr:rowOff>149445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04FBF4-615E-403B-8D84-39C9820B2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404812</xdr:colOff>
      <xdr:row>0</xdr:row>
      <xdr:rowOff>47625</xdr:rowOff>
    </xdr:from>
    <xdr:to>
      <xdr:col>23</xdr:col>
      <xdr:colOff>104776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A685D-972A-9577-6AC5-A8FF80389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404811</xdr:colOff>
      <xdr:row>19</xdr:row>
      <xdr:rowOff>66675</xdr:rowOff>
    </xdr:from>
    <xdr:to>
      <xdr:col>23</xdr:col>
      <xdr:colOff>104774</xdr:colOff>
      <xdr:row>37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EF42D-FA76-75DA-184F-59C928401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261936</xdr:colOff>
      <xdr:row>0</xdr:row>
      <xdr:rowOff>19049</xdr:rowOff>
    </xdr:from>
    <xdr:to>
      <xdr:col>23</xdr:col>
      <xdr:colOff>28575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96957-1B72-8218-3C0A-D3D5BE3F9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261936</xdr:colOff>
      <xdr:row>19</xdr:row>
      <xdr:rowOff>171449</xdr:rowOff>
    </xdr:from>
    <xdr:to>
      <xdr:col>23</xdr:col>
      <xdr:colOff>76200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C08076-A847-B81A-5426-B57765DA4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opLeftCell="E1" zoomScale="90" zoomScaleNormal="90" workbookViewId="0">
      <selection activeCell="G3" sqref="G3:G23"/>
    </sheetView>
  </sheetViews>
  <sheetFormatPr defaultColWidth="20.625" defaultRowHeight="15.75" x14ac:dyDescent="0.25"/>
  <cols>
    <col min="1" max="1" width="14.625" customWidth="1"/>
    <col min="3" max="3" width="10.75" customWidth="1"/>
    <col min="4" max="4" width="16.75" customWidth="1"/>
    <col min="5" max="5" width="11.5" customWidth="1"/>
    <col min="6" max="6" width="15.75" style="1" customWidth="1"/>
    <col min="7" max="7" width="20.625" style="2"/>
    <col min="8" max="8" width="14.625" customWidth="1"/>
    <col min="9" max="9" width="15.625" customWidth="1"/>
    <col min="12" max="12" width="16.5" customWidth="1"/>
    <col min="13" max="13" width="13.5" customWidth="1"/>
    <col min="14" max="14" width="16.5" customWidth="1"/>
    <col min="15" max="15" width="13.75" customWidth="1"/>
  </cols>
  <sheetData>
    <row r="1" spans="1:15" x14ac:dyDescent="0.25">
      <c r="B1" t="s">
        <v>4</v>
      </c>
      <c r="F1" s="1" t="s">
        <v>5</v>
      </c>
      <c r="I1" t="s">
        <v>6</v>
      </c>
      <c r="L1" t="s">
        <v>7</v>
      </c>
      <c r="M1" t="s">
        <v>8</v>
      </c>
      <c r="N1" t="s">
        <v>9</v>
      </c>
      <c r="O1" t="s">
        <v>8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3</v>
      </c>
      <c r="I2" t="s">
        <v>0</v>
      </c>
      <c r="J2" t="s">
        <v>3</v>
      </c>
    </row>
    <row r="3" spans="1:15" x14ac:dyDescent="0.25">
      <c r="A3">
        <v>2000</v>
      </c>
      <c r="B3">
        <v>463539.72069400002</v>
      </c>
      <c r="C3">
        <v>0</v>
      </c>
      <c r="D3">
        <f t="shared" ref="D3:D23" si="0">B3/(4000*PI())</f>
        <v>36.88731893394332</v>
      </c>
      <c r="F3" s="1">
        <v>2000</v>
      </c>
      <c r="G3" s="2">
        <v>36.887225999999998</v>
      </c>
      <c r="I3">
        <v>2000</v>
      </c>
      <c r="J3">
        <v>36.896884919274598</v>
      </c>
      <c r="L3">
        <f>D3/G3</f>
        <v>1.0000025194072149</v>
      </c>
      <c r="M3">
        <f>1-L3</f>
        <v>-2.5194072148515545E-6</v>
      </c>
      <c r="N3">
        <f>J3/G3</f>
        <v>1.0002618499768618</v>
      </c>
      <c r="O3">
        <f>1-N3</f>
        <v>-2.6184997686184985E-4</v>
      </c>
    </row>
    <row r="4" spans="1:15" x14ac:dyDescent="0.25">
      <c r="A4">
        <v>2002</v>
      </c>
      <c r="B4">
        <v>463539.72069400002</v>
      </c>
      <c r="C4">
        <v>0</v>
      </c>
      <c r="D4">
        <f t="shared" si="0"/>
        <v>36.88731893394332</v>
      </c>
      <c r="F4" s="1">
        <v>2002</v>
      </c>
      <c r="G4" s="2">
        <v>36.887287000000001</v>
      </c>
      <c r="I4">
        <v>2002</v>
      </c>
      <c r="J4">
        <v>36.896897337861503</v>
      </c>
      <c r="L4">
        <f t="shared" ref="L4:L23" si="1">D4/G4</f>
        <v>1.0000008657167798</v>
      </c>
      <c r="M4">
        <f t="shared" ref="M4:M23" si="2">1-L4</f>
        <v>-8.6571677981872597E-7</v>
      </c>
      <c r="N4">
        <f t="shared" ref="N4:N23" si="3">J4/G4</f>
        <v>1.0002605325206351</v>
      </c>
      <c r="O4">
        <f t="shared" ref="O4:O23" si="4">1-N4</f>
        <v>-2.605325206350706E-4</v>
      </c>
    </row>
    <row r="5" spans="1:15" x14ac:dyDescent="0.25">
      <c r="A5">
        <v>2004</v>
      </c>
      <c r="B5">
        <v>463539.72069400002</v>
      </c>
      <c r="C5">
        <v>0</v>
      </c>
      <c r="D5">
        <f t="shared" si="0"/>
        <v>36.88731893394332</v>
      </c>
      <c r="F5" s="1">
        <v>2004</v>
      </c>
      <c r="G5" s="2">
        <v>36.887324999999997</v>
      </c>
      <c r="I5">
        <v>2004</v>
      </c>
      <c r="J5">
        <v>36.8967775177777</v>
      </c>
      <c r="L5">
        <f t="shared" si="1"/>
        <v>0.99999983555173277</v>
      </c>
      <c r="M5">
        <f t="shared" si="2"/>
        <v>1.6444826722583628E-7</v>
      </c>
      <c r="N5">
        <f t="shared" si="3"/>
        <v>1.0002562538155777</v>
      </c>
      <c r="O5">
        <f t="shared" si="4"/>
        <v>-2.5625381557770055E-4</v>
      </c>
    </row>
    <row r="6" spans="1:15" x14ac:dyDescent="0.25">
      <c r="A6">
        <v>2006</v>
      </c>
      <c r="B6">
        <v>463539.72069400002</v>
      </c>
      <c r="C6">
        <v>0</v>
      </c>
      <c r="D6">
        <f t="shared" si="0"/>
        <v>36.88731893394332</v>
      </c>
      <c r="F6" s="1">
        <v>2006</v>
      </c>
      <c r="G6" s="2">
        <v>36.887374999999999</v>
      </c>
      <c r="I6">
        <v>2006</v>
      </c>
      <c r="J6">
        <v>36.896983489385597</v>
      </c>
      <c r="L6">
        <f t="shared" si="1"/>
        <v>0.99999848007464132</v>
      </c>
      <c r="M6">
        <f t="shared" si="2"/>
        <v>1.519925358683949E-6</v>
      </c>
      <c r="N6">
        <f t="shared" si="3"/>
        <v>1.0002604817877552</v>
      </c>
      <c r="O6">
        <f t="shared" si="4"/>
        <v>-2.604817877551735E-4</v>
      </c>
    </row>
    <row r="7" spans="1:15" x14ac:dyDescent="0.25">
      <c r="A7">
        <v>2008</v>
      </c>
      <c r="B7">
        <v>463539.72069400002</v>
      </c>
      <c r="C7">
        <v>0</v>
      </c>
      <c r="D7">
        <f t="shared" si="0"/>
        <v>36.88731893394332</v>
      </c>
      <c r="F7" s="1">
        <v>2008</v>
      </c>
      <c r="G7" s="2">
        <v>36.887324999999997</v>
      </c>
      <c r="I7">
        <v>2008</v>
      </c>
      <c r="J7">
        <v>36.896570988842001</v>
      </c>
      <c r="L7">
        <f t="shared" si="1"/>
        <v>0.99999983555173277</v>
      </c>
      <c r="M7">
        <f t="shared" si="2"/>
        <v>1.6444826722583628E-7</v>
      </c>
      <c r="N7">
        <f t="shared" si="3"/>
        <v>1.0002506549022463</v>
      </c>
      <c r="O7">
        <f t="shared" si="4"/>
        <v>-2.506549022462945E-4</v>
      </c>
    </row>
    <row r="8" spans="1:15" x14ac:dyDescent="0.25">
      <c r="A8">
        <v>2010</v>
      </c>
      <c r="B8">
        <v>463539.72069400002</v>
      </c>
      <c r="C8">
        <v>0</v>
      </c>
      <c r="D8">
        <f t="shared" si="0"/>
        <v>36.88731893394332</v>
      </c>
      <c r="F8" s="1">
        <v>2010</v>
      </c>
      <c r="G8" s="2">
        <v>36.887385999999999</v>
      </c>
      <c r="I8">
        <v>2010</v>
      </c>
      <c r="J8">
        <v>36.896960739573302</v>
      </c>
      <c r="L8">
        <f t="shared" si="1"/>
        <v>0.99999818187017431</v>
      </c>
      <c r="M8">
        <f t="shared" si="2"/>
        <v>1.818129825692516E-6</v>
      </c>
      <c r="N8">
        <f t="shared" si="3"/>
        <v>1.0002595667682526</v>
      </c>
      <c r="O8">
        <f t="shared" si="4"/>
        <v>-2.5956676825256153E-4</v>
      </c>
    </row>
    <row r="9" spans="1:15" x14ac:dyDescent="0.25">
      <c r="A9">
        <v>2012</v>
      </c>
      <c r="B9">
        <v>463539.72069400002</v>
      </c>
      <c r="C9">
        <v>0</v>
      </c>
      <c r="D9">
        <f t="shared" si="0"/>
        <v>36.88731893394332</v>
      </c>
      <c r="F9" s="1">
        <v>2012</v>
      </c>
      <c r="G9" s="2">
        <v>36.887473999999997</v>
      </c>
      <c r="I9">
        <v>2012</v>
      </c>
      <c r="J9">
        <v>36.896536524933801</v>
      </c>
      <c r="L9">
        <f t="shared" si="1"/>
        <v>0.99999579624084101</v>
      </c>
      <c r="M9">
        <f t="shared" si="2"/>
        <v>4.2037591589938472E-6</v>
      </c>
      <c r="N9">
        <f t="shared" si="3"/>
        <v>1.0002456802798099</v>
      </c>
      <c r="O9">
        <f t="shared" si="4"/>
        <v>-2.4568027980986784E-4</v>
      </c>
    </row>
    <row r="10" spans="1:15" x14ac:dyDescent="0.25">
      <c r="A10">
        <v>2014</v>
      </c>
      <c r="B10">
        <v>463539.72069400002</v>
      </c>
      <c r="C10">
        <v>0</v>
      </c>
      <c r="D10">
        <f t="shared" si="0"/>
        <v>36.88731893394332</v>
      </c>
      <c r="F10" s="1">
        <v>2014</v>
      </c>
      <c r="G10" s="2">
        <v>36.887272000000003</v>
      </c>
      <c r="I10">
        <v>2014</v>
      </c>
      <c r="J10">
        <v>36.8969082809284</v>
      </c>
      <c r="L10">
        <f t="shared" si="1"/>
        <v>1.0000012723614615</v>
      </c>
      <c r="M10">
        <f t="shared" si="2"/>
        <v>-1.2723614615239853E-6</v>
      </c>
      <c r="N10">
        <f t="shared" si="3"/>
        <v>1.0002612359333158</v>
      </c>
      <c r="O10">
        <f t="shared" si="4"/>
        <v>-2.6123593331583983E-4</v>
      </c>
    </row>
    <row r="11" spans="1:15" x14ac:dyDescent="0.25">
      <c r="A11">
        <v>2016</v>
      </c>
      <c r="B11">
        <v>463539.72069400002</v>
      </c>
      <c r="C11">
        <v>0</v>
      </c>
      <c r="D11">
        <f t="shared" si="0"/>
        <v>36.88731893394332</v>
      </c>
      <c r="F11" s="1">
        <v>2016</v>
      </c>
      <c r="G11" s="2">
        <v>36.887321</v>
      </c>
      <c r="I11">
        <v>2016</v>
      </c>
      <c r="J11">
        <v>36.896629002414301</v>
      </c>
      <c r="L11">
        <f t="shared" si="1"/>
        <v>0.99999994399005876</v>
      </c>
      <c r="M11">
        <f t="shared" si="2"/>
        <v>5.6009941240553474E-8</v>
      </c>
      <c r="N11">
        <f t="shared" si="3"/>
        <v>1.0002523360916966</v>
      </c>
      <c r="O11">
        <f t="shared" si="4"/>
        <v>-2.5233609169661442E-4</v>
      </c>
    </row>
    <row r="12" spans="1:15" x14ac:dyDescent="0.25">
      <c r="A12">
        <v>2018</v>
      </c>
      <c r="B12">
        <v>463539.72069400002</v>
      </c>
      <c r="C12">
        <v>0</v>
      </c>
      <c r="D12">
        <f t="shared" si="0"/>
        <v>36.88731893394332</v>
      </c>
      <c r="F12" s="1">
        <v>2018</v>
      </c>
      <c r="G12" s="2">
        <v>36.887318</v>
      </c>
      <c r="I12">
        <v>2018</v>
      </c>
      <c r="J12">
        <v>36.896642442565899</v>
      </c>
      <c r="L12">
        <f t="shared" si="1"/>
        <v>1.0000000253188188</v>
      </c>
      <c r="M12">
        <f t="shared" si="2"/>
        <v>-2.5318818819286548E-8</v>
      </c>
      <c r="N12">
        <f t="shared" si="3"/>
        <v>1.0002527817979583</v>
      </c>
      <c r="O12">
        <f t="shared" si="4"/>
        <v>-2.5278179795829026E-4</v>
      </c>
    </row>
    <row r="13" spans="1:15" x14ac:dyDescent="0.25">
      <c r="A13">
        <v>2020</v>
      </c>
      <c r="B13">
        <v>463539.72069400002</v>
      </c>
      <c r="C13">
        <v>0</v>
      </c>
      <c r="D13">
        <f t="shared" si="0"/>
        <v>36.88731893394332</v>
      </c>
      <c r="F13" s="1">
        <v>2020</v>
      </c>
      <c r="G13" s="2">
        <v>36.887225999999998</v>
      </c>
      <c r="I13">
        <v>2020</v>
      </c>
      <c r="J13">
        <v>36.896604394352501</v>
      </c>
      <c r="L13">
        <f t="shared" si="1"/>
        <v>1.0000025194072149</v>
      </c>
      <c r="M13">
        <f t="shared" si="2"/>
        <v>-2.5194072148515545E-6</v>
      </c>
      <c r="N13">
        <f t="shared" si="3"/>
        <v>1.0002542450427827</v>
      </c>
      <c r="O13">
        <f t="shared" si="4"/>
        <v>-2.542450427827081E-4</v>
      </c>
    </row>
    <row r="14" spans="1:15" x14ac:dyDescent="0.25">
      <c r="A14">
        <v>2022</v>
      </c>
      <c r="B14">
        <v>463539.72069400002</v>
      </c>
      <c r="C14">
        <v>0</v>
      </c>
      <c r="D14">
        <f t="shared" si="0"/>
        <v>36.88731893394332</v>
      </c>
      <c r="F14" s="1">
        <v>2022</v>
      </c>
      <c r="G14" s="2">
        <v>36.887233999999999</v>
      </c>
      <c r="I14">
        <v>2022</v>
      </c>
      <c r="J14">
        <v>36.896581273817198</v>
      </c>
      <c r="L14">
        <f t="shared" si="1"/>
        <v>1.0000023025294691</v>
      </c>
      <c r="M14">
        <f t="shared" si="2"/>
        <v>-2.302529469089265E-6</v>
      </c>
      <c r="N14">
        <f t="shared" si="3"/>
        <v>1.0002534013208255</v>
      </c>
      <c r="O14">
        <f t="shared" si="4"/>
        <v>-2.5340132082551925E-4</v>
      </c>
    </row>
    <row r="15" spans="1:15" x14ac:dyDescent="0.25">
      <c r="A15">
        <v>2024</v>
      </c>
      <c r="B15">
        <v>463539.72069400002</v>
      </c>
      <c r="C15">
        <v>0</v>
      </c>
      <c r="D15">
        <f t="shared" si="0"/>
        <v>36.88731893394332</v>
      </c>
      <c r="F15" s="1">
        <v>2024</v>
      </c>
      <c r="G15" s="2">
        <v>36.887379000000003</v>
      </c>
      <c r="I15">
        <v>2024</v>
      </c>
      <c r="J15">
        <v>36.896622590616303</v>
      </c>
      <c r="L15">
        <f t="shared" si="1"/>
        <v>0.99999837163663263</v>
      </c>
      <c r="M15">
        <f t="shared" si="2"/>
        <v>1.6283633673674913E-6</v>
      </c>
      <c r="N15">
        <f t="shared" si="3"/>
        <v>1.0002505895205052</v>
      </c>
      <c r="O15">
        <f t="shared" si="4"/>
        <v>-2.5058952050516226E-4</v>
      </c>
    </row>
    <row r="16" spans="1:15" x14ac:dyDescent="0.25">
      <c r="A16">
        <v>2026</v>
      </c>
      <c r="B16">
        <v>463539.72069400002</v>
      </c>
      <c r="C16">
        <v>0</v>
      </c>
      <c r="D16">
        <f t="shared" si="0"/>
        <v>36.88731893394332</v>
      </c>
      <c r="F16" s="1">
        <v>2026</v>
      </c>
      <c r="G16" s="2">
        <v>36.887394</v>
      </c>
      <c r="I16">
        <v>2026</v>
      </c>
      <c r="J16">
        <v>36.896501477389599</v>
      </c>
      <c r="L16">
        <f t="shared" si="1"/>
        <v>0.99999796499430993</v>
      </c>
      <c r="M16">
        <f t="shared" si="2"/>
        <v>2.035005690070868E-6</v>
      </c>
      <c r="N16">
        <f t="shared" si="3"/>
        <v>1.0002468994526856</v>
      </c>
      <c r="O16">
        <f t="shared" si="4"/>
        <v>-2.4689945268563385E-4</v>
      </c>
    </row>
    <row r="17" spans="1:15" x14ac:dyDescent="0.25">
      <c r="A17">
        <v>2028</v>
      </c>
      <c r="B17">
        <v>463539.72069400002</v>
      </c>
      <c r="C17">
        <v>0</v>
      </c>
      <c r="D17">
        <f t="shared" si="0"/>
        <v>36.88731893394332</v>
      </c>
      <c r="F17" s="1">
        <v>2028</v>
      </c>
      <c r="G17" s="2">
        <v>36.887366999999998</v>
      </c>
      <c r="I17">
        <v>2028</v>
      </c>
      <c r="J17">
        <v>36.896726123996402</v>
      </c>
      <c r="L17">
        <f t="shared" si="1"/>
        <v>0.99999869695072896</v>
      </c>
      <c r="M17">
        <f t="shared" si="2"/>
        <v>1.3030492710397468E-6</v>
      </c>
      <c r="N17">
        <f t="shared" si="3"/>
        <v>1.0002537216602205</v>
      </c>
      <c r="O17">
        <f t="shared" si="4"/>
        <v>-2.5372166022052944E-4</v>
      </c>
    </row>
    <row r="18" spans="1:15" x14ac:dyDescent="0.25">
      <c r="A18">
        <v>2030</v>
      </c>
      <c r="B18">
        <v>463539.72069400002</v>
      </c>
      <c r="C18">
        <v>0</v>
      </c>
      <c r="D18">
        <f t="shared" si="0"/>
        <v>36.88731893394332</v>
      </c>
      <c r="F18" s="1">
        <v>2030</v>
      </c>
      <c r="G18" s="2">
        <v>36.887439999999998</v>
      </c>
      <c r="I18">
        <v>2030</v>
      </c>
      <c r="J18">
        <v>36.896322003107798</v>
      </c>
      <c r="L18">
        <f t="shared" si="1"/>
        <v>0.99999671795991596</v>
      </c>
      <c r="M18">
        <f t="shared" si="2"/>
        <v>3.2820400840405384E-6</v>
      </c>
      <c r="N18">
        <f t="shared" si="3"/>
        <v>1.0002407866500846</v>
      </c>
      <c r="O18">
        <f t="shared" si="4"/>
        <v>-2.4078665008464561E-4</v>
      </c>
    </row>
    <row r="19" spans="1:15" x14ac:dyDescent="0.25">
      <c r="A19">
        <v>2032</v>
      </c>
      <c r="B19">
        <v>463539.72069400002</v>
      </c>
      <c r="C19">
        <v>0</v>
      </c>
      <c r="D19">
        <f t="shared" si="0"/>
        <v>36.88731893394332</v>
      </c>
      <c r="F19" s="1">
        <v>2032</v>
      </c>
      <c r="G19" s="2">
        <v>36.887348000000003</v>
      </c>
      <c r="I19">
        <v>2032</v>
      </c>
      <c r="J19">
        <v>36.896700265240099</v>
      </c>
      <c r="L19">
        <f t="shared" si="1"/>
        <v>0.99999921203181419</v>
      </c>
      <c r="M19">
        <f t="shared" si="2"/>
        <v>7.8796818581139405E-7</v>
      </c>
      <c r="N19">
        <f t="shared" si="3"/>
        <v>1.0002535358530003</v>
      </c>
      <c r="O19">
        <f t="shared" si="4"/>
        <v>-2.5353585300025294E-4</v>
      </c>
    </row>
    <row r="20" spans="1:15" x14ac:dyDescent="0.25">
      <c r="A20">
        <v>2034</v>
      </c>
      <c r="B20">
        <v>463539.72069400002</v>
      </c>
      <c r="C20">
        <v>0</v>
      </c>
      <c r="D20">
        <f t="shared" si="0"/>
        <v>36.88731893394332</v>
      </c>
      <c r="F20" s="1">
        <v>2034</v>
      </c>
      <c r="G20" s="2">
        <v>36.887385999999999</v>
      </c>
      <c r="I20">
        <v>2034</v>
      </c>
      <c r="J20">
        <v>36.896434467537702</v>
      </c>
      <c r="L20">
        <f t="shared" si="1"/>
        <v>0.99999818187017431</v>
      </c>
      <c r="M20">
        <f t="shared" si="2"/>
        <v>1.818129825692516E-6</v>
      </c>
      <c r="N20">
        <f t="shared" si="3"/>
        <v>1.000245299776398</v>
      </c>
      <c r="O20">
        <f t="shared" si="4"/>
        <v>-2.4529977639797806E-4</v>
      </c>
    </row>
    <row r="21" spans="1:15" x14ac:dyDescent="0.25">
      <c r="A21">
        <v>2036</v>
      </c>
      <c r="B21">
        <v>463539.72069400002</v>
      </c>
      <c r="C21">
        <v>0</v>
      </c>
      <c r="D21">
        <f t="shared" si="0"/>
        <v>36.88731893394332</v>
      </c>
      <c r="F21" s="1">
        <v>2036</v>
      </c>
      <c r="G21" s="2">
        <v>36.887318</v>
      </c>
      <c r="I21">
        <v>2036</v>
      </c>
      <c r="J21">
        <v>36.8964879141379</v>
      </c>
      <c r="L21">
        <f t="shared" si="1"/>
        <v>1.0000000253188188</v>
      </c>
      <c r="M21">
        <f t="shared" si="2"/>
        <v>-2.5318818819286548E-8</v>
      </c>
      <c r="N21">
        <f t="shared" si="3"/>
        <v>1.0002485925959133</v>
      </c>
      <c r="O21">
        <f t="shared" si="4"/>
        <v>-2.4859259591325511E-4</v>
      </c>
    </row>
    <row r="22" spans="1:15" x14ac:dyDescent="0.25">
      <c r="A22">
        <v>2038</v>
      </c>
      <c r="B22">
        <v>463539.72069400002</v>
      </c>
      <c r="C22">
        <v>0</v>
      </c>
      <c r="D22">
        <f t="shared" si="0"/>
        <v>36.88731893394332</v>
      </c>
      <c r="F22" s="1">
        <v>2038</v>
      </c>
      <c r="G22" s="2">
        <v>36.887318</v>
      </c>
      <c r="I22">
        <v>2038</v>
      </c>
      <c r="J22">
        <v>36.896368697182098</v>
      </c>
      <c r="L22">
        <f t="shared" si="1"/>
        <v>1.0000000253188188</v>
      </c>
      <c r="M22">
        <f t="shared" si="2"/>
        <v>-2.5318818819286548E-8</v>
      </c>
      <c r="N22">
        <f t="shared" si="3"/>
        <v>1.0002453606733375</v>
      </c>
      <c r="O22">
        <f t="shared" si="4"/>
        <v>-2.4536067333746914E-4</v>
      </c>
    </row>
    <row r="23" spans="1:15" x14ac:dyDescent="0.25">
      <c r="A23">
        <v>2040</v>
      </c>
      <c r="B23">
        <v>463539.72069400002</v>
      </c>
      <c r="C23">
        <v>0</v>
      </c>
      <c r="D23">
        <f t="shared" si="0"/>
        <v>36.88731893394332</v>
      </c>
      <c r="F23" s="1">
        <v>2040</v>
      </c>
      <c r="G23" s="2">
        <v>36.887455000000003</v>
      </c>
      <c r="I23">
        <v>2040</v>
      </c>
      <c r="J23">
        <v>36.896562347131002</v>
      </c>
      <c r="L23">
        <f t="shared" si="1"/>
        <v>0.99999631131893807</v>
      </c>
      <c r="M23">
        <f t="shared" si="2"/>
        <v>3.6886810619307653E-6</v>
      </c>
      <c r="N23">
        <f t="shared" si="3"/>
        <v>1.0002468955131494</v>
      </c>
      <c r="O23">
        <f t="shared" si="4"/>
        <v>-2.4689551314938107E-4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opLeftCell="B1" zoomScaleNormal="100" workbookViewId="0">
      <selection activeCell="E28" sqref="E28"/>
    </sheetView>
  </sheetViews>
  <sheetFormatPr defaultRowHeight="15.75" x14ac:dyDescent="0.25"/>
  <cols>
    <col min="1" max="1" width="13.625" customWidth="1"/>
    <col min="4" max="4" width="14" customWidth="1"/>
    <col min="6" max="6" width="13.375" style="1" customWidth="1"/>
    <col min="7" max="7" width="14.5" style="2" customWidth="1"/>
    <col min="9" max="9" width="14.25" customWidth="1"/>
    <col min="10" max="10" width="15.625" customWidth="1"/>
    <col min="13" max="13" width="12.5" bestFit="1" customWidth="1"/>
  </cols>
  <sheetData>
    <row r="1" spans="1:15" x14ac:dyDescent="0.25">
      <c r="B1" t="s">
        <v>4</v>
      </c>
      <c r="F1" s="1" t="s">
        <v>5</v>
      </c>
      <c r="J1" t="s">
        <v>6</v>
      </c>
      <c r="L1" t="s">
        <v>7</v>
      </c>
      <c r="N1" t="s">
        <v>9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3</v>
      </c>
      <c r="I2" t="s">
        <v>0</v>
      </c>
      <c r="J2" t="s">
        <v>3</v>
      </c>
    </row>
    <row r="3" spans="1:15" x14ac:dyDescent="0.25">
      <c r="A3">
        <v>2000</v>
      </c>
      <c r="B3">
        <v>463539.72069400002</v>
      </c>
      <c r="C3">
        <v>0</v>
      </c>
      <c r="D3">
        <f t="shared" ref="D3:D23" si="0">B3/(4000*PI())</f>
        <v>36.88731893394332</v>
      </c>
      <c r="F3" s="1">
        <v>2000</v>
      </c>
      <c r="G3" s="2">
        <v>36.887348000000003</v>
      </c>
      <c r="I3">
        <v>2000</v>
      </c>
      <c r="J3">
        <v>36.896888912214997</v>
      </c>
      <c r="L3">
        <f>D3/G3</f>
        <v>0.99999921203181419</v>
      </c>
      <c r="M3">
        <f>1-L3</f>
        <v>7.8796818581139405E-7</v>
      </c>
      <c r="N3">
        <f>J3/G3</f>
        <v>1.0002586499906416</v>
      </c>
      <c r="O3">
        <f>1-N3</f>
        <v>-2.5864999064162397E-4</v>
      </c>
    </row>
    <row r="4" spans="1:15" x14ac:dyDescent="0.25">
      <c r="A4">
        <v>2002</v>
      </c>
      <c r="B4">
        <v>463539.72069400002</v>
      </c>
      <c r="C4">
        <v>0</v>
      </c>
      <c r="D4">
        <f t="shared" si="0"/>
        <v>36.88731893394332</v>
      </c>
      <c r="F4" s="1">
        <v>2002</v>
      </c>
      <c r="G4" s="2">
        <v>36.887180000000001</v>
      </c>
      <c r="I4">
        <v>2002</v>
      </c>
      <c r="J4">
        <v>36.896901472825697</v>
      </c>
      <c r="L4">
        <f t="shared" ref="L4:L23" si="1">D4/G4</f>
        <v>1.0000037664560781</v>
      </c>
      <c r="M4">
        <f t="shared" ref="M4:M23" si="2">1-L4</f>
        <v>-3.7664560781358603E-6</v>
      </c>
      <c r="N4">
        <f t="shared" ref="N4:N23" si="3">J4/G4</f>
        <v>1.0002635461107543</v>
      </c>
      <c r="O4">
        <f t="shared" ref="O4:O23" si="4">1-N4</f>
        <v>-2.6354611075429801E-4</v>
      </c>
    </row>
    <row r="5" spans="1:15" x14ac:dyDescent="0.25">
      <c r="A5">
        <v>2004</v>
      </c>
      <c r="B5">
        <v>463539.72069400002</v>
      </c>
      <c r="C5">
        <v>0</v>
      </c>
      <c r="D5">
        <f t="shared" si="0"/>
        <v>36.88731893394332</v>
      </c>
      <c r="F5" s="1">
        <v>2004</v>
      </c>
      <c r="G5" s="2">
        <v>36.887282999999996</v>
      </c>
      <c r="I5">
        <v>2004</v>
      </c>
      <c r="J5">
        <v>36.896781453876002</v>
      </c>
      <c r="L5">
        <f t="shared" si="1"/>
        <v>1.0000009741553295</v>
      </c>
      <c r="M5">
        <f t="shared" si="2"/>
        <v>-9.7415532951394823E-7</v>
      </c>
      <c r="N5">
        <f t="shared" si="3"/>
        <v>1.0002574994172384</v>
      </c>
      <c r="O5">
        <f t="shared" si="4"/>
        <v>-2.5749941723840486E-4</v>
      </c>
    </row>
    <row r="6" spans="1:15" x14ac:dyDescent="0.25">
      <c r="A6">
        <v>2006</v>
      </c>
      <c r="B6">
        <v>463539.72069400002</v>
      </c>
      <c r="C6">
        <v>0</v>
      </c>
      <c r="D6">
        <f t="shared" si="0"/>
        <v>36.88731893394332</v>
      </c>
      <c r="F6" s="1">
        <v>2006</v>
      </c>
      <c r="G6" s="2">
        <v>36.887276</v>
      </c>
      <c r="I6">
        <v>2006</v>
      </c>
      <c r="J6">
        <v>36.896837037605998</v>
      </c>
      <c r="L6">
        <f t="shared" si="1"/>
        <v>1.0000011639228474</v>
      </c>
      <c r="M6">
        <f t="shared" si="2"/>
        <v>-1.1639228474358276E-6</v>
      </c>
      <c r="N6">
        <f t="shared" si="3"/>
        <v>1.0002591960871818</v>
      </c>
      <c r="O6">
        <f t="shared" si="4"/>
        <v>-2.591960871818344E-4</v>
      </c>
    </row>
    <row r="7" spans="1:15" x14ac:dyDescent="0.25">
      <c r="A7">
        <v>2008</v>
      </c>
      <c r="B7">
        <v>463539.72069400002</v>
      </c>
      <c r="C7">
        <v>0</v>
      </c>
      <c r="D7">
        <f t="shared" si="0"/>
        <v>36.88731893394332</v>
      </c>
      <c r="F7" s="1">
        <v>2008</v>
      </c>
      <c r="G7" s="2">
        <v>36.887314000000003</v>
      </c>
      <c r="I7">
        <v>2008</v>
      </c>
      <c r="J7">
        <v>36.896574326424101</v>
      </c>
      <c r="L7">
        <f t="shared" si="1"/>
        <v>1.000000133757186</v>
      </c>
      <c r="M7">
        <f t="shared" si="2"/>
        <v>-1.3375718599384356E-7</v>
      </c>
      <c r="N7">
        <f t="shared" si="3"/>
        <v>1.0002510436629812</v>
      </c>
      <c r="O7">
        <f t="shared" si="4"/>
        <v>-2.5104366298123182E-4</v>
      </c>
    </row>
    <row r="8" spans="1:15" x14ac:dyDescent="0.25">
      <c r="A8">
        <v>2010</v>
      </c>
      <c r="B8">
        <v>463539.72069400002</v>
      </c>
      <c r="C8">
        <v>0</v>
      </c>
      <c r="D8">
        <f t="shared" si="0"/>
        <v>36.88731893394332</v>
      </c>
      <c r="F8" s="1">
        <v>2010</v>
      </c>
      <c r="G8" s="2">
        <v>36.887360000000001</v>
      </c>
      <c r="I8">
        <v>2010</v>
      </c>
      <c r="J8">
        <v>36.8969646733403</v>
      </c>
      <c r="L8">
        <f t="shared" si="1"/>
        <v>0.9999988867173828</v>
      </c>
      <c r="M8">
        <f t="shared" si="2"/>
        <v>1.1132826172044474E-6</v>
      </c>
      <c r="N8">
        <f t="shared" si="3"/>
        <v>1.0002603784423796</v>
      </c>
      <c r="O8">
        <f t="shared" si="4"/>
        <v>-2.6037844237958296E-4</v>
      </c>
    </row>
    <row r="9" spans="1:15" x14ac:dyDescent="0.25">
      <c r="A9">
        <v>2012</v>
      </c>
      <c r="B9">
        <v>463539.72069400002</v>
      </c>
      <c r="C9">
        <v>0</v>
      </c>
      <c r="D9">
        <f t="shared" si="0"/>
        <v>36.88731893394332</v>
      </c>
      <c r="F9" s="1">
        <v>2012</v>
      </c>
      <c r="G9" s="2">
        <v>36.887383</v>
      </c>
      <c r="I9">
        <v>2012</v>
      </c>
      <c r="J9">
        <v>36.896539761941902</v>
      </c>
      <c r="L9">
        <f t="shared" si="1"/>
        <v>0.9999982631986476</v>
      </c>
      <c r="M9">
        <f t="shared" si="2"/>
        <v>1.7368013524032833E-6</v>
      </c>
      <c r="N9">
        <f t="shared" si="3"/>
        <v>1.0002482356078743</v>
      </c>
      <c r="O9">
        <f t="shared" si="4"/>
        <v>-2.4823560787434751E-4</v>
      </c>
    </row>
    <row r="10" spans="1:15" x14ac:dyDescent="0.25">
      <c r="A10">
        <v>2014</v>
      </c>
      <c r="B10">
        <v>463539.72069400002</v>
      </c>
      <c r="C10">
        <v>0</v>
      </c>
      <c r="D10">
        <f t="shared" si="0"/>
        <v>36.88731893394332</v>
      </c>
      <c r="F10" s="1">
        <v>2014</v>
      </c>
      <c r="G10" s="2">
        <v>36.887473999999997</v>
      </c>
      <c r="I10">
        <v>2014</v>
      </c>
      <c r="J10">
        <v>36.896912124222602</v>
      </c>
      <c r="L10">
        <f t="shared" si="1"/>
        <v>0.99999579624084101</v>
      </c>
      <c r="M10">
        <f t="shared" si="2"/>
        <v>4.2037591589938472E-6</v>
      </c>
      <c r="N10">
        <f t="shared" si="3"/>
        <v>1.0002558625787876</v>
      </c>
      <c r="O10">
        <f t="shared" si="4"/>
        <v>-2.5586257878762453E-4</v>
      </c>
    </row>
    <row r="11" spans="1:15" x14ac:dyDescent="0.25">
      <c r="A11">
        <v>2016</v>
      </c>
      <c r="B11">
        <v>463539.72069400002</v>
      </c>
      <c r="C11">
        <v>0</v>
      </c>
      <c r="D11">
        <f t="shared" si="0"/>
        <v>36.88731893394332</v>
      </c>
      <c r="F11" s="1">
        <v>2016</v>
      </c>
      <c r="G11" s="2">
        <v>36.887337000000002</v>
      </c>
      <c r="I11">
        <v>2016</v>
      </c>
      <c r="J11">
        <v>36.8966322559058</v>
      </c>
      <c r="L11">
        <f t="shared" si="1"/>
        <v>0.99999951023689559</v>
      </c>
      <c r="M11">
        <f t="shared" si="2"/>
        <v>4.8976310440540516E-7</v>
      </c>
      <c r="N11">
        <f t="shared" si="3"/>
        <v>1.0002519904298268</v>
      </c>
      <c r="O11">
        <f t="shared" si="4"/>
        <v>-2.5199042982682052E-4</v>
      </c>
    </row>
    <row r="12" spans="1:15" x14ac:dyDescent="0.25">
      <c r="A12">
        <v>2018</v>
      </c>
      <c r="B12">
        <v>463539.72069400002</v>
      </c>
      <c r="C12">
        <v>0</v>
      </c>
      <c r="D12">
        <f t="shared" si="0"/>
        <v>36.88731893394332</v>
      </c>
      <c r="F12" s="1">
        <v>2018</v>
      </c>
      <c r="G12" s="2">
        <v>36.887374999999999</v>
      </c>
      <c r="I12">
        <v>2018</v>
      </c>
      <c r="J12">
        <v>36.896645629451001</v>
      </c>
      <c r="L12">
        <f t="shared" si="1"/>
        <v>0.99999848007464132</v>
      </c>
      <c r="M12">
        <f t="shared" si="2"/>
        <v>1.519925358683949E-6</v>
      </c>
      <c r="N12">
        <f t="shared" si="3"/>
        <v>1.0002513225582195</v>
      </c>
      <c r="O12">
        <f t="shared" si="4"/>
        <v>-2.5132255821946892E-4</v>
      </c>
    </row>
    <row r="13" spans="1:15" x14ac:dyDescent="0.25">
      <c r="A13">
        <v>2020</v>
      </c>
      <c r="B13">
        <v>463539.72069400002</v>
      </c>
      <c r="C13">
        <v>0</v>
      </c>
      <c r="D13">
        <f t="shared" si="0"/>
        <v>36.88731893394332</v>
      </c>
      <c r="F13" s="1">
        <v>2020</v>
      </c>
      <c r="G13" s="2">
        <v>36.887421000000003</v>
      </c>
      <c r="I13">
        <v>2020</v>
      </c>
      <c r="J13">
        <v>36.896607762990598</v>
      </c>
      <c r="L13">
        <f t="shared" si="1"/>
        <v>0.99999723303896237</v>
      </c>
      <c r="M13">
        <f t="shared" si="2"/>
        <v>2.7669610376257481E-6</v>
      </c>
      <c r="N13">
        <f t="shared" si="3"/>
        <v>1.0002490486659557</v>
      </c>
      <c r="O13">
        <f t="shared" si="4"/>
        <v>-2.4904866595565345E-4</v>
      </c>
    </row>
    <row r="14" spans="1:15" x14ac:dyDescent="0.25">
      <c r="A14">
        <v>2022</v>
      </c>
      <c r="B14">
        <v>463539.72069400002</v>
      </c>
      <c r="C14">
        <v>0</v>
      </c>
      <c r="D14">
        <f t="shared" si="0"/>
        <v>36.88731893394332</v>
      </c>
      <c r="F14" s="1">
        <v>2022</v>
      </c>
      <c r="G14" s="2">
        <v>36.887436000000001</v>
      </c>
      <c r="I14">
        <v>2022</v>
      </c>
      <c r="J14">
        <v>36.896584705601398</v>
      </c>
      <c r="L14">
        <f t="shared" si="1"/>
        <v>0.99999682639756582</v>
      </c>
      <c r="M14">
        <f t="shared" si="2"/>
        <v>3.1736024341810776E-6</v>
      </c>
      <c r="N14">
        <f t="shared" si="3"/>
        <v>1.000248016847834</v>
      </c>
      <c r="O14">
        <f t="shared" si="4"/>
        <v>-2.4801684783404276E-4</v>
      </c>
    </row>
    <row r="15" spans="1:15" x14ac:dyDescent="0.25">
      <c r="A15">
        <v>2024</v>
      </c>
      <c r="B15">
        <v>463539.72069400002</v>
      </c>
      <c r="C15">
        <v>0</v>
      </c>
      <c r="D15">
        <f t="shared" si="0"/>
        <v>36.88731893394332</v>
      </c>
      <c r="F15" s="1">
        <v>2024</v>
      </c>
      <c r="G15" s="2">
        <v>36.887272000000003</v>
      </c>
      <c r="I15">
        <v>2024</v>
      </c>
      <c r="J15">
        <v>36.896626389104497</v>
      </c>
      <c r="L15">
        <f t="shared" si="1"/>
        <v>1.0000012723614615</v>
      </c>
      <c r="M15">
        <f t="shared" si="2"/>
        <v>-1.2723614615239853E-6</v>
      </c>
      <c r="N15">
        <f t="shared" si="3"/>
        <v>1.000253593952529</v>
      </c>
      <c r="O15">
        <f t="shared" si="4"/>
        <v>-2.5359395252899652E-4</v>
      </c>
    </row>
    <row r="16" spans="1:15" x14ac:dyDescent="0.25">
      <c r="A16">
        <v>2026</v>
      </c>
      <c r="B16">
        <v>463539.72069400002</v>
      </c>
      <c r="C16">
        <v>0</v>
      </c>
      <c r="D16">
        <f t="shared" si="0"/>
        <v>36.88731893394332</v>
      </c>
      <c r="F16" s="1">
        <v>2026</v>
      </c>
      <c r="G16" s="2">
        <v>36.887298999999999</v>
      </c>
      <c r="I16">
        <v>2026</v>
      </c>
      <c r="J16">
        <v>36.896505384331299</v>
      </c>
      <c r="L16">
        <f t="shared" si="1"/>
        <v>1.0000005404012726</v>
      </c>
      <c r="M16">
        <f t="shared" si="2"/>
        <v>-5.4040127261956172E-7</v>
      </c>
      <c r="N16">
        <f t="shared" si="3"/>
        <v>1.0002495814163921</v>
      </c>
      <c r="O16">
        <f t="shared" si="4"/>
        <v>-2.495814163920862E-4</v>
      </c>
    </row>
    <row r="17" spans="1:15" x14ac:dyDescent="0.25">
      <c r="A17">
        <v>2028</v>
      </c>
      <c r="B17">
        <v>463539.72069400002</v>
      </c>
      <c r="C17">
        <v>0</v>
      </c>
      <c r="D17">
        <f t="shared" si="0"/>
        <v>36.88731893394332</v>
      </c>
      <c r="F17" s="1">
        <v>2028</v>
      </c>
      <c r="G17" s="2">
        <v>36.887348000000003</v>
      </c>
      <c r="I17">
        <v>2028</v>
      </c>
      <c r="J17">
        <v>36.896730790799801</v>
      </c>
      <c r="L17">
        <f t="shared" si="1"/>
        <v>0.99999921203181419</v>
      </c>
      <c r="M17">
        <f t="shared" si="2"/>
        <v>7.8796818581139405E-7</v>
      </c>
      <c r="N17">
        <f t="shared" si="3"/>
        <v>1.0002543633876797</v>
      </c>
      <c r="O17">
        <f t="shared" si="4"/>
        <v>-2.5436338767970135E-4</v>
      </c>
    </row>
    <row r="18" spans="1:15" x14ac:dyDescent="0.25">
      <c r="A18">
        <v>2030</v>
      </c>
      <c r="B18">
        <v>463539.72069400002</v>
      </c>
      <c r="C18">
        <v>0</v>
      </c>
      <c r="D18">
        <f t="shared" si="0"/>
        <v>36.88731893394332</v>
      </c>
      <c r="F18" s="1">
        <v>2030</v>
      </c>
      <c r="G18" s="2">
        <v>36.887332999999998</v>
      </c>
      <c r="I18">
        <v>2030</v>
      </c>
      <c r="J18">
        <v>36.896326290196598</v>
      </c>
      <c r="L18">
        <f t="shared" si="1"/>
        <v>0.99999961867515119</v>
      </c>
      <c r="M18">
        <f t="shared" si="2"/>
        <v>3.8132484880826212E-7</v>
      </c>
      <c r="N18">
        <f t="shared" si="3"/>
        <v>1.0002438042944606</v>
      </c>
      <c r="O18">
        <f t="shared" si="4"/>
        <v>-2.4380429446058116E-4</v>
      </c>
    </row>
    <row r="19" spans="1:15" x14ac:dyDescent="0.25">
      <c r="A19">
        <v>2032</v>
      </c>
      <c r="B19">
        <v>463539.72069400002</v>
      </c>
      <c r="C19">
        <v>0</v>
      </c>
      <c r="D19">
        <f t="shared" si="0"/>
        <v>36.88731893394332</v>
      </c>
      <c r="F19" s="1">
        <v>2032</v>
      </c>
      <c r="G19" s="2">
        <v>36.887394</v>
      </c>
      <c r="I19">
        <v>2032</v>
      </c>
      <c r="J19">
        <v>36.896705278682298</v>
      </c>
      <c r="L19">
        <f t="shared" si="1"/>
        <v>0.99999796499430993</v>
      </c>
      <c r="M19">
        <f t="shared" si="2"/>
        <v>2.035005690070868E-6</v>
      </c>
      <c r="N19">
        <f t="shared" si="3"/>
        <v>1.0002524244104178</v>
      </c>
      <c r="O19">
        <f t="shared" si="4"/>
        <v>-2.524244104178397E-4</v>
      </c>
    </row>
    <row r="20" spans="1:15" x14ac:dyDescent="0.25">
      <c r="A20">
        <v>2034</v>
      </c>
      <c r="B20">
        <v>463539.72069400002</v>
      </c>
      <c r="C20">
        <v>0</v>
      </c>
      <c r="D20">
        <f t="shared" si="0"/>
        <v>36.88731893394332</v>
      </c>
      <c r="F20" s="1">
        <v>2034</v>
      </c>
      <c r="G20" s="2">
        <v>36.887287000000001</v>
      </c>
      <c r="I20">
        <v>2034</v>
      </c>
      <c r="J20">
        <v>36.896438894610696</v>
      </c>
      <c r="L20">
        <f t="shared" si="1"/>
        <v>1.0000008657167798</v>
      </c>
      <c r="M20">
        <f t="shared" si="2"/>
        <v>-8.6571677981872597E-7</v>
      </c>
      <c r="N20">
        <f t="shared" si="3"/>
        <v>1.0002481043024578</v>
      </c>
      <c r="O20">
        <f t="shared" si="4"/>
        <v>-2.4810430245780779E-4</v>
      </c>
    </row>
    <row r="21" spans="1:15" x14ac:dyDescent="0.25">
      <c r="A21">
        <v>2036</v>
      </c>
      <c r="B21">
        <v>463539.72069400002</v>
      </c>
      <c r="C21">
        <v>0</v>
      </c>
      <c r="D21">
        <f t="shared" si="0"/>
        <v>36.88731893394332</v>
      </c>
      <c r="F21" s="1">
        <v>2036</v>
      </c>
      <c r="G21" s="2">
        <v>36.887366999999998</v>
      </c>
      <c r="I21">
        <v>2036</v>
      </c>
      <c r="J21">
        <v>36.8964921716452</v>
      </c>
      <c r="L21">
        <f t="shared" si="1"/>
        <v>0.99999869695072896</v>
      </c>
      <c r="M21">
        <f t="shared" si="2"/>
        <v>1.3030492710397468E-6</v>
      </c>
      <c r="N21">
        <f t="shared" si="3"/>
        <v>1.000247379316751</v>
      </c>
      <c r="O21">
        <f t="shared" si="4"/>
        <v>-2.4737931675100633E-4</v>
      </c>
    </row>
    <row r="22" spans="1:15" x14ac:dyDescent="0.25">
      <c r="A22">
        <v>2038</v>
      </c>
      <c r="B22">
        <v>463539.72069400002</v>
      </c>
      <c r="C22">
        <v>0</v>
      </c>
      <c r="D22">
        <f t="shared" si="0"/>
        <v>36.88731893394332</v>
      </c>
      <c r="F22" s="1">
        <v>2038</v>
      </c>
      <c r="G22" s="2">
        <v>36.887371000000002</v>
      </c>
      <c r="I22">
        <v>2038</v>
      </c>
      <c r="J22">
        <v>36.896372872567298</v>
      </c>
      <c r="L22">
        <f t="shared" si="1"/>
        <v>0.99999858851267331</v>
      </c>
      <c r="M22">
        <f t="shared" si="2"/>
        <v>1.4114873266857231E-6</v>
      </c>
      <c r="N22">
        <f t="shared" si="3"/>
        <v>1.0002440367075034</v>
      </c>
      <c r="O22">
        <f t="shared" si="4"/>
        <v>-2.4403670750339224E-4</v>
      </c>
    </row>
    <row r="23" spans="1:15" x14ac:dyDescent="0.25">
      <c r="A23">
        <v>2040</v>
      </c>
      <c r="B23">
        <v>463539.72069400002</v>
      </c>
      <c r="C23">
        <v>0</v>
      </c>
      <c r="D23">
        <f t="shared" si="0"/>
        <v>36.88731893394332</v>
      </c>
      <c r="F23" s="1">
        <v>2040</v>
      </c>
      <c r="G23" s="2">
        <v>36.887363000000001</v>
      </c>
      <c r="I23">
        <v>2040</v>
      </c>
      <c r="J23">
        <v>36.896566877025798</v>
      </c>
      <c r="L23">
        <f t="shared" si="1"/>
        <v>0.99999880538880803</v>
      </c>
      <c r="M23">
        <f t="shared" si="2"/>
        <v>1.1946111919680646E-6</v>
      </c>
      <c r="N23">
        <f t="shared" si="3"/>
        <v>1.0002495130114288</v>
      </c>
      <c r="O23">
        <f t="shared" si="4"/>
        <v>-2.4951301142883686E-4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3"/>
  <sheetViews>
    <sheetView topLeftCell="E1" zoomScale="90" zoomScaleNormal="90" workbookViewId="0">
      <selection activeCell="G3" sqref="G3:G23"/>
    </sheetView>
  </sheetViews>
  <sheetFormatPr defaultRowHeight="15.75" x14ac:dyDescent="0.25"/>
  <cols>
    <col min="1" max="1" width="12.875" customWidth="1"/>
    <col min="4" max="4" width="14.625" customWidth="1"/>
    <col min="6" max="6" width="13.375" style="1" customWidth="1"/>
    <col min="7" max="7" width="13.625" style="2" customWidth="1"/>
    <col min="9" max="9" width="13.125" customWidth="1"/>
    <col min="10" max="10" width="13.5" customWidth="1"/>
    <col min="13" max="13" width="11.875" bestFit="1" customWidth="1"/>
    <col min="15" max="15" width="11.875" bestFit="1" customWidth="1"/>
    <col min="26" max="26" width="10.375" customWidth="1"/>
    <col min="27" max="28" width="15.5" customWidth="1"/>
  </cols>
  <sheetData>
    <row r="1" spans="1:28" x14ac:dyDescent="0.25">
      <c r="G1" s="2" t="s">
        <v>5</v>
      </c>
      <c r="J1" t="s">
        <v>6</v>
      </c>
      <c r="L1" t="s">
        <v>7</v>
      </c>
      <c r="M1" t="s">
        <v>8</v>
      </c>
      <c r="N1" t="s">
        <v>9</v>
      </c>
      <c r="O1" t="s">
        <v>8</v>
      </c>
      <c r="AA1" t="s">
        <v>10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3</v>
      </c>
      <c r="I2" t="s">
        <v>0</v>
      </c>
      <c r="J2" t="s">
        <v>3</v>
      </c>
    </row>
    <row r="3" spans="1:28" x14ac:dyDescent="0.25">
      <c r="A3">
        <v>2000</v>
      </c>
      <c r="B3">
        <v>463539.72069400002</v>
      </c>
      <c r="C3">
        <v>0</v>
      </c>
      <c r="D3">
        <f t="shared" ref="D3:D23" si="0">B3/(4000*PI())</f>
        <v>36.88731893394332</v>
      </c>
      <c r="F3" s="1">
        <v>2000</v>
      </c>
      <c r="G3" s="2">
        <v>36.887352</v>
      </c>
      <c r="I3">
        <v>2000</v>
      </c>
      <c r="J3">
        <v>36.886740270193698</v>
      </c>
      <c r="L3">
        <f>D3/G3</f>
        <v>0.99999910359364697</v>
      </c>
      <c r="M3">
        <f>1-L3</f>
        <v>8.9640635303478433E-7</v>
      </c>
      <c r="N3">
        <f>J3/G3</f>
        <v>0.99998341627216014</v>
      </c>
      <c r="O3">
        <f>1-N3</f>
        <v>1.6583727839858398E-5</v>
      </c>
      <c r="Z3">
        <v>2000</v>
      </c>
      <c r="AA3">
        <v>36.886569537259199</v>
      </c>
      <c r="AB3">
        <f>AA3/G3</f>
        <v>0.99997878777688354</v>
      </c>
    </row>
    <row r="4" spans="1:28" x14ac:dyDescent="0.25">
      <c r="A4">
        <v>2002</v>
      </c>
      <c r="B4">
        <v>463539.72069400002</v>
      </c>
      <c r="C4">
        <v>0</v>
      </c>
      <c r="D4">
        <f t="shared" si="0"/>
        <v>36.88731893394332</v>
      </c>
      <c r="F4" s="1">
        <v>2002</v>
      </c>
      <c r="G4" s="2">
        <v>36.887267999999999</v>
      </c>
      <c r="I4">
        <v>2002</v>
      </c>
      <c r="J4">
        <v>36.886414446835502</v>
      </c>
      <c r="L4">
        <f t="shared" ref="L4:L23" si="1">D4/G4</f>
        <v>1.0000013808000994</v>
      </c>
      <c r="M4">
        <f t="shared" ref="M4:M23" si="2">1-L4</f>
        <v>-1.3808000993709157E-6</v>
      </c>
      <c r="N4">
        <f t="shared" ref="N4:N23" si="3">J4/G4</f>
        <v>0.9999768604938567</v>
      </c>
      <c r="O4">
        <f t="shared" ref="O4:O23" si="4">1-N4</f>
        <v>2.3139506143299293E-5</v>
      </c>
      <c r="Z4">
        <v>2002</v>
      </c>
      <c r="AA4">
        <v>36.886736061201901</v>
      </c>
      <c r="AB4">
        <f t="shared" ref="AB4:AB23" si="5">AA4/G4</f>
        <v>0.99998557933870036</v>
      </c>
    </row>
    <row r="5" spans="1:28" x14ac:dyDescent="0.25">
      <c r="A5">
        <v>2004</v>
      </c>
      <c r="B5">
        <v>463539.72069400002</v>
      </c>
      <c r="C5">
        <v>0</v>
      </c>
      <c r="D5">
        <f t="shared" si="0"/>
        <v>36.88731893394332</v>
      </c>
      <c r="F5" s="1">
        <v>2004</v>
      </c>
      <c r="G5" s="2">
        <v>36.887450999999999</v>
      </c>
      <c r="I5">
        <v>2004</v>
      </c>
      <c r="J5">
        <v>36.886738820940998</v>
      </c>
      <c r="L5">
        <f t="shared" si="1"/>
        <v>0.99999641975649989</v>
      </c>
      <c r="M5">
        <f t="shared" si="2"/>
        <v>3.5802435001119903E-6</v>
      </c>
      <c r="N5">
        <f t="shared" si="3"/>
        <v>0.99998069318861305</v>
      </c>
      <c r="O5">
        <f t="shared" si="4"/>
        <v>1.9306811386954337E-5</v>
      </c>
      <c r="Z5">
        <v>2004</v>
      </c>
      <c r="AA5">
        <v>36.886306215464501</v>
      </c>
      <c r="AB5">
        <f t="shared" si="5"/>
        <v>0.99996896547458647</v>
      </c>
    </row>
    <row r="6" spans="1:28" x14ac:dyDescent="0.25">
      <c r="A6">
        <v>2006</v>
      </c>
      <c r="B6">
        <v>463539.72069400002</v>
      </c>
      <c r="C6">
        <v>0</v>
      </c>
      <c r="D6">
        <f t="shared" si="0"/>
        <v>36.88731893394332</v>
      </c>
      <c r="F6" s="1">
        <v>2006</v>
      </c>
      <c r="G6" s="2">
        <v>36.887241000000003</v>
      </c>
      <c r="I6">
        <v>2006</v>
      </c>
      <c r="J6">
        <v>36.886328480316102</v>
      </c>
      <c r="L6">
        <f t="shared" si="1"/>
        <v>1.0000021127615186</v>
      </c>
      <c r="M6">
        <f t="shared" si="2"/>
        <v>-2.1127615186244952E-6</v>
      </c>
      <c r="N6">
        <f t="shared" si="3"/>
        <v>0.99997526191552522</v>
      </c>
      <c r="O6">
        <f t="shared" si="4"/>
        <v>2.473808447478465E-5</v>
      </c>
      <c r="Z6">
        <v>2006</v>
      </c>
      <c r="AA6">
        <v>36.886795931274698</v>
      </c>
      <c r="AB6">
        <f t="shared" si="5"/>
        <v>0.99998793434495936</v>
      </c>
    </row>
    <row r="7" spans="1:28" x14ac:dyDescent="0.25">
      <c r="A7">
        <v>2008</v>
      </c>
      <c r="B7">
        <v>463539.72069400002</v>
      </c>
      <c r="C7">
        <v>0</v>
      </c>
      <c r="D7">
        <f t="shared" si="0"/>
        <v>36.88731893394332</v>
      </c>
      <c r="F7" s="1">
        <v>2008</v>
      </c>
      <c r="G7" s="2">
        <v>36.887230000000002</v>
      </c>
      <c r="I7">
        <v>2008</v>
      </c>
      <c r="J7">
        <v>36.886818796242103</v>
      </c>
      <c r="L7">
        <f t="shared" si="1"/>
        <v>1.0000024109683301</v>
      </c>
      <c r="M7">
        <f t="shared" si="2"/>
        <v>-2.4109683300910234E-6</v>
      </c>
      <c r="N7">
        <f t="shared" si="3"/>
        <v>0.99998885240887159</v>
      </c>
      <c r="O7">
        <f t="shared" si="4"/>
        <v>1.1147591128413126E-5</v>
      </c>
      <c r="Z7">
        <v>2008</v>
      </c>
      <c r="AA7">
        <v>36.8864567192797</v>
      </c>
      <c r="AB7">
        <f t="shared" si="5"/>
        <v>0.99997903662811483</v>
      </c>
    </row>
    <row r="8" spans="1:28" x14ac:dyDescent="0.25">
      <c r="A8">
        <v>2010</v>
      </c>
      <c r="B8">
        <v>463539.72069400002</v>
      </c>
      <c r="C8">
        <v>0</v>
      </c>
      <c r="D8">
        <f t="shared" si="0"/>
        <v>36.88731893394332</v>
      </c>
      <c r="F8" s="1">
        <v>2010</v>
      </c>
      <c r="G8" s="2">
        <v>36.887005000000002</v>
      </c>
      <c r="I8">
        <v>2010</v>
      </c>
      <c r="J8">
        <v>36.886474803397299</v>
      </c>
      <c r="L8">
        <f t="shared" si="1"/>
        <v>1.0000085106921344</v>
      </c>
      <c r="M8">
        <f t="shared" si="2"/>
        <v>-8.5106921343669484E-6</v>
      </c>
      <c r="N8">
        <f t="shared" si="3"/>
        <v>0.99998562646648315</v>
      </c>
      <c r="O8">
        <f t="shared" si="4"/>
        <v>1.4373533516853776E-5</v>
      </c>
      <c r="Z8">
        <v>2010</v>
      </c>
      <c r="AA8">
        <v>36.8867525565242</v>
      </c>
      <c r="AB8">
        <f t="shared" si="5"/>
        <v>0.9999931563032618</v>
      </c>
    </row>
    <row r="9" spans="1:28" x14ac:dyDescent="0.25">
      <c r="A9">
        <v>2012</v>
      </c>
      <c r="B9">
        <v>463539.72069400002</v>
      </c>
      <c r="C9">
        <v>0</v>
      </c>
      <c r="D9">
        <f t="shared" si="0"/>
        <v>36.88731893394332</v>
      </c>
      <c r="F9" s="1">
        <v>2012</v>
      </c>
      <c r="G9" s="2">
        <v>36.887577</v>
      </c>
      <c r="I9">
        <v>2012</v>
      </c>
      <c r="J9">
        <v>36.886598041168099</v>
      </c>
      <c r="L9">
        <f t="shared" si="1"/>
        <v>0.99999300398460222</v>
      </c>
      <c r="M9">
        <f t="shared" si="2"/>
        <v>6.9960153977755013E-6</v>
      </c>
      <c r="N9">
        <f t="shared" si="3"/>
        <v>0.99997346101556361</v>
      </c>
      <c r="O9">
        <f t="shared" si="4"/>
        <v>2.6538984436386137E-5</v>
      </c>
      <c r="Z9">
        <v>2012</v>
      </c>
      <c r="AA9">
        <v>36.886548315258203</v>
      </c>
      <c r="AB9">
        <f t="shared" si="5"/>
        <v>0.99997211297608957</v>
      </c>
    </row>
    <row r="10" spans="1:28" x14ac:dyDescent="0.25">
      <c r="A10">
        <v>2014</v>
      </c>
      <c r="B10">
        <v>463539.72069400002</v>
      </c>
      <c r="C10">
        <v>0</v>
      </c>
      <c r="D10">
        <f t="shared" si="0"/>
        <v>36.88731893394332</v>
      </c>
      <c r="F10" s="1">
        <v>2014</v>
      </c>
      <c r="G10" s="2">
        <v>36.887211000000001</v>
      </c>
      <c r="I10">
        <v>2014</v>
      </c>
      <c r="J10">
        <v>36.8865459955814</v>
      </c>
      <c r="L10">
        <f t="shared" si="1"/>
        <v>1.0000029260532415</v>
      </c>
      <c r="M10">
        <f t="shared" si="2"/>
        <v>-2.9260532414809859E-6</v>
      </c>
      <c r="N10">
        <f t="shared" si="3"/>
        <v>0.99998197195178029</v>
      </c>
      <c r="O10">
        <f t="shared" si="4"/>
        <v>1.802804821970927E-5</v>
      </c>
      <c r="Z10">
        <v>2014</v>
      </c>
      <c r="AA10">
        <v>36.886724661113703</v>
      </c>
      <c r="AB10">
        <f t="shared" si="5"/>
        <v>0.99998681551483259</v>
      </c>
    </row>
    <row r="11" spans="1:28" x14ac:dyDescent="0.25">
      <c r="A11">
        <v>2016</v>
      </c>
      <c r="B11">
        <v>463539.72069400002</v>
      </c>
      <c r="C11">
        <v>0</v>
      </c>
      <c r="D11">
        <f t="shared" si="0"/>
        <v>36.88731893394332</v>
      </c>
      <c r="F11" s="1">
        <v>2016</v>
      </c>
      <c r="G11" s="2">
        <v>36.887287000000001</v>
      </c>
      <c r="I11">
        <v>2016</v>
      </c>
      <c r="J11">
        <v>36.886747158843399</v>
      </c>
      <c r="L11">
        <f t="shared" si="1"/>
        <v>1.0000008657167798</v>
      </c>
      <c r="M11">
        <f t="shared" si="2"/>
        <v>-8.6571677981872597E-7</v>
      </c>
      <c r="N11">
        <f t="shared" si="3"/>
        <v>0.99998536511626346</v>
      </c>
      <c r="O11">
        <f t="shared" si="4"/>
        <v>1.4634883736541759E-5</v>
      </c>
      <c r="Z11">
        <v>2016</v>
      </c>
      <c r="AA11">
        <v>36.886516499732203</v>
      </c>
      <c r="AB11">
        <f t="shared" si="5"/>
        <v>0.99997911203749412</v>
      </c>
    </row>
    <row r="12" spans="1:28" x14ac:dyDescent="0.25">
      <c r="A12">
        <v>2018</v>
      </c>
      <c r="B12">
        <v>463539.72069400002</v>
      </c>
      <c r="C12">
        <v>0</v>
      </c>
      <c r="D12">
        <f t="shared" si="0"/>
        <v>36.88731893394332</v>
      </c>
      <c r="F12" s="1">
        <v>2018</v>
      </c>
      <c r="G12" s="2">
        <v>36.887276</v>
      </c>
      <c r="I12">
        <v>2018</v>
      </c>
      <c r="J12">
        <v>36.886542984292497</v>
      </c>
      <c r="L12">
        <f t="shared" si="1"/>
        <v>1.0000011639228474</v>
      </c>
      <c r="M12">
        <f t="shared" si="2"/>
        <v>-1.1639228474358276E-6</v>
      </c>
      <c r="N12">
        <f t="shared" si="3"/>
        <v>0.99998012822341498</v>
      </c>
      <c r="O12">
        <f t="shared" si="4"/>
        <v>1.9871776585023149E-5</v>
      </c>
      <c r="Z12">
        <v>2018</v>
      </c>
      <c r="AA12">
        <v>36.886543479021199</v>
      </c>
      <c r="AB12">
        <f t="shared" si="5"/>
        <v>0.99998014163532156</v>
      </c>
    </row>
    <row r="13" spans="1:28" x14ac:dyDescent="0.25">
      <c r="A13">
        <v>2020</v>
      </c>
      <c r="B13">
        <v>463539.72069400002</v>
      </c>
      <c r="C13">
        <v>0</v>
      </c>
      <c r="D13">
        <f t="shared" si="0"/>
        <v>36.88731893394332</v>
      </c>
      <c r="F13" s="1">
        <v>2020</v>
      </c>
      <c r="G13" s="2">
        <v>36.887568999999999</v>
      </c>
      <c r="I13">
        <v>2020</v>
      </c>
      <c r="J13">
        <v>36.886559237023299</v>
      </c>
      <c r="L13">
        <f t="shared" si="1"/>
        <v>0.99999322085831466</v>
      </c>
      <c r="M13">
        <f t="shared" si="2"/>
        <v>6.779141685342438E-6</v>
      </c>
      <c r="N13">
        <f t="shared" si="3"/>
        <v>0.99997262592781055</v>
      </c>
      <c r="O13">
        <f t="shared" si="4"/>
        <v>2.7374072189445542E-5</v>
      </c>
      <c r="Z13">
        <v>2020</v>
      </c>
      <c r="AA13">
        <v>36.886721323332303</v>
      </c>
      <c r="AB13">
        <f t="shared" si="5"/>
        <v>0.99997701999099764</v>
      </c>
    </row>
    <row r="14" spans="1:28" x14ac:dyDescent="0.25">
      <c r="A14">
        <v>2022</v>
      </c>
      <c r="B14">
        <v>463539.72069400002</v>
      </c>
      <c r="C14">
        <v>0</v>
      </c>
      <c r="D14">
        <f t="shared" si="0"/>
        <v>36.88731893394332</v>
      </c>
      <c r="F14" s="1">
        <v>2022</v>
      </c>
      <c r="G14" s="2">
        <v>36.88747</v>
      </c>
      <c r="I14">
        <v>2022</v>
      </c>
      <c r="J14">
        <v>36.8867250501334</v>
      </c>
      <c r="L14">
        <f t="shared" si="1"/>
        <v>0.99999590467829103</v>
      </c>
      <c r="M14">
        <f t="shared" si="2"/>
        <v>4.0953217089745308E-6</v>
      </c>
      <c r="N14">
        <f t="shared" si="3"/>
        <v>0.99997980479912008</v>
      </c>
      <c r="O14">
        <f t="shared" si="4"/>
        <v>2.0195200879924435E-5</v>
      </c>
      <c r="Z14">
        <v>2022</v>
      </c>
      <c r="AA14">
        <v>36.8863211431878</v>
      </c>
      <c r="AB14">
        <f t="shared" si="5"/>
        <v>0.99996885509328237</v>
      </c>
    </row>
    <row r="15" spans="1:28" x14ac:dyDescent="0.25">
      <c r="A15">
        <v>2024</v>
      </c>
      <c r="B15">
        <v>463539.72069400002</v>
      </c>
      <c r="C15">
        <v>0</v>
      </c>
      <c r="D15">
        <f t="shared" si="0"/>
        <v>36.88731893394332</v>
      </c>
      <c r="F15" s="1">
        <v>2024</v>
      </c>
      <c r="G15" s="2">
        <v>36.887383</v>
      </c>
      <c r="I15">
        <v>2024</v>
      </c>
      <c r="J15">
        <v>36.886324549261701</v>
      </c>
      <c r="L15">
        <f t="shared" si="1"/>
        <v>0.9999982631986476</v>
      </c>
      <c r="M15">
        <f t="shared" si="2"/>
        <v>1.7368013524032833E-6</v>
      </c>
      <c r="N15">
        <f t="shared" si="3"/>
        <v>0.99997130588693972</v>
      </c>
      <c r="O15">
        <f t="shared" si="4"/>
        <v>2.8694113060279136E-5</v>
      </c>
      <c r="Z15">
        <v>2024</v>
      </c>
      <c r="AA15">
        <v>36.886716801880603</v>
      </c>
      <c r="AB15">
        <f t="shared" si="5"/>
        <v>0.99998193967516213</v>
      </c>
    </row>
    <row r="16" spans="1:28" x14ac:dyDescent="0.25">
      <c r="A16">
        <v>2026</v>
      </c>
      <c r="B16">
        <v>463539.72069400002</v>
      </c>
      <c r="C16">
        <v>0</v>
      </c>
      <c r="D16">
        <f t="shared" si="0"/>
        <v>36.88731893394332</v>
      </c>
      <c r="F16" s="1">
        <v>2026</v>
      </c>
      <c r="G16" s="2">
        <v>36.887256999999998</v>
      </c>
      <c r="I16">
        <v>2026</v>
      </c>
      <c r="J16">
        <v>36.886727103370099</v>
      </c>
      <c r="L16">
        <f t="shared" si="1"/>
        <v>1.0000016790064743</v>
      </c>
      <c r="M16">
        <f t="shared" si="2"/>
        <v>-1.6790064742977506E-6</v>
      </c>
      <c r="N16">
        <f t="shared" si="3"/>
        <v>0.99998563469683044</v>
      </c>
      <c r="O16">
        <f t="shared" si="4"/>
        <v>1.4365303169561194E-5</v>
      </c>
      <c r="Z16">
        <v>2026</v>
      </c>
      <c r="AA16">
        <v>36.886434206546397</v>
      </c>
      <c r="AB16">
        <f t="shared" si="5"/>
        <v>0.99997769437143025</v>
      </c>
    </row>
    <row r="17" spans="1:28" x14ac:dyDescent="0.25">
      <c r="A17">
        <v>2028</v>
      </c>
      <c r="B17">
        <v>463539.72069400002</v>
      </c>
      <c r="C17">
        <v>0</v>
      </c>
      <c r="D17">
        <f t="shared" si="0"/>
        <v>36.88731893394332</v>
      </c>
      <c r="F17" s="1">
        <v>2028</v>
      </c>
      <c r="G17" s="2">
        <v>36.887253000000001</v>
      </c>
      <c r="I17">
        <v>2028</v>
      </c>
      <c r="J17">
        <v>36.886470155676399</v>
      </c>
      <c r="L17">
        <f t="shared" si="1"/>
        <v>1.0000017874452001</v>
      </c>
      <c r="M17">
        <f t="shared" si="2"/>
        <v>-1.7874452000743446E-6</v>
      </c>
      <c r="N17">
        <f t="shared" si="3"/>
        <v>0.99997877737538221</v>
      </c>
      <c r="O17">
        <f t="shared" si="4"/>
        <v>2.1222624617789343E-5</v>
      </c>
      <c r="Z17">
        <v>2028</v>
      </c>
      <c r="AA17">
        <v>36.886794573277399</v>
      </c>
      <c r="AB17">
        <f t="shared" si="5"/>
        <v>0.99998757221844081</v>
      </c>
    </row>
    <row r="18" spans="1:28" x14ac:dyDescent="0.25">
      <c r="A18">
        <v>2030</v>
      </c>
      <c r="B18">
        <v>463539.72069400002</v>
      </c>
      <c r="C18">
        <v>0</v>
      </c>
      <c r="D18">
        <f t="shared" si="0"/>
        <v>36.88731893394332</v>
      </c>
      <c r="F18" s="1">
        <v>2030</v>
      </c>
      <c r="G18" s="2">
        <v>36.887562000000003</v>
      </c>
      <c r="I18">
        <v>2030</v>
      </c>
      <c r="J18">
        <v>36.886810157349501</v>
      </c>
      <c r="L18">
        <f t="shared" si="1"/>
        <v>0.99999341062289004</v>
      </c>
      <c r="M18">
        <f t="shared" si="2"/>
        <v>6.5893771099556631E-6</v>
      </c>
      <c r="N18">
        <f t="shared" si="3"/>
        <v>0.99997961799019131</v>
      </c>
      <c r="O18">
        <f t="shared" si="4"/>
        <v>2.0382009808694868E-5</v>
      </c>
      <c r="Z18">
        <v>2030</v>
      </c>
      <c r="AA18">
        <v>36.886463364779203</v>
      </c>
      <c r="AB18">
        <f t="shared" si="5"/>
        <v>0.99997021664861452</v>
      </c>
    </row>
    <row r="19" spans="1:28" x14ac:dyDescent="0.25">
      <c r="A19">
        <v>2032</v>
      </c>
      <c r="B19">
        <v>463539.72069400002</v>
      </c>
      <c r="C19">
        <v>0</v>
      </c>
      <c r="D19">
        <f t="shared" si="0"/>
        <v>36.88731893394332</v>
      </c>
      <c r="F19" s="1">
        <v>2032</v>
      </c>
      <c r="G19" s="2">
        <v>36.887298999999999</v>
      </c>
      <c r="I19">
        <v>2032</v>
      </c>
      <c r="J19">
        <v>36.886460163403399</v>
      </c>
      <c r="L19">
        <f t="shared" si="1"/>
        <v>1.0000005404012726</v>
      </c>
      <c r="M19">
        <f t="shared" si="2"/>
        <v>-5.4040127261956172E-7</v>
      </c>
      <c r="N19">
        <f t="shared" si="3"/>
        <v>0.99997725947360361</v>
      </c>
      <c r="O19">
        <f t="shared" si="4"/>
        <v>2.2740526396392013E-5</v>
      </c>
      <c r="Z19">
        <v>2032</v>
      </c>
      <c r="AA19">
        <v>36.886728175558297</v>
      </c>
      <c r="AB19">
        <f t="shared" si="5"/>
        <v>0.99998452517649228</v>
      </c>
    </row>
    <row r="20" spans="1:28" x14ac:dyDescent="0.25">
      <c r="A20">
        <v>2034</v>
      </c>
      <c r="B20">
        <v>463539.72069400002</v>
      </c>
      <c r="C20">
        <v>0</v>
      </c>
      <c r="D20">
        <f t="shared" si="0"/>
        <v>36.88731893394332</v>
      </c>
      <c r="F20" s="1">
        <v>2034</v>
      </c>
      <c r="G20" s="2">
        <v>36.887573000000003</v>
      </c>
      <c r="I20">
        <v>2034</v>
      </c>
      <c r="J20">
        <v>36.886737609240498</v>
      </c>
      <c r="L20">
        <f t="shared" si="1"/>
        <v>0.99999311242144651</v>
      </c>
      <c r="M20">
        <f t="shared" si="2"/>
        <v>6.8875785534938672E-6</v>
      </c>
      <c r="N20">
        <f t="shared" si="3"/>
        <v>0.99997735305709856</v>
      </c>
      <c r="O20">
        <f t="shared" si="4"/>
        <v>2.2646942901438649E-5</v>
      </c>
      <c r="Z20">
        <v>2034</v>
      </c>
      <c r="AA20">
        <v>36.886519407489899</v>
      </c>
      <c r="AB20">
        <f t="shared" si="5"/>
        <v>0.99997143773839214</v>
      </c>
    </row>
    <row r="21" spans="1:28" x14ac:dyDescent="0.25">
      <c r="A21">
        <v>2036</v>
      </c>
      <c r="B21">
        <v>463539.72069400002</v>
      </c>
      <c r="C21">
        <v>0</v>
      </c>
      <c r="D21">
        <f t="shared" si="0"/>
        <v>36.88731893394332</v>
      </c>
      <c r="F21" s="1">
        <v>2036</v>
      </c>
      <c r="G21" s="2">
        <v>36.887301999999998</v>
      </c>
      <c r="I21">
        <v>2036</v>
      </c>
      <c r="J21">
        <v>36.886530862560697</v>
      </c>
      <c r="L21">
        <f t="shared" si="1"/>
        <v>1.0000004590724287</v>
      </c>
      <c r="M21">
        <f t="shared" si="2"/>
        <v>-4.5907242873788334E-7</v>
      </c>
      <c r="N21">
        <f t="shared" si="3"/>
        <v>0.99997909477252356</v>
      </c>
      <c r="O21">
        <f t="shared" si="4"/>
        <v>2.0905227476442079E-5</v>
      </c>
      <c r="Z21">
        <v>2036</v>
      </c>
      <c r="AA21">
        <v>36.886710115420797</v>
      </c>
      <c r="AB21">
        <f t="shared" si="5"/>
        <v>0.99998395424584863</v>
      </c>
    </row>
    <row r="22" spans="1:28" x14ac:dyDescent="0.25">
      <c r="A22">
        <v>2038</v>
      </c>
      <c r="B22">
        <v>463539.72069400002</v>
      </c>
      <c r="C22">
        <v>0</v>
      </c>
      <c r="D22">
        <f t="shared" si="0"/>
        <v>36.88731893394332</v>
      </c>
      <c r="F22" s="1">
        <v>2038</v>
      </c>
      <c r="G22" s="2">
        <v>36.887416999999999</v>
      </c>
      <c r="I22">
        <v>2038</v>
      </c>
      <c r="J22">
        <v>36.886552779129801</v>
      </c>
      <c r="L22">
        <f t="shared" si="1"/>
        <v>0.99999734147672414</v>
      </c>
      <c r="M22">
        <f t="shared" si="2"/>
        <v>2.6585232758558064E-6</v>
      </c>
      <c r="N22">
        <f t="shared" si="3"/>
        <v>0.99997657139099227</v>
      </c>
      <c r="O22">
        <f t="shared" si="4"/>
        <v>2.3428609007725143E-5</v>
      </c>
      <c r="Z22">
        <v>2038</v>
      </c>
      <c r="AA22">
        <v>36.886689264473297</v>
      </c>
      <c r="AB22">
        <f t="shared" si="5"/>
        <v>0.99998027144251656</v>
      </c>
    </row>
    <row r="23" spans="1:28" x14ac:dyDescent="0.25">
      <c r="A23">
        <v>2040</v>
      </c>
      <c r="B23">
        <v>463539.72069400002</v>
      </c>
      <c r="C23">
        <v>0</v>
      </c>
      <c r="D23">
        <f t="shared" si="0"/>
        <v>36.88731893394332</v>
      </c>
      <c r="F23" s="1">
        <v>2040</v>
      </c>
      <c r="G23" s="2">
        <v>36.887402000000002</v>
      </c>
      <c r="I23">
        <v>2040</v>
      </c>
      <c r="J23">
        <v>36.8867147605269</v>
      </c>
      <c r="L23">
        <f t="shared" si="1"/>
        <v>0.9999977481185397</v>
      </c>
      <c r="M23">
        <f t="shared" si="2"/>
        <v>2.2518814603023074E-6</v>
      </c>
      <c r="N23">
        <f t="shared" si="3"/>
        <v>0.99998136926333003</v>
      </c>
      <c r="O23">
        <f t="shared" si="4"/>
        <v>1.863073666996673E-5</v>
      </c>
      <c r="Z23">
        <v>2040</v>
      </c>
      <c r="AA23">
        <v>36.886552159895402</v>
      </c>
      <c r="AB23">
        <f t="shared" si="5"/>
        <v>0.99997696123721047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tabSelected="1" topLeftCell="F1" workbookViewId="0">
      <selection activeCell="G3" sqref="G3:G23"/>
    </sheetView>
  </sheetViews>
  <sheetFormatPr defaultRowHeight="15.75" x14ac:dyDescent="0.25"/>
  <cols>
    <col min="1" max="1" width="12.75" customWidth="1"/>
    <col min="4" max="4" width="14.625" customWidth="1"/>
    <col min="6" max="6" width="12.875" style="1" customWidth="1"/>
    <col min="7" max="7" width="14.75" style="2" customWidth="1"/>
    <col min="9" max="9" width="14.375" customWidth="1"/>
    <col min="10" max="10" width="14.625" customWidth="1"/>
    <col min="13" max="13" width="11.875" bestFit="1" customWidth="1"/>
    <col min="15" max="15" width="11.875" bestFit="1" customWidth="1"/>
    <col min="24" max="24" width="12" customWidth="1"/>
    <col min="25" max="26" width="15.875" customWidth="1"/>
  </cols>
  <sheetData>
    <row r="1" spans="1:26" x14ac:dyDescent="0.25">
      <c r="B1" t="s">
        <v>4</v>
      </c>
      <c r="G1" s="2" t="s">
        <v>5</v>
      </c>
      <c r="J1" t="s">
        <v>6</v>
      </c>
      <c r="L1" t="s">
        <v>7</v>
      </c>
      <c r="M1" t="s">
        <v>8</v>
      </c>
      <c r="N1" t="s">
        <v>9</v>
      </c>
      <c r="O1" t="s">
        <v>8</v>
      </c>
      <c r="Y1" t="s">
        <v>11</v>
      </c>
    </row>
    <row r="2" spans="1:26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3</v>
      </c>
      <c r="I2" t="s">
        <v>0</v>
      </c>
      <c r="J2" t="s">
        <v>3</v>
      </c>
    </row>
    <row r="3" spans="1:26" x14ac:dyDescent="0.25">
      <c r="A3">
        <v>2000</v>
      </c>
      <c r="B3">
        <v>463539.72069400002</v>
      </c>
      <c r="C3">
        <v>0</v>
      </c>
      <c r="D3">
        <f t="shared" ref="D3:D23" si="0">B3/(4000*PI())</f>
        <v>36.88731893394332</v>
      </c>
      <c r="F3" s="1">
        <v>2000</v>
      </c>
      <c r="G3" s="2">
        <v>36.887394</v>
      </c>
      <c r="I3">
        <v>2000</v>
      </c>
      <c r="J3">
        <v>36.886744551832301</v>
      </c>
      <c r="L3">
        <f>D3/G3</f>
        <v>0.99999796499430993</v>
      </c>
      <c r="M3">
        <f>1-L3</f>
        <v>2.035005690070868E-6</v>
      </c>
      <c r="N3">
        <f>J3/G3</f>
        <v>0.99998239376390485</v>
      </c>
      <c r="O3">
        <f>1-N3</f>
        <v>1.7606236095146777E-5</v>
      </c>
      <c r="X3">
        <v>2000</v>
      </c>
      <c r="Y3">
        <v>36.886573463573697</v>
      </c>
      <c r="Z3">
        <f>Y3/G3</f>
        <v>0.99997775564122793</v>
      </c>
    </row>
    <row r="4" spans="1:26" x14ac:dyDescent="0.25">
      <c r="A4">
        <v>2002</v>
      </c>
      <c r="B4">
        <v>463539.72069400002</v>
      </c>
      <c r="C4">
        <v>0</v>
      </c>
      <c r="D4">
        <f t="shared" si="0"/>
        <v>36.88731893394332</v>
      </c>
      <c r="F4" s="1">
        <v>2002</v>
      </c>
      <c r="G4" s="2">
        <v>36.887188000000002</v>
      </c>
      <c r="I4">
        <v>2002</v>
      </c>
      <c r="J4">
        <v>36.886418196994299</v>
      </c>
      <c r="L4">
        <f t="shared" ref="L4:L23" si="1">D4/G4</f>
        <v>1.0000035495777915</v>
      </c>
      <c r="M4">
        <f t="shared" ref="M4:M23" si="2">1-L4</f>
        <v>-3.5495777914729132E-6</v>
      </c>
      <c r="N4">
        <f t="shared" ref="N4:N23" si="3">J4/G4</f>
        <v>0.99997913088398871</v>
      </c>
      <c r="O4">
        <f t="shared" ref="O4:O23" si="4">1-N4</f>
        <v>2.08691160112906E-5</v>
      </c>
      <c r="X4">
        <v>2002</v>
      </c>
      <c r="Y4">
        <v>36.886740430897099</v>
      </c>
      <c r="Z4">
        <f t="shared" ref="Z4:Z23" si="5">Y4/G4</f>
        <v>0.99998786654317751</v>
      </c>
    </row>
    <row r="5" spans="1:26" x14ac:dyDescent="0.25">
      <c r="A5">
        <v>2004</v>
      </c>
      <c r="B5">
        <v>463539.72069400002</v>
      </c>
      <c r="C5">
        <v>0</v>
      </c>
      <c r="D5">
        <f t="shared" si="0"/>
        <v>36.88731893394332</v>
      </c>
      <c r="F5" s="1">
        <v>2004</v>
      </c>
      <c r="G5" s="2">
        <v>36.887241000000003</v>
      </c>
      <c r="I5">
        <v>2004</v>
      </c>
      <c r="J5">
        <v>36.886743117282997</v>
      </c>
      <c r="L5">
        <f t="shared" si="1"/>
        <v>1.0000021127615186</v>
      </c>
      <c r="M5">
        <f t="shared" si="2"/>
        <v>-2.1127615186244952E-6</v>
      </c>
      <c r="N5">
        <f t="shared" si="3"/>
        <v>0.99998650257640553</v>
      </c>
      <c r="O5">
        <f t="shared" si="4"/>
        <v>1.3497423594466262E-5</v>
      </c>
      <c r="X5">
        <v>2004</v>
      </c>
      <c r="Y5">
        <v>36.8863098042318</v>
      </c>
      <c r="Z5">
        <f t="shared" si="5"/>
        <v>0.99997475561351412</v>
      </c>
    </row>
    <row r="6" spans="1:26" x14ac:dyDescent="0.25">
      <c r="A6">
        <v>2006</v>
      </c>
      <c r="B6">
        <v>463539.72069400002</v>
      </c>
      <c r="C6">
        <v>0</v>
      </c>
      <c r="D6">
        <f t="shared" si="0"/>
        <v>36.88731893394332</v>
      </c>
      <c r="F6" s="1">
        <v>2006</v>
      </c>
      <c r="G6" s="2">
        <v>36.887371000000002</v>
      </c>
      <c r="I6">
        <v>2006</v>
      </c>
      <c r="J6">
        <v>36.886332042937497</v>
      </c>
      <c r="L6">
        <f t="shared" si="1"/>
        <v>0.99999858851267331</v>
      </c>
      <c r="M6">
        <f t="shared" si="2"/>
        <v>1.4114873266857231E-6</v>
      </c>
      <c r="N6">
        <f t="shared" si="3"/>
        <v>0.99997183434236869</v>
      </c>
      <c r="O6">
        <f t="shared" si="4"/>
        <v>2.8165657631307184E-5</v>
      </c>
      <c r="X6">
        <v>2006</v>
      </c>
      <c r="Y6">
        <v>36.8868000219518</v>
      </c>
      <c r="Z6">
        <f t="shared" si="5"/>
        <v>0.99998452104249436</v>
      </c>
    </row>
    <row r="7" spans="1:26" x14ac:dyDescent="0.25">
      <c r="A7">
        <v>2008</v>
      </c>
      <c r="B7">
        <v>463539.72069400002</v>
      </c>
      <c r="C7">
        <v>0</v>
      </c>
      <c r="D7">
        <f t="shared" si="0"/>
        <v>36.88731893394332</v>
      </c>
      <c r="F7" s="1">
        <v>2008</v>
      </c>
      <c r="G7" s="2">
        <v>36.887337000000002</v>
      </c>
      <c r="I7">
        <v>2008</v>
      </c>
      <c r="J7">
        <v>36.886823188534201</v>
      </c>
      <c r="L7">
        <f t="shared" si="1"/>
        <v>0.99999951023689559</v>
      </c>
      <c r="M7">
        <f t="shared" si="2"/>
        <v>4.8976310440540516E-7</v>
      </c>
      <c r="N7">
        <f t="shared" si="3"/>
        <v>0.99998607078993529</v>
      </c>
      <c r="O7">
        <f t="shared" si="4"/>
        <v>1.3929210064711484E-5</v>
      </c>
      <c r="X7">
        <v>2008</v>
      </c>
      <c r="Y7">
        <v>36.886460387596699</v>
      </c>
      <c r="Z7">
        <f t="shared" si="5"/>
        <v>0.99997623541099478</v>
      </c>
    </row>
    <row r="8" spans="1:26" x14ac:dyDescent="0.25">
      <c r="A8">
        <v>2010</v>
      </c>
      <c r="B8">
        <v>463539.72069400002</v>
      </c>
      <c r="C8">
        <v>0</v>
      </c>
      <c r="D8">
        <f t="shared" si="0"/>
        <v>36.88731893394332</v>
      </c>
      <c r="F8" s="1">
        <v>2010</v>
      </c>
      <c r="G8" s="2">
        <v>36.887135000000001</v>
      </c>
      <c r="I8">
        <v>2010</v>
      </c>
      <c r="J8">
        <v>36.886478624274602</v>
      </c>
      <c r="L8">
        <f t="shared" si="1"/>
        <v>1.0000049863981932</v>
      </c>
      <c r="M8">
        <f t="shared" si="2"/>
        <v>-4.9863981932407597E-6</v>
      </c>
      <c r="N8">
        <f t="shared" si="3"/>
        <v>0.99998220583611608</v>
      </c>
      <c r="O8">
        <f t="shared" si="4"/>
        <v>1.7794163883921854E-5</v>
      </c>
      <c r="X8">
        <v>2010</v>
      </c>
      <c r="Y8">
        <v>36.886756797641503</v>
      </c>
      <c r="Z8">
        <f t="shared" si="5"/>
        <v>0.99998974703894739</v>
      </c>
    </row>
    <row r="9" spans="1:26" x14ac:dyDescent="0.25">
      <c r="A9">
        <v>2012</v>
      </c>
      <c r="B9">
        <v>463539.72069400002</v>
      </c>
      <c r="C9">
        <v>0</v>
      </c>
      <c r="D9">
        <f t="shared" si="0"/>
        <v>36.88731893394332</v>
      </c>
      <c r="F9" s="1">
        <v>2012</v>
      </c>
      <c r="G9" s="2">
        <v>36.887196000000003</v>
      </c>
      <c r="I9">
        <v>2012</v>
      </c>
      <c r="J9">
        <v>36.886602033543603</v>
      </c>
      <c r="L9">
        <f t="shared" si="1"/>
        <v>1.000003332699599</v>
      </c>
      <c r="M9">
        <f t="shared" si="2"/>
        <v>-3.3326995989568786E-6</v>
      </c>
      <c r="N9">
        <f t="shared" si="3"/>
        <v>0.99998389776071894</v>
      </c>
      <c r="O9">
        <f t="shared" si="4"/>
        <v>1.6102239281057251E-5</v>
      </c>
      <c r="X9">
        <v>2012</v>
      </c>
      <c r="Y9">
        <v>36.886552265544204</v>
      </c>
      <c r="Z9">
        <f t="shared" si="5"/>
        <v>0.99998254856628843</v>
      </c>
    </row>
    <row r="10" spans="1:26" x14ac:dyDescent="0.25">
      <c r="A10">
        <v>2014</v>
      </c>
      <c r="B10">
        <v>463539.72069400002</v>
      </c>
      <c r="C10">
        <v>0</v>
      </c>
      <c r="D10">
        <f t="shared" si="0"/>
        <v>36.88731893394332</v>
      </c>
      <c r="F10" s="1">
        <v>2014</v>
      </c>
      <c r="G10" s="2">
        <v>36.887314000000003</v>
      </c>
      <c r="I10">
        <v>2014</v>
      </c>
      <c r="J10">
        <v>36.886549946349803</v>
      </c>
      <c r="L10">
        <f t="shared" si="1"/>
        <v>1.000000133757186</v>
      </c>
      <c r="M10">
        <f t="shared" si="2"/>
        <v>-1.3375718599384356E-7</v>
      </c>
      <c r="N10">
        <f t="shared" si="3"/>
        <v>0.99997928681795045</v>
      </c>
      <c r="O10">
        <f t="shared" si="4"/>
        <v>2.071318204954764E-5</v>
      </c>
      <c r="X10">
        <v>2014</v>
      </c>
      <c r="Y10">
        <v>36.886728755170303</v>
      </c>
      <c r="Z10">
        <f t="shared" si="5"/>
        <v>0.99998413425196264</v>
      </c>
    </row>
    <row r="11" spans="1:26" x14ac:dyDescent="0.25">
      <c r="A11">
        <v>2016</v>
      </c>
      <c r="B11">
        <v>463539.72069400002</v>
      </c>
      <c r="C11">
        <v>0</v>
      </c>
      <c r="D11">
        <f t="shared" si="0"/>
        <v>36.88731893394332</v>
      </c>
      <c r="F11" s="1">
        <v>2016</v>
      </c>
      <c r="G11" s="2">
        <v>36.887332999999998</v>
      </c>
      <c r="I11">
        <v>2016</v>
      </c>
      <c r="J11">
        <v>36.8867514221512</v>
      </c>
      <c r="L11">
        <f t="shared" si="1"/>
        <v>0.99999961867515119</v>
      </c>
      <c r="M11">
        <f t="shared" si="2"/>
        <v>3.8132484880826212E-7</v>
      </c>
      <c r="N11">
        <f t="shared" si="3"/>
        <v>0.99998423367043643</v>
      </c>
      <c r="O11">
        <f t="shared" si="4"/>
        <v>1.5766329563571269E-5</v>
      </c>
      <c r="X11">
        <v>2016</v>
      </c>
      <c r="Y11">
        <v>36.886520295131703</v>
      </c>
      <c r="Z11">
        <f t="shared" si="5"/>
        <v>0.99997796791466886</v>
      </c>
    </row>
    <row r="12" spans="1:26" x14ac:dyDescent="0.25">
      <c r="A12">
        <v>2018</v>
      </c>
      <c r="B12">
        <v>463539.72069400002</v>
      </c>
      <c r="C12">
        <v>0</v>
      </c>
      <c r="D12">
        <f t="shared" si="0"/>
        <v>36.88731893394332</v>
      </c>
      <c r="F12" s="1">
        <v>2018</v>
      </c>
      <c r="G12" s="2">
        <v>36.887379000000003</v>
      </c>
      <c r="I12">
        <v>2018</v>
      </c>
      <c r="J12">
        <v>36.886546929061502</v>
      </c>
      <c r="L12">
        <f t="shared" si="1"/>
        <v>0.99999837163663263</v>
      </c>
      <c r="M12">
        <f t="shared" si="2"/>
        <v>1.6283633673674913E-6</v>
      </c>
      <c r="N12">
        <f t="shared" si="3"/>
        <v>0.999977442936824</v>
      </c>
      <c r="O12">
        <f t="shared" si="4"/>
        <v>2.2557063175998593E-5</v>
      </c>
      <c r="X12">
        <v>2018</v>
      </c>
      <c r="Y12">
        <v>36.886547339672099</v>
      </c>
      <c r="Z12">
        <f t="shared" si="5"/>
        <v>0.99997745406828975</v>
      </c>
    </row>
    <row r="13" spans="1:26" x14ac:dyDescent="0.25">
      <c r="A13">
        <v>2020</v>
      </c>
      <c r="B13">
        <v>463539.72069400002</v>
      </c>
      <c r="C13">
        <v>0</v>
      </c>
      <c r="D13">
        <f t="shared" si="0"/>
        <v>36.88731893394332</v>
      </c>
      <c r="F13" s="1">
        <v>2020</v>
      </c>
      <c r="G13" s="2">
        <v>36.88747</v>
      </c>
      <c r="I13">
        <v>2020</v>
      </c>
      <c r="J13">
        <v>36.8865631832399</v>
      </c>
      <c r="L13">
        <f t="shared" si="1"/>
        <v>0.99999590467829103</v>
      </c>
      <c r="M13">
        <f t="shared" si="2"/>
        <v>4.0953217089745308E-6</v>
      </c>
      <c r="N13">
        <f t="shared" si="3"/>
        <v>0.99997541667237955</v>
      </c>
      <c r="O13">
        <f t="shared" si="4"/>
        <v>2.4583327620453232E-5</v>
      </c>
      <c r="X13">
        <v>2020</v>
      </c>
      <c r="Y13">
        <v>36.886725416847803</v>
      </c>
      <c r="Z13">
        <f t="shared" si="5"/>
        <v>0.99997981474055564</v>
      </c>
    </row>
    <row r="14" spans="1:26" x14ac:dyDescent="0.25">
      <c r="A14">
        <v>2022</v>
      </c>
      <c r="B14">
        <v>463539.72069400002</v>
      </c>
      <c r="C14">
        <v>0</v>
      </c>
      <c r="D14">
        <f t="shared" si="0"/>
        <v>36.88731893394332</v>
      </c>
      <c r="F14" s="1">
        <v>2022</v>
      </c>
      <c r="G14" s="2">
        <v>36.887096</v>
      </c>
      <c r="I14">
        <v>2022</v>
      </c>
      <c r="J14">
        <v>36.8867292899847</v>
      </c>
      <c r="L14">
        <f t="shared" si="1"/>
        <v>1.0000060436837674</v>
      </c>
      <c r="M14">
        <f t="shared" si="2"/>
        <v>-6.0436837674426869E-6</v>
      </c>
      <c r="N14">
        <f t="shared" si="3"/>
        <v>0.99999005858267342</v>
      </c>
      <c r="O14">
        <f t="shared" si="4"/>
        <v>9.9414173265754968E-6</v>
      </c>
      <c r="X14">
        <v>2022</v>
      </c>
      <c r="Y14">
        <v>36.886324532868301</v>
      </c>
      <c r="Z14">
        <f t="shared" si="5"/>
        <v>0.99997908571789718</v>
      </c>
    </row>
    <row r="15" spans="1:26" x14ac:dyDescent="0.25">
      <c r="A15">
        <v>2024</v>
      </c>
      <c r="B15">
        <v>463539.72069400002</v>
      </c>
      <c r="C15">
        <v>0</v>
      </c>
      <c r="D15">
        <f t="shared" si="0"/>
        <v>36.88731893394332</v>
      </c>
      <c r="F15" s="1">
        <v>2024</v>
      </c>
      <c r="G15" s="2">
        <v>36.887127</v>
      </c>
      <c r="I15">
        <v>2024</v>
      </c>
      <c r="J15">
        <v>36.886328086087701</v>
      </c>
      <c r="L15">
        <f t="shared" si="1"/>
        <v>1.0000052032771032</v>
      </c>
      <c r="M15">
        <f t="shared" si="2"/>
        <v>-5.2032771031829128E-6</v>
      </c>
      <c r="N15">
        <f t="shared" si="3"/>
        <v>0.99997834166070187</v>
      </c>
      <c r="O15">
        <f t="shared" si="4"/>
        <v>2.1658339298125107E-5</v>
      </c>
      <c r="X15">
        <v>2024</v>
      </c>
      <c r="Y15">
        <v>36.886720937145803</v>
      </c>
      <c r="Z15">
        <f t="shared" si="5"/>
        <v>0.999988991746248</v>
      </c>
    </row>
    <row r="16" spans="1:26" x14ac:dyDescent="0.25">
      <c r="A16">
        <v>2026</v>
      </c>
      <c r="B16">
        <v>463539.72069400002</v>
      </c>
      <c r="C16">
        <v>0</v>
      </c>
      <c r="D16">
        <f t="shared" si="0"/>
        <v>36.88731893394332</v>
      </c>
      <c r="F16" s="1">
        <v>2026</v>
      </c>
      <c r="G16" s="2">
        <v>36.887301999999998</v>
      </c>
      <c r="I16">
        <v>2026</v>
      </c>
      <c r="J16">
        <v>36.886731347720897</v>
      </c>
      <c r="L16">
        <f t="shared" si="1"/>
        <v>1.0000004590724287</v>
      </c>
      <c r="M16">
        <f t="shared" si="2"/>
        <v>-4.5907242873788334E-7</v>
      </c>
      <c r="N16">
        <f t="shared" si="3"/>
        <v>0.99998452984501007</v>
      </c>
      <c r="O16">
        <f t="shared" si="4"/>
        <v>1.5470154989927209E-5</v>
      </c>
      <c r="X16">
        <v>2026</v>
      </c>
      <c r="Y16">
        <v>36.886438034793599</v>
      </c>
      <c r="Z16">
        <f t="shared" si="5"/>
        <v>0.99997657824889441</v>
      </c>
    </row>
    <row r="17" spans="1:26" x14ac:dyDescent="0.25">
      <c r="A17">
        <v>2028</v>
      </c>
      <c r="B17">
        <v>463539.72069400002</v>
      </c>
      <c r="C17">
        <v>0</v>
      </c>
      <c r="D17">
        <f t="shared" si="0"/>
        <v>36.88731893394332</v>
      </c>
      <c r="F17" s="1">
        <v>2028</v>
      </c>
      <c r="G17" s="2">
        <v>36.887348000000003</v>
      </c>
      <c r="I17">
        <v>2028</v>
      </c>
      <c r="J17">
        <v>36.8864739819997</v>
      </c>
      <c r="L17">
        <f t="shared" si="1"/>
        <v>0.99999921203181419</v>
      </c>
      <c r="M17">
        <f t="shared" si="2"/>
        <v>7.8796818581139405E-7</v>
      </c>
      <c r="N17">
        <f t="shared" si="3"/>
        <v>0.99997630575122121</v>
      </c>
      <c r="O17">
        <f t="shared" si="4"/>
        <v>2.3694248778793892E-5</v>
      </c>
      <c r="X17">
        <v>2028</v>
      </c>
      <c r="Y17">
        <v>36.886799026688898</v>
      </c>
      <c r="Z17">
        <f t="shared" si="5"/>
        <v>0.99998511757171848</v>
      </c>
    </row>
    <row r="18" spans="1:26" x14ac:dyDescent="0.25">
      <c r="A18">
        <v>2030</v>
      </c>
      <c r="B18">
        <v>463539.72069400002</v>
      </c>
      <c r="C18">
        <v>0</v>
      </c>
      <c r="D18">
        <f t="shared" si="0"/>
        <v>36.88731893394332</v>
      </c>
      <c r="F18" s="1">
        <v>2030</v>
      </c>
      <c r="G18" s="2">
        <v>36.887272000000003</v>
      </c>
      <c r="I18">
        <v>2030</v>
      </c>
      <c r="J18">
        <v>36.886814567899101</v>
      </c>
      <c r="L18">
        <f t="shared" si="1"/>
        <v>1.0000012723614615</v>
      </c>
      <c r="M18">
        <f t="shared" si="2"/>
        <v>-1.2723614615239853E-6</v>
      </c>
      <c r="N18">
        <f t="shared" si="3"/>
        <v>0.99998759918866043</v>
      </c>
      <c r="O18">
        <f t="shared" si="4"/>
        <v>1.2400811339574602E-5</v>
      </c>
      <c r="X18">
        <v>2030</v>
      </c>
      <c r="Y18">
        <v>36.886467182918103</v>
      </c>
      <c r="Z18">
        <f t="shared" si="5"/>
        <v>0.99997818171314212</v>
      </c>
    </row>
    <row r="19" spans="1:26" x14ac:dyDescent="0.25">
      <c r="A19">
        <v>2032</v>
      </c>
      <c r="B19">
        <v>463539.72069400002</v>
      </c>
      <c r="C19">
        <v>0</v>
      </c>
      <c r="D19">
        <f t="shared" si="0"/>
        <v>36.88731893394332</v>
      </c>
      <c r="F19" s="1">
        <v>2032</v>
      </c>
      <c r="G19" s="2">
        <v>36.887390000000003</v>
      </c>
      <c r="I19">
        <v>2032</v>
      </c>
      <c r="J19">
        <v>36.886463970280801</v>
      </c>
      <c r="L19">
        <f t="shared" si="1"/>
        <v>0.99999807343223024</v>
      </c>
      <c r="M19">
        <f t="shared" si="2"/>
        <v>1.9265677697610784E-6</v>
      </c>
      <c r="N19">
        <f t="shared" si="3"/>
        <v>0.9999748957646718</v>
      </c>
      <c r="O19">
        <f t="shared" si="4"/>
        <v>2.5104235328199387E-5</v>
      </c>
      <c r="X19">
        <v>2032</v>
      </c>
      <c r="Y19">
        <v>36.886732235130303</v>
      </c>
      <c r="Z19">
        <f t="shared" si="5"/>
        <v>0.99998216830006947</v>
      </c>
    </row>
    <row r="20" spans="1:26" x14ac:dyDescent="0.25">
      <c r="A20">
        <v>2034</v>
      </c>
      <c r="B20">
        <v>463539.72069400002</v>
      </c>
      <c r="C20">
        <v>0</v>
      </c>
      <c r="D20">
        <f t="shared" si="0"/>
        <v>36.88731893394332</v>
      </c>
      <c r="F20" s="1">
        <v>2034</v>
      </c>
      <c r="G20" s="2">
        <v>36.887282999999996</v>
      </c>
      <c r="I20">
        <v>2034</v>
      </c>
      <c r="J20">
        <v>36.886741838702598</v>
      </c>
      <c r="L20">
        <f t="shared" si="1"/>
        <v>1.0000009741553295</v>
      </c>
      <c r="M20">
        <f t="shared" si="2"/>
        <v>-9.7415532951394823E-7</v>
      </c>
      <c r="N20">
        <f t="shared" si="3"/>
        <v>0.99998532932616913</v>
      </c>
      <c r="O20">
        <f t="shared" si="4"/>
        <v>1.4670673830874392E-5</v>
      </c>
      <c r="X20">
        <v>2034</v>
      </c>
      <c r="Y20">
        <v>36.886522957123702</v>
      </c>
      <c r="Z20">
        <f t="shared" si="5"/>
        <v>0.99997939553107518</v>
      </c>
    </row>
    <row r="21" spans="1:26" x14ac:dyDescent="0.25">
      <c r="A21">
        <v>2036</v>
      </c>
      <c r="B21">
        <v>463539.72069400002</v>
      </c>
      <c r="C21">
        <v>0</v>
      </c>
      <c r="D21">
        <f t="shared" si="0"/>
        <v>36.88731893394332</v>
      </c>
      <c r="F21" s="1">
        <v>2036</v>
      </c>
      <c r="G21" s="2">
        <v>36.887462999999997</v>
      </c>
      <c r="I21">
        <v>2036</v>
      </c>
      <c r="J21">
        <v>36.886534764443198</v>
      </c>
      <c r="L21">
        <f t="shared" si="1"/>
        <v>0.99999609444388526</v>
      </c>
      <c r="M21">
        <f t="shared" si="2"/>
        <v>3.9055561147360862E-6</v>
      </c>
      <c r="N21">
        <f t="shared" si="3"/>
        <v>0.99997483601523918</v>
      </c>
      <c r="O21">
        <f t="shared" si="4"/>
        <v>2.5163984760823155E-5</v>
      </c>
      <c r="X21">
        <v>2036</v>
      </c>
      <c r="Y21">
        <v>36.8867141080528</v>
      </c>
      <c r="Z21">
        <f t="shared" si="5"/>
        <v>0.99997969792752628</v>
      </c>
    </row>
    <row r="22" spans="1:26" x14ac:dyDescent="0.25">
      <c r="A22">
        <v>2038</v>
      </c>
      <c r="B22">
        <v>463539.72069400002</v>
      </c>
      <c r="C22">
        <v>0</v>
      </c>
      <c r="D22">
        <f t="shared" si="0"/>
        <v>36.88731893394332</v>
      </c>
      <c r="F22" s="1">
        <v>2038</v>
      </c>
      <c r="G22" s="2">
        <v>36.887287000000001</v>
      </c>
      <c r="I22">
        <v>2038</v>
      </c>
      <c r="J22">
        <v>36.886556671340003</v>
      </c>
      <c r="L22">
        <f t="shared" si="1"/>
        <v>1.0000008657167798</v>
      </c>
      <c r="M22">
        <f t="shared" si="2"/>
        <v>-8.6571677981872597E-7</v>
      </c>
      <c r="N22">
        <f t="shared" si="3"/>
        <v>0.99998020107415331</v>
      </c>
      <c r="O22">
        <f t="shared" si="4"/>
        <v>1.9798925846692406E-5</v>
      </c>
      <c r="X22">
        <v>2038</v>
      </c>
      <c r="Y22">
        <v>36.886693519238399</v>
      </c>
      <c r="Z22">
        <f t="shared" si="5"/>
        <v>0.99998391096743977</v>
      </c>
    </row>
    <row r="23" spans="1:26" x14ac:dyDescent="0.25">
      <c r="A23">
        <v>2040</v>
      </c>
      <c r="B23">
        <v>463539.72069400002</v>
      </c>
      <c r="C23">
        <v>0</v>
      </c>
      <c r="D23">
        <f t="shared" si="0"/>
        <v>36.88731893394332</v>
      </c>
      <c r="F23" s="1">
        <v>2040</v>
      </c>
      <c r="G23" s="2">
        <v>36.887058000000003</v>
      </c>
      <c r="I23">
        <v>2040</v>
      </c>
      <c r="J23">
        <v>36.8867189545985</v>
      </c>
      <c r="L23">
        <f t="shared" si="1"/>
        <v>1.0000070738616051</v>
      </c>
      <c r="M23">
        <f t="shared" si="2"/>
        <v>-7.0738616051446712E-6</v>
      </c>
      <c r="N23">
        <f t="shared" si="3"/>
        <v>0.99999080855400546</v>
      </c>
      <c r="O23">
        <f t="shared" si="4"/>
        <v>9.1914459945385829E-6</v>
      </c>
      <c r="X23">
        <v>2040</v>
      </c>
      <c r="Y23">
        <v>36.886556057561698</v>
      </c>
      <c r="Z23">
        <f t="shared" si="5"/>
        <v>0.99998639245129539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5 Full 0</vt:lpstr>
      <vt:lpstr>Ex 5 Full 1</vt:lpstr>
      <vt:lpstr>Ex 5 Gauss 0</vt:lpstr>
      <vt:lpstr>Ex 5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DIMITRIOU, Paraskevi</cp:lastModifiedBy>
  <cp:revision>1</cp:revision>
  <dcterms:created xsi:type="dcterms:W3CDTF">2024-01-10T20:54:23Z</dcterms:created>
  <dcterms:modified xsi:type="dcterms:W3CDTF">2024-04-22T07:58:14Z</dcterms:modified>
  <dc:language>pt-PT</dc:language>
</cp:coreProperties>
</file>