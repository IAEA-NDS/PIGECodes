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NPB round 3/"/>
    </mc:Choice>
  </mc:AlternateContent>
  <xr:revisionPtr revIDLastSave="0" documentId="13_ncr:1_{D47A36D0-16FD-4C41-AA34-9800AF80695C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Ex 4 Full 0" sheetId="1" r:id="rId1"/>
    <sheet name="Ex 4 Full 1" sheetId="2" r:id="rId2"/>
    <sheet name="Ex 4 Gauss 0" sheetId="3" r:id="rId3"/>
    <sheet name="Ex 4 Gauss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C4" i="4" l="1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3" i="4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3" i="3"/>
  <c r="C23" i="2"/>
  <c r="D23" i="2" s="1"/>
  <c r="L23" i="2" s="1"/>
  <c r="M23" i="2" s="1"/>
  <c r="C22" i="2"/>
  <c r="D22" i="2" s="1"/>
  <c r="C21" i="2"/>
  <c r="C20" i="2"/>
  <c r="C19" i="2"/>
  <c r="D19" i="2" s="1"/>
  <c r="C18" i="2"/>
  <c r="D18" i="2" s="1"/>
  <c r="C17" i="2"/>
  <c r="D17" i="2" s="1"/>
  <c r="C16" i="2"/>
  <c r="D16" i="2" s="1"/>
  <c r="C15" i="2"/>
  <c r="D15" i="2" s="1"/>
  <c r="L15" i="2" s="1"/>
  <c r="M15" i="2" s="1"/>
  <c r="C14" i="2"/>
  <c r="C13" i="2"/>
  <c r="C12" i="2"/>
  <c r="D12" i="2" s="1"/>
  <c r="C11" i="2"/>
  <c r="D11" i="2" s="1"/>
  <c r="C10" i="2"/>
  <c r="D10" i="2" s="1"/>
  <c r="C9" i="2"/>
  <c r="D9" i="2" s="1"/>
  <c r="C8" i="2"/>
  <c r="C7" i="2"/>
  <c r="D7" i="2" s="1"/>
  <c r="L7" i="2" s="1"/>
  <c r="M7" i="2" s="1"/>
  <c r="C6" i="2"/>
  <c r="D6" i="2" s="1"/>
  <c r="C5" i="2"/>
  <c r="D5" i="2" s="1"/>
  <c r="C4" i="2"/>
  <c r="D4" i="2" s="1"/>
  <c r="C3" i="2"/>
  <c r="D3" i="2" s="1"/>
  <c r="C23" i="1"/>
  <c r="D23" i="1" s="1"/>
  <c r="L23" i="1" s="1"/>
  <c r="C22" i="1"/>
  <c r="D22" i="1" s="1"/>
  <c r="L22" i="1" s="1"/>
  <c r="C21" i="1"/>
  <c r="D21" i="1" s="1"/>
  <c r="L21" i="1" s="1"/>
  <c r="M21" i="1" s="1"/>
  <c r="C20" i="1"/>
  <c r="D20" i="1" s="1"/>
  <c r="L20" i="1" s="1"/>
  <c r="C19" i="1"/>
  <c r="D19" i="1" s="1"/>
  <c r="L19" i="1" s="1"/>
  <c r="C18" i="1"/>
  <c r="D18" i="1" s="1"/>
  <c r="L18" i="1" s="1"/>
  <c r="M18" i="1" s="1"/>
  <c r="C17" i="1"/>
  <c r="D17" i="1" s="1"/>
  <c r="L17" i="1" s="1"/>
  <c r="M17" i="1" s="1"/>
  <c r="C16" i="1"/>
  <c r="D16" i="1" s="1"/>
  <c r="L16" i="1" s="1"/>
  <c r="M16" i="1" s="1"/>
  <c r="C15" i="1"/>
  <c r="D15" i="1" s="1"/>
  <c r="L15" i="1" s="1"/>
  <c r="C14" i="1"/>
  <c r="D14" i="1" s="1"/>
  <c r="L14" i="1" s="1"/>
  <c r="C13" i="1"/>
  <c r="D13" i="1" s="1"/>
  <c r="L13" i="1" s="1"/>
  <c r="M13" i="1" s="1"/>
  <c r="C12" i="1"/>
  <c r="D12" i="1" s="1"/>
  <c r="L12" i="1" s="1"/>
  <c r="C11" i="1"/>
  <c r="D11" i="1" s="1"/>
  <c r="L11" i="1" s="1"/>
  <c r="M11" i="1" s="1"/>
  <c r="C10" i="1"/>
  <c r="D10" i="1" s="1"/>
  <c r="L10" i="1" s="1"/>
  <c r="M10" i="1" s="1"/>
  <c r="C9" i="1"/>
  <c r="D9" i="1" s="1"/>
  <c r="L9" i="1" s="1"/>
  <c r="M9" i="1" s="1"/>
  <c r="C8" i="1"/>
  <c r="D8" i="1" s="1"/>
  <c r="L8" i="1" s="1"/>
  <c r="M8" i="1" s="1"/>
  <c r="C7" i="1"/>
  <c r="D7" i="1" s="1"/>
  <c r="L7" i="1" s="1"/>
  <c r="M7" i="1" s="1"/>
  <c r="C6" i="1"/>
  <c r="D6" i="1" s="1"/>
  <c r="L6" i="1" s="1"/>
  <c r="C5" i="1"/>
  <c r="D5" i="1" s="1"/>
  <c r="L5" i="1" s="1"/>
  <c r="M5" i="1" s="1"/>
  <c r="C4" i="1"/>
  <c r="D4" i="1" s="1"/>
  <c r="L4" i="1" s="1"/>
  <c r="C3" i="1"/>
  <c r="D3" i="1" s="1"/>
  <c r="L3" i="1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3" i="4"/>
  <c r="P3" i="4" s="1"/>
  <c r="D23" i="4"/>
  <c r="E23" i="4" s="1"/>
  <c r="M23" i="4" s="1"/>
  <c r="N23" i="4" s="1"/>
  <c r="D22" i="4"/>
  <c r="E22" i="4" s="1"/>
  <c r="M22" i="4" s="1"/>
  <c r="N22" i="4" s="1"/>
  <c r="D21" i="4"/>
  <c r="E21" i="4" s="1"/>
  <c r="M21" i="4" s="1"/>
  <c r="N21" i="4" s="1"/>
  <c r="D20" i="4"/>
  <c r="E20" i="4" s="1"/>
  <c r="M20" i="4" s="1"/>
  <c r="N20" i="4" s="1"/>
  <c r="D19" i="4"/>
  <c r="E19" i="4" s="1"/>
  <c r="M19" i="4" s="1"/>
  <c r="N19" i="4" s="1"/>
  <c r="D18" i="4"/>
  <c r="E18" i="4" s="1"/>
  <c r="M18" i="4" s="1"/>
  <c r="N18" i="4" s="1"/>
  <c r="D17" i="4"/>
  <c r="E17" i="4" s="1"/>
  <c r="M17" i="4" s="1"/>
  <c r="N17" i="4" s="1"/>
  <c r="D16" i="4"/>
  <c r="E16" i="4" s="1"/>
  <c r="M16" i="4" s="1"/>
  <c r="N16" i="4" s="1"/>
  <c r="D15" i="4"/>
  <c r="E15" i="4" s="1"/>
  <c r="M15" i="4" s="1"/>
  <c r="N15" i="4" s="1"/>
  <c r="D14" i="4"/>
  <c r="E14" i="4" s="1"/>
  <c r="M14" i="4" s="1"/>
  <c r="N14" i="4" s="1"/>
  <c r="D13" i="4"/>
  <c r="E13" i="4" s="1"/>
  <c r="M13" i="4" s="1"/>
  <c r="N13" i="4" s="1"/>
  <c r="D12" i="4"/>
  <c r="E12" i="4" s="1"/>
  <c r="M12" i="4" s="1"/>
  <c r="N12" i="4" s="1"/>
  <c r="D11" i="4"/>
  <c r="E11" i="4" s="1"/>
  <c r="M11" i="4" s="1"/>
  <c r="N11" i="4" s="1"/>
  <c r="D10" i="4"/>
  <c r="E10" i="4" s="1"/>
  <c r="M10" i="4" s="1"/>
  <c r="N10" i="4" s="1"/>
  <c r="D9" i="4"/>
  <c r="E9" i="4" s="1"/>
  <c r="M9" i="4" s="1"/>
  <c r="N9" i="4" s="1"/>
  <c r="D8" i="4"/>
  <c r="E8" i="4" s="1"/>
  <c r="M8" i="4" s="1"/>
  <c r="N8" i="4" s="1"/>
  <c r="D7" i="4"/>
  <c r="E7" i="4" s="1"/>
  <c r="M7" i="4" s="1"/>
  <c r="N7" i="4" s="1"/>
  <c r="D6" i="4"/>
  <c r="E6" i="4" s="1"/>
  <c r="M6" i="4" s="1"/>
  <c r="N6" i="4" s="1"/>
  <c r="D5" i="4"/>
  <c r="E5" i="4" s="1"/>
  <c r="M5" i="4" s="1"/>
  <c r="N5" i="4" s="1"/>
  <c r="D4" i="4"/>
  <c r="E4" i="4" s="1"/>
  <c r="M4" i="4" s="1"/>
  <c r="N4" i="4" s="1"/>
  <c r="D3" i="4"/>
  <c r="E3" i="4" s="1"/>
  <c r="M3" i="4" s="1"/>
  <c r="N3" i="4" s="1"/>
  <c r="P14" i="3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3" i="3"/>
  <c r="P3" i="3" s="1"/>
  <c r="D23" i="3"/>
  <c r="E23" i="3" s="1"/>
  <c r="M23" i="3" s="1"/>
  <c r="N23" i="3" s="1"/>
  <c r="D22" i="3"/>
  <c r="E22" i="3" s="1"/>
  <c r="M22" i="3" s="1"/>
  <c r="N22" i="3" s="1"/>
  <c r="D21" i="3"/>
  <c r="E21" i="3" s="1"/>
  <c r="M21" i="3" s="1"/>
  <c r="N21" i="3" s="1"/>
  <c r="D20" i="3"/>
  <c r="E20" i="3" s="1"/>
  <c r="M20" i="3" s="1"/>
  <c r="N20" i="3" s="1"/>
  <c r="D19" i="3"/>
  <c r="E19" i="3" s="1"/>
  <c r="M19" i="3" s="1"/>
  <c r="N19" i="3" s="1"/>
  <c r="D18" i="3"/>
  <c r="E18" i="3" s="1"/>
  <c r="M18" i="3" s="1"/>
  <c r="N18" i="3" s="1"/>
  <c r="D17" i="3"/>
  <c r="E17" i="3" s="1"/>
  <c r="M17" i="3" s="1"/>
  <c r="N17" i="3" s="1"/>
  <c r="D16" i="3"/>
  <c r="E16" i="3" s="1"/>
  <c r="M16" i="3" s="1"/>
  <c r="N16" i="3" s="1"/>
  <c r="D15" i="3"/>
  <c r="E15" i="3" s="1"/>
  <c r="M15" i="3" s="1"/>
  <c r="N15" i="3" s="1"/>
  <c r="D14" i="3"/>
  <c r="E14" i="3" s="1"/>
  <c r="M14" i="3" s="1"/>
  <c r="N14" i="3" s="1"/>
  <c r="D13" i="3"/>
  <c r="E13" i="3" s="1"/>
  <c r="M13" i="3" s="1"/>
  <c r="N13" i="3" s="1"/>
  <c r="D12" i="3"/>
  <c r="E12" i="3" s="1"/>
  <c r="M12" i="3" s="1"/>
  <c r="N12" i="3" s="1"/>
  <c r="D11" i="3"/>
  <c r="E11" i="3" s="1"/>
  <c r="M11" i="3" s="1"/>
  <c r="N11" i="3" s="1"/>
  <c r="D10" i="3"/>
  <c r="E10" i="3" s="1"/>
  <c r="M10" i="3" s="1"/>
  <c r="N10" i="3" s="1"/>
  <c r="D9" i="3"/>
  <c r="E9" i="3" s="1"/>
  <c r="M9" i="3" s="1"/>
  <c r="N9" i="3" s="1"/>
  <c r="D8" i="3"/>
  <c r="E8" i="3" s="1"/>
  <c r="M8" i="3" s="1"/>
  <c r="N8" i="3" s="1"/>
  <c r="D7" i="3"/>
  <c r="E7" i="3" s="1"/>
  <c r="M7" i="3" s="1"/>
  <c r="N7" i="3" s="1"/>
  <c r="D6" i="3"/>
  <c r="E6" i="3" s="1"/>
  <c r="M6" i="3" s="1"/>
  <c r="N6" i="3" s="1"/>
  <c r="D5" i="3"/>
  <c r="E5" i="3" s="1"/>
  <c r="M5" i="3" s="1"/>
  <c r="N5" i="3" s="1"/>
  <c r="D4" i="3"/>
  <c r="E4" i="3" s="1"/>
  <c r="M4" i="3" s="1"/>
  <c r="N4" i="3" s="1"/>
  <c r="D3" i="3"/>
  <c r="E3" i="3" s="1"/>
  <c r="M3" i="3" s="1"/>
  <c r="N3" i="3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3" i="2"/>
  <c r="O3" i="2" s="1"/>
  <c r="N4" i="1"/>
  <c r="O4" i="1" s="1"/>
  <c r="N5" i="1"/>
  <c r="O5" i="1" s="1"/>
  <c r="N6" i="1"/>
  <c r="O6" i="1" s="1"/>
  <c r="N7" i="1"/>
  <c r="O7" i="1" s="1"/>
  <c r="N8" i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3" i="1"/>
  <c r="O3" i="1" s="1"/>
  <c r="O8" i="1"/>
  <c r="D21" i="2" l="1"/>
  <c r="L21" i="2" s="1"/>
  <c r="M21" i="2" s="1"/>
  <c r="L22" i="2"/>
  <c r="M22" i="2" s="1"/>
  <c r="D20" i="2"/>
  <c r="L20" i="2" s="1"/>
  <c r="M20" i="2" s="1"/>
  <c r="D8" i="2"/>
  <c r="L8" i="2" s="1"/>
  <c r="M8" i="2" s="1"/>
  <c r="M4" i="1"/>
  <c r="L14" i="2"/>
  <c r="M14" i="2" s="1"/>
  <c r="M20" i="1"/>
  <c r="L6" i="2"/>
  <c r="M6" i="2" s="1"/>
  <c r="L16" i="2"/>
  <c r="M16" i="2" s="1"/>
  <c r="D14" i="2"/>
  <c r="L5" i="2"/>
  <c r="M5" i="2" s="1"/>
  <c r="D13" i="2"/>
  <c r="L13" i="2" s="1"/>
  <c r="M13" i="2" s="1"/>
  <c r="M12" i="1"/>
  <c r="L11" i="2"/>
  <c r="M11" i="2" s="1"/>
  <c r="L19" i="2"/>
  <c r="M19" i="2" s="1"/>
  <c r="L3" i="2"/>
  <c r="M3" i="2" s="1"/>
  <c r="L4" i="2"/>
  <c r="M4" i="2" s="1"/>
  <c r="L12" i="2"/>
  <c r="M12" i="2" s="1"/>
  <c r="L9" i="2"/>
  <c r="M9" i="2" s="1"/>
  <c r="L17" i="2"/>
  <c r="M17" i="2" s="1"/>
  <c r="L10" i="2"/>
  <c r="M10" i="2" s="1"/>
  <c r="L18" i="2"/>
  <c r="M18" i="2" s="1"/>
  <c r="M3" i="1"/>
  <c r="M6" i="1"/>
  <c r="M23" i="1"/>
  <c r="M14" i="1"/>
  <c r="M15" i="1"/>
  <c r="M22" i="1"/>
  <c r="M19" i="1"/>
</calcChain>
</file>

<file path=xl/sharedStrings.xml><?xml version="1.0" encoding="utf-8"?>
<sst xmlns="http://schemas.openxmlformats.org/spreadsheetml/2006/main" count="64" uniqueCount="12">
  <si>
    <t>Energy (keV)</t>
  </si>
  <si>
    <t>27Al (844 keV)</t>
  </si>
  <si>
    <t>28Si (1779 keV)</t>
  </si>
  <si>
    <t>Renormalization</t>
  </si>
  <si>
    <t>ERYA</t>
  </si>
  <si>
    <t>NDF</t>
  </si>
  <si>
    <t>SMNRA</t>
  </si>
  <si>
    <t>ERYA/NDF</t>
  </si>
  <si>
    <t>SMNRA/NDF</t>
  </si>
  <si>
    <t>REL</t>
  </si>
  <si>
    <t>Count/msr/uC</t>
  </si>
  <si>
    <t>SMNRA-asym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</si>
</sst>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1" x14ac:knownFonts="1"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4 Full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Full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0'!$D$3:$D$23</c:f>
              <c:numCache>
                <c:formatCode>General</c:formatCode>
                <c:ptCount val="21"/>
                <c:pt idx="0">
                  <c:v>4.9272531299175713</c:v>
                </c:pt>
                <c:pt idx="1">
                  <c:v>6.9130383327557094</c:v>
                </c:pt>
                <c:pt idx="2">
                  <c:v>7.2942466134337192</c:v>
                </c:pt>
                <c:pt idx="3">
                  <c:v>7.3181549995473754</c:v>
                </c:pt>
                <c:pt idx="4">
                  <c:v>7.2188929227987275</c:v>
                </c:pt>
                <c:pt idx="5">
                  <c:v>6.946687939659256</c:v>
                </c:pt>
                <c:pt idx="6">
                  <c:v>6.5564108301240314</c:v>
                </c:pt>
                <c:pt idx="7">
                  <c:v>6.1186746310433637</c:v>
                </c:pt>
                <c:pt idx="8">
                  <c:v>5.6830106981295447</c:v>
                </c:pt>
                <c:pt idx="9">
                  <c:v>5.3009867439562957</c:v>
                </c:pt>
                <c:pt idx="10">
                  <c:v>5.0111162834876062</c:v>
                </c:pt>
                <c:pt idx="11">
                  <c:v>4.8163844249056593</c:v>
                </c:pt>
                <c:pt idx="12">
                  <c:v>4.6663980504886604</c:v>
                </c:pt>
                <c:pt idx="13">
                  <c:v>4.4622614246294079</c:v>
                </c:pt>
                <c:pt idx="14">
                  <c:v>4.1102619912797609</c:v>
                </c:pt>
                <c:pt idx="15">
                  <c:v>3.5779453175597156</c:v>
                </c:pt>
                <c:pt idx="16">
                  <c:v>2.9186101702237246</c:v>
                </c:pt>
                <c:pt idx="17">
                  <c:v>2.241525585481706</c:v>
                </c:pt>
                <c:pt idx="18">
                  <c:v>1.6528177626807332</c:v>
                </c:pt>
                <c:pt idx="19">
                  <c:v>1.2157146490696702</c:v>
                </c:pt>
                <c:pt idx="20">
                  <c:v>0.93892146726015946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EA-4780-B5B7-06CEF7E1193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Full 0'!$F$3:$F$23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0'!$G$3:$G$23</c:f>
              <c:numCache>
                <c:formatCode>0.00000000</c:formatCode>
                <c:ptCount val="21"/>
                <c:pt idx="0">
                  <c:v>5.0793790999999997</c:v>
                </c:pt>
                <c:pt idx="1">
                  <c:v>6.8898349000000003</c:v>
                </c:pt>
                <c:pt idx="2">
                  <c:v>7.1898704000000002</c:v>
                </c:pt>
                <c:pt idx="3">
                  <c:v>7.1974893</c:v>
                </c:pt>
                <c:pt idx="4">
                  <c:v>7.1663756000000003</c:v>
                </c:pt>
                <c:pt idx="5">
                  <c:v>6.9597726</c:v>
                </c:pt>
                <c:pt idx="6">
                  <c:v>6.6039833999999997</c:v>
                </c:pt>
                <c:pt idx="7">
                  <c:v>6.1644696999999997</c:v>
                </c:pt>
                <c:pt idx="8">
                  <c:v>5.7154002000000004</c:v>
                </c:pt>
                <c:pt idx="9">
                  <c:v>5.3245038999999998</c:v>
                </c:pt>
                <c:pt idx="10">
                  <c:v>5.0269341000000001</c:v>
                </c:pt>
                <c:pt idx="11">
                  <c:v>4.8174472000000002</c:v>
                </c:pt>
                <c:pt idx="12">
                  <c:v>4.6500864000000002</c:v>
                </c:pt>
                <c:pt idx="13">
                  <c:v>4.4415015999999996</c:v>
                </c:pt>
                <c:pt idx="14">
                  <c:v>4.1015357999999997</c:v>
                </c:pt>
                <c:pt idx="15">
                  <c:v>3.5876849000000002</c:v>
                </c:pt>
                <c:pt idx="16">
                  <c:v>2.9394124000000001</c:v>
                </c:pt>
                <c:pt idx="17">
                  <c:v>2.2624895999999999</c:v>
                </c:pt>
                <c:pt idx="18">
                  <c:v>1.6679299000000001</c:v>
                </c:pt>
                <c:pt idx="19">
                  <c:v>1.2250714</c:v>
                </c:pt>
                <c:pt idx="20">
                  <c:v>0.94466167999999995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EA-4780-B5B7-06CEF7E11930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Full 0'!$F$3:$F$23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0'!$J$3:$J$23</c:f>
              <c:numCache>
                <c:formatCode>General</c:formatCode>
                <c:ptCount val="21"/>
                <c:pt idx="0">
                  <c:v>3.8486850743057599</c:v>
                </c:pt>
                <c:pt idx="1">
                  <c:v>5.6635341157331602</c:v>
                </c:pt>
                <c:pt idx="2">
                  <c:v>6.6245991030050098</c:v>
                </c:pt>
                <c:pt idx="3">
                  <c:v>7.0005106863160096</c:v>
                </c:pt>
                <c:pt idx="4">
                  <c:v>7.1400462824932402</c:v>
                </c:pt>
                <c:pt idx="5">
                  <c:v>7.1133280599170403</c:v>
                </c:pt>
                <c:pt idx="6">
                  <c:v>6.8898340468384296</c:v>
                </c:pt>
                <c:pt idx="7">
                  <c:v>6.5107438194860601</c:v>
                </c:pt>
                <c:pt idx="8">
                  <c:v>6.0590971338840198</c:v>
                </c:pt>
                <c:pt idx="9">
                  <c:v>5.6210457365443398</c:v>
                </c:pt>
                <c:pt idx="10">
                  <c:v>5.2540932825324802</c:v>
                </c:pt>
                <c:pt idx="11">
                  <c:v>4.9820513187487503</c:v>
                </c:pt>
                <c:pt idx="12">
                  <c:v>4.7960772839779997</c:v>
                </c:pt>
                <c:pt idx="13">
                  <c:v>4.6490326074341404</c:v>
                </c:pt>
                <c:pt idx="14">
                  <c:v>4.4506162907493403</c:v>
                </c:pt>
                <c:pt idx="15">
                  <c:v>4.0851547448543197</c:v>
                </c:pt>
                <c:pt idx="16">
                  <c:v>3.5057364393585502</c:v>
                </c:pt>
                <c:pt idx="17">
                  <c:v>2.8086269254407501</c:v>
                </c:pt>
                <c:pt idx="18">
                  <c:v>2.13734700193426</c:v>
                </c:pt>
                <c:pt idx="19">
                  <c:v>1.57936579267363</c:v>
                </c:pt>
                <c:pt idx="20">
                  <c:v>1.1737921806909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EA-4780-B5B7-06CEF7E11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66272"/>
        <c:axId val="176569344"/>
      </c:scatterChart>
      <c:valAx>
        <c:axId val="1765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9344"/>
        <c:crossesAt val="0.1"/>
        <c:crossBetween val="midCat"/>
      </c:valAx>
      <c:valAx>
        <c:axId val="17656934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6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Full 0'!$F$3:$F$23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0'!$L$3:$L$23</c:f>
              <c:numCache>
                <c:formatCode>General</c:formatCode>
                <c:ptCount val="21"/>
                <c:pt idx="0">
                  <c:v>0.97005028231060197</c:v>
                </c:pt>
                <c:pt idx="1">
                  <c:v>1.0033677777613668</c:v>
                </c:pt>
                <c:pt idx="2">
                  <c:v>1.014517120285467</c:v>
                </c:pt>
                <c:pt idx="3">
                  <c:v>1.0167649710222391</c:v>
                </c:pt>
                <c:pt idx="4">
                  <c:v>1.0073282961611345</c:v>
                </c:pt>
                <c:pt idx="5">
                  <c:v>0.99811995864049585</c:v>
                </c:pt>
                <c:pt idx="6">
                  <c:v>0.99279638257782898</c:v>
                </c:pt>
                <c:pt idx="7">
                  <c:v>0.99257112595481878</c:v>
                </c:pt>
                <c:pt idx="8">
                  <c:v>0.99433294244724002</c:v>
                </c:pt>
                <c:pt idx="9">
                  <c:v>0.9955832211816571</c:v>
                </c:pt>
                <c:pt idx="10">
                  <c:v>0.99685338693570824</c:v>
                </c:pt>
                <c:pt idx="11">
                  <c:v>0.99977939040113595</c:v>
                </c:pt>
                <c:pt idx="12">
                  <c:v>1.0035078166480218</c:v>
                </c:pt>
                <c:pt idx="13">
                  <c:v>1.004674055420673</c:v>
                </c:pt>
                <c:pt idx="14">
                  <c:v>1.0021275423902825</c:v>
                </c:pt>
                <c:pt idx="15">
                  <c:v>0.99728527373173581</c:v>
                </c:pt>
                <c:pt idx="16">
                  <c:v>0.99292299720302069</c:v>
                </c:pt>
                <c:pt idx="17">
                  <c:v>0.99073409463703443</c:v>
                </c:pt>
                <c:pt idx="18">
                  <c:v>0.99093958485949152</c:v>
                </c:pt>
                <c:pt idx="19">
                  <c:v>0.99236228114513991</c:v>
                </c:pt>
                <c:pt idx="20">
                  <c:v>0.99392352536217998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E4-4BC0-8B8B-AA346694963C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Full 0'!$I$3:$I$23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0'!$N$3:$N$23</c:f>
              <c:numCache>
                <c:formatCode>General</c:formatCode>
                <c:ptCount val="21"/>
                <c:pt idx="0">
                  <c:v>0.7577077824936832</c:v>
                </c:pt>
                <c:pt idx="1">
                  <c:v>0.82201303774828627</c:v>
                </c:pt>
                <c:pt idx="2">
                  <c:v>0.92137948731384778</c:v>
                </c:pt>
                <c:pt idx="3">
                  <c:v>0.97263231587103705</c:v>
                </c:pt>
                <c:pt idx="4">
                  <c:v>0.99632599252727416</c:v>
                </c:pt>
                <c:pt idx="5">
                  <c:v>1.022063286940875</c:v>
                </c:pt>
                <c:pt idx="6">
                  <c:v>1.0432845798550054</c:v>
                </c:pt>
                <c:pt idx="7">
                  <c:v>1.0561725722305133</c:v>
                </c:pt>
                <c:pt idx="8">
                  <c:v>1.0601352349541542</c:v>
                </c:pt>
                <c:pt idx="9">
                  <c:v>1.0556937964763891</c:v>
                </c:pt>
                <c:pt idx="10">
                  <c:v>1.0451884146506873</c:v>
                </c:pt>
                <c:pt idx="11">
                  <c:v>1.0341683285597298</c:v>
                </c:pt>
                <c:pt idx="12">
                  <c:v>1.0313953056824923</c:v>
                </c:pt>
                <c:pt idx="13">
                  <c:v>1.0467254154392607</c:v>
                </c:pt>
                <c:pt idx="14">
                  <c:v>1.0851097022606362</c:v>
                </c:pt>
                <c:pt idx="15">
                  <c:v>1.1386604060056444</c:v>
                </c:pt>
                <c:pt idx="16">
                  <c:v>1.1926657312048319</c:v>
                </c:pt>
                <c:pt idx="17">
                  <c:v>1.2413877727618063</c:v>
                </c:pt>
                <c:pt idx="18">
                  <c:v>1.2814369488395525</c:v>
                </c:pt>
                <c:pt idx="19">
                  <c:v>1.2892030559799452</c:v>
                </c:pt>
                <c:pt idx="20">
                  <c:v>1.2425529748289357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7-42B7-8C89-E65373854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193600"/>
        <c:axId val="227196288"/>
      </c:scatterChart>
      <c:valAx>
        <c:axId val="22719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96288"/>
        <c:crosses val="autoZero"/>
        <c:crossBetween val="midCat"/>
      </c:valAx>
      <c:valAx>
        <c:axId val="227196288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9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</a:t>
            </a:r>
            <a:r>
              <a:rPr lang="en-GB" baseline="0"/>
              <a:t> 4 Full Straggling </a:t>
            </a:r>
            <a:r>
              <a:rPr lang="el-GR" baseline="0"/>
              <a:t>Δ</a:t>
            </a:r>
            <a:r>
              <a:rPr lang="en-GB" baseline="0"/>
              <a:t>E=1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1'!$D$3:$D$23</c:f>
              <c:numCache>
                <c:formatCode>General</c:formatCode>
                <c:ptCount val="21"/>
                <c:pt idx="0">
                  <c:v>4.9673958947097443</c:v>
                </c:pt>
                <c:pt idx="1">
                  <c:v>6.7275958484679128</c:v>
                </c:pt>
                <c:pt idx="2">
                  <c:v>7.2456570552934885</c:v>
                </c:pt>
                <c:pt idx="3">
                  <c:v>7.303526581157767</c:v>
                </c:pt>
                <c:pt idx="4">
                  <c:v>7.1916452656197354</c:v>
                </c:pt>
                <c:pt idx="5">
                  <c:v>6.9278345241296488</c:v>
                </c:pt>
                <c:pt idx="6">
                  <c:v>6.5469226791829476</c:v>
                </c:pt>
                <c:pt idx="7">
                  <c:v>6.11694702307671</c:v>
                </c:pt>
                <c:pt idx="8">
                  <c:v>5.688604639425761</c:v>
                </c:pt>
                <c:pt idx="9">
                  <c:v>5.3117799307918006</c:v>
                </c:pt>
                <c:pt idx="10">
                  <c:v>5.0224470306629652</c:v>
                </c:pt>
                <c:pt idx="11">
                  <c:v>4.8216630560098297</c:v>
                </c:pt>
                <c:pt idx="12">
                  <c:v>4.6601708765535577</c:v>
                </c:pt>
                <c:pt idx="13">
                  <c:v>4.446240968770022</c:v>
                </c:pt>
                <c:pt idx="14">
                  <c:v>4.0927927887196391</c:v>
                </c:pt>
                <c:pt idx="15">
                  <c:v>3.5696022540290167</c:v>
                </c:pt>
                <c:pt idx="16">
                  <c:v>2.9252728548639881</c:v>
                </c:pt>
                <c:pt idx="17">
                  <c:v>2.2612470177154078</c:v>
                </c:pt>
                <c:pt idx="18">
                  <c:v>1.6790828073394302</c:v>
                </c:pt>
                <c:pt idx="19">
                  <c:v>1.2412938603343773</c:v>
                </c:pt>
                <c:pt idx="20">
                  <c:v>0.9592084833183071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F-420B-A12B-565C529EAAB2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Full 1'!$F$3:$F$23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1'!$G$3:$G$23</c:f>
              <c:numCache>
                <c:formatCode>0.0000000</c:formatCode>
                <c:ptCount val="21"/>
                <c:pt idx="0">
                  <c:v>5.0484719</c:v>
                </c:pt>
                <c:pt idx="1">
                  <c:v>6.8573155000000003</c:v>
                </c:pt>
                <c:pt idx="2">
                  <c:v>7.1827911999999996</c:v>
                </c:pt>
                <c:pt idx="3">
                  <c:v>7.1988028999999996</c:v>
                </c:pt>
                <c:pt idx="4">
                  <c:v>7.1622262000000001</c:v>
                </c:pt>
                <c:pt idx="5">
                  <c:v>6.9564576000000002</c:v>
                </c:pt>
                <c:pt idx="6">
                  <c:v>6.6019807000000004</c:v>
                </c:pt>
                <c:pt idx="7">
                  <c:v>6.1642422999999997</c:v>
                </c:pt>
                <c:pt idx="8">
                  <c:v>5.7167683</c:v>
                </c:pt>
                <c:pt idx="9">
                  <c:v>5.3268895000000001</c:v>
                </c:pt>
                <c:pt idx="10">
                  <c:v>5.0289130000000002</c:v>
                </c:pt>
                <c:pt idx="11">
                  <c:v>4.8184155999999998</c:v>
                </c:pt>
                <c:pt idx="12">
                  <c:v>4.6494255000000004</c:v>
                </c:pt>
                <c:pt idx="13">
                  <c:v>4.4384480000000002</c:v>
                </c:pt>
                <c:pt idx="14">
                  <c:v>4.0974879</c:v>
                </c:pt>
                <c:pt idx="15">
                  <c:v>3.5844847999999998</c:v>
                </c:pt>
                <c:pt idx="16">
                  <c:v>2.9387506999999999</c:v>
                </c:pt>
                <c:pt idx="17">
                  <c:v>2.2643366</c:v>
                </c:pt>
                <c:pt idx="18">
                  <c:v>1.6713928</c:v>
                </c:pt>
                <c:pt idx="19">
                  <c:v>1.2287846</c:v>
                </c:pt>
                <c:pt idx="20">
                  <c:v>0.94766355000000002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FF-420B-A12B-565C529EAAB2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Full 1'!$F$3:$F$23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1'!$J$3:$J$23</c:f>
              <c:numCache>
                <c:formatCode>General</c:formatCode>
                <c:ptCount val="21"/>
                <c:pt idx="0">
                  <c:v>3.9283973615998402</c:v>
                </c:pt>
                <c:pt idx="1">
                  <c:v>5.5727255090154104</c:v>
                </c:pt>
                <c:pt idx="2">
                  <c:v>6.6231418003786304</c:v>
                </c:pt>
                <c:pt idx="3">
                  <c:v>7.0136062735391898</c:v>
                </c:pt>
                <c:pt idx="4">
                  <c:v>7.14279024668659</c:v>
                </c:pt>
                <c:pt idx="5">
                  <c:v>7.1108847306549299</c:v>
                </c:pt>
                <c:pt idx="6">
                  <c:v>6.88805635402404</c:v>
                </c:pt>
                <c:pt idx="7">
                  <c:v>6.5086347686005803</c:v>
                </c:pt>
                <c:pt idx="8">
                  <c:v>6.0593913316227201</c:v>
                </c:pt>
                <c:pt idx="9">
                  <c:v>5.6227332175478004</c:v>
                </c:pt>
                <c:pt idx="10">
                  <c:v>5.2558052958276198</c:v>
                </c:pt>
                <c:pt idx="11">
                  <c:v>4.9841257318874597</c:v>
                </c:pt>
                <c:pt idx="12">
                  <c:v>4.7972448367281402</c:v>
                </c:pt>
                <c:pt idx="13">
                  <c:v>4.6491953201319802</c:v>
                </c:pt>
                <c:pt idx="14">
                  <c:v>4.4469323583301597</c:v>
                </c:pt>
                <c:pt idx="15">
                  <c:v>4.0799405852361996</c:v>
                </c:pt>
                <c:pt idx="16">
                  <c:v>3.5016196087387201</c:v>
                </c:pt>
                <c:pt idx="17">
                  <c:v>2.8074703149347902</c:v>
                </c:pt>
                <c:pt idx="18">
                  <c:v>2.1389979329745401</c:v>
                </c:pt>
                <c:pt idx="19">
                  <c:v>1.58275591400337</c:v>
                </c:pt>
                <c:pt idx="20">
                  <c:v>1.1774183916826499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FF-420B-A12B-565C529E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95136"/>
        <c:axId val="139597696"/>
      </c:scatterChart>
      <c:valAx>
        <c:axId val="13959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7696"/>
        <c:crosses val="autoZero"/>
        <c:crossBetween val="midCat"/>
      </c:valAx>
      <c:valAx>
        <c:axId val="13959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Full 1'!$F$3:$F$23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1'!$L$3:$L$23</c:f>
              <c:numCache>
                <c:formatCode>General</c:formatCode>
                <c:ptCount val="21"/>
                <c:pt idx="0">
                  <c:v>0.98394048597353667</c:v>
                </c:pt>
                <c:pt idx="1">
                  <c:v>0.98108302709244055</c:v>
                </c:pt>
                <c:pt idx="2">
                  <c:v>1.0087522877309156</c:v>
                </c:pt>
                <c:pt idx="3">
                  <c:v>1.0145473744194007</c:v>
                </c:pt>
                <c:pt idx="4">
                  <c:v>1.0041075309265903</c:v>
                </c:pt>
                <c:pt idx="5">
                  <c:v>0.99588539490697803</c:v>
                </c:pt>
                <c:pt idx="6">
                  <c:v>0.99166037840476373</c:v>
                </c:pt>
                <c:pt idx="7">
                  <c:v>0.99232747925510822</c:v>
                </c:pt>
                <c:pt idx="8">
                  <c:v>0.99507349972986681</c:v>
                </c:pt>
                <c:pt idx="9">
                  <c:v>0.99716352869564884</c:v>
                </c:pt>
                <c:pt idx="10">
                  <c:v>0.99871424116165164</c:v>
                </c:pt>
                <c:pt idx="11">
                  <c:v>1.0006739676025103</c:v>
                </c:pt>
                <c:pt idx="12">
                  <c:v>1.0023111192024816</c:v>
                </c:pt>
                <c:pt idx="13">
                  <c:v>1.0017557868809146</c:v>
                </c:pt>
                <c:pt idx="14">
                  <c:v>0.99885414883583656</c:v>
                </c:pt>
                <c:pt idx="15">
                  <c:v>0.99584806553762395</c:v>
                </c:pt>
                <c:pt idx="16">
                  <c:v>0.99541375008910693</c:v>
                </c:pt>
                <c:pt idx="17">
                  <c:v>0.99863554637389507</c:v>
                </c:pt>
                <c:pt idx="18">
                  <c:v>1.0046009575603234</c:v>
                </c:pt>
                <c:pt idx="19">
                  <c:v>1.010180189704833</c:v>
                </c:pt>
                <c:pt idx="20">
                  <c:v>1.0121825233420734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7-4111-9B35-F9D2A02A51FB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Full 1'!$I$3:$I$23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1'!$N$3:$N$23</c:f>
              <c:numCache>
                <c:formatCode>General</c:formatCode>
                <c:ptCount val="21"/>
                <c:pt idx="0">
                  <c:v>0.77813592695243883</c:v>
                </c:pt>
                <c:pt idx="1">
                  <c:v>0.81266867610443327</c:v>
                </c:pt>
                <c:pt idx="2">
                  <c:v>0.9220846904722263</c:v>
                </c:pt>
                <c:pt idx="3">
                  <c:v>0.97427396901493024</c:v>
                </c:pt>
                <c:pt idx="4">
                  <c:v>0.9972863251214531</c:v>
                </c:pt>
                <c:pt idx="5">
                  <c:v>1.0221991047073915</c:v>
                </c:pt>
                <c:pt idx="6">
                  <c:v>1.0433317919308731</c:v>
                </c:pt>
                <c:pt idx="7">
                  <c:v>1.0558693918635516</c:v>
                </c:pt>
                <c:pt idx="8">
                  <c:v>1.0599329924955538</c:v>
                </c:pt>
                <c:pt idx="9">
                  <c:v>1.0555377988501171</c:v>
                </c:pt>
                <c:pt idx="10">
                  <c:v>1.0451175623494817</c:v>
                </c:pt>
                <c:pt idx="11">
                  <c:v>1.0343910002050176</c:v>
                </c:pt>
                <c:pt idx="12">
                  <c:v>1.0317930326506231</c:v>
                </c:pt>
                <c:pt idx="13">
                  <c:v>1.0474822100274646</c:v>
                </c:pt>
                <c:pt idx="14">
                  <c:v>1.0852826089688172</c:v>
                </c:pt>
                <c:pt idx="15">
                  <c:v>1.1382223144693486</c:v>
                </c:pt>
                <c:pt idx="16">
                  <c:v>1.191533398439929</c:v>
                </c:pt>
                <c:pt idx="17">
                  <c:v>1.2398643889494125</c:v>
                </c:pt>
                <c:pt idx="18">
                  <c:v>1.2797697423218168</c:v>
                </c:pt>
                <c:pt idx="19">
                  <c:v>1.2880662029808723</c:v>
                </c:pt>
                <c:pt idx="20">
                  <c:v>1.2424434723511841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9-4679-8CD2-2D3BD6675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07040"/>
        <c:axId val="139609600"/>
      </c:scatterChart>
      <c:valAx>
        <c:axId val="13960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)keV)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09600"/>
        <c:crosses val="autoZero"/>
        <c:crossBetween val="midCat"/>
      </c:valAx>
      <c:valAx>
        <c:axId val="13960960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0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4 Gauss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0'!$E$3:$E$23</c:f>
              <c:numCache>
                <c:formatCode>General</c:formatCode>
                <c:ptCount val="21"/>
                <c:pt idx="0">
                  <c:v>4.9798132049766828</c:v>
                </c:pt>
                <c:pt idx="1">
                  <c:v>6.8140657379896741</c:v>
                </c:pt>
                <c:pt idx="2">
                  <c:v>7.1624371050813664</c:v>
                </c:pt>
                <c:pt idx="3">
                  <c:v>7.1819193994918615</c:v>
                </c:pt>
                <c:pt idx="4">
                  <c:v>7.1522734961808521</c:v>
                </c:pt>
                <c:pt idx="5">
                  <c:v>6.9735607566706221</c:v>
                </c:pt>
                <c:pt idx="6">
                  <c:v>6.6461019118885289</c:v>
                </c:pt>
                <c:pt idx="7">
                  <c:v>6.2179629407169745</c:v>
                </c:pt>
                <c:pt idx="8">
                  <c:v>5.7572880048818025</c:v>
                </c:pt>
                <c:pt idx="9">
                  <c:v>5.3394986400581592</c:v>
                </c:pt>
                <c:pt idx="10">
                  <c:v>5.013959189348637</c:v>
                </c:pt>
                <c:pt idx="11">
                  <c:v>4.7834732398870976</c:v>
                </c:pt>
                <c:pt idx="12">
                  <c:v>4.6082679614061721</c:v>
                </c:pt>
                <c:pt idx="13">
                  <c:v>4.4138430121029453</c:v>
                </c:pt>
                <c:pt idx="14">
                  <c:v>4.1151783283978114</c:v>
                </c:pt>
                <c:pt idx="15">
                  <c:v>3.6555898084849336</c:v>
                </c:pt>
                <c:pt idx="16">
                  <c:v>3.0408173610625413</c:v>
                </c:pt>
                <c:pt idx="17">
                  <c:v>2.3543490297226861</c:v>
                </c:pt>
                <c:pt idx="18">
                  <c:v>1.7169595943940288</c:v>
                </c:pt>
                <c:pt idx="19">
                  <c:v>1.2277048863370945</c:v>
                </c:pt>
                <c:pt idx="20">
                  <c:v>0.92039849583068645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2-43E0-9AA7-182EBDBCD526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0'!$H$3:$H$23</c:f>
              <c:numCache>
                <c:formatCode>0.0000000</c:formatCode>
                <c:ptCount val="21"/>
                <c:pt idx="0">
                  <c:v>5.0314417000000002</c:v>
                </c:pt>
                <c:pt idx="1">
                  <c:v>6.8375440000000003</c:v>
                </c:pt>
                <c:pt idx="2">
                  <c:v>7.1715135999999999</c:v>
                </c:pt>
                <c:pt idx="3">
                  <c:v>7.1832089000000003</c:v>
                </c:pt>
                <c:pt idx="4">
                  <c:v>7.1552958000000002</c:v>
                </c:pt>
                <c:pt idx="5">
                  <c:v>6.9717039999999999</c:v>
                </c:pt>
                <c:pt idx="6">
                  <c:v>6.6377496999999996</c:v>
                </c:pt>
                <c:pt idx="7">
                  <c:v>6.2092885999999998</c:v>
                </c:pt>
                <c:pt idx="8">
                  <c:v>5.7513446999999998</c:v>
                </c:pt>
                <c:pt idx="9">
                  <c:v>5.3371005</c:v>
                </c:pt>
                <c:pt idx="10">
                  <c:v>5.0141977999999998</c:v>
                </c:pt>
                <c:pt idx="11">
                  <c:v>4.7848682</c:v>
                </c:pt>
                <c:pt idx="12">
                  <c:v>4.6073556</c:v>
                </c:pt>
                <c:pt idx="13">
                  <c:v>4.4059758000000002</c:v>
                </c:pt>
                <c:pt idx="14">
                  <c:v>4.0974025999999997</c:v>
                </c:pt>
                <c:pt idx="15">
                  <c:v>3.6281948000000002</c:v>
                </c:pt>
                <c:pt idx="16">
                  <c:v>3.0090140999999999</c:v>
                </c:pt>
                <c:pt idx="17">
                  <c:v>2.3249316000000002</c:v>
                </c:pt>
                <c:pt idx="18">
                  <c:v>1.6951655000000001</c:v>
                </c:pt>
                <c:pt idx="19">
                  <c:v>1.2152780999999999</c:v>
                </c:pt>
                <c:pt idx="20">
                  <c:v>0.91523677000000003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2-43E0-9AA7-182EBDBCD526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0'!$K$3:$K$23</c:f>
              <c:numCache>
                <c:formatCode>General</c:formatCode>
                <c:ptCount val="21"/>
                <c:pt idx="0">
                  <c:v>5.0310608550685698</c:v>
                </c:pt>
                <c:pt idx="1">
                  <c:v>6.8376257172716404</c:v>
                </c:pt>
                <c:pt idx="2">
                  <c:v>7.1723817281463003</c:v>
                </c:pt>
                <c:pt idx="3">
                  <c:v>7.1871275219676098</c:v>
                </c:pt>
                <c:pt idx="4">
                  <c:v>7.1532946891264499</c:v>
                </c:pt>
                <c:pt idx="5">
                  <c:v>6.9689634807480001</c:v>
                </c:pt>
                <c:pt idx="6">
                  <c:v>6.6377967051265196</c:v>
                </c:pt>
                <c:pt idx="7">
                  <c:v>6.2091652034522404</c:v>
                </c:pt>
                <c:pt idx="8">
                  <c:v>5.7512892271169198</c:v>
                </c:pt>
                <c:pt idx="9">
                  <c:v>5.3372496334742996</c:v>
                </c:pt>
                <c:pt idx="10">
                  <c:v>5.0145171749052704</c:v>
                </c:pt>
                <c:pt idx="11">
                  <c:v>4.7853562714928302</c:v>
                </c:pt>
                <c:pt idx="12">
                  <c:v>4.60734881125898</c:v>
                </c:pt>
                <c:pt idx="13">
                  <c:v>4.4050892875038699</c:v>
                </c:pt>
                <c:pt idx="14">
                  <c:v>4.0958703600344002</c:v>
                </c:pt>
                <c:pt idx="15">
                  <c:v>3.6258711154784899</c:v>
                </c:pt>
                <c:pt idx="16">
                  <c:v>3.0065952090593999</c:v>
                </c:pt>
                <c:pt idx="17">
                  <c:v>2.32289174946431</c:v>
                </c:pt>
                <c:pt idx="18">
                  <c:v>1.6937421103695101</c:v>
                </c:pt>
                <c:pt idx="19">
                  <c:v>1.21448590800204</c:v>
                </c:pt>
                <c:pt idx="20">
                  <c:v>0.914925836788818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52-43E0-9AA7-182EBDBCD526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4 Gauss 0'!$AA$3:$AA$23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0'!$AB$3:$AB$23</c:f>
              <c:numCache>
                <c:formatCode>General</c:formatCode>
                <c:ptCount val="21"/>
                <c:pt idx="0">
                  <c:v>3.8420181665010702</c:v>
                </c:pt>
                <c:pt idx="1">
                  <c:v>5.62008176906697</c:v>
                </c:pt>
                <c:pt idx="2">
                  <c:v>6.5796968632439903</c:v>
                </c:pt>
                <c:pt idx="3">
                  <c:v>6.9739780495268704</c:v>
                </c:pt>
                <c:pt idx="4">
                  <c:v>7.1268250220726301</c:v>
                </c:pt>
                <c:pt idx="5">
                  <c:v>7.1090591486812196</c:v>
                </c:pt>
                <c:pt idx="6">
                  <c:v>6.8924566969417898</c:v>
                </c:pt>
                <c:pt idx="7">
                  <c:v>6.5188015018916703</c:v>
                </c:pt>
                <c:pt idx="8">
                  <c:v>6.0707392172809804</c:v>
                </c:pt>
                <c:pt idx="9">
                  <c:v>5.6342248042530496</c:v>
                </c:pt>
                <c:pt idx="10">
                  <c:v>5.2668026110801103</c:v>
                </c:pt>
                <c:pt idx="11">
                  <c:v>4.9927612397129097</c:v>
                </c:pt>
                <c:pt idx="12">
                  <c:v>4.8044161458157104</c:v>
                </c:pt>
                <c:pt idx="13">
                  <c:v>4.6566086924532</c:v>
                </c:pt>
                <c:pt idx="14">
                  <c:v>4.4604826642666104</c:v>
                </c:pt>
                <c:pt idx="15">
                  <c:v>4.0992501698358996</c:v>
                </c:pt>
                <c:pt idx="16">
                  <c:v>3.5236975014182801</c:v>
                </c:pt>
                <c:pt idx="17">
                  <c:v>2.82940920677119</c:v>
                </c:pt>
                <c:pt idx="18">
                  <c:v>2.1595961994839201</c:v>
                </c:pt>
                <c:pt idx="19">
                  <c:v>1.6005814308897801</c:v>
                </c:pt>
                <c:pt idx="20">
                  <c:v>1.19129779756286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3-4BBA-89B9-F9E341039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30176"/>
        <c:axId val="151336832"/>
      </c:scatterChart>
      <c:valAx>
        <c:axId val="15133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36832"/>
        <c:crossesAt val="0.30000000000000004"/>
        <c:crossBetween val="midCat"/>
      </c:valAx>
      <c:valAx>
        <c:axId val="151336832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30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0'!$M$3:$M$23</c:f>
              <c:numCache>
                <c:formatCode>General</c:formatCode>
                <c:ptCount val="21"/>
                <c:pt idx="0">
                  <c:v>0.98973882674158431</c:v>
                </c:pt>
                <c:pt idx="1">
                  <c:v>0.99656627262503517</c:v>
                </c:pt>
                <c:pt idx="2">
                  <c:v>0.99873436830425399</c:v>
                </c:pt>
                <c:pt idx="3">
                  <c:v>0.9998204840585746</c:v>
                </c:pt>
                <c:pt idx="4">
                  <c:v>0.99957761301508341</c:v>
                </c:pt>
                <c:pt idx="5">
                  <c:v>1.0002663275248953</c:v>
                </c:pt>
                <c:pt idx="6">
                  <c:v>1.001258289671352</c:v>
                </c:pt>
                <c:pt idx="7">
                  <c:v>1.0013969942896477</c:v>
                </c:pt>
                <c:pt idx="8">
                  <c:v>1.0010333765739694</c:v>
                </c:pt>
                <c:pt idx="9">
                  <c:v>1.0004493338767293</c:v>
                </c:pt>
                <c:pt idx="10">
                  <c:v>0.99995241299588089</c:v>
                </c:pt>
                <c:pt idx="11">
                  <c:v>0.99970846425552484</c:v>
                </c:pt>
                <c:pt idx="12">
                  <c:v>1.000198022789075</c:v>
                </c:pt>
                <c:pt idx="13">
                  <c:v>1.0017855776926747</c:v>
                </c:pt>
                <c:pt idx="14">
                  <c:v>1.0043382918724686</c:v>
                </c:pt>
                <c:pt idx="15">
                  <c:v>1.0075505892034611</c:v>
                </c:pt>
                <c:pt idx="16">
                  <c:v>1.0105693293569284</c:v>
                </c:pt>
                <c:pt idx="17">
                  <c:v>1.0126530301892263</c:v>
                </c:pt>
                <c:pt idx="18">
                  <c:v>1.0128566174771896</c:v>
                </c:pt>
                <c:pt idx="19">
                  <c:v>1.0102254671890283</c:v>
                </c:pt>
                <c:pt idx="20">
                  <c:v>1.0056397710405434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39-4615-B852-F339E44D8676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0'!$J$3:$J$23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0'!$O$3:$O$23</c:f>
              <c:numCache>
                <c:formatCode>General</c:formatCode>
                <c:ptCount val="21"/>
                <c:pt idx="0">
                  <c:v>0.99992430699705204</c:v>
                </c:pt>
                <c:pt idx="1">
                  <c:v>1.0000119512608094</c:v>
                </c:pt>
                <c:pt idx="2">
                  <c:v>1.0001210522903143</c:v>
                </c:pt>
                <c:pt idx="3">
                  <c:v>1.0005455252690214</c:v>
                </c:pt>
                <c:pt idx="4">
                  <c:v>0.9997203314957922</c:v>
                </c:pt>
                <c:pt idx="5">
                  <c:v>0.99960690826059173</c:v>
                </c:pt>
                <c:pt idx="6">
                  <c:v>1.0000070814852389</c:v>
                </c:pt>
                <c:pt idx="7">
                  <c:v>0.99998012710381035</c:v>
                </c:pt>
                <c:pt idx="8">
                  <c:v>0.99999035479770848</c:v>
                </c:pt>
                <c:pt idx="9">
                  <c:v>1.0000279427892167</c:v>
                </c:pt>
                <c:pt idx="10">
                  <c:v>1.000063694117785</c:v>
                </c:pt>
                <c:pt idx="11">
                  <c:v>1.000102003121597</c:v>
                </c:pt>
                <c:pt idx="12">
                  <c:v>0.99999852654285681</c:v>
                </c:pt>
                <c:pt idx="13">
                  <c:v>0.99979879315357789</c:v>
                </c:pt>
                <c:pt idx="14">
                  <c:v>0.99962604603081973</c:v>
                </c:pt>
                <c:pt idx="15">
                  <c:v>0.99935954802605687</c:v>
                </c:pt>
                <c:pt idx="16">
                  <c:v>0.99919611844271516</c:v>
                </c:pt>
                <c:pt idx="17">
                  <c:v>0.99912261911890643</c:v>
                </c:pt>
                <c:pt idx="18">
                  <c:v>0.99916032409196032</c:v>
                </c:pt>
                <c:pt idx="19">
                  <c:v>0.99934813932880062</c:v>
                </c:pt>
                <c:pt idx="20">
                  <c:v>0.99966027019305392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9-4666-8EBA-1DE54A0EDEDD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Gauss 0'!$AA$3:$AA$23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0'!$AC$3:$AC$23</c:f>
              <c:numCache>
                <c:formatCode>General</c:formatCode>
                <c:ptCount val="21"/>
                <c:pt idx="0">
                  <c:v>0.76360184527251307</c:v>
                </c:pt>
                <c:pt idx="1">
                  <c:v>0.82194451239611321</c:v>
                </c:pt>
                <c:pt idx="2">
                  <c:v>0.91747673228200954</c:v>
                </c:pt>
                <c:pt idx="3">
                  <c:v>0.97087223086702523</c:v>
                </c:pt>
                <c:pt idx="4">
                  <c:v>0.9960210201334555</c:v>
                </c:pt>
                <c:pt idx="5">
                  <c:v>1.0197018044198691</c:v>
                </c:pt>
                <c:pt idx="6">
                  <c:v>1.038372491951872</c:v>
                </c:pt>
                <c:pt idx="7">
                  <c:v>1.049846757306734</c:v>
                </c:pt>
                <c:pt idx="8">
                  <c:v>1.0555338853678828</c:v>
                </c:pt>
                <c:pt idx="9">
                  <c:v>1.0556714838427812</c:v>
                </c:pt>
                <c:pt idx="10">
                  <c:v>1.0503779111147371</c:v>
                </c:pt>
                <c:pt idx="11">
                  <c:v>1.0434480180066212</c:v>
                </c:pt>
                <c:pt idx="12">
                  <c:v>1.0427708566310163</c:v>
                </c:pt>
                <c:pt idx="13">
                  <c:v>1.0568847637459107</c:v>
                </c:pt>
                <c:pt idx="14">
                  <c:v>1.0886122501768829</c:v>
                </c:pt>
                <c:pt idx="15">
                  <c:v>1.1298318849461719</c:v>
                </c:pt>
                <c:pt idx="16">
                  <c:v>1.1710471883193503</c:v>
                </c:pt>
                <c:pt idx="17">
                  <c:v>1.2169859994036769</c:v>
                </c:pt>
                <c:pt idx="18">
                  <c:v>1.2739736618542084</c:v>
                </c:pt>
                <c:pt idx="19">
                  <c:v>1.3170495139258909</c:v>
                </c:pt>
                <c:pt idx="20">
                  <c:v>1.3016279902771608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4B-4BF8-A03C-7DC88C982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64352"/>
        <c:axId val="151366656"/>
      </c:scatterChart>
      <c:valAx>
        <c:axId val="15136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6656"/>
        <c:crossesAt val="0.60000000000000009"/>
        <c:crossBetween val="midCat"/>
      </c:valAx>
      <c:valAx>
        <c:axId val="15136665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4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0'!$O$3:$O$23</c:f>
              <c:numCache>
                <c:formatCode>General</c:formatCode>
                <c:ptCount val="21"/>
                <c:pt idx="0">
                  <c:v>0.99992430699705204</c:v>
                </c:pt>
                <c:pt idx="1">
                  <c:v>1.0000119512608094</c:v>
                </c:pt>
                <c:pt idx="2">
                  <c:v>1.0001210522903143</c:v>
                </c:pt>
                <c:pt idx="3">
                  <c:v>1.0005455252690214</c:v>
                </c:pt>
                <c:pt idx="4">
                  <c:v>0.9997203314957922</c:v>
                </c:pt>
                <c:pt idx="5">
                  <c:v>0.99960690826059173</c:v>
                </c:pt>
                <c:pt idx="6">
                  <c:v>1.0000070814852389</c:v>
                </c:pt>
                <c:pt idx="7">
                  <c:v>0.99998012710381035</c:v>
                </c:pt>
                <c:pt idx="8">
                  <c:v>0.99999035479770848</c:v>
                </c:pt>
                <c:pt idx="9">
                  <c:v>1.0000279427892167</c:v>
                </c:pt>
                <c:pt idx="10">
                  <c:v>1.000063694117785</c:v>
                </c:pt>
                <c:pt idx="11">
                  <c:v>1.000102003121597</c:v>
                </c:pt>
                <c:pt idx="12">
                  <c:v>0.99999852654285681</c:v>
                </c:pt>
                <c:pt idx="13">
                  <c:v>0.99979879315357789</c:v>
                </c:pt>
                <c:pt idx="14">
                  <c:v>0.99962604603081973</c:v>
                </c:pt>
                <c:pt idx="15">
                  <c:v>0.99935954802605687</c:v>
                </c:pt>
                <c:pt idx="16">
                  <c:v>0.99919611844271516</c:v>
                </c:pt>
                <c:pt idx="17">
                  <c:v>0.99912261911890643</c:v>
                </c:pt>
                <c:pt idx="18">
                  <c:v>0.99916032409196032</c:v>
                </c:pt>
                <c:pt idx="19">
                  <c:v>0.99934813932880062</c:v>
                </c:pt>
                <c:pt idx="20">
                  <c:v>0.99966027019305392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77-4F34-A69E-51738F47F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81888"/>
        <c:axId val="157671808"/>
      </c:scatterChart>
      <c:valAx>
        <c:axId val="15138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71808"/>
        <c:crosses val="autoZero"/>
        <c:crossBetween val="midCat"/>
      </c:valAx>
      <c:valAx>
        <c:axId val="1576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4 Gauss Straggling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1'!$E$3:$E$23</c:f>
              <c:numCache>
                <c:formatCode>General</c:formatCode>
                <c:ptCount val="21"/>
                <c:pt idx="0">
                  <c:v>5.0043412473627331</c:v>
                </c:pt>
                <c:pt idx="1">
                  <c:v>6.6371580542820681</c:v>
                </c:pt>
                <c:pt idx="2">
                  <c:v>7.1253643283562145</c:v>
                </c:pt>
                <c:pt idx="3">
                  <c:v>7.1812764782084111</c:v>
                </c:pt>
                <c:pt idx="4">
                  <c:v>7.1358236616698285</c:v>
                </c:pt>
                <c:pt idx="5">
                  <c:v>6.9565582892321887</c:v>
                </c:pt>
                <c:pt idx="6">
                  <c:v>6.6342232902592908</c:v>
                </c:pt>
                <c:pt idx="7">
                  <c:v>6.2139785040366018</c:v>
                </c:pt>
                <c:pt idx="8">
                  <c:v>5.763066680422388</c:v>
                </c:pt>
                <c:pt idx="9">
                  <c:v>5.3521538372093875</c:v>
                </c:pt>
                <c:pt idx="10">
                  <c:v>5.0271564232387922</c:v>
                </c:pt>
                <c:pt idx="11">
                  <c:v>4.7922990799914951</c:v>
                </c:pt>
                <c:pt idx="12">
                  <c:v>4.6071152211929949</c:v>
                </c:pt>
                <c:pt idx="13">
                  <c:v>4.3991542665707986</c:v>
                </c:pt>
                <c:pt idx="14">
                  <c:v>4.0889468996565146</c:v>
                </c:pt>
                <c:pt idx="15">
                  <c:v>3.6249240710887585</c:v>
                </c:pt>
                <c:pt idx="16">
                  <c:v>3.0168382355794674</c:v>
                </c:pt>
                <c:pt idx="17">
                  <c:v>2.3451077184640337</c:v>
                </c:pt>
                <c:pt idx="18">
                  <c:v>1.7230477056193847</c:v>
                </c:pt>
                <c:pt idx="19">
                  <c:v>1.2421030093246723</c:v>
                </c:pt>
                <c:pt idx="20">
                  <c:v>0.93540149684167162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4-40DB-B801-AD890494D78D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1'!$G$3:$G$23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1'!$H$3:$H$23</c:f>
              <c:numCache>
                <c:formatCode>0.0000000</c:formatCode>
                <c:ptCount val="21"/>
                <c:pt idx="0">
                  <c:v>5.0128240999999996</c:v>
                </c:pt>
                <c:pt idx="1">
                  <c:v>6.8067441000000004</c:v>
                </c:pt>
                <c:pt idx="2">
                  <c:v>7.1652326999999998</c:v>
                </c:pt>
                <c:pt idx="3">
                  <c:v>7.1838702999999997</c:v>
                </c:pt>
                <c:pt idx="4">
                  <c:v>7.1509384999999996</c:v>
                </c:pt>
                <c:pt idx="5">
                  <c:v>6.9677129000000004</c:v>
                </c:pt>
                <c:pt idx="6">
                  <c:v>6.6351037000000002</c:v>
                </c:pt>
                <c:pt idx="7">
                  <c:v>6.2086553999999996</c:v>
                </c:pt>
                <c:pt idx="8">
                  <c:v>5.7522301999999996</c:v>
                </c:pt>
                <c:pt idx="9">
                  <c:v>5.3391957000000003</c:v>
                </c:pt>
                <c:pt idx="10">
                  <c:v>5.0162759000000001</c:v>
                </c:pt>
                <c:pt idx="11">
                  <c:v>4.7858229000000003</c:v>
                </c:pt>
                <c:pt idx="12">
                  <c:v>4.6067333000000001</c:v>
                </c:pt>
                <c:pt idx="13">
                  <c:v>4.4032669000000002</c:v>
                </c:pt>
                <c:pt idx="14">
                  <c:v>4.0936798999999997</c:v>
                </c:pt>
                <c:pt idx="15">
                  <c:v>3.6247468</c:v>
                </c:pt>
                <c:pt idx="16">
                  <c:v>3.0075612</c:v>
                </c:pt>
                <c:pt idx="17">
                  <c:v>2.3262049999999999</c:v>
                </c:pt>
                <c:pt idx="18">
                  <c:v>1.6987174</c:v>
                </c:pt>
                <c:pt idx="19">
                  <c:v>1.2194149000000001</c:v>
                </c:pt>
                <c:pt idx="20">
                  <c:v>0.91871667000000001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4-40DB-B801-AD890494D78D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Gauss 1'!$G$3:$G$23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1'!$K$3:$K$23</c:f>
              <c:numCache>
                <c:formatCode>General</c:formatCode>
                <c:ptCount val="21"/>
                <c:pt idx="0">
                  <c:v>5.0131483626664997</c:v>
                </c:pt>
                <c:pt idx="1">
                  <c:v>6.8068144538274202</c:v>
                </c:pt>
                <c:pt idx="2">
                  <c:v>7.1664998060937402</c:v>
                </c:pt>
                <c:pt idx="3">
                  <c:v>7.1879372523983003</c:v>
                </c:pt>
                <c:pt idx="4">
                  <c:v>7.14979670591807</c:v>
                </c:pt>
                <c:pt idx="5">
                  <c:v>6.9657904942598199</c:v>
                </c:pt>
                <c:pt idx="6">
                  <c:v>6.63549653717849</c:v>
                </c:pt>
                <c:pt idx="7">
                  <c:v>6.2082992481047796</c:v>
                </c:pt>
                <c:pt idx="8">
                  <c:v>5.7520859937418898</c:v>
                </c:pt>
                <c:pt idx="9">
                  <c:v>5.3393142870121002</c:v>
                </c:pt>
                <c:pt idx="10">
                  <c:v>5.0166600320135997</c:v>
                </c:pt>
                <c:pt idx="11">
                  <c:v>4.7866443662910898</c:v>
                </c:pt>
                <c:pt idx="12">
                  <c:v>4.6070764149644798</c:v>
                </c:pt>
                <c:pt idx="13">
                  <c:v>4.4029951760568</c:v>
                </c:pt>
                <c:pt idx="14">
                  <c:v>4.0923956433576398</c:v>
                </c:pt>
                <c:pt idx="15">
                  <c:v>3.6223842796191001</c:v>
                </c:pt>
                <c:pt idx="16">
                  <c:v>3.0048982318497202</c:v>
                </c:pt>
                <c:pt idx="17">
                  <c:v>2.3238901402940502</c:v>
                </c:pt>
                <c:pt idx="18">
                  <c:v>1.6970305295938299</c:v>
                </c:pt>
                <c:pt idx="19">
                  <c:v>1.21850433650434</c:v>
                </c:pt>
                <c:pt idx="20">
                  <c:v>0.91827000092254296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4-40DB-B801-AD890494D78D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4 Gauss 1'!$AA$3:$AA$23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1'!$AB$3:$AB$23</c:f>
              <c:numCache>
                <c:formatCode>General</c:formatCode>
                <c:ptCount val="21"/>
                <c:pt idx="0">
                  <c:v>3.9212690100234502</c:v>
                </c:pt>
                <c:pt idx="1">
                  <c:v>5.5264258988380996</c:v>
                </c:pt>
                <c:pt idx="2">
                  <c:v>6.5800798729400496</c:v>
                </c:pt>
                <c:pt idx="3">
                  <c:v>6.9889923909665903</c:v>
                </c:pt>
                <c:pt idx="4">
                  <c:v>7.1303813899295703</c:v>
                </c:pt>
                <c:pt idx="5">
                  <c:v>7.1068577313793897</c:v>
                </c:pt>
                <c:pt idx="6">
                  <c:v>6.8910527586542001</c:v>
                </c:pt>
                <c:pt idx="7">
                  <c:v>6.5167491001409896</c:v>
                </c:pt>
                <c:pt idx="8">
                  <c:v>6.0709684931006702</c:v>
                </c:pt>
                <c:pt idx="9">
                  <c:v>5.6357916676685997</c:v>
                </c:pt>
                <c:pt idx="10">
                  <c:v>5.2682428637648497</c:v>
                </c:pt>
                <c:pt idx="11">
                  <c:v>4.99461428966094</c:v>
                </c:pt>
                <c:pt idx="12">
                  <c:v>4.8055335056745498</c:v>
                </c:pt>
                <c:pt idx="13">
                  <c:v>4.6570031233431903</c:v>
                </c:pt>
                <c:pt idx="14">
                  <c:v>4.4570918366397398</c:v>
                </c:pt>
                <c:pt idx="15">
                  <c:v>4.0943722929846604</c:v>
                </c:pt>
                <c:pt idx="16">
                  <c:v>3.51978829197034</c:v>
                </c:pt>
                <c:pt idx="17">
                  <c:v>2.82819641355686</c:v>
                </c:pt>
                <c:pt idx="18">
                  <c:v>2.1609867796668998</c:v>
                </c:pt>
                <c:pt idx="19">
                  <c:v>1.60361818101875</c:v>
                </c:pt>
                <c:pt idx="20">
                  <c:v>1.1946118455300201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8-434B-BC0D-76F36A291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95648"/>
        <c:axId val="173602304"/>
      </c:scatterChart>
      <c:valAx>
        <c:axId val="17359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2304"/>
        <c:crossesAt val="0.30000000000000004"/>
        <c:crossBetween val="midCat"/>
      </c:valAx>
      <c:valAx>
        <c:axId val="17360230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9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Gauss 1'!$G$3:$G$23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1'!$M$3:$M$23</c:f>
              <c:numCache>
                <c:formatCode>General</c:formatCode>
                <c:ptCount val="21"/>
                <c:pt idx="0">
                  <c:v>0.99830776973856583</c:v>
                </c:pt>
                <c:pt idx="1">
                  <c:v>0.97508558523333755</c:v>
                </c:pt>
                <c:pt idx="2">
                  <c:v>0.99443585807844237</c:v>
                </c:pt>
                <c:pt idx="3">
                  <c:v>0.99963893810950499</c:v>
                </c:pt>
                <c:pt idx="4">
                  <c:v>0.99788631403693784</c:v>
                </c:pt>
                <c:pt idx="5">
                  <c:v>0.99839910011679556</c:v>
                </c:pt>
                <c:pt idx="6">
                  <c:v>0.99986731032693443</c:v>
                </c:pt>
                <c:pt idx="7">
                  <c:v>1.0008573682534549</c:v>
                </c:pt>
                <c:pt idx="8">
                  <c:v>1.0018838746096059</c:v>
                </c:pt>
                <c:pt idx="9">
                  <c:v>1.0024269830022128</c:v>
                </c:pt>
                <c:pt idx="10">
                  <c:v>1.0021690440190485</c:v>
                </c:pt>
                <c:pt idx="11">
                  <c:v>1.0013532009284118</c:v>
                </c:pt>
                <c:pt idx="12">
                  <c:v>1.0000829049932183</c:v>
                </c:pt>
                <c:pt idx="13">
                  <c:v>0.99906600405503432</c:v>
                </c:pt>
                <c:pt idx="14">
                  <c:v>0.99884382744642908</c:v>
                </c:pt>
                <c:pt idx="15">
                  <c:v>1.0000489057852975</c:v>
                </c:pt>
                <c:pt idx="16">
                  <c:v>1.0030845708408087</c:v>
                </c:pt>
                <c:pt idx="17">
                  <c:v>1.0081259899553281</c:v>
                </c:pt>
                <c:pt idx="18">
                  <c:v>1.0143227505760433</c:v>
                </c:pt>
                <c:pt idx="19">
                  <c:v>1.0186057340489052</c:v>
                </c:pt>
                <c:pt idx="20">
                  <c:v>1.0181610145831703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F-47C7-A560-0B63DDCEE9E0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1'!$J$3:$J$23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1'!$O$3:$O$23</c:f>
              <c:numCache>
                <c:formatCode>General</c:formatCode>
                <c:ptCount val="21"/>
                <c:pt idx="0">
                  <c:v>1.0000646866237537</c:v>
                </c:pt>
                <c:pt idx="1">
                  <c:v>1.0000103359001582</c:v>
                </c:pt>
                <c:pt idx="2">
                  <c:v>1.0001768408852569</c:v>
                </c:pt>
                <c:pt idx="3">
                  <c:v>1.0005661227483882</c:v>
                </c:pt>
                <c:pt idx="4">
                  <c:v>0.99984032947816159</c:v>
                </c:pt>
                <c:pt idx="5">
                  <c:v>0.99972409802645845</c:v>
                </c:pt>
                <c:pt idx="6">
                  <c:v>1.0000592058837738</c:v>
                </c:pt>
                <c:pt idx="7">
                  <c:v>0.99994263622760893</c:v>
                </c:pt>
                <c:pt idx="8">
                  <c:v>0.99997493037429031</c:v>
                </c:pt>
                <c:pt idx="9">
                  <c:v>1.00002221065096</c:v>
                </c:pt>
                <c:pt idx="10">
                  <c:v>1.0000765771303766</c:v>
                </c:pt>
                <c:pt idx="11">
                  <c:v>1.0001716457771743</c:v>
                </c:pt>
                <c:pt idx="12">
                  <c:v>1.0000744811870224</c:v>
                </c:pt>
                <c:pt idx="13">
                  <c:v>0.99993829037635662</c:v>
                </c:pt>
                <c:pt idx="14">
                  <c:v>0.99968628308179153</c:v>
                </c:pt>
                <c:pt idx="15">
                  <c:v>0.99934822471437179</c:v>
                </c:pt>
                <c:pt idx="16">
                  <c:v>0.99911457557363093</c:v>
                </c:pt>
                <c:pt idx="17">
                  <c:v>0.99900487716862885</c:v>
                </c:pt>
                <c:pt idx="18">
                  <c:v>0.99900697408163941</c:v>
                </c:pt>
                <c:pt idx="19">
                  <c:v>0.99925327835861277</c:v>
                </c:pt>
                <c:pt idx="20">
                  <c:v>0.99951381193784472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A-4CE3-9ACD-8BF533D18B00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Gauss 1'!$AA$3:$AA$23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1'!$AC$3:$AC$23</c:f>
              <c:numCache>
                <c:formatCode>General</c:formatCode>
                <c:ptCount val="21"/>
                <c:pt idx="0">
                  <c:v>0.78224747802809413</c:v>
                </c:pt>
                <c:pt idx="1">
                  <c:v>0.81190446087698509</c:v>
                </c:pt>
                <c:pt idx="2">
                  <c:v>0.91833442798585585</c:v>
                </c:pt>
                <c:pt idx="3">
                  <c:v>0.9728728525300061</c:v>
                </c:pt>
                <c:pt idx="4">
                  <c:v>0.99712525704557109</c:v>
                </c:pt>
                <c:pt idx="5">
                  <c:v>1.0199699432764213</c:v>
                </c:pt>
                <c:pt idx="6">
                  <c:v>1.038574989966502</c:v>
                </c:pt>
                <c:pt idx="7">
                  <c:v>1.0496232566138217</c:v>
                </c:pt>
                <c:pt idx="8">
                  <c:v>1.0554112547687453</c:v>
                </c:pt>
                <c:pt idx="9">
                  <c:v>1.0555506829743289</c:v>
                </c:pt>
                <c:pt idx="10">
                  <c:v>1.0502298854345011</c:v>
                </c:pt>
                <c:pt idx="11">
                  <c:v>1.0436270614319931</c:v>
                </c:pt>
                <c:pt idx="12">
                  <c:v>1.0431542684866411</c:v>
                </c:pt>
                <c:pt idx="13">
                  <c:v>1.0576245385768439</c:v>
                </c:pt>
                <c:pt idx="14">
                  <c:v>1.0887739016037234</c:v>
                </c:pt>
                <c:pt idx="15">
                  <c:v>1.1295609097398638</c:v>
                </c:pt>
                <c:pt idx="16">
                  <c:v>1.1703131068356447</c:v>
                </c:pt>
                <c:pt idx="17">
                  <c:v>1.2157984414773677</c:v>
                </c:pt>
                <c:pt idx="18">
                  <c:v>1.2721284774423927</c:v>
                </c:pt>
                <c:pt idx="19">
                  <c:v>1.3150718274959161</c:v>
                </c:pt>
                <c:pt idx="20">
                  <c:v>1.3003049629327179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0-4DE9-803C-F170AE03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62592"/>
        <c:axId val="173664896"/>
      </c:scatterChart>
      <c:valAx>
        <c:axId val="17366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64896"/>
        <c:crosses val="autoZero"/>
        <c:crossBetween val="midCat"/>
      </c:valAx>
      <c:valAx>
        <c:axId val="173664896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to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6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1'!$G$3:$G$23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1'!$O$3:$O$23</c:f>
              <c:numCache>
                <c:formatCode>General</c:formatCode>
                <c:ptCount val="21"/>
                <c:pt idx="0">
                  <c:v>1.0000646866237537</c:v>
                </c:pt>
                <c:pt idx="1">
                  <c:v>1.0000103359001582</c:v>
                </c:pt>
                <c:pt idx="2">
                  <c:v>1.0001768408852569</c:v>
                </c:pt>
                <c:pt idx="3">
                  <c:v>1.0005661227483882</c:v>
                </c:pt>
                <c:pt idx="4">
                  <c:v>0.99984032947816159</c:v>
                </c:pt>
                <c:pt idx="5">
                  <c:v>0.99972409802645845</c:v>
                </c:pt>
                <c:pt idx="6">
                  <c:v>1.0000592058837738</c:v>
                </c:pt>
                <c:pt idx="7">
                  <c:v>0.99994263622760893</c:v>
                </c:pt>
                <c:pt idx="8">
                  <c:v>0.99997493037429031</c:v>
                </c:pt>
                <c:pt idx="9">
                  <c:v>1.00002221065096</c:v>
                </c:pt>
                <c:pt idx="10">
                  <c:v>1.0000765771303766</c:v>
                </c:pt>
                <c:pt idx="11">
                  <c:v>1.0001716457771743</c:v>
                </c:pt>
                <c:pt idx="12">
                  <c:v>1.0000744811870224</c:v>
                </c:pt>
                <c:pt idx="13">
                  <c:v>0.99993829037635662</c:v>
                </c:pt>
                <c:pt idx="14">
                  <c:v>0.99968628308179153</c:v>
                </c:pt>
                <c:pt idx="15">
                  <c:v>0.99934822471437179</c:v>
                </c:pt>
                <c:pt idx="16">
                  <c:v>0.99911457557363093</c:v>
                </c:pt>
                <c:pt idx="17">
                  <c:v>0.99900487716862885</c:v>
                </c:pt>
                <c:pt idx="18">
                  <c:v>0.99900697408163941</c:v>
                </c:pt>
                <c:pt idx="19">
                  <c:v>0.99925327835861277</c:v>
                </c:pt>
                <c:pt idx="20">
                  <c:v>0.99951381193784472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1-4F90-A36C-DB326406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64704"/>
        <c:axId val="176267264"/>
      </c:scatterChart>
      <c:valAx>
        <c:axId val="17626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7264"/>
        <c:crosses val="autoZero"/>
        <c:crossBetween val="midCat"/>
      </c:valAx>
      <c:valAx>
        <c:axId val="1762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300036</xdr:colOff>
      <xdr:row>0</xdr:row>
      <xdr:rowOff>19048</xdr:rowOff>
    </xdr:from>
    <xdr:to>
      <xdr:col>18</xdr:col>
      <xdr:colOff>1114425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E0234-1487-BF4E-D040-B484C534D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300036</xdr:colOff>
      <xdr:row>20</xdr:row>
      <xdr:rowOff>57150</xdr:rowOff>
    </xdr:from>
    <xdr:to>
      <xdr:col>18</xdr:col>
      <xdr:colOff>1123950</xdr:colOff>
      <xdr:row>39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355C25-4B4D-63FB-A537-B87FA6B9A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447674</xdr:colOff>
      <xdr:row>0</xdr:row>
      <xdr:rowOff>0</xdr:rowOff>
    </xdr:from>
    <xdr:to>
      <xdr:col>23</xdr:col>
      <xdr:colOff>114299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04B3D-62EE-AF69-22BA-C0492115B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447675</xdr:colOff>
      <xdr:row>19</xdr:row>
      <xdr:rowOff>28575</xdr:rowOff>
    </xdr:from>
    <xdr:to>
      <xdr:col>23</xdr:col>
      <xdr:colOff>123825</xdr:colOff>
      <xdr:row>35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9087C6-4834-D3DC-0D8A-4FB026FBF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557211</xdr:colOff>
      <xdr:row>0</xdr:row>
      <xdr:rowOff>57150</xdr:rowOff>
    </xdr:from>
    <xdr:to>
      <xdr:col>24</xdr:col>
      <xdr:colOff>180974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568DF-3354-EE1B-BE40-9C302441B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542924</xdr:colOff>
      <xdr:row>19</xdr:row>
      <xdr:rowOff>28574</xdr:rowOff>
    </xdr:from>
    <xdr:to>
      <xdr:col>24</xdr:col>
      <xdr:colOff>190499</xdr:colOff>
      <xdr:row>35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176171-F7F7-1346-7561-4828A7C2C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552450</xdr:colOff>
      <xdr:row>35</xdr:row>
      <xdr:rowOff>114300</xdr:rowOff>
    </xdr:from>
    <xdr:to>
      <xdr:col>24</xdr:col>
      <xdr:colOff>209550</xdr:colOff>
      <xdr:row>53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C23A36-1D2B-A276-470E-46212294A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671511</xdr:colOff>
      <xdr:row>0</xdr:row>
      <xdr:rowOff>28575</xdr:rowOff>
    </xdr:from>
    <xdr:to>
      <xdr:col>24</xdr:col>
      <xdr:colOff>219074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D68DF-A4A0-51A8-DA30-39C4ADB21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661985</xdr:colOff>
      <xdr:row>19</xdr:row>
      <xdr:rowOff>47624</xdr:rowOff>
    </xdr:from>
    <xdr:to>
      <xdr:col>24</xdr:col>
      <xdr:colOff>352424</xdr:colOff>
      <xdr:row>37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C9670-1B29-FA97-EE3F-11A95020D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661986</xdr:colOff>
      <xdr:row>37</xdr:row>
      <xdr:rowOff>104774</xdr:rowOff>
    </xdr:from>
    <xdr:to>
      <xdr:col>24</xdr:col>
      <xdr:colOff>342900</xdr:colOff>
      <xdr:row>54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3A191F-1355-3E39-3B35-7B7B11384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zoomScaleNormal="100" workbookViewId="0">
      <selection activeCell="G3" sqref="G3:G23"/>
    </sheetView>
  </sheetViews>
  <sheetFormatPr defaultColWidth="20.625" defaultRowHeight="15.75" x14ac:dyDescent="0.25"/>
  <cols>
    <col min="1" max="1" width="13.5" customWidth="1"/>
    <col min="2" max="2" width="12.25" customWidth="1"/>
    <col min="3" max="3" width="13.25" customWidth="1"/>
    <col min="4" max="4" width="14.75" customWidth="1"/>
    <col min="5" max="5" width="10.25" customWidth="1"/>
    <col min="6" max="6" width="14" style="1" customWidth="1"/>
    <col min="7" max="7" width="14.5" style="3" customWidth="1"/>
    <col min="8" max="8" width="9.375" customWidth="1"/>
    <col min="9" max="9" width="14.625" customWidth="1"/>
    <col min="10" max="10" width="15.625" customWidth="1"/>
    <col min="11" max="11" width="9.375" customWidth="1"/>
    <col min="13" max="13" width="15.25" customWidth="1"/>
  </cols>
  <sheetData>
    <row r="1" spans="1:15" x14ac:dyDescent="0.25">
      <c r="B1" t="s">
        <v>4</v>
      </c>
      <c r="G1" s="1" t="s">
        <v>5</v>
      </c>
      <c r="J1" t="s">
        <v>6</v>
      </c>
      <c r="L1" t="s">
        <v>7</v>
      </c>
      <c r="M1" t="s">
        <v>9</v>
      </c>
      <c r="N1" t="s">
        <v>8</v>
      </c>
      <c r="O1" t="s">
        <v>9</v>
      </c>
    </row>
    <row r="2" spans="1:15" x14ac:dyDescent="0.25">
      <c r="A2" t="s">
        <v>0</v>
      </c>
      <c r="B2" t="s">
        <v>1</v>
      </c>
      <c r="C2" t="s">
        <v>3</v>
      </c>
      <c r="D2" t="s">
        <v>10</v>
      </c>
      <c r="F2" t="s">
        <v>0</v>
      </c>
      <c r="G2" t="s">
        <v>10</v>
      </c>
      <c r="I2" t="s">
        <v>0</v>
      </c>
      <c r="J2" t="s">
        <v>10</v>
      </c>
    </row>
    <row r="3" spans="1:15" x14ac:dyDescent="0.25">
      <c r="A3">
        <v>1683.3</v>
      </c>
      <c r="B3">
        <v>401.76207799999997</v>
      </c>
      <c r="C3">
        <f t="shared" ref="C3:C23" si="0">B3*4*PI()/(0.0064886478302)</f>
        <v>778080.6268210524</v>
      </c>
      <c r="D3">
        <f>C3/(4000*PI())/(4*PI())</f>
        <v>4.9272531299175713</v>
      </c>
      <c r="F3" s="1">
        <v>1683.3</v>
      </c>
      <c r="G3" s="3">
        <v>5.0793790999999997</v>
      </c>
      <c r="I3">
        <v>1683.3</v>
      </c>
      <c r="J3">
        <v>3.8486850743057599</v>
      </c>
      <c r="L3">
        <f>D3/G3</f>
        <v>0.97005028231060197</v>
      </c>
      <c r="M3">
        <f>1-L3</f>
        <v>2.9949717689398025E-2</v>
      </c>
      <c r="N3">
        <f>J3/G3</f>
        <v>0.7577077824936832</v>
      </c>
      <c r="O3">
        <f>1-N3</f>
        <v>0.2422922175063168</v>
      </c>
    </row>
    <row r="4" spans="1:15" x14ac:dyDescent="0.25">
      <c r="A4">
        <v>1685.3</v>
      </c>
      <c r="B4">
        <v>563.68052799999998</v>
      </c>
      <c r="C4">
        <f t="shared" si="0"/>
        <v>1091663.2568618429</v>
      </c>
      <c r="D4">
        <f t="shared" ref="D4:D23" si="1">C4/(4000*PI())/(4*PI())</f>
        <v>6.9130383327557094</v>
      </c>
      <c r="F4" s="1">
        <v>1685.3</v>
      </c>
      <c r="G4" s="3">
        <v>6.8898349000000003</v>
      </c>
      <c r="I4">
        <v>1685.3</v>
      </c>
      <c r="J4">
        <v>5.6635341157331602</v>
      </c>
      <c r="L4">
        <f t="shared" ref="L4:L23" si="2">D4/G4</f>
        <v>1.0033677777613668</v>
      </c>
      <c r="M4">
        <f t="shared" ref="M4:M23" si="3">1-L4</f>
        <v>-3.3677777613667637E-3</v>
      </c>
      <c r="N4">
        <f t="shared" ref="N4:N23" si="4">J4/G4</f>
        <v>0.82201303774828627</v>
      </c>
      <c r="O4">
        <f t="shared" ref="O4:O23" si="5">1-N4</f>
        <v>0.17798696225171373</v>
      </c>
    </row>
    <row r="5" spans="1:15" x14ac:dyDescent="0.25">
      <c r="A5">
        <v>1687.3</v>
      </c>
      <c r="B5">
        <v>594.76377600000001</v>
      </c>
      <c r="C5">
        <f t="shared" si="0"/>
        <v>1151861.2556572251</v>
      </c>
      <c r="D5">
        <f t="shared" si="1"/>
        <v>7.2942466134337192</v>
      </c>
      <c r="F5" s="1">
        <v>1687.3</v>
      </c>
      <c r="G5" s="3">
        <v>7.1898704000000002</v>
      </c>
      <c r="I5">
        <v>1687.3</v>
      </c>
      <c r="J5">
        <v>6.6245991030050098</v>
      </c>
      <c r="L5">
        <f t="shared" si="2"/>
        <v>1.014517120285467</v>
      </c>
      <c r="M5">
        <f t="shared" si="3"/>
        <v>-1.4517120285467033E-2</v>
      </c>
      <c r="N5">
        <f t="shared" si="4"/>
        <v>0.92137948731384778</v>
      </c>
      <c r="O5">
        <f t="shared" si="5"/>
        <v>7.8620512686152222E-2</v>
      </c>
    </row>
    <row r="6" spans="1:15" x14ac:dyDescent="0.25">
      <c r="A6">
        <v>1689.3</v>
      </c>
      <c r="B6">
        <v>596.71323600000005</v>
      </c>
      <c r="C6">
        <f t="shared" si="0"/>
        <v>1155636.7166621897</v>
      </c>
      <c r="D6">
        <f t="shared" si="1"/>
        <v>7.3181549995473754</v>
      </c>
      <c r="F6" s="1">
        <v>1689.3</v>
      </c>
      <c r="G6" s="3">
        <v>7.1974893</v>
      </c>
      <c r="I6">
        <v>1689.3</v>
      </c>
      <c r="J6">
        <v>7.0005106863160096</v>
      </c>
      <c r="L6">
        <f t="shared" si="2"/>
        <v>1.0167649710222391</v>
      </c>
      <c r="M6">
        <f t="shared" si="3"/>
        <v>-1.6764971022239061E-2</v>
      </c>
      <c r="N6">
        <f t="shared" si="4"/>
        <v>0.97263231587103705</v>
      </c>
      <c r="O6">
        <f t="shared" si="5"/>
        <v>2.7367684128962955E-2</v>
      </c>
    </row>
    <row r="7" spans="1:15" x14ac:dyDescent="0.25">
      <c r="A7">
        <v>1691.3</v>
      </c>
      <c r="B7">
        <v>588.61953000000005</v>
      </c>
      <c r="C7">
        <f t="shared" si="0"/>
        <v>1139961.8777895542</v>
      </c>
      <c r="D7">
        <f t="shared" si="1"/>
        <v>7.2188929227987275</v>
      </c>
      <c r="F7" s="1">
        <v>1691.3</v>
      </c>
      <c r="G7" s="3">
        <v>7.1663756000000003</v>
      </c>
      <c r="I7">
        <v>1691.3</v>
      </c>
      <c r="J7">
        <v>7.1400462824932402</v>
      </c>
      <c r="L7">
        <f t="shared" si="2"/>
        <v>1.0073282961611345</v>
      </c>
      <c r="M7">
        <f t="shared" si="3"/>
        <v>-7.3282961611345065E-3</v>
      </c>
      <c r="N7">
        <f t="shared" si="4"/>
        <v>0.99632599252727416</v>
      </c>
      <c r="O7">
        <f t="shared" si="5"/>
        <v>3.6740074727258376E-3</v>
      </c>
    </row>
    <row r="8" spans="1:15" x14ac:dyDescent="0.25">
      <c r="A8">
        <v>1693.3</v>
      </c>
      <c r="B8">
        <v>566.42427499999997</v>
      </c>
      <c r="C8">
        <f t="shared" si="0"/>
        <v>1096976.9897960855</v>
      </c>
      <c r="D8">
        <f t="shared" si="1"/>
        <v>6.946687939659256</v>
      </c>
      <c r="F8" s="1">
        <v>1693.3</v>
      </c>
      <c r="G8" s="3">
        <v>6.9597726</v>
      </c>
      <c r="I8">
        <v>1693.3</v>
      </c>
      <c r="J8">
        <v>7.1133280599170403</v>
      </c>
      <c r="L8">
        <f t="shared" si="2"/>
        <v>0.99811995864049585</v>
      </c>
      <c r="M8">
        <f t="shared" si="3"/>
        <v>1.8800413595041476E-3</v>
      </c>
      <c r="N8">
        <f t="shared" si="4"/>
        <v>1.022063286940875</v>
      </c>
      <c r="O8">
        <f t="shared" si="5"/>
        <v>-2.2063286940875004E-2</v>
      </c>
    </row>
    <row r="9" spans="1:15" x14ac:dyDescent="0.25">
      <c r="A9">
        <v>1695.3</v>
      </c>
      <c r="B9">
        <v>534.60156600000005</v>
      </c>
      <c r="C9">
        <f t="shared" si="0"/>
        <v>1035346.8989494729</v>
      </c>
      <c r="D9">
        <f t="shared" si="1"/>
        <v>6.5564108301240314</v>
      </c>
      <c r="F9" s="1">
        <v>1695.3</v>
      </c>
      <c r="G9" s="3">
        <v>6.6039833999999997</v>
      </c>
      <c r="I9">
        <v>1695.3</v>
      </c>
      <c r="J9">
        <v>6.8898340468384296</v>
      </c>
      <c r="L9">
        <f t="shared" si="2"/>
        <v>0.99279638257782898</v>
      </c>
      <c r="M9">
        <f t="shared" si="3"/>
        <v>7.2036174221710159E-3</v>
      </c>
      <c r="N9">
        <f t="shared" si="4"/>
        <v>1.0432845798550054</v>
      </c>
      <c r="O9">
        <f t="shared" si="5"/>
        <v>-4.3284579855005445E-2</v>
      </c>
    </row>
    <row r="10" spans="1:15" x14ac:dyDescent="0.25">
      <c r="A10">
        <v>1697.3</v>
      </c>
      <c r="B10">
        <v>498.90910200000002</v>
      </c>
      <c r="C10">
        <f t="shared" si="0"/>
        <v>966222.36907807004</v>
      </c>
      <c r="D10">
        <f t="shared" si="1"/>
        <v>6.1186746310433637</v>
      </c>
      <c r="F10" s="1">
        <v>1697.3</v>
      </c>
      <c r="G10" s="3">
        <v>6.1644696999999997</v>
      </c>
      <c r="I10">
        <v>1697.3</v>
      </c>
      <c r="J10">
        <v>6.5107438194860601</v>
      </c>
      <c r="L10">
        <f t="shared" si="2"/>
        <v>0.99257112595481878</v>
      </c>
      <c r="M10">
        <f t="shared" si="3"/>
        <v>7.4288740451812219E-3</v>
      </c>
      <c r="N10">
        <f t="shared" si="4"/>
        <v>1.0561725722305133</v>
      </c>
      <c r="O10">
        <f t="shared" si="5"/>
        <v>-5.6172572230513307E-2</v>
      </c>
    </row>
    <row r="11" spans="1:15" x14ac:dyDescent="0.25">
      <c r="A11">
        <v>1699.3</v>
      </c>
      <c r="B11">
        <v>463.38560799999999</v>
      </c>
      <c r="C11">
        <f t="shared" si="0"/>
        <v>897425.07836315618</v>
      </c>
      <c r="D11">
        <f t="shared" si="1"/>
        <v>5.6830106981295447</v>
      </c>
      <c r="F11" s="1">
        <v>1699.3</v>
      </c>
      <c r="G11" s="3">
        <v>5.7154002000000004</v>
      </c>
      <c r="I11">
        <v>1699.3</v>
      </c>
      <c r="J11">
        <v>6.0590971338840198</v>
      </c>
      <c r="L11">
        <f t="shared" si="2"/>
        <v>0.99433294244724002</v>
      </c>
      <c r="M11">
        <f t="shared" si="3"/>
        <v>5.6670575527599798E-3</v>
      </c>
      <c r="N11">
        <f t="shared" si="4"/>
        <v>1.0601352349541542</v>
      </c>
      <c r="O11">
        <f t="shared" si="5"/>
        <v>-6.0135234954154182E-2</v>
      </c>
    </row>
    <row r="12" spans="1:15" x14ac:dyDescent="0.25">
      <c r="A12">
        <v>1701.3</v>
      </c>
      <c r="B12">
        <v>432.23585100000003</v>
      </c>
      <c r="C12">
        <f t="shared" si="0"/>
        <v>837098.27357227833</v>
      </c>
      <c r="D12">
        <f t="shared" si="1"/>
        <v>5.3009867439562957</v>
      </c>
      <c r="F12" s="1">
        <v>1701.3</v>
      </c>
      <c r="G12" s="3">
        <v>5.3245038999999998</v>
      </c>
      <c r="I12">
        <v>1701.3</v>
      </c>
      <c r="J12">
        <v>5.6210457365443398</v>
      </c>
      <c r="L12">
        <f t="shared" si="2"/>
        <v>0.9955832211816571</v>
      </c>
      <c r="M12">
        <f t="shared" si="3"/>
        <v>4.4167788183429035E-3</v>
      </c>
      <c r="N12">
        <f t="shared" si="4"/>
        <v>1.0556937964763891</v>
      </c>
      <c r="O12">
        <f t="shared" si="5"/>
        <v>-5.5693796476389057E-2</v>
      </c>
    </row>
    <row r="13" spans="1:15" x14ac:dyDescent="0.25">
      <c r="A13">
        <v>1703.3</v>
      </c>
      <c r="B13">
        <v>408.60017499999998</v>
      </c>
      <c r="C13">
        <f t="shared" si="0"/>
        <v>791323.76521407708</v>
      </c>
      <c r="D13">
        <f t="shared" si="1"/>
        <v>5.0111162834876062</v>
      </c>
      <c r="F13" s="1">
        <v>1703.3</v>
      </c>
      <c r="G13" s="3">
        <v>5.0269341000000001</v>
      </c>
      <c r="I13">
        <v>1703.3</v>
      </c>
      <c r="J13">
        <v>5.2540932825324802</v>
      </c>
      <c r="L13">
        <f t="shared" si="2"/>
        <v>0.99685338693570824</v>
      </c>
      <c r="M13">
        <f t="shared" si="3"/>
        <v>3.1466130642917589E-3</v>
      </c>
      <c r="N13">
        <f t="shared" si="4"/>
        <v>1.0451884146506873</v>
      </c>
      <c r="O13">
        <f t="shared" si="5"/>
        <v>-4.5188414650687347E-2</v>
      </c>
    </row>
    <row r="14" spans="1:15" x14ac:dyDescent="0.25">
      <c r="A14">
        <v>1705.3</v>
      </c>
      <c r="B14">
        <v>392.72198200000003</v>
      </c>
      <c r="C14">
        <f t="shared" si="0"/>
        <v>760572.94267819403</v>
      </c>
      <c r="D14">
        <f t="shared" si="1"/>
        <v>4.8163844249056593</v>
      </c>
      <c r="F14" s="1">
        <v>1705.3</v>
      </c>
      <c r="G14" s="3">
        <v>4.8174472000000002</v>
      </c>
      <c r="I14">
        <v>1705.3</v>
      </c>
      <c r="J14">
        <v>4.9820513187487503</v>
      </c>
      <c r="L14">
        <f t="shared" si="2"/>
        <v>0.99977939040113595</v>
      </c>
      <c r="M14">
        <f t="shared" si="3"/>
        <v>2.2060959886405218E-4</v>
      </c>
      <c r="N14">
        <f t="shared" si="4"/>
        <v>1.0341683285597298</v>
      </c>
      <c r="O14">
        <f t="shared" si="5"/>
        <v>-3.4168328559729844E-2</v>
      </c>
    </row>
    <row r="15" spans="1:15" x14ac:dyDescent="0.25">
      <c r="A15">
        <v>1707.3</v>
      </c>
      <c r="B15">
        <v>380.49227999999999</v>
      </c>
      <c r="C15">
        <f t="shared" si="0"/>
        <v>736888.04378140287</v>
      </c>
      <c r="D15">
        <f t="shared" si="1"/>
        <v>4.6663980504886604</v>
      </c>
      <c r="F15" s="1">
        <v>1707.3</v>
      </c>
      <c r="G15" s="3">
        <v>4.6500864000000002</v>
      </c>
      <c r="I15">
        <v>1707.3</v>
      </c>
      <c r="J15">
        <v>4.7960772839779997</v>
      </c>
      <c r="L15">
        <f t="shared" si="2"/>
        <v>1.0035078166480218</v>
      </c>
      <c r="M15">
        <f t="shared" si="3"/>
        <v>-3.5078166480217998E-3</v>
      </c>
      <c r="N15">
        <f t="shared" si="4"/>
        <v>1.0313953056824923</v>
      </c>
      <c r="O15">
        <f t="shared" si="5"/>
        <v>-3.1395305682492269E-2</v>
      </c>
    </row>
    <row r="16" spans="1:15" x14ac:dyDescent="0.25">
      <c r="A16">
        <v>1709.3</v>
      </c>
      <c r="B16">
        <v>363.84723400000001</v>
      </c>
      <c r="C16">
        <f t="shared" si="0"/>
        <v>704652.07992533862</v>
      </c>
      <c r="D16">
        <f t="shared" si="1"/>
        <v>4.4622614246294079</v>
      </c>
      <c r="F16" s="1">
        <v>1709.3</v>
      </c>
      <c r="G16" s="3">
        <v>4.4415015999999996</v>
      </c>
      <c r="I16">
        <v>1709.3</v>
      </c>
      <c r="J16">
        <v>4.6490326074341404</v>
      </c>
      <c r="L16">
        <f t="shared" si="2"/>
        <v>1.004674055420673</v>
      </c>
      <c r="M16">
        <f t="shared" si="3"/>
        <v>-4.6740554206730067E-3</v>
      </c>
      <c r="N16">
        <f t="shared" si="4"/>
        <v>1.0467254154392607</v>
      </c>
      <c r="O16">
        <f t="shared" si="5"/>
        <v>-4.6725415439260676E-2</v>
      </c>
    </row>
    <row r="17" spans="1:15" x14ac:dyDescent="0.25">
      <c r="A17">
        <v>1711.3</v>
      </c>
      <c r="B17">
        <v>335.14563900000002</v>
      </c>
      <c r="C17">
        <f t="shared" si="0"/>
        <v>649066.55742024048</v>
      </c>
      <c r="D17">
        <f t="shared" si="1"/>
        <v>4.1102619912797609</v>
      </c>
      <c r="F17" s="1">
        <v>1711.3</v>
      </c>
      <c r="G17" s="3">
        <v>4.1015357999999997</v>
      </c>
      <c r="I17">
        <v>1711.3</v>
      </c>
      <c r="J17">
        <v>4.4506162907493403</v>
      </c>
      <c r="L17">
        <f t="shared" si="2"/>
        <v>1.0021275423902825</v>
      </c>
      <c r="M17">
        <f t="shared" si="3"/>
        <v>-2.1275423902824553E-3</v>
      </c>
      <c r="N17">
        <f t="shared" si="4"/>
        <v>1.0851097022606362</v>
      </c>
      <c r="O17">
        <f t="shared" si="5"/>
        <v>-8.5109702260636189E-2</v>
      </c>
    </row>
    <row r="18" spans="1:15" x14ac:dyDescent="0.25">
      <c r="A18">
        <v>1713.3</v>
      </c>
      <c r="B18">
        <v>291.74120099999999</v>
      </c>
      <c r="C18">
        <f t="shared" si="0"/>
        <v>565006.47764871083</v>
      </c>
      <c r="D18">
        <f t="shared" si="1"/>
        <v>3.5779453175597156</v>
      </c>
      <c r="F18" s="1">
        <v>1713.3</v>
      </c>
      <c r="G18" s="3">
        <v>3.5876849000000002</v>
      </c>
      <c r="I18">
        <v>1713.3</v>
      </c>
      <c r="J18">
        <v>4.0851547448543197</v>
      </c>
      <c r="L18">
        <f t="shared" si="2"/>
        <v>0.99728527373173581</v>
      </c>
      <c r="M18">
        <f t="shared" si="3"/>
        <v>2.7147262682641893E-3</v>
      </c>
      <c r="N18">
        <f t="shared" si="4"/>
        <v>1.1386604060056444</v>
      </c>
      <c r="O18">
        <f t="shared" si="5"/>
        <v>-0.13866040600564444</v>
      </c>
    </row>
    <row r="19" spans="1:15" x14ac:dyDescent="0.25">
      <c r="A19">
        <v>1715.3</v>
      </c>
      <c r="B19">
        <v>237.97983500000001</v>
      </c>
      <c r="C19">
        <f t="shared" si="0"/>
        <v>460888.44449766766</v>
      </c>
      <c r="D19">
        <f t="shared" si="1"/>
        <v>2.9186101702237246</v>
      </c>
      <c r="F19" s="1">
        <v>1715.3</v>
      </c>
      <c r="G19" s="3">
        <v>2.9394124000000001</v>
      </c>
      <c r="I19">
        <v>1715.3</v>
      </c>
      <c r="J19">
        <v>3.5057364393585502</v>
      </c>
      <c r="L19">
        <f t="shared" si="2"/>
        <v>0.99292299720302069</v>
      </c>
      <c r="M19">
        <f t="shared" si="3"/>
        <v>7.0770027969793148E-3</v>
      </c>
      <c r="N19">
        <f t="shared" si="4"/>
        <v>1.1926657312048319</v>
      </c>
      <c r="O19">
        <f t="shared" si="5"/>
        <v>-0.19266573120483188</v>
      </c>
    </row>
    <row r="20" spans="1:15" x14ac:dyDescent="0.25">
      <c r="A20">
        <v>1717.3</v>
      </c>
      <c r="B20">
        <v>182.77120199999999</v>
      </c>
      <c r="C20">
        <f t="shared" si="0"/>
        <v>353967.53253799427</v>
      </c>
      <c r="D20">
        <f t="shared" si="1"/>
        <v>2.241525585481706</v>
      </c>
      <c r="F20" s="1">
        <v>1717.3</v>
      </c>
      <c r="G20" s="3">
        <v>2.2624895999999999</v>
      </c>
      <c r="I20">
        <v>1717.3</v>
      </c>
      <c r="J20">
        <v>2.8086269254407501</v>
      </c>
      <c r="L20">
        <f t="shared" si="2"/>
        <v>0.99073409463703443</v>
      </c>
      <c r="M20">
        <f t="shared" si="3"/>
        <v>9.2659053629655652E-3</v>
      </c>
      <c r="N20">
        <f t="shared" si="4"/>
        <v>1.2413877727618063</v>
      </c>
      <c r="O20">
        <f t="shared" si="5"/>
        <v>-0.24138777276180634</v>
      </c>
    </row>
    <row r="21" spans="1:15" x14ac:dyDescent="0.25">
      <c r="A21">
        <v>1719.3</v>
      </c>
      <c r="B21">
        <v>134.7687</v>
      </c>
      <c r="C21">
        <f t="shared" si="0"/>
        <v>261002.51943603889</v>
      </c>
      <c r="D21">
        <f t="shared" si="1"/>
        <v>1.6528177626807332</v>
      </c>
      <c r="F21" s="1">
        <v>1719.3</v>
      </c>
      <c r="G21" s="3">
        <v>1.6679299000000001</v>
      </c>
      <c r="I21">
        <v>1719.3</v>
      </c>
      <c r="J21">
        <v>2.13734700193426</v>
      </c>
      <c r="L21">
        <f t="shared" si="2"/>
        <v>0.99093958485949152</v>
      </c>
      <c r="M21">
        <f t="shared" si="3"/>
        <v>9.0604151405084821E-3</v>
      </c>
      <c r="N21">
        <f t="shared" si="4"/>
        <v>1.2814369488395525</v>
      </c>
      <c r="O21">
        <f t="shared" si="5"/>
        <v>-0.2814369488395525</v>
      </c>
    </row>
    <row r="22" spans="1:15" x14ac:dyDescent="0.25">
      <c r="A22">
        <v>1721.3</v>
      </c>
      <c r="B22">
        <v>99.127857000000006</v>
      </c>
      <c r="C22">
        <f t="shared" si="0"/>
        <v>191977.96241482915</v>
      </c>
      <c r="D22">
        <f t="shared" si="1"/>
        <v>1.2157146490696702</v>
      </c>
      <c r="F22" s="1">
        <v>1721.3</v>
      </c>
      <c r="G22" s="3">
        <v>1.2250714</v>
      </c>
      <c r="I22">
        <v>1721.3</v>
      </c>
      <c r="J22">
        <v>1.57936579267363</v>
      </c>
      <c r="L22">
        <f t="shared" si="2"/>
        <v>0.99236228114513991</v>
      </c>
      <c r="M22">
        <f t="shared" si="3"/>
        <v>7.6377188548600872E-3</v>
      </c>
      <c r="N22">
        <f t="shared" si="4"/>
        <v>1.2892030559799452</v>
      </c>
      <c r="O22">
        <f t="shared" si="5"/>
        <v>-0.28920305597994522</v>
      </c>
    </row>
    <row r="23" spans="1:15" x14ac:dyDescent="0.25">
      <c r="A23">
        <v>1723.3</v>
      </c>
      <c r="B23">
        <v>76.558486000000002</v>
      </c>
      <c r="C23">
        <f t="shared" si="0"/>
        <v>148268.53512877034</v>
      </c>
      <c r="D23">
        <f t="shared" si="1"/>
        <v>0.93892146726015946</v>
      </c>
      <c r="F23" s="1">
        <v>1723.3</v>
      </c>
      <c r="G23" s="3">
        <v>0.94466167999999995</v>
      </c>
      <c r="I23">
        <v>1723.3</v>
      </c>
      <c r="J23">
        <v>1.1737921806909</v>
      </c>
      <c r="L23">
        <f t="shared" si="2"/>
        <v>0.99392352536217998</v>
      </c>
      <c r="M23">
        <f t="shared" si="3"/>
        <v>6.0764746378200174E-3</v>
      </c>
      <c r="N23">
        <f t="shared" si="4"/>
        <v>1.2425529748289357</v>
      </c>
      <c r="O23">
        <f t="shared" si="5"/>
        <v>-0.24255297482893567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opLeftCell="C1" zoomScaleNormal="100" workbookViewId="0">
      <selection activeCell="G3" sqref="G3:G23"/>
    </sheetView>
  </sheetViews>
  <sheetFormatPr defaultRowHeight="15.75" x14ac:dyDescent="0.25"/>
  <cols>
    <col min="1" max="1" width="12.375" customWidth="1"/>
    <col min="4" max="4" width="14.25" customWidth="1"/>
    <col min="5" max="5" width="11.875" customWidth="1"/>
    <col min="6" max="6" width="14.25" style="1" customWidth="1"/>
    <col min="7" max="7" width="13.875" style="2" customWidth="1"/>
    <col min="9" max="9" width="15" customWidth="1"/>
    <col min="10" max="10" width="14.125" customWidth="1"/>
  </cols>
  <sheetData>
    <row r="1" spans="1:15" x14ac:dyDescent="0.25">
      <c r="B1" t="s">
        <v>4</v>
      </c>
      <c r="G1" s="2" t="s">
        <v>5</v>
      </c>
      <c r="J1" t="s">
        <v>6</v>
      </c>
      <c r="L1" t="s">
        <v>7</v>
      </c>
      <c r="M1" t="s">
        <v>9</v>
      </c>
      <c r="N1" t="s">
        <v>8</v>
      </c>
      <c r="O1" t="s">
        <v>9</v>
      </c>
    </row>
    <row r="2" spans="1:15" x14ac:dyDescent="0.25">
      <c r="A2" t="s">
        <v>0</v>
      </c>
      <c r="B2" t="s">
        <v>1</v>
      </c>
      <c r="C2" t="s">
        <v>3</v>
      </c>
      <c r="D2" t="s">
        <v>10</v>
      </c>
      <c r="F2" t="s">
        <v>0</v>
      </c>
      <c r="G2" t="s">
        <v>10</v>
      </c>
      <c r="I2" t="s">
        <v>0</v>
      </c>
      <c r="J2" t="s">
        <v>10</v>
      </c>
      <c r="L2" s="1"/>
    </row>
    <row r="3" spans="1:15" x14ac:dyDescent="0.25">
      <c r="A3">
        <v>1683.3</v>
      </c>
      <c r="B3">
        <v>405.03526900000003</v>
      </c>
      <c r="C3" s="4">
        <f t="shared" ref="C3:C23" si="0">B3*4*PI()/(0.0064886478302)</f>
        <v>784419.71815008787</v>
      </c>
      <c r="D3">
        <f>C3/(4000*PI())/(4*PI())</f>
        <v>4.9673958947097443</v>
      </c>
      <c r="F3" s="1">
        <v>1683.3</v>
      </c>
      <c r="G3" s="2">
        <v>5.0484719</v>
      </c>
      <c r="I3">
        <v>1683.3</v>
      </c>
      <c r="J3">
        <v>3.9283973615998402</v>
      </c>
      <c r="L3">
        <f>D3/G3</f>
        <v>0.98394048597353667</v>
      </c>
      <c r="M3">
        <f>1-L3</f>
        <v>1.6059514026463328E-2</v>
      </c>
      <c r="N3">
        <f>J3/G3</f>
        <v>0.77813592695243883</v>
      </c>
      <c r="O3">
        <f>1-N3</f>
        <v>0.22186407304756117</v>
      </c>
    </row>
    <row r="4" spans="1:15" x14ac:dyDescent="0.25">
      <c r="A4">
        <v>1685.3</v>
      </c>
      <c r="B4">
        <v>548.55977900000005</v>
      </c>
      <c r="C4" s="4">
        <f t="shared" si="0"/>
        <v>1062379.3535166304</v>
      </c>
      <c r="D4">
        <f t="shared" ref="D4:D23" si="1">C4/(4000*PI())/(4*PI())</f>
        <v>6.7275958484679128</v>
      </c>
      <c r="F4" s="1">
        <v>1685.3</v>
      </c>
      <c r="G4" s="2">
        <v>6.8573155000000003</v>
      </c>
      <c r="I4">
        <v>1685.3</v>
      </c>
      <c r="J4">
        <v>5.5727255090154104</v>
      </c>
      <c r="L4">
        <f t="shared" ref="L4:L23" si="2">D4/G4</f>
        <v>0.98108302709244055</v>
      </c>
      <c r="M4">
        <f t="shared" ref="M4:M23" si="3">1-L4</f>
        <v>1.8916972907559448E-2</v>
      </c>
      <c r="N4">
        <f t="shared" ref="N4:N23" si="4">J4/G4</f>
        <v>0.81266867610443327</v>
      </c>
      <c r="O4">
        <f t="shared" ref="O4:O23" si="5">1-N4</f>
        <v>0.18733132389556673</v>
      </c>
    </row>
    <row r="5" spans="1:15" x14ac:dyDescent="0.25">
      <c r="A5">
        <v>1687.3</v>
      </c>
      <c r="B5">
        <v>590.80184399999996</v>
      </c>
      <c r="C5" s="4">
        <f t="shared" si="0"/>
        <v>1144188.3001873402</v>
      </c>
      <c r="D5">
        <f t="shared" si="1"/>
        <v>7.2456570552934885</v>
      </c>
      <c r="F5" s="1">
        <v>1687.3</v>
      </c>
      <c r="G5" s="2">
        <v>7.1827911999999996</v>
      </c>
      <c r="I5">
        <v>1687.3</v>
      </c>
      <c r="J5">
        <v>6.6231418003786304</v>
      </c>
      <c r="L5">
        <f t="shared" si="2"/>
        <v>1.0087522877309156</v>
      </c>
      <c r="M5">
        <f t="shared" si="3"/>
        <v>-8.7522877309156311E-3</v>
      </c>
      <c r="N5">
        <f t="shared" si="4"/>
        <v>0.9220846904722263</v>
      </c>
      <c r="O5">
        <f t="shared" si="5"/>
        <v>7.7915309527773702E-2</v>
      </c>
    </row>
    <row r="6" spans="1:15" x14ac:dyDescent="0.25">
      <c r="A6">
        <v>1689.3</v>
      </c>
      <c r="B6">
        <v>595.52045299999997</v>
      </c>
      <c r="C6" s="4">
        <f t="shared" si="0"/>
        <v>1153326.6894218849</v>
      </c>
      <c r="D6">
        <f t="shared" si="1"/>
        <v>7.303526581157767</v>
      </c>
      <c r="F6" s="1">
        <v>1689.3</v>
      </c>
      <c r="G6" s="2">
        <v>7.1988028999999996</v>
      </c>
      <c r="I6">
        <v>1689.3</v>
      </c>
      <c r="J6">
        <v>7.0136062735391898</v>
      </c>
      <c r="L6">
        <f t="shared" si="2"/>
        <v>1.0145473744194007</v>
      </c>
      <c r="M6">
        <f t="shared" si="3"/>
        <v>-1.4547374419400683E-2</v>
      </c>
      <c r="N6">
        <f t="shared" si="4"/>
        <v>0.97427396901493024</v>
      </c>
      <c r="O6">
        <f t="shared" si="5"/>
        <v>2.5726030985069759E-2</v>
      </c>
    </row>
    <row r="7" spans="1:15" x14ac:dyDescent="0.25">
      <c r="A7">
        <v>1691.3</v>
      </c>
      <c r="B7">
        <v>586.39778999999999</v>
      </c>
      <c r="C7" s="4">
        <f t="shared" si="0"/>
        <v>1135659.1002341437</v>
      </c>
      <c r="D7">
        <f t="shared" si="1"/>
        <v>7.1916452656197354</v>
      </c>
      <c r="F7" s="1">
        <v>1691.3</v>
      </c>
      <c r="G7" s="2">
        <v>7.1622262000000001</v>
      </c>
      <c r="I7">
        <v>1691.3</v>
      </c>
      <c r="J7">
        <v>7.14279024668659</v>
      </c>
      <c r="L7">
        <f t="shared" si="2"/>
        <v>1.0041075309265903</v>
      </c>
      <c r="M7">
        <f t="shared" si="3"/>
        <v>-4.1075309265903304E-3</v>
      </c>
      <c r="N7">
        <f t="shared" si="4"/>
        <v>0.9972863251214531</v>
      </c>
      <c r="O7">
        <f t="shared" si="5"/>
        <v>2.7136748785469011E-3</v>
      </c>
    </row>
    <row r="8" spans="1:15" x14ac:dyDescent="0.25">
      <c r="A8">
        <v>1693.3</v>
      </c>
      <c r="B8">
        <v>564.88699099999997</v>
      </c>
      <c r="C8" s="4">
        <f t="shared" si="0"/>
        <v>1093999.7777499005</v>
      </c>
      <c r="D8">
        <f t="shared" si="1"/>
        <v>6.9278345241296488</v>
      </c>
      <c r="F8" s="1">
        <v>1693.3</v>
      </c>
      <c r="G8" s="2">
        <v>6.9564576000000002</v>
      </c>
      <c r="I8">
        <v>1693.3</v>
      </c>
      <c r="J8">
        <v>7.1108847306549299</v>
      </c>
      <c r="L8">
        <f t="shared" si="2"/>
        <v>0.99588539490697803</v>
      </c>
      <c r="M8">
        <f t="shared" si="3"/>
        <v>4.1146050930219724E-3</v>
      </c>
      <c r="N8">
        <f t="shared" si="4"/>
        <v>1.0221991047073915</v>
      </c>
      <c r="O8">
        <f t="shared" si="5"/>
        <v>-2.2199104707391504E-2</v>
      </c>
    </row>
    <row r="9" spans="1:15" x14ac:dyDescent="0.25">
      <c r="A9">
        <v>1695.3</v>
      </c>
      <c r="B9">
        <v>533.82791399999996</v>
      </c>
      <c r="C9" s="4">
        <f t="shared" si="0"/>
        <v>1033848.5902088918</v>
      </c>
      <c r="D9">
        <f t="shared" si="1"/>
        <v>6.5469226791829476</v>
      </c>
      <c r="F9" s="1">
        <v>1695.3</v>
      </c>
      <c r="G9" s="2">
        <v>6.6019807000000004</v>
      </c>
      <c r="I9">
        <v>1695.3</v>
      </c>
      <c r="J9">
        <v>6.88805635402404</v>
      </c>
      <c r="L9">
        <f t="shared" si="2"/>
        <v>0.99166037840476373</v>
      </c>
      <c r="M9">
        <f t="shared" si="3"/>
        <v>8.3396215952362684E-3</v>
      </c>
      <c r="N9">
        <f t="shared" si="4"/>
        <v>1.0433317919308731</v>
      </c>
      <c r="O9">
        <f t="shared" si="5"/>
        <v>-4.3331791930873109E-2</v>
      </c>
    </row>
    <row r="10" spans="1:15" x14ac:dyDescent="0.25">
      <c r="A10">
        <v>1697.3</v>
      </c>
      <c r="B10">
        <v>498.768235</v>
      </c>
      <c r="C10" s="4">
        <f t="shared" si="0"/>
        <v>965949.55616301333</v>
      </c>
      <c r="D10">
        <f t="shared" si="1"/>
        <v>6.11694702307671</v>
      </c>
      <c r="F10" s="1">
        <v>1697.3</v>
      </c>
      <c r="G10" s="2">
        <v>6.1642422999999997</v>
      </c>
      <c r="I10">
        <v>1697.3</v>
      </c>
      <c r="J10">
        <v>6.5086347686005803</v>
      </c>
      <c r="L10">
        <f t="shared" si="2"/>
        <v>0.99232747925510822</v>
      </c>
      <c r="M10">
        <f t="shared" si="3"/>
        <v>7.6725207448917754E-3</v>
      </c>
      <c r="N10">
        <f t="shared" si="4"/>
        <v>1.0558693918635516</v>
      </c>
      <c r="O10">
        <f t="shared" si="5"/>
        <v>-5.5869391863551554E-2</v>
      </c>
    </row>
    <row r="11" spans="1:15" x14ac:dyDescent="0.25">
      <c r="A11">
        <v>1699.3</v>
      </c>
      <c r="B11">
        <v>463.84173099999998</v>
      </c>
      <c r="C11" s="4">
        <f t="shared" si="0"/>
        <v>898308.43816534127</v>
      </c>
      <c r="D11">
        <f t="shared" si="1"/>
        <v>5.688604639425761</v>
      </c>
      <c r="F11" s="1">
        <v>1699.3</v>
      </c>
      <c r="G11" s="2">
        <v>5.7167683</v>
      </c>
      <c r="I11">
        <v>1699.3</v>
      </c>
      <c r="J11">
        <v>6.0593913316227201</v>
      </c>
      <c r="L11">
        <f t="shared" si="2"/>
        <v>0.99507349972986681</v>
      </c>
      <c r="M11">
        <f t="shared" si="3"/>
        <v>4.9265002701331939E-3</v>
      </c>
      <c r="N11">
        <f t="shared" si="4"/>
        <v>1.0599329924955538</v>
      </c>
      <c r="O11">
        <f t="shared" si="5"/>
        <v>-5.9932992495553838E-2</v>
      </c>
    </row>
    <row r="12" spans="1:15" x14ac:dyDescent="0.25">
      <c r="A12">
        <v>1701.3</v>
      </c>
      <c r="B12">
        <v>433.11591399999998</v>
      </c>
      <c r="C12" s="4">
        <f t="shared" si="0"/>
        <v>838802.66532097396</v>
      </c>
      <c r="D12">
        <f t="shared" si="1"/>
        <v>5.3117799307918006</v>
      </c>
      <c r="F12" s="1">
        <v>1701.3</v>
      </c>
      <c r="G12" s="2">
        <v>5.3268895000000001</v>
      </c>
      <c r="I12">
        <v>1701.3</v>
      </c>
      <c r="J12">
        <v>5.6227332175478004</v>
      </c>
      <c r="L12">
        <f t="shared" si="2"/>
        <v>0.99716352869564884</v>
      </c>
      <c r="M12">
        <f t="shared" si="3"/>
        <v>2.8364713043511625E-3</v>
      </c>
      <c r="N12">
        <f t="shared" si="4"/>
        <v>1.0555377988501171</v>
      </c>
      <c r="O12">
        <f t="shared" si="5"/>
        <v>-5.5537798850117115E-2</v>
      </c>
    </row>
    <row r="13" spans="1:15" x14ac:dyDescent="0.25">
      <c r="A13">
        <v>1703.3</v>
      </c>
      <c r="B13">
        <v>409.52406999999999</v>
      </c>
      <c r="C13" s="4">
        <f t="shared" si="0"/>
        <v>793113.04508911003</v>
      </c>
      <c r="D13">
        <f t="shared" si="1"/>
        <v>5.0224470306629652</v>
      </c>
      <c r="F13" s="1">
        <v>1703.3</v>
      </c>
      <c r="G13" s="2">
        <v>5.0289130000000002</v>
      </c>
      <c r="I13">
        <v>1703.3</v>
      </c>
      <c r="J13">
        <v>5.2558052958276198</v>
      </c>
      <c r="L13">
        <f t="shared" si="2"/>
        <v>0.99871424116165164</v>
      </c>
      <c r="M13">
        <f t="shared" si="3"/>
        <v>1.2857588383483609E-3</v>
      </c>
      <c r="N13">
        <f t="shared" si="4"/>
        <v>1.0451175623494817</v>
      </c>
      <c r="O13">
        <f t="shared" si="5"/>
        <v>-4.5117562349481721E-2</v>
      </c>
    </row>
    <row r="14" spans="1:15" x14ac:dyDescent="0.25">
      <c r="A14">
        <v>1705.3</v>
      </c>
      <c r="B14">
        <v>393.15239500000001</v>
      </c>
      <c r="C14" s="4">
        <f t="shared" si="0"/>
        <v>761406.51069063321</v>
      </c>
      <c r="D14">
        <f t="shared" si="1"/>
        <v>4.8216630560098297</v>
      </c>
      <c r="F14" s="1">
        <v>1705.3</v>
      </c>
      <c r="G14" s="2">
        <v>4.8184155999999998</v>
      </c>
      <c r="I14">
        <v>1705.3</v>
      </c>
      <c r="J14">
        <v>4.9841257318874597</v>
      </c>
      <c r="L14">
        <f t="shared" si="2"/>
        <v>1.0006739676025103</v>
      </c>
      <c r="M14">
        <f t="shared" si="3"/>
        <v>-6.7396760251026144E-4</v>
      </c>
      <c r="N14">
        <f t="shared" si="4"/>
        <v>1.0343910002050176</v>
      </c>
      <c r="O14">
        <f t="shared" si="5"/>
        <v>-3.4391000205017619E-2</v>
      </c>
    </row>
    <row r="15" spans="1:15" x14ac:dyDescent="0.25">
      <c r="A15">
        <v>1707.3</v>
      </c>
      <c r="B15">
        <v>379.98452400000002</v>
      </c>
      <c r="C15" s="4">
        <f t="shared" si="0"/>
        <v>735904.68788898306</v>
      </c>
      <c r="D15">
        <f t="shared" si="1"/>
        <v>4.6601708765535577</v>
      </c>
      <c r="F15" s="1">
        <v>1707.3</v>
      </c>
      <c r="G15" s="2">
        <v>4.6494255000000004</v>
      </c>
      <c r="I15">
        <v>1707.3</v>
      </c>
      <c r="J15">
        <v>4.7972448367281402</v>
      </c>
      <c r="L15">
        <f t="shared" si="2"/>
        <v>1.0023111192024816</v>
      </c>
      <c r="M15">
        <f t="shared" si="3"/>
        <v>-2.3111192024816152E-3</v>
      </c>
      <c r="N15">
        <f t="shared" si="4"/>
        <v>1.0317930326506231</v>
      </c>
      <c r="O15">
        <f t="shared" si="5"/>
        <v>-3.1793032650623054E-2</v>
      </c>
    </row>
    <row r="16" spans="1:15" x14ac:dyDescent="0.25">
      <c r="A16">
        <v>1709.3</v>
      </c>
      <c r="B16">
        <v>362.54094600000002</v>
      </c>
      <c r="C16" s="4">
        <f t="shared" si="0"/>
        <v>702122.23093882273</v>
      </c>
      <c r="D16">
        <f t="shared" si="1"/>
        <v>4.446240968770022</v>
      </c>
      <c r="F16" s="1">
        <v>1709.3</v>
      </c>
      <c r="G16" s="2">
        <v>4.4384480000000002</v>
      </c>
      <c r="I16">
        <v>1709.3</v>
      </c>
      <c r="J16">
        <v>4.6491953201319802</v>
      </c>
      <c r="L16">
        <f t="shared" si="2"/>
        <v>1.0017557868809146</v>
      </c>
      <c r="M16">
        <f t="shared" si="3"/>
        <v>-1.7557868809146004E-3</v>
      </c>
      <c r="N16">
        <f t="shared" si="4"/>
        <v>1.0474822100274646</v>
      </c>
      <c r="O16">
        <f t="shared" si="5"/>
        <v>-4.7482210027464555E-2</v>
      </c>
    </row>
    <row r="17" spans="1:15" x14ac:dyDescent="0.25">
      <c r="A17">
        <v>1711.3</v>
      </c>
      <c r="B17">
        <v>333.72122200000001</v>
      </c>
      <c r="C17" s="4">
        <f t="shared" si="0"/>
        <v>646307.93152470607</v>
      </c>
      <c r="D17">
        <f t="shared" si="1"/>
        <v>4.0927927887196391</v>
      </c>
      <c r="F17" s="1">
        <v>1711.3</v>
      </c>
      <c r="G17" s="2">
        <v>4.0974879</v>
      </c>
      <c r="I17">
        <v>1711.3</v>
      </c>
      <c r="J17">
        <v>4.4469323583301597</v>
      </c>
      <c r="L17">
        <f t="shared" si="2"/>
        <v>0.99885414883583656</v>
      </c>
      <c r="M17">
        <f t="shared" si="3"/>
        <v>1.1458511641634361E-3</v>
      </c>
      <c r="N17">
        <f t="shared" si="4"/>
        <v>1.0852826089688172</v>
      </c>
      <c r="O17">
        <f t="shared" si="5"/>
        <v>-8.5282608968817231E-2</v>
      </c>
    </row>
    <row r="18" spans="1:15" x14ac:dyDescent="0.25">
      <c r="A18">
        <v>1713.3</v>
      </c>
      <c r="B18">
        <v>291.06091800000002</v>
      </c>
      <c r="C18" s="4">
        <f t="shared" si="0"/>
        <v>563688.99386405235</v>
      </c>
      <c r="D18">
        <f t="shared" si="1"/>
        <v>3.5696022540290167</v>
      </c>
      <c r="F18" s="1">
        <v>1713.3</v>
      </c>
      <c r="G18" s="2">
        <v>3.5844847999999998</v>
      </c>
      <c r="I18">
        <v>1713.3</v>
      </c>
      <c r="J18">
        <v>4.0799405852361996</v>
      </c>
      <c r="L18">
        <f t="shared" si="2"/>
        <v>0.99584806553762395</v>
      </c>
      <c r="M18">
        <f t="shared" si="3"/>
        <v>4.1519344623760501E-3</v>
      </c>
      <c r="N18">
        <f t="shared" si="4"/>
        <v>1.1382223144693486</v>
      </c>
      <c r="O18">
        <f t="shared" si="5"/>
        <v>-0.13822231446934863</v>
      </c>
    </row>
    <row r="19" spans="1:15" x14ac:dyDescent="0.25">
      <c r="A19">
        <v>1715.3</v>
      </c>
      <c r="B19">
        <v>238.52310199999999</v>
      </c>
      <c r="C19" s="4">
        <f t="shared" si="0"/>
        <v>461940.57348404551</v>
      </c>
      <c r="D19">
        <f t="shared" si="1"/>
        <v>2.9252728548639881</v>
      </c>
      <c r="F19" s="1">
        <v>1715.3</v>
      </c>
      <c r="G19" s="2">
        <v>2.9387506999999999</v>
      </c>
      <c r="I19">
        <v>1715.3</v>
      </c>
      <c r="J19">
        <v>3.5016196087387201</v>
      </c>
      <c r="L19">
        <f t="shared" si="2"/>
        <v>0.99541375008910693</v>
      </c>
      <c r="M19">
        <f t="shared" si="3"/>
        <v>4.5862499108930699E-3</v>
      </c>
      <c r="N19">
        <f t="shared" si="4"/>
        <v>1.191533398439929</v>
      </c>
      <c r="O19">
        <f t="shared" si="5"/>
        <v>-0.191533398439929</v>
      </c>
    </row>
    <row r="20" spans="1:15" x14ac:dyDescent="0.25">
      <c r="A20">
        <v>1717.3</v>
      </c>
      <c r="B20">
        <v>184.37926300000001</v>
      </c>
      <c r="C20" s="4">
        <f t="shared" si="0"/>
        <v>357081.81628790678</v>
      </c>
      <c r="D20">
        <f t="shared" si="1"/>
        <v>2.2612470177154078</v>
      </c>
      <c r="F20" s="1">
        <v>1717.3</v>
      </c>
      <c r="G20" s="2">
        <v>2.2643366</v>
      </c>
      <c r="I20">
        <v>1717.3</v>
      </c>
      <c r="J20">
        <v>2.8074703149347902</v>
      </c>
      <c r="L20">
        <f t="shared" si="2"/>
        <v>0.99863554637389507</v>
      </c>
      <c r="M20">
        <f t="shared" si="3"/>
        <v>1.3644536261049334E-3</v>
      </c>
      <c r="N20">
        <f t="shared" si="4"/>
        <v>1.2398643889494125</v>
      </c>
      <c r="O20">
        <f t="shared" si="5"/>
        <v>-0.23986438894941253</v>
      </c>
    </row>
    <row r="21" spans="1:15" x14ac:dyDescent="0.25">
      <c r="A21">
        <v>1719.3</v>
      </c>
      <c r="B21">
        <v>136.91031899999999</v>
      </c>
      <c r="C21" s="4">
        <f t="shared" si="0"/>
        <v>265150.1290417714</v>
      </c>
      <c r="D21">
        <f t="shared" si="1"/>
        <v>1.6790828073394302</v>
      </c>
      <c r="F21" s="1">
        <v>1719.3</v>
      </c>
      <c r="G21" s="2">
        <v>1.6713928</v>
      </c>
      <c r="I21">
        <v>1719.3</v>
      </c>
      <c r="J21">
        <v>2.1389979329745401</v>
      </c>
      <c r="L21">
        <f t="shared" si="2"/>
        <v>1.0046009575603234</v>
      </c>
      <c r="M21">
        <f t="shared" si="3"/>
        <v>-4.6009575603234154E-3</v>
      </c>
      <c r="N21">
        <f t="shared" si="4"/>
        <v>1.2797697423218168</v>
      </c>
      <c r="O21">
        <f t="shared" si="5"/>
        <v>-0.27976974232181684</v>
      </c>
    </row>
    <row r="22" spans="1:15" x14ac:dyDescent="0.25">
      <c r="A22">
        <v>1721.3</v>
      </c>
      <c r="B22">
        <v>101.213554</v>
      </c>
      <c r="C22" s="4">
        <f t="shared" si="0"/>
        <v>196017.26955202187</v>
      </c>
      <c r="D22">
        <f t="shared" si="1"/>
        <v>1.2412938603343773</v>
      </c>
      <c r="F22" s="1">
        <v>1721.3</v>
      </c>
      <c r="G22" s="2">
        <v>1.2287846</v>
      </c>
      <c r="I22">
        <v>1721.3</v>
      </c>
      <c r="J22">
        <v>1.58275591400337</v>
      </c>
      <c r="L22">
        <f t="shared" si="2"/>
        <v>1.010180189704833</v>
      </c>
      <c r="M22">
        <f t="shared" si="3"/>
        <v>-1.0180189704833031E-2</v>
      </c>
      <c r="N22">
        <f t="shared" si="4"/>
        <v>1.2880662029808723</v>
      </c>
      <c r="O22">
        <f t="shared" si="5"/>
        <v>-0.28806620298087227</v>
      </c>
    </row>
    <row r="23" spans="1:15" x14ac:dyDescent="0.25">
      <c r="A23">
        <v>1723.3</v>
      </c>
      <c r="B23">
        <v>78.212664000000004</v>
      </c>
      <c r="C23" s="4">
        <f t="shared" si="0"/>
        <v>151472.13229632977</v>
      </c>
      <c r="D23">
        <f t="shared" si="1"/>
        <v>0.9592084833183071</v>
      </c>
      <c r="F23" s="1">
        <v>1723.3</v>
      </c>
      <c r="G23" s="2">
        <v>0.94766355000000002</v>
      </c>
      <c r="I23">
        <v>1723.3</v>
      </c>
      <c r="J23">
        <v>1.1774183916826499</v>
      </c>
      <c r="L23">
        <f t="shared" si="2"/>
        <v>1.0121825233420734</v>
      </c>
      <c r="M23">
        <f t="shared" si="3"/>
        <v>-1.218252334207337E-2</v>
      </c>
      <c r="N23">
        <f t="shared" si="4"/>
        <v>1.2424434723511841</v>
      </c>
      <c r="O23">
        <f t="shared" si="5"/>
        <v>-0.24244347235118413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3"/>
  <sheetViews>
    <sheetView workbookViewId="0">
      <selection activeCell="H3" sqref="H3:H23"/>
    </sheetView>
  </sheetViews>
  <sheetFormatPr defaultRowHeight="15.75" x14ac:dyDescent="0.25"/>
  <cols>
    <col min="1" max="1" width="13.875" customWidth="1"/>
    <col min="5" max="5" width="14.375" customWidth="1"/>
    <col min="7" max="7" width="14" style="1" customWidth="1"/>
    <col min="8" max="8" width="14" style="2" customWidth="1"/>
    <col min="10" max="10" width="15" customWidth="1"/>
    <col min="11" max="11" width="14.125" customWidth="1"/>
    <col min="27" max="27" width="9.125" customWidth="1"/>
    <col min="28" max="28" width="13.5" customWidth="1"/>
  </cols>
  <sheetData>
    <row r="1" spans="1:29" x14ac:dyDescent="0.25">
      <c r="B1" t="s">
        <v>4</v>
      </c>
      <c r="H1" s="2" t="s">
        <v>5</v>
      </c>
      <c r="K1" t="s">
        <v>6</v>
      </c>
      <c r="M1" t="s">
        <v>7</v>
      </c>
      <c r="N1" t="s">
        <v>9</v>
      </c>
      <c r="O1" t="s">
        <v>8</v>
      </c>
      <c r="P1" t="s">
        <v>9</v>
      </c>
      <c r="AB1" t="s">
        <v>11</v>
      </c>
    </row>
    <row r="2" spans="1:29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G2" t="s">
        <v>0</v>
      </c>
      <c r="H2" t="s">
        <v>10</v>
      </c>
      <c r="J2" t="s">
        <v>0</v>
      </c>
      <c r="K2" t="s">
        <v>10</v>
      </c>
    </row>
    <row r="3" spans="1:29" x14ac:dyDescent="0.25">
      <c r="A3">
        <v>1683.3</v>
      </c>
      <c r="B3">
        <v>406.04776099999998</v>
      </c>
      <c r="C3">
        <v>0</v>
      </c>
      <c r="D3">
        <f t="shared" ref="D3:D23" si="0">B3*4*PI()/(0.0064886478302)</f>
        <v>786380.58119105233</v>
      </c>
      <c r="E3">
        <f>D3/(4000*PI())/(4*PI())</f>
        <v>4.9798132049766828</v>
      </c>
      <c r="G3" s="1">
        <v>1683.3</v>
      </c>
      <c r="H3" s="2">
        <v>5.0314417000000002</v>
      </c>
      <c r="J3">
        <v>1683.3</v>
      </c>
      <c r="K3">
        <v>5.0310608550685698</v>
      </c>
      <c r="M3">
        <f>E3/H3</f>
        <v>0.98973882674158431</v>
      </c>
      <c r="N3">
        <f>1-M3</f>
        <v>1.026117325841569E-2</v>
      </c>
      <c r="O3">
        <f>K3/H3</f>
        <v>0.99992430699705204</v>
      </c>
      <c r="P3">
        <f>1-O3</f>
        <v>7.5693002947962995E-5</v>
      </c>
      <c r="AA3">
        <v>1683.3</v>
      </c>
      <c r="AB3">
        <v>3.8420181665010702</v>
      </c>
      <c r="AC3">
        <f>AB3/H3</f>
        <v>0.76360184527251307</v>
      </c>
    </row>
    <row r="4" spans="1:29" x14ac:dyDescent="0.25">
      <c r="A4">
        <v>1685.3</v>
      </c>
      <c r="B4">
        <v>555.61042599999996</v>
      </c>
      <c r="C4">
        <v>0</v>
      </c>
      <c r="D4">
        <f t="shared" si="0"/>
        <v>1076034.1311516014</v>
      </c>
      <c r="E4">
        <f t="shared" ref="E4:E23" si="1">D4/(4000*PI())/(4*PI())</f>
        <v>6.8140657379896741</v>
      </c>
      <c r="G4" s="1">
        <v>1685.3</v>
      </c>
      <c r="H4" s="2">
        <v>6.8375440000000003</v>
      </c>
      <c r="J4">
        <v>1685.3</v>
      </c>
      <c r="K4">
        <v>6.8376257172716404</v>
      </c>
      <c r="M4">
        <f t="shared" ref="M4:M23" si="2">E4/H4</f>
        <v>0.99656627262503517</v>
      </c>
      <c r="N4">
        <f t="shared" ref="N4:N23" si="3">1-M4</f>
        <v>3.4337273749648345E-3</v>
      </c>
      <c r="O4">
        <f t="shared" ref="O4:O23" si="4">K4/H4</f>
        <v>1.0000119512608094</v>
      </c>
      <c r="P4">
        <f t="shared" ref="P4:P23" si="5">1-O4</f>
        <v>-1.1951260809439646E-5</v>
      </c>
      <c r="AA4">
        <v>1685.3</v>
      </c>
      <c r="AB4">
        <v>5.62008176906697</v>
      </c>
      <c r="AC4">
        <f t="shared" ref="AC4:AC23" si="6">AB4/H4</f>
        <v>0.82194451239611321</v>
      </c>
    </row>
    <row r="5" spans="1:29" x14ac:dyDescent="0.25">
      <c r="A5">
        <v>1687.3</v>
      </c>
      <c r="B5">
        <v>584.01619300000004</v>
      </c>
      <c r="C5">
        <v>0</v>
      </c>
      <c r="D5">
        <f t="shared" si="0"/>
        <v>1131046.7323973884</v>
      </c>
      <c r="E5">
        <f t="shared" si="1"/>
        <v>7.1624371050813664</v>
      </c>
      <c r="G5" s="1">
        <v>1687.3</v>
      </c>
      <c r="H5" s="2">
        <v>7.1715135999999999</v>
      </c>
      <c r="J5">
        <v>1687.3</v>
      </c>
      <c r="K5">
        <v>7.1723817281463003</v>
      </c>
      <c r="M5">
        <f t="shared" si="2"/>
        <v>0.99873436830425399</v>
      </c>
      <c r="N5">
        <f t="shared" si="3"/>
        <v>1.2656316957460056E-3</v>
      </c>
      <c r="O5">
        <f t="shared" si="4"/>
        <v>1.0001210522903143</v>
      </c>
      <c r="P5">
        <f t="shared" si="5"/>
        <v>-1.2105229031433851E-4</v>
      </c>
      <c r="AA5">
        <v>1687.3</v>
      </c>
      <c r="AB5">
        <v>6.5796968632439903</v>
      </c>
      <c r="AC5">
        <f t="shared" si="6"/>
        <v>0.91747673228200954</v>
      </c>
    </row>
    <row r="6" spans="1:29" x14ac:dyDescent="0.25">
      <c r="A6">
        <v>1689.3</v>
      </c>
      <c r="B6">
        <v>585.60475499999995</v>
      </c>
      <c r="C6">
        <v>0</v>
      </c>
      <c r="D6">
        <f t="shared" si="0"/>
        <v>1134123.2530159026</v>
      </c>
      <c r="E6">
        <f t="shared" si="1"/>
        <v>7.1819193994918615</v>
      </c>
      <c r="G6" s="1">
        <v>1689.3</v>
      </c>
      <c r="H6" s="2">
        <v>7.1832089000000003</v>
      </c>
      <c r="J6">
        <v>1689.3</v>
      </c>
      <c r="K6">
        <v>7.1871275219676098</v>
      </c>
      <c r="M6">
        <f t="shared" si="2"/>
        <v>0.9998204840585746</v>
      </c>
      <c r="N6">
        <f t="shared" si="3"/>
        <v>1.7951594142540106E-4</v>
      </c>
      <c r="O6">
        <f t="shared" si="4"/>
        <v>1.0005455252690214</v>
      </c>
      <c r="P6">
        <f t="shared" si="5"/>
        <v>-5.4552526902140741E-4</v>
      </c>
      <c r="AA6">
        <v>1689.3</v>
      </c>
      <c r="AB6">
        <v>6.9739780495268704</v>
      </c>
      <c r="AC6">
        <f t="shared" si="6"/>
        <v>0.97087223086702523</v>
      </c>
    </row>
    <row r="7" spans="1:29" x14ac:dyDescent="0.25">
      <c r="A7">
        <v>1691.3</v>
      </c>
      <c r="B7">
        <v>583.18746499999997</v>
      </c>
      <c r="C7">
        <v>0</v>
      </c>
      <c r="D7">
        <f t="shared" si="0"/>
        <v>1129441.7596112208</v>
      </c>
      <c r="E7">
        <f t="shared" si="1"/>
        <v>7.1522734961808521</v>
      </c>
      <c r="G7" s="1">
        <v>1691.3</v>
      </c>
      <c r="H7" s="2">
        <v>7.1552958000000002</v>
      </c>
      <c r="J7">
        <v>1691.3</v>
      </c>
      <c r="K7">
        <v>7.1532946891264499</v>
      </c>
      <c r="M7">
        <f t="shared" si="2"/>
        <v>0.99957761301508341</v>
      </c>
      <c r="N7">
        <f t="shared" si="3"/>
        <v>4.2238698491658955E-4</v>
      </c>
      <c r="O7">
        <f t="shared" si="4"/>
        <v>0.9997203314957922</v>
      </c>
      <c r="P7">
        <f t="shared" si="5"/>
        <v>2.7966850420779732E-4</v>
      </c>
      <c r="AA7">
        <v>1691.3</v>
      </c>
      <c r="AB7">
        <v>7.1268250220726301</v>
      </c>
      <c r="AC7">
        <f t="shared" si="6"/>
        <v>0.9960210201334555</v>
      </c>
    </row>
    <row r="8" spans="1:29" x14ac:dyDescent="0.25">
      <c r="A8">
        <v>1693.3</v>
      </c>
      <c r="B8">
        <v>568.61545100000001</v>
      </c>
      <c r="C8">
        <v>0</v>
      </c>
      <c r="D8">
        <f t="shared" si="0"/>
        <v>1101220.5749648064</v>
      </c>
      <c r="E8">
        <f t="shared" si="1"/>
        <v>6.9735607566706221</v>
      </c>
      <c r="G8" s="1">
        <v>1693.3</v>
      </c>
      <c r="H8" s="2">
        <v>6.9717039999999999</v>
      </c>
      <c r="J8">
        <v>1693.3</v>
      </c>
      <c r="K8">
        <v>6.9689634807480001</v>
      </c>
      <c r="M8">
        <f t="shared" si="2"/>
        <v>1.0002663275248953</v>
      </c>
      <c r="N8">
        <f t="shared" si="3"/>
        <v>-2.6632752489530453E-4</v>
      </c>
      <c r="O8">
        <f t="shared" si="4"/>
        <v>0.99960690826059173</v>
      </c>
      <c r="P8">
        <f t="shared" si="5"/>
        <v>3.9309173940826891E-4</v>
      </c>
      <c r="AA8">
        <v>1693.3</v>
      </c>
      <c r="AB8">
        <v>7.1090591486812196</v>
      </c>
      <c r="AC8">
        <f t="shared" si="6"/>
        <v>1.0197018044198691</v>
      </c>
    </row>
    <row r="9" spans="1:29" x14ac:dyDescent="0.25">
      <c r="A9">
        <v>1695.3</v>
      </c>
      <c r="B9">
        <v>541.91486499999996</v>
      </c>
      <c r="C9">
        <v>0</v>
      </c>
      <c r="D9">
        <f t="shared" si="0"/>
        <v>1049510.3468746147</v>
      </c>
      <c r="E9">
        <f t="shared" si="1"/>
        <v>6.6461019118885289</v>
      </c>
      <c r="G9" s="1">
        <v>1695.3</v>
      </c>
      <c r="H9" s="2">
        <v>6.6377496999999996</v>
      </c>
      <c r="J9">
        <v>1695.3</v>
      </c>
      <c r="K9">
        <v>6.6377967051265196</v>
      </c>
      <c r="M9">
        <f t="shared" si="2"/>
        <v>1.001258289671352</v>
      </c>
      <c r="N9">
        <f t="shared" si="3"/>
        <v>-1.2582896713519975E-3</v>
      </c>
      <c r="O9">
        <f t="shared" si="4"/>
        <v>1.0000070814852389</v>
      </c>
      <c r="P9">
        <f t="shared" si="5"/>
        <v>-7.0814852388689786E-6</v>
      </c>
      <c r="AA9">
        <v>1695.3</v>
      </c>
      <c r="AB9">
        <v>6.8924566969417898</v>
      </c>
      <c r="AC9">
        <f t="shared" si="6"/>
        <v>1.038372491951872</v>
      </c>
    </row>
    <row r="10" spans="1:29" x14ac:dyDescent="0.25">
      <c r="A10">
        <v>1697.3</v>
      </c>
      <c r="B10">
        <v>507.00494700000002</v>
      </c>
      <c r="C10">
        <v>0</v>
      </c>
      <c r="D10">
        <f t="shared" si="0"/>
        <v>981901.35048817238</v>
      </c>
      <c r="E10">
        <f t="shared" si="1"/>
        <v>6.2179629407169745</v>
      </c>
      <c r="G10" s="1">
        <v>1697.3</v>
      </c>
      <c r="H10" s="2">
        <v>6.2092885999999998</v>
      </c>
      <c r="J10">
        <v>1697.3</v>
      </c>
      <c r="K10">
        <v>6.2091652034522404</v>
      </c>
      <c r="M10">
        <f t="shared" si="2"/>
        <v>1.0013969942896477</v>
      </c>
      <c r="N10">
        <f t="shared" si="3"/>
        <v>-1.3969942896476795E-3</v>
      </c>
      <c r="O10">
        <f t="shared" si="4"/>
        <v>0.99998012710381035</v>
      </c>
      <c r="P10">
        <f t="shared" si="5"/>
        <v>1.9872896189654377E-5</v>
      </c>
      <c r="AA10">
        <v>1697.3</v>
      </c>
      <c r="AB10">
        <v>6.5188015018916703</v>
      </c>
      <c r="AC10">
        <f t="shared" si="6"/>
        <v>1.049846757306734</v>
      </c>
    </row>
    <row r="11" spans="1:29" x14ac:dyDescent="0.25">
      <c r="A11">
        <v>1699.3</v>
      </c>
      <c r="B11">
        <v>469.44208700000001</v>
      </c>
      <c r="C11">
        <v>0</v>
      </c>
      <c r="D11">
        <f t="shared" si="0"/>
        <v>909154.48050112638</v>
      </c>
      <c r="E11">
        <f t="shared" si="1"/>
        <v>5.7572880048818025</v>
      </c>
      <c r="G11" s="1">
        <v>1699.3</v>
      </c>
      <c r="H11" s="2">
        <v>5.7513446999999998</v>
      </c>
      <c r="J11">
        <v>1699.3</v>
      </c>
      <c r="K11">
        <v>5.7512892271169198</v>
      </c>
      <c r="M11">
        <f t="shared" si="2"/>
        <v>1.0010333765739694</v>
      </c>
      <c r="N11">
        <f t="shared" si="3"/>
        <v>-1.0333765739694023E-3</v>
      </c>
      <c r="O11">
        <f t="shared" si="4"/>
        <v>0.99999035479770848</v>
      </c>
      <c r="P11">
        <f t="shared" si="5"/>
        <v>9.6452022915194391E-6</v>
      </c>
      <c r="AA11">
        <v>1699.3</v>
      </c>
      <c r="AB11">
        <v>6.0707392172809804</v>
      </c>
      <c r="AC11">
        <f t="shared" si="6"/>
        <v>1.0555338853678828</v>
      </c>
    </row>
    <row r="12" spans="1:29" x14ac:dyDescent="0.25">
      <c r="A12">
        <v>1701.3</v>
      </c>
      <c r="B12">
        <v>435.37606299999999</v>
      </c>
      <c r="C12">
        <v>0</v>
      </c>
      <c r="D12">
        <f t="shared" si="0"/>
        <v>843179.82844045828</v>
      </c>
      <c r="E12">
        <f t="shared" si="1"/>
        <v>5.3394986400581592</v>
      </c>
      <c r="G12" s="1">
        <v>1701.3</v>
      </c>
      <c r="H12" s="2">
        <v>5.3371005</v>
      </c>
      <c r="J12">
        <v>1701.3</v>
      </c>
      <c r="K12">
        <v>5.3372496334742996</v>
      </c>
      <c r="M12">
        <f t="shared" si="2"/>
        <v>1.0004493338767293</v>
      </c>
      <c r="N12">
        <f t="shared" si="3"/>
        <v>-4.4933387672929648E-4</v>
      </c>
      <c r="O12">
        <f t="shared" si="4"/>
        <v>1.0000279427892167</v>
      </c>
      <c r="P12">
        <f t="shared" si="5"/>
        <v>-2.7942789216695019E-5</v>
      </c>
      <c r="AA12">
        <v>1701.3</v>
      </c>
      <c r="AB12">
        <v>5.6342248042530496</v>
      </c>
      <c r="AC12">
        <f t="shared" si="6"/>
        <v>1.0556714838427812</v>
      </c>
    </row>
    <row r="13" spans="1:29" x14ac:dyDescent="0.25">
      <c r="A13">
        <v>1703.3</v>
      </c>
      <c r="B13">
        <v>408.83198199999998</v>
      </c>
      <c r="C13">
        <v>0</v>
      </c>
      <c r="D13">
        <f t="shared" si="0"/>
        <v>791772.69891324383</v>
      </c>
      <c r="E13">
        <f t="shared" si="1"/>
        <v>5.013959189348637</v>
      </c>
      <c r="G13" s="1">
        <v>1703.3</v>
      </c>
      <c r="H13" s="2">
        <v>5.0141977999999998</v>
      </c>
      <c r="J13">
        <v>1703.3</v>
      </c>
      <c r="K13">
        <v>5.0145171749052704</v>
      </c>
      <c r="M13">
        <f t="shared" si="2"/>
        <v>0.99995241299588089</v>
      </c>
      <c r="N13">
        <f t="shared" si="3"/>
        <v>4.7587004119109544E-5</v>
      </c>
      <c r="O13">
        <f t="shared" si="4"/>
        <v>1.000063694117785</v>
      </c>
      <c r="P13">
        <f t="shared" si="5"/>
        <v>-6.3694117784951487E-5</v>
      </c>
      <c r="AA13">
        <v>1703.3</v>
      </c>
      <c r="AB13">
        <v>5.2668026110801103</v>
      </c>
      <c r="AC13">
        <f t="shared" si="6"/>
        <v>1.0503779111147371</v>
      </c>
    </row>
    <row r="14" spans="1:29" x14ac:dyDescent="0.25">
      <c r="A14">
        <v>1705.3</v>
      </c>
      <c r="B14">
        <v>390.03844500000002</v>
      </c>
      <c r="C14">
        <v>0</v>
      </c>
      <c r="D14">
        <f t="shared" si="0"/>
        <v>755375.81665412581</v>
      </c>
      <c r="E14">
        <f t="shared" si="1"/>
        <v>4.7834732398870976</v>
      </c>
      <c r="G14" s="1">
        <v>1705.3</v>
      </c>
      <c r="H14" s="2">
        <v>4.7848682</v>
      </c>
      <c r="J14">
        <v>1705.3</v>
      </c>
      <c r="K14">
        <v>4.7853562714928302</v>
      </c>
      <c r="M14">
        <f t="shared" si="2"/>
        <v>0.99970846425552484</v>
      </c>
      <c r="N14">
        <f t="shared" si="3"/>
        <v>2.9153574447515762E-4</v>
      </c>
      <c r="O14">
        <f t="shared" si="4"/>
        <v>1.000102003121597</v>
      </c>
      <c r="P14">
        <f t="shared" si="5"/>
        <v>-1.020031215970274E-4</v>
      </c>
      <c r="AA14">
        <v>1705.3</v>
      </c>
      <c r="AB14">
        <v>4.9927612397129097</v>
      </c>
      <c r="AC14">
        <f t="shared" si="6"/>
        <v>1.0434480180066212</v>
      </c>
    </row>
    <row r="15" spans="1:29" x14ac:dyDescent="0.25">
      <c r="A15">
        <v>1707.3</v>
      </c>
      <c r="B15">
        <v>375.75242500000002</v>
      </c>
      <c r="C15">
        <v>0</v>
      </c>
      <c r="D15">
        <f t="shared" si="0"/>
        <v>727708.50805269508</v>
      </c>
      <c r="E15">
        <f t="shared" si="1"/>
        <v>4.6082679614061721</v>
      </c>
      <c r="G15" s="1">
        <v>1707.3</v>
      </c>
      <c r="H15" s="2">
        <v>4.6073556</v>
      </c>
      <c r="J15">
        <v>1707.3</v>
      </c>
      <c r="K15">
        <v>4.60734881125898</v>
      </c>
      <c r="M15">
        <f t="shared" si="2"/>
        <v>1.000198022789075</v>
      </c>
      <c r="N15">
        <f t="shared" si="3"/>
        <v>-1.9802278907499193E-4</v>
      </c>
      <c r="O15">
        <f t="shared" si="4"/>
        <v>0.99999852654285681</v>
      </c>
      <c r="P15">
        <f t="shared" si="5"/>
        <v>1.473457143186252E-6</v>
      </c>
      <c r="AA15">
        <v>1707.3</v>
      </c>
      <c r="AB15">
        <v>4.8044161458157104</v>
      </c>
      <c r="AC15">
        <f t="shared" si="6"/>
        <v>1.0427708566310163</v>
      </c>
    </row>
    <row r="16" spans="1:29" x14ac:dyDescent="0.25">
      <c r="A16">
        <v>1709.3</v>
      </c>
      <c r="B16">
        <v>359.89925699999998</v>
      </c>
      <c r="C16">
        <v>0</v>
      </c>
      <c r="D16">
        <f t="shared" si="0"/>
        <v>697006.15068749979</v>
      </c>
      <c r="E16">
        <f t="shared" si="1"/>
        <v>4.4138430121029453</v>
      </c>
      <c r="G16" s="1">
        <v>1709.3</v>
      </c>
      <c r="H16" s="2">
        <v>4.4059758000000002</v>
      </c>
      <c r="J16">
        <v>1709.3</v>
      </c>
      <c r="K16">
        <v>4.4050892875038699</v>
      </c>
      <c r="M16">
        <f t="shared" si="2"/>
        <v>1.0017855776926747</v>
      </c>
      <c r="N16">
        <f t="shared" si="3"/>
        <v>-1.7855776926747335E-3</v>
      </c>
      <c r="O16">
        <f t="shared" si="4"/>
        <v>0.99979879315357789</v>
      </c>
      <c r="P16">
        <f t="shared" si="5"/>
        <v>2.012068464221084E-4</v>
      </c>
      <c r="AA16">
        <v>1709.3</v>
      </c>
      <c r="AB16">
        <v>4.6566086924532</v>
      </c>
      <c r="AC16">
        <f t="shared" si="6"/>
        <v>1.0568847637459107</v>
      </c>
    </row>
    <row r="17" spans="1:29" x14ac:dyDescent="0.25">
      <c r="A17">
        <v>1711.3</v>
      </c>
      <c r="B17">
        <v>335.54651100000001</v>
      </c>
      <c r="C17">
        <v>0</v>
      </c>
      <c r="D17">
        <f t="shared" si="0"/>
        <v>649842.91425956134</v>
      </c>
      <c r="E17">
        <f t="shared" si="1"/>
        <v>4.1151783283978114</v>
      </c>
      <c r="G17" s="1">
        <v>1711.3</v>
      </c>
      <c r="H17" s="2">
        <v>4.0974025999999997</v>
      </c>
      <c r="J17">
        <v>1711.3</v>
      </c>
      <c r="K17">
        <v>4.0958703600344002</v>
      </c>
      <c r="M17">
        <f t="shared" si="2"/>
        <v>1.0043382918724686</v>
      </c>
      <c r="N17">
        <f t="shared" si="3"/>
        <v>-4.3382918724685915E-3</v>
      </c>
      <c r="O17">
        <f t="shared" si="4"/>
        <v>0.99962604603081973</v>
      </c>
      <c r="P17">
        <f t="shared" si="5"/>
        <v>3.7395396918027402E-4</v>
      </c>
      <c r="AA17">
        <v>1711.3</v>
      </c>
      <c r="AB17">
        <v>4.4604826642666104</v>
      </c>
      <c r="AC17">
        <f t="shared" si="6"/>
        <v>1.0886122501768829</v>
      </c>
    </row>
    <row r="18" spans="1:29" x14ac:dyDescent="0.25">
      <c r="A18">
        <v>1713.3</v>
      </c>
      <c r="B18">
        <v>298.07223599999998</v>
      </c>
      <c r="C18">
        <v>0</v>
      </c>
      <c r="D18">
        <f t="shared" si="0"/>
        <v>577267.60419840482</v>
      </c>
      <c r="E18">
        <f t="shared" si="1"/>
        <v>3.6555898084849336</v>
      </c>
      <c r="G18" s="1">
        <v>1713.3</v>
      </c>
      <c r="H18" s="2">
        <v>3.6281948000000002</v>
      </c>
      <c r="J18">
        <v>1713.3</v>
      </c>
      <c r="K18">
        <v>3.6258711154784899</v>
      </c>
      <c r="M18">
        <f t="shared" si="2"/>
        <v>1.0075505892034611</v>
      </c>
      <c r="N18">
        <f t="shared" si="3"/>
        <v>-7.5505892034610778E-3</v>
      </c>
      <c r="O18">
        <f t="shared" si="4"/>
        <v>0.99935954802605687</v>
      </c>
      <c r="P18">
        <f t="shared" si="5"/>
        <v>6.4045197394313469E-4</v>
      </c>
      <c r="AA18">
        <v>1713.3</v>
      </c>
      <c r="AB18">
        <v>4.0992501698358996</v>
      </c>
      <c r="AC18">
        <f t="shared" si="6"/>
        <v>1.1298318849461719</v>
      </c>
    </row>
    <row r="19" spans="1:29" x14ac:dyDescent="0.25">
      <c r="A19">
        <v>1715.3</v>
      </c>
      <c r="B19">
        <v>247.944457</v>
      </c>
      <c r="C19">
        <v>0</v>
      </c>
      <c r="D19">
        <f t="shared" si="0"/>
        <v>480186.6305544285</v>
      </c>
      <c r="E19">
        <f t="shared" si="1"/>
        <v>3.0408173610625413</v>
      </c>
      <c r="G19" s="1">
        <v>1715.3</v>
      </c>
      <c r="H19" s="2">
        <v>3.0090140999999999</v>
      </c>
      <c r="J19">
        <v>1715.3</v>
      </c>
      <c r="K19">
        <v>3.0065952090593999</v>
      </c>
      <c r="M19">
        <f t="shared" si="2"/>
        <v>1.0105693293569284</v>
      </c>
      <c r="N19">
        <f t="shared" si="3"/>
        <v>-1.0569329356928447E-2</v>
      </c>
      <c r="O19">
        <f t="shared" si="4"/>
        <v>0.99919611844271516</v>
      </c>
      <c r="P19">
        <f t="shared" si="5"/>
        <v>8.0388155728483568E-4</v>
      </c>
      <c r="AA19">
        <v>1715.3</v>
      </c>
      <c r="AB19">
        <v>3.5236975014182801</v>
      </c>
      <c r="AC19">
        <f t="shared" si="6"/>
        <v>1.1710471883193503</v>
      </c>
    </row>
    <row r="20" spans="1:29" x14ac:dyDescent="0.25">
      <c r="A20">
        <v>1717.3</v>
      </c>
      <c r="B20">
        <v>191.970685</v>
      </c>
      <c r="C20">
        <v>0</v>
      </c>
      <c r="D20">
        <f t="shared" si="0"/>
        <v>371783.89672722371</v>
      </c>
      <c r="E20">
        <f t="shared" si="1"/>
        <v>2.3543490297226861</v>
      </c>
      <c r="G20" s="1">
        <v>1717.3</v>
      </c>
      <c r="H20" s="2">
        <v>2.3249316000000002</v>
      </c>
      <c r="J20">
        <v>1717.3</v>
      </c>
      <c r="K20">
        <v>2.32289174946431</v>
      </c>
      <c r="M20">
        <f t="shared" si="2"/>
        <v>1.0126530301892263</v>
      </c>
      <c r="N20">
        <f t="shared" si="3"/>
        <v>-1.2653030189226255E-2</v>
      </c>
      <c r="O20">
        <f t="shared" si="4"/>
        <v>0.99912261911890643</v>
      </c>
      <c r="P20">
        <f t="shared" si="5"/>
        <v>8.7738088109357015E-4</v>
      </c>
      <c r="AA20">
        <v>1717.3</v>
      </c>
      <c r="AB20">
        <v>2.82940920677119</v>
      </c>
      <c r="AC20">
        <f t="shared" si="6"/>
        <v>1.2169859994036769</v>
      </c>
    </row>
    <row r="21" spans="1:29" x14ac:dyDescent="0.25">
      <c r="A21">
        <v>1719.3</v>
      </c>
      <c r="B21">
        <v>139.99874500000001</v>
      </c>
      <c r="C21">
        <v>0</v>
      </c>
      <c r="D21">
        <f t="shared" si="0"/>
        <v>271131.39150918246</v>
      </c>
      <c r="E21">
        <f t="shared" si="1"/>
        <v>1.7169595943940288</v>
      </c>
      <c r="G21" s="1">
        <v>1719.3</v>
      </c>
      <c r="H21" s="2">
        <v>1.6951655000000001</v>
      </c>
      <c r="J21">
        <v>1719.3</v>
      </c>
      <c r="K21">
        <v>1.6937421103695101</v>
      </c>
      <c r="M21">
        <f t="shared" si="2"/>
        <v>1.0128566174771896</v>
      </c>
      <c r="N21">
        <f t="shared" si="3"/>
        <v>-1.285661747718958E-2</v>
      </c>
      <c r="O21">
        <f t="shared" si="4"/>
        <v>0.99916032409196032</v>
      </c>
      <c r="P21">
        <f t="shared" si="5"/>
        <v>8.3967590803968317E-4</v>
      </c>
      <c r="AA21">
        <v>1719.3</v>
      </c>
      <c r="AB21">
        <v>2.1595961994839201</v>
      </c>
      <c r="AC21">
        <f t="shared" si="6"/>
        <v>1.2739736618542084</v>
      </c>
    </row>
    <row r="22" spans="1:29" x14ac:dyDescent="0.25">
      <c r="A22">
        <v>1721.3</v>
      </c>
      <c r="B22">
        <v>100.105526</v>
      </c>
      <c r="C22">
        <v>0</v>
      </c>
      <c r="D22">
        <f t="shared" si="0"/>
        <v>193871.38479090395</v>
      </c>
      <c r="E22">
        <f t="shared" si="1"/>
        <v>1.2277048863370945</v>
      </c>
      <c r="G22" s="1">
        <v>1721.3</v>
      </c>
      <c r="H22" s="2">
        <v>1.2152780999999999</v>
      </c>
      <c r="J22">
        <v>1721.3</v>
      </c>
      <c r="K22">
        <v>1.21448590800204</v>
      </c>
      <c r="M22">
        <f t="shared" si="2"/>
        <v>1.0102254671890283</v>
      </c>
      <c r="N22">
        <f t="shared" si="3"/>
        <v>-1.0225467189028281E-2</v>
      </c>
      <c r="O22">
        <f t="shared" si="4"/>
        <v>0.99934813932880062</v>
      </c>
      <c r="P22">
        <f t="shared" si="5"/>
        <v>6.5186067119937796E-4</v>
      </c>
      <c r="AA22">
        <v>1721.3</v>
      </c>
      <c r="AB22">
        <v>1.6005814308897801</v>
      </c>
      <c r="AC22">
        <f t="shared" si="6"/>
        <v>1.3170495139258909</v>
      </c>
    </row>
    <row r="23" spans="1:29" x14ac:dyDescent="0.25">
      <c r="A23">
        <v>1723.3</v>
      </c>
      <c r="B23">
        <v>75.048146000000003</v>
      </c>
      <c r="C23">
        <v>0</v>
      </c>
      <c r="D23">
        <f t="shared" si="0"/>
        <v>145343.50472330509</v>
      </c>
      <c r="E23">
        <f t="shared" si="1"/>
        <v>0.92039849583068645</v>
      </c>
      <c r="G23" s="1">
        <v>1723.3</v>
      </c>
      <c r="H23" s="2">
        <v>0.91523677000000003</v>
      </c>
      <c r="J23">
        <v>1723.3</v>
      </c>
      <c r="K23">
        <v>0.914925836788818</v>
      </c>
      <c r="M23">
        <f t="shared" si="2"/>
        <v>1.0056397710405434</v>
      </c>
      <c r="N23">
        <f t="shared" si="3"/>
        <v>-5.6397710405433621E-3</v>
      </c>
      <c r="O23">
        <f t="shared" si="4"/>
        <v>0.99966027019305392</v>
      </c>
      <c r="P23">
        <f t="shared" si="5"/>
        <v>3.3972980694607635E-4</v>
      </c>
      <c r="AA23">
        <v>1723.3</v>
      </c>
      <c r="AB23">
        <v>1.19129779756286</v>
      </c>
      <c r="AC23">
        <f t="shared" si="6"/>
        <v>1.3016279902771608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3"/>
  <sheetViews>
    <sheetView tabSelected="1" workbookViewId="0">
      <selection activeCell="H3" sqref="H3:H23"/>
    </sheetView>
  </sheetViews>
  <sheetFormatPr defaultRowHeight="15.75" x14ac:dyDescent="0.25"/>
  <cols>
    <col min="1" max="1" width="14" customWidth="1"/>
    <col min="2" max="2" width="9" customWidth="1"/>
    <col min="5" max="5" width="13.625" customWidth="1"/>
    <col min="7" max="7" width="16.25" style="1" customWidth="1"/>
    <col min="8" max="8" width="15.375" style="2" customWidth="1"/>
    <col min="10" max="10" width="16.75" customWidth="1"/>
    <col min="11" max="11" width="14.75" customWidth="1"/>
    <col min="27" max="27" width="13.75" customWidth="1"/>
    <col min="28" max="29" width="14" customWidth="1"/>
  </cols>
  <sheetData>
    <row r="1" spans="1:29" x14ac:dyDescent="0.25">
      <c r="B1" t="s">
        <v>4</v>
      </c>
      <c r="H1" s="2" t="s">
        <v>5</v>
      </c>
      <c r="K1" t="s">
        <v>6</v>
      </c>
      <c r="M1" t="s">
        <v>7</v>
      </c>
      <c r="N1" t="s">
        <v>9</v>
      </c>
      <c r="O1" t="s">
        <v>8</v>
      </c>
      <c r="P1" t="s">
        <v>9</v>
      </c>
      <c r="AB1" t="s">
        <v>11</v>
      </c>
    </row>
    <row r="2" spans="1:29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G2" t="s">
        <v>0</v>
      </c>
      <c r="H2" t="s">
        <v>10</v>
      </c>
      <c r="J2" t="s">
        <v>0</v>
      </c>
      <c r="K2" t="s">
        <v>10</v>
      </c>
    </row>
    <row r="3" spans="1:29" x14ac:dyDescent="0.25">
      <c r="A3">
        <v>1683.3</v>
      </c>
      <c r="B3">
        <v>408.04774700000002</v>
      </c>
      <c r="C3">
        <v>0</v>
      </c>
      <c r="D3">
        <f t="shared" ref="D3:D23" si="0">B3*4*PI()/(0.0064886478302)</f>
        <v>790253.89439238771</v>
      </c>
      <c r="E3">
        <f>D3/(4000*PI())/(4*PI())</f>
        <v>5.0043412473627331</v>
      </c>
      <c r="G3" s="1">
        <v>1683.3</v>
      </c>
      <c r="H3" s="2">
        <v>5.0128240999999996</v>
      </c>
      <c r="J3">
        <v>1683.3</v>
      </c>
      <c r="K3">
        <v>5.0131483626664997</v>
      </c>
      <c r="M3">
        <f>E3/H3</f>
        <v>0.99830776973856583</v>
      </c>
      <c r="N3">
        <f>1-M3</f>
        <v>1.6922302614341689E-3</v>
      </c>
      <c r="O3">
        <f>K3/H3</f>
        <v>1.0000646866237537</v>
      </c>
      <c r="P3">
        <f>1-O3</f>
        <v>-6.4686623753695827E-5</v>
      </c>
      <c r="AA3">
        <v>1683.3</v>
      </c>
      <c r="AB3">
        <v>3.9212690100234502</v>
      </c>
      <c r="AC3">
        <f>AB3/H3</f>
        <v>0.78224747802809413</v>
      </c>
    </row>
    <row r="4" spans="1:29" x14ac:dyDescent="0.25">
      <c r="A4">
        <v>1685.3</v>
      </c>
      <c r="B4">
        <v>541.18559400000004</v>
      </c>
      <c r="C4">
        <v>0</v>
      </c>
      <c r="D4">
        <f t="shared" si="0"/>
        <v>1048097.9894922875</v>
      </c>
      <c r="E4">
        <f t="shared" ref="E4:E23" si="1">D4/(4000*PI())/(4*PI())</f>
        <v>6.6371580542820681</v>
      </c>
      <c r="G4" s="1">
        <v>1685.3</v>
      </c>
      <c r="H4" s="2">
        <v>6.8067441000000004</v>
      </c>
      <c r="J4">
        <v>1685.3</v>
      </c>
      <c r="K4">
        <v>6.8068144538274202</v>
      </c>
      <c r="M4">
        <f t="shared" ref="M4:M23" si="2">E4/H4</f>
        <v>0.97508558523333755</v>
      </c>
      <c r="N4">
        <f t="shared" ref="N4:N23" si="3">1-M4</f>
        <v>2.4914414766662452E-2</v>
      </c>
      <c r="O4">
        <f t="shared" ref="O4:O23" si="4">K4/H4</f>
        <v>1.0000103359001582</v>
      </c>
      <c r="P4">
        <f t="shared" ref="P4:P23" si="5">1-O4</f>
        <v>-1.0335900158198186E-5</v>
      </c>
      <c r="AA4">
        <v>1685.3</v>
      </c>
      <c r="AB4">
        <v>5.5264258988380996</v>
      </c>
      <c r="AC4">
        <f t="shared" ref="AC4:AC23" si="6">AB4/H4</f>
        <v>0.81190446087698509</v>
      </c>
    </row>
    <row r="5" spans="1:29" x14ac:dyDescent="0.25">
      <c r="A5">
        <v>1687.3</v>
      </c>
      <c r="B5">
        <v>580.99332500000003</v>
      </c>
      <c r="C5">
        <v>0</v>
      </c>
      <c r="D5">
        <f t="shared" si="0"/>
        <v>1125192.4341521538</v>
      </c>
      <c r="E5">
        <f t="shared" si="1"/>
        <v>7.1253643283562145</v>
      </c>
      <c r="G5" s="1">
        <v>1687.3</v>
      </c>
      <c r="H5" s="2">
        <v>7.1652326999999998</v>
      </c>
      <c r="J5">
        <v>1687.3</v>
      </c>
      <c r="K5">
        <v>7.1664998060937402</v>
      </c>
      <c r="M5">
        <f t="shared" si="2"/>
        <v>0.99443585807844237</v>
      </c>
      <c r="N5">
        <f t="shared" si="3"/>
        <v>5.5641419215576304E-3</v>
      </c>
      <c r="O5">
        <f t="shared" si="4"/>
        <v>1.0001768408852569</v>
      </c>
      <c r="P5">
        <f t="shared" si="5"/>
        <v>-1.7684088525693475E-4</v>
      </c>
      <c r="AA5">
        <v>1687.3</v>
      </c>
      <c r="AB5">
        <v>6.5800798729400496</v>
      </c>
      <c r="AC5">
        <f t="shared" si="6"/>
        <v>0.91833442798585585</v>
      </c>
    </row>
    <row r="6" spans="1:29" x14ac:dyDescent="0.25">
      <c r="A6">
        <v>1689.3</v>
      </c>
      <c r="B6">
        <v>585.55233199999998</v>
      </c>
      <c r="C6">
        <v>0</v>
      </c>
      <c r="D6">
        <f t="shared" si="0"/>
        <v>1134021.7269562434</v>
      </c>
      <c r="E6">
        <f t="shared" si="1"/>
        <v>7.1812764782084111</v>
      </c>
      <c r="G6" s="1">
        <v>1689.3</v>
      </c>
      <c r="H6" s="2">
        <v>7.1838702999999997</v>
      </c>
      <c r="J6">
        <v>1689.3</v>
      </c>
      <c r="K6">
        <v>7.1879372523983003</v>
      </c>
      <c r="M6">
        <f t="shared" si="2"/>
        <v>0.99963893810950499</v>
      </c>
      <c r="N6">
        <f t="shared" si="3"/>
        <v>3.6106189049500692E-4</v>
      </c>
      <c r="O6">
        <f t="shared" si="4"/>
        <v>1.0005661227483882</v>
      </c>
      <c r="P6">
        <f t="shared" si="5"/>
        <v>-5.6612274838818699E-4</v>
      </c>
      <c r="AA6">
        <v>1689.3</v>
      </c>
      <c r="AB6">
        <v>6.9889923909665903</v>
      </c>
      <c r="AC6">
        <f t="shared" si="6"/>
        <v>0.9728728525300061</v>
      </c>
    </row>
    <row r="7" spans="1:29" x14ac:dyDescent="0.25">
      <c r="A7">
        <v>1691.3</v>
      </c>
      <c r="B7">
        <v>581.84616600000004</v>
      </c>
      <c r="C7">
        <v>0</v>
      </c>
      <c r="D7">
        <f t="shared" si="0"/>
        <v>1126844.1058658259</v>
      </c>
      <c r="E7">
        <f t="shared" si="1"/>
        <v>7.1358236616698285</v>
      </c>
      <c r="G7" s="1">
        <v>1691.3</v>
      </c>
      <c r="H7" s="2">
        <v>7.1509384999999996</v>
      </c>
      <c r="J7">
        <v>1691.3</v>
      </c>
      <c r="K7">
        <v>7.14979670591807</v>
      </c>
      <c r="M7">
        <f t="shared" si="2"/>
        <v>0.99788631403693784</v>
      </c>
      <c r="N7">
        <f t="shared" si="3"/>
        <v>2.1136859630621618E-3</v>
      </c>
      <c r="O7">
        <f t="shared" si="4"/>
        <v>0.99984032947816159</v>
      </c>
      <c r="P7">
        <f t="shared" si="5"/>
        <v>1.5967052183840647E-4</v>
      </c>
      <c r="AA7">
        <v>1691.3</v>
      </c>
      <c r="AB7">
        <v>7.1303813899295703</v>
      </c>
      <c r="AC7">
        <f t="shared" si="6"/>
        <v>0.99712525704557109</v>
      </c>
    </row>
    <row r="8" spans="1:29" x14ac:dyDescent="0.25">
      <c r="A8">
        <v>1693.3</v>
      </c>
      <c r="B8">
        <v>567.22909100000004</v>
      </c>
      <c r="C8">
        <v>0</v>
      </c>
      <c r="D8">
        <f t="shared" si="0"/>
        <v>1098535.6529254506</v>
      </c>
      <c r="E8">
        <f t="shared" si="1"/>
        <v>6.9565582892321887</v>
      </c>
      <c r="G8" s="1">
        <v>1693.3</v>
      </c>
      <c r="H8" s="2">
        <v>6.9677129000000004</v>
      </c>
      <c r="J8">
        <v>1693.3</v>
      </c>
      <c r="K8">
        <v>6.9657904942598199</v>
      </c>
      <c r="M8">
        <f t="shared" si="2"/>
        <v>0.99839910011679556</v>
      </c>
      <c r="N8">
        <f t="shared" si="3"/>
        <v>1.600899883204443E-3</v>
      </c>
      <c r="O8">
        <f t="shared" si="4"/>
        <v>0.99972409802645845</v>
      </c>
      <c r="P8">
        <f t="shared" si="5"/>
        <v>2.75901973541548E-4</v>
      </c>
      <c r="AA8">
        <v>1693.3</v>
      </c>
      <c r="AB8">
        <v>7.1068577313793897</v>
      </c>
      <c r="AC8">
        <f t="shared" si="6"/>
        <v>1.0199699432764213</v>
      </c>
    </row>
    <row r="9" spans="1:29" x14ac:dyDescent="0.25">
      <c r="A9">
        <v>1695.3</v>
      </c>
      <c r="B9">
        <v>540.94629699999996</v>
      </c>
      <c r="C9">
        <v>0</v>
      </c>
      <c r="D9">
        <f t="shared" si="0"/>
        <v>1047634.5501336419</v>
      </c>
      <c r="E9">
        <f t="shared" si="1"/>
        <v>6.6342232902592908</v>
      </c>
      <c r="G9" s="1">
        <v>1695.3</v>
      </c>
      <c r="H9" s="2">
        <v>6.6351037000000002</v>
      </c>
      <c r="J9">
        <v>1695.3</v>
      </c>
      <c r="K9">
        <v>6.63549653717849</v>
      </c>
      <c r="M9">
        <f t="shared" si="2"/>
        <v>0.99986731032693443</v>
      </c>
      <c r="N9">
        <f t="shared" si="3"/>
        <v>1.3268967306556689E-4</v>
      </c>
      <c r="O9">
        <f t="shared" si="4"/>
        <v>1.0000592058837738</v>
      </c>
      <c r="P9">
        <f t="shared" si="5"/>
        <v>-5.9205883773838508E-5</v>
      </c>
      <c r="AA9">
        <v>1695.3</v>
      </c>
      <c r="AB9">
        <v>6.8910527586542001</v>
      </c>
      <c r="AC9">
        <f t="shared" si="6"/>
        <v>1.038574989966502</v>
      </c>
    </row>
    <row r="10" spans="1:29" x14ac:dyDescent="0.25">
      <c r="A10">
        <v>1697.3</v>
      </c>
      <c r="B10">
        <v>506.68006100000002</v>
      </c>
      <c r="C10">
        <v>0</v>
      </c>
      <c r="D10">
        <f t="shared" si="0"/>
        <v>981272.15346742875</v>
      </c>
      <c r="E10">
        <f t="shared" si="1"/>
        <v>6.2139785040366018</v>
      </c>
      <c r="G10" s="1">
        <v>1697.3</v>
      </c>
      <c r="H10" s="2">
        <v>6.2086553999999996</v>
      </c>
      <c r="J10">
        <v>1697.3</v>
      </c>
      <c r="K10">
        <v>6.2082992481047796</v>
      </c>
      <c r="M10">
        <f t="shared" si="2"/>
        <v>1.0008573682534549</v>
      </c>
      <c r="N10">
        <f t="shared" si="3"/>
        <v>-8.5736825345494871E-4</v>
      </c>
      <c r="O10">
        <f t="shared" si="4"/>
        <v>0.99994263622760893</v>
      </c>
      <c r="P10">
        <f t="shared" si="5"/>
        <v>5.7363772391072487E-5</v>
      </c>
      <c r="AA10">
        <v>1697.3</v>
      </c>
      <c r="AB10">
        <v>6.5167491001409896</v>
      </c>
      <c r="AC10">
        <f t="shared" si="6"/>
        <v>1.0496232566138217</v>
      </c>
    </row>
    <row r="11" spans="1:29" x14ac:dyDescent="0.25">
      <c r="A11">
        <v>1699.3</v>
      </c>
      <c r="B11">
        <v>469.913273</v>
      </c>
      <c r="C11">
        <v>0</v>
      </c>
      <c r="D11">
        <f t="shared" si="0"/>
        <v>910067.01236589171</v>
      </c>
      <c r="E11">
        <f t="shared" si="1"/>
        <v>5.763066680422388</v>
      </c>
      <c r="G11" s="1">
        <v>1699.3</v>
      </c>
      <c r="H11" s="2">
        <v>5.7522301999999996</v>
      </c>
      <c r="J11">
        <v>1699.3</v>
      </c>
      <c r="K11">
        <v>5.7520859937418898</v>
      </c>
      <c r="M11">
        <f t="shared" si="2"/>
        <v>1.0018838746096059</v>
      </c>
      <c r="N11">
        <f t="shared" si="3"/>
        <v>-1.8838746096059289E-3</v>
      </c>
      <c r="O11">
        <f t="shared" si="4"/>
        <v>0.99997493037429031</v>
      </c>
      <c r="P11">
        <f t="shared" si="5"/>
        <v>2.5069625709694954E-5</v>
      </c>
      <c r="AA11">
        <v>1699.3</v>
      </c>
      <c r="AB11">
        <v>6.0709684931006702</v>
      </c>
      <c r="AC11">
        <f t="shared" si="6"/>
        <v>1.0554112547687453</v>
      </c>
    </row>
    <row r="12" spans="1:29" x14ac:dyDescent="0.25">
      <c r="A12">
        <v>1701.3</v>
      </c>
      <c r="B12">
        <v>436.40795200000002</v>
      </c>
      <c r="C12">
        <v>0</v>
      </c>
      <c r="D12">
        <f t="shared" si="0"/>
        <v>845178.25707246503</v>
      </c>
      <c r="E12">
        <f t="shared" si="1"/>
        <v>5.3521538372093875</v>
      </c>
      <c r="G12" s="1">
        <v>1701.3</v>
      </c>
      <c r="H12" s="2">
        <v>5.3391957000000003</v>
      </c>
      <c r="J12">
        <v>1701.3</v>
      </c>
      <c r="K12">
        <v>5.3393142870121002</v>
      </c>
      <c r="M12">
        <f t="shared" si="2"/>
        <v>1.0024269830022128</v>
      </c>
      <c r="N12">
        <f t="shared" si="3"/>
        <v>-2.4269830022127792E-3</v>
      </c>
      <c r="O12">
        <f t="shared" si="4"/>
        <v>1.00002221065096</v>
      </c>
      <c r="P12">
        <f t="shared" si="5"/>
        <v>-2.2210650959975098E-5</v>
      </c>
      <c r="AA12">
        <v>1701.3</v>
      </c>
      <c r="AB12">
        <v>5.6357916676685997</v>
      </c>
      <c r="AC12">
        <f t="shared" si="6"/>
        <v>1.0555506829743289</v>
      </c>
    </row>
    <row r="13" spans="1:29" x14ac:dyDescent="0.25">
      <c r="A13">
        <v>1703.3</v>
      </c>
      <c r="B13">
        <v>409.90806800000001</v>
      </c>
      <c r="C13">
        <v>0</v>
      </c>
      <c r="D13">
        <f t="shared" si="0"/>
        <v>793856.72255619545</v>
      </c>
      <c r="E13">
        <f t="shared" si="1"/>
        <v>5.0271564232387922</v>
      </c>
      <c r="G13" s="1">
        <v>1703.3</v>
      </c>
      <c r="H13" s="2">
        <v>5.0162759000000001</v>
      </c>
      <c r="J13">
        <v>1703.3</v>
      </c>
      <c r="K13">
        <v>5.0166600320135997</v>
      </c>
      <c r="M13">
        <f t="shared" si="2"/>
        <v>1.0021690440190485</v>
      </c>
      <c r="N13">
        <f t="shared" si="3"/>
        <v>-2.1690440190484939E-3</v>
      </c>
      <c r="O13">
        <f t="shared" si="4"/>
        <v>1.0000765771303766</v>
      </c>
      <c r="P13">
        <f t="shared" si="5"/>
        <v>-7.6577130376564995E-5</v>
      </c>
      <c r="AA13">
        <v>1703.3</v>
      </c>
      <c r="AB13">
        <v>5.2682428637648497</v>
      </c>
      <c r="AC13">
        <f t="shared" si="6"/>
        <v>1.0502298854345011</v>
      </c>
    </row>
    <row r="14" spans="1:29" x14ac:dyDescent="0.25">
      <c r="A14">
        <v>1705.3</v>
      </c>
      <c r="B14">
        <v>390.75809299999997</v>
      </c>
      <c r="C14">
        <v>0</v>
      </c>
      <c r="D14">
        <f t="shared" si="0"/>
        <v>756769.53745952866</v>
      </c>
      <c r="E14">
        <f t="shared" si="1"/>
        <v>4.7922990799914951</v>
      </c>
      <c r="G14" s="1">
        <v>1705.3</v>
      </c>
      <c r="H14" s="2">
        <v>4.7858229000000003</v>
      </c>
      <c r="J14">
        <v>1705.3</v>
      </c>
      <c r="K14">
        <v>4.7866443662910898</v>
      </c>
      <c r="M14">
        <f t="shared" si="2"/>
        <v>1.0013532009284118</v>
      </c>
      <c r="N14">
        <f t="shared" si="3"/>
        <v>-1.3532009284118462E-3</v>
      </c>
      <c r="O14">
        <f t="shared" si="4"/>
        <v>1.0001716457771743</v>
      </c>
      <c r="P14">
        <f t="shared" si="5"/>
        <v>-1.7164577717432294E-4</v>
      </c>
      <c r="AA14">
        <v>1705.3</v>
      </c>
      <c r="AB14">
        <v>4.99461428966094</v>
      </c>
      <c r="AC14">
        <f t="shared" si="6"/>
        <v>1.0436270614319931</v>
      </c>
    </row>
    <row r="15" spans="1:29" x14ac:dyDescent="0.25">
      <c r="A15">
        <v>1707.3</v>
      </c>
      <c r="B15">
        <v>375.658432</v>
      </c>
      <c r="C15">
        <v>0</v>
      </c>
      <c r="D15">
        <f t="shared" si="0"/>
        <v>727526.47461459448</v>
      </c>
      <c r="E15">
        <f t="shared" si="1"/>
        <v>4.6071152211929949</v>
      </c>
      <c r="G15" s="1">
        <v>1707.3</v>
      </c>
      <c r="H15" s="2">
        <v>4.6067333000000001</v>
      </c>
      <c r="J15">
        <v>1707.3</v>
      </c>
      <c r="K15">
        <v>4.6070764149644798</v>
      </c>
      <c r="M15">
        <f t="shared" si="2"/>
        <v>1.0000829049932183</v>
      </c>
      <c r="N15">
        <f t="shared" si="3"/>
        <v>-8.2904993218280154E-5</v>
      </c>
      <c r="O15">
        <f t="shared" si="4"/>
        <v>1.0000744811870224</v>
      </c>
      <c r="P15">
        <f t="shared" si="5"/>
        <v>-7.4481187022357176E-5</v>
      </c>
      <c r="AA15">
        <v>1707.3</v>
      </c>
      <c r="AB15">
        <v>4.8055335056745498</v>
      </c>
      <c r="AC15">
        <f t="shared" si="6"/>
        <v>1.0431542684866411</v>
      </c>
    </row>
    <row r="16" spans="1:29" x14ac:dyDescent="0.25">
      <c r="A16">
        <v>1709.3</v>
      </c>
      <c r="B16">
        <v>358.70155499999998</v>
      </c>
      <c r="C16">
        <v>0</v>
      </c>
      <c r="D16">
        <f t="shared" si="0"/>
        <v>694686.59696669085</v>
      </c>
      <c r="E16">
        <f t="shared" si="1"/>
        <v>4.3991542665707986</v>
      </c>
      <c r="G16" s="1">
        <v>1709.3</v>
      </c>
      <c r="H16" s="2">
        <v>4.4032669000000002</v>
      </c>
      <c r="J16">
        <v>1709.3</v>
      </c>
      <c r="K16">
        <v>4.4029951760568</v>
      </c>
      <c r="M16">
        <f t="shared" si="2"/>
        <v>0.99906600405503432</v>
      </c>
      <c r="N16">
        <f t="shared" si="3"/>
        <v>9.3399594496568206E-4</v>
      </c>
      <c r="O16">
        <f t="shared" si="4"/>
        <v>0.99993829037635662</v>
      </c>
      <c r="P16">
        <f t="shared" si="5"/>
        <v>6.1709623643380063E-5</v>
      </c>
      <c r="AA16">
        <v>1709.3</v>
      </c>
      <c r="AB16">
        <v>4.6570031233431903</v>
      </c>
      <c r="AC16">
        <f t="shared" si="6"/>
        <v>1.0576245385768439</v>
      </c>
    </row>
    <row r="17" spans="1:29" x14ac:dyDescent="0.25">
      <c r="A17">
        <v>1711.3</v>
      </c>
      <c r="B17">
        <v>333.40763299999998</v>
      </c>
      <c r="C17">
        <v>0</v>
      </c>
      <c r="D17">
        <f t="shared" si="0"/>
        <v>645700.61306672997</v>
      </c>
      <c r="E17">
        <f t="shared" si="1"/>
        <v>4.0889468996565146</v>
      </c>
      <c r="G17" s="1">
        <v>1711.3</v>
      </c>
      <c r="H17" s="2">
        <v>4.0936798999999997</v>
      </c>
      <c r="J17">
        <v>1711.3</v>
      </c>
      <c r="K17">
        <v>4.0923956433576398</v>
      </c>
      <c r="M17">
        <f t="shared" si="2"/>
        <v>0.99884382744642908</v>
      </c>
      <c r="N17">
        <f t="shared" si="3"/>
        <v>1.1561725535709222E-3</v>
      </c>
      <c r="O17">
        <f t="shared" si="4"/>
        <v>0.99968628308179153</v>
      </c>
      <c r="P17">
        <f t="shared" si="5"/>
        <v>3.1371691820847314E-4</v>
      </c>
      <c r="AA17">
        <v>1711.3</v>
      </c>
      <c r="AB17">
        <v>4.4570918366397398</v>
      </c>
      <c r="AC17">
        <f t="shared" si="6"/>
        <v>1.0887739016037234</v>
      </c>
    </row>
    <row r="18" spans="1:29" x14ac:dyDescent="0.25">
      <c r="A18">
        <v>1713.3</v>
      </c>
      <c r="B18">
        <v>295.57179000000002</v>
      </c>
      <c r="C18">
        <v>0</v>
      </c>
      <c r="D18">
        <f t="shared" si="0"/>
        <v>572425.06505011779</v>
      </c>
      <c r="E18">
        <f t="shared" si="1"/>
        <v>3.6249240710887585</v>
      </c>
      <c r="G18" s="1">
        <v>1713.3</v>
      </c>
      <c r="H18" s="2">
        <v>3.6247468</v>
      </c>
      <c r="J18">
        <v>1713.3</v>
      </c>
      <c r="K18">
        <v>3.6223842796191001</v>
      </c>
      <c r="M18">
        <f t="shared" si="2"/>
        <v>1.0000489057852975</v>
      </c>
      <c r="N18">
        <f t="shared" si="3"/>
        <v>-4.8905785297481685E-5</v>
      </c>
      <c r="O18">
        <f t="shared" si="4"/>
        <v>0.99934822471437179</v>
      </c>
      <c r="P18">
        <f t="shared" si="5"/>
        <v>6.5177528562820886E-4</v>
      </c>
      <c r="AA18">
        <v>1713.3</v>
      </c>
      <c r="AB18">
        <v>4.0943722929846604</v>
      </c>
      <c r="AC18">
        <f t="shared" si="6"/>
        <v>1.1295609097398638</v>
      </c>
    </row>
    <row r="19" spans="1:29" x14ac:dyDescent="0.25">
      <c r="A19">
        <v>1715.3</v>
      </c>
      <c r="B19">
        <v>245.98922899999999</v>
      </c>
      <c r="C19">
        <v>0</v>
      </c>
      <c r="D19">
        <f t="shared" si="0"/>
        <v>476399.9988359962</v>
      </c>
      <c r="E19">
        <f t="shared" si="1"/>
        <v>3.0168382355794674</v>
      </c>
      <c r="G19" s="1">
        <v>1715.3</v>
      </c>
      <c r="H19" s="2">
        <v>3.0075612</v>
      </c>
      <c r="J19">
        <v>1715.3</v>
      </c>
      <c r="K19">
        <v>3.0048982318497202</v>
      </c>
      <c r="M19">
        <f t="shared" si="2"/>
        <v>1.0030845708408087</v>
      </c>
      <c r="N19">
        <f t="shared" si="3"/>
        <v>-3.0845708408087091E-3</v>
      </c>
      <c r="O19">
        <f t="shared" si="4"/>
        <v>0.99911457557363093</v>
      </c>
      <c r="P19">
        <f t="shared" si="5"/>
        <v>8.854244263690747E-4</v>
      </c>
      <c r="AA19">
        <v>1715.3</v>
      </c>
      <c r="AB19">
        <v>3.51978829197034</v>
      </c>
      <c r="AC19">
        <f t="shared" si="6"/>
        <v>1.1703131068356447</v>
      </c>
    </row>
    <row r="20" spans="1:29" x14ac:dyDescent="0.25">
      <c r="A20">
        <v>1717.3</v>
      </c>
      <c r="B20">
        <v>191.21716000000001</v>
      </c>
      <c r="C20">
        <v>0</v>
      </c>
      <c r="D20">
        <f t="shared" si="0"/>
        <v>370324.56734689994</v>
      </c>
      <c r="E20">
        <f t="shared" si="1"/>
        <v>2.3451077184640337</v>
      </c>
      <c r="G20" s="1">
        <v>1717.3</v>
      </c>
      <c r="H20" s="2">
        <v>2.3262049999999999</v>
      </c>
      <c r="J20">
        <v>1717.3</v>
      </c>
      <c r="K20">
        <v>2.3238901402940502</v>
      </c>
      <c r="M20">
        <f t="shared" si="2"/>
        <v>1.0081259899553281</v>
      </c>
      <c r="N20">
        <f t="shared" si="3"/>
        <v>-8.1259899553280945E-3</v>
      </c>
      <c r="O20">
        <f t="shared" si="4"/>
        <v>0.99900487716862885</v>
      </c>
      <c r="P20">
        <f t="shared" si="5"/>
        <v>9.9512283137115354E-4</v>
      </c>
      <c r="AA20">
        <v>1717.3</v>
      </c>
      <c r="AB20">
        <v>2.82819641355686</v>
      </c>
      <c r="AC20">
        <f t="shared" si="6"/>
        <v>1.2157984414773677</v>
      </c>
    </row>
    <row r="21" spans="1:29" x14ac:dyDescent="0.25">
      <c r="A21">
        <v>1719.3</v>
      </c>
      <c r="B21">
        <v>140.49516199999999</v>
      </c>
      <c r="C21">
        <v>0</v>
      </c>
      <c r="D21">
        <f t="shared" si="0"/>
        <v>272092.78749868798</v>
      </c>
      <c r="E21">
        <f t="shared" si="1"/>
        <v>1.7230477056193847</v>
      </c>
      <c r="G21" s="1">
        <v>1719.3</v>
      </c>
      <c r="H21" s="2">
        <v>1.6987174</v>
      </c>
      <c r="J21">
        <v>1719.3</v>
      </c>
      <c r="K21">
        <v>1.6970305295938299</v>
      </c>
      <c r="M21">
        <f t="shared" si="2"/>
        <v>1.0143227505760433</v>
      </c>
      <c r="N21">
        <f t="shared" si="3"/>
        <v>-1.4322750576043264E-2</v>
      </c>
      <c r="O21">
        <f t="shared" si="4"/>
        <v>0.99900697408163941</v>
      </c>
      <c r="P21">
        <f t="shared" si="5"/>
        <v>9.9302591836059051E-4</v>
      </c>
      <c r="AA21">
        <v>1719.3</v>
      </c>
      <c r="AB21">
        <v>2.1609867796668998</v>
      </c>
      <c r="AC21">
        <f t="shared" si="6"/>
        <v>1.2721284774423927</v>
      </c>
    </row>
    <row r="22" spans="1:29" x14ac:dyDescent="0.25">
      <c r="A22">
        <v>1721.3</v>
      </c>
      <c r="B22">
        <v>101.27953100000001</v>
      </c>
      <c r="C22">
        <v>0</v>
      </c>
      <c r="D22">
        <f t="shared" si="0"/>
        <v>196145.04523899395</v>
      </c>
      <c r="E22">
        <f t="shared" si="1"/>
        <v>1.2421030093246723</v>
      </c>
      <c r="G22" s="1">
        <v>1721.3</v>
      </c>
      <c r="H22" s="2">
        <v>1.2194149000000001</v>
      </c>
      <c r="J22">
        <v>1721.3</v>
      </c>
      <c r="K22">
        <v>1.21850433650434</v>
      </c>
      <c r="M22">
        <f t="shared" si="2"/>
        <v>1.0186057340489052</v>
      </c>
      <c r="N22">
        <f t="shared" si="3"/>
        <v>-1.8605734048905198E-2</v>
      </c>
      <c r="O22">
        <f t="shared" si="4"/>
        <v>0.99925327835861277</v>
      </c>
      <c r="P22">
        <f t="shared" si="5"/>
        <v>7.4672164138722685E-4</v>
      </c>
      <c r="AA22">
        <v>1721.3</v>
      </c>
      <c r="AB22">
        <v>1.60361818101875</v>
      </c>
      <c r="AC22">
        <f t="shared" si="6"/>
        <v>1.3150718274959161</v>
      </c>
    </row>
    <row r="23" spans="1:29" x14ac:dyDescent="0.25">
      <c r="A23">
        <v>1723.3</v>
      </c>
      <c r="B23">
        <v>76.271472000000003</v>
      </c>
      <c r="C23">
        <v>0</v>
      </c>
      <c r="D23">
        <f t="shared" si="0"/>
        <v>147712.68368022615</v>
      </c>
      <c r="E23">
        <f t="shared" si="1"/>
        <v>0.93540149684167162</v>
      </c>
      <c r="G23" s="1">
        <v>1723.3</v>
      </c>
      <c r="H23" s="2">
        <v>0.91871667000000001</v>
      </c>
      <c r="J23">
        <v>1723.3</v>
      </c>
      <c r="K23">
        <v>0.91827000092254296</v>
      </c>
      <c r="M23">
        <f t="shared" si="2"/>
        <v>1.0181610145831703</v>
      </c>
      <c r="N23">
        <f t="shared" si="3"/>
        <v>-1.8161014583170321E-2</v>
      </c>
      <c r="O23">
        <f t="shared" si="4"/>
        <v>0.99951381193784472</v>
      </c>
      <c r="P23">
        <f t="shared" si="5"/>
        <v>4.8618806215527943E-4</v>
      </c>
      <c r="AA23">
        <v>1723.3</v>
      </c>
      <c r="AB23">
        <v>1.1946118455300201</v>
      </c>
      <c r="AC23">
        <f t="shared" si="6"/>
        <v>1.3003049629327179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4 Full 0</vt:lpstr>
      <vt:lpstr>Ex 4 Full 1</vt:lpstr>
      <vt:lpstr>Ex 4 Gauss 0</vt:lpstr>
      <vt:lpstr>Ex 4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DIMITRIOU, Paraskevi</cp:lastModifiedBy>
  <cp:revision>2</cp:revision>
  <dcterms:created xsi:type="dcterms:W3CDTF">2023-12-06T13:46:37Z</dcterms:created>
  <dcterms:modified xsi:type="dcterms:W3CDTF">2024-04-22T06:37:35Z</dcterms:modified>
  <dc:language>pt-PT</dc:language>
</cp:coreProperties>
</file>