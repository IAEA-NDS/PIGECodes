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DF\Nuno\IAEA\PIGE_IAEA_2023\round_2\all results 2\"/>
    </mc:Choice>
  </mc:AlternateContent>
  <xr:revisionPtr revIDLastSave="0" documentId="13_ncr:1_{3D85E013-4E7E-4FE8-827A-5BF3097A7031}" xr6:coauthVersionLast="36" xr6:coauthVersionMax="36" xr10:uidLastSave="{00000000-0000-0000-0000-000000000000}"/>
  <bookViews>
    <workbookView xWindow="390" yWindow="405" windowWidth="21600" windowHeight="11385" activeTab="1" xr2:uid="{00000000-000D-0000-FFFF-FFFF00000000}"/>
  </bookViews>
  <sheets>
    <sheet name="Ex 1 full 0" sheetId="1" r:id="rId1"/>
    <sheet name="Ex 1 full 1" sheetId="2" r:id="rId2"/>
    <sheet name="Ex 1 Gauss 0" sheetId="3" r:id="rId3"/>
    <sheet name="Ex 1 Gauss 1" sheetId="4" r:id="rId4"/>
  </sheets>
  <calcPr calcId="191029"/>
</workbook>
</file>

<file path=xl/calcChain.xml><?xml version="1.0" encoding="utf-8"?>
<calcChain xmlns="http://schemas.openxmlformats.org/spreadsheetml/2006/main">
  <c r="M4" i="1" l="1"/>
  <c r="N4" i="1" s="1"/>
  <c r="M5" i="1"/>
  <c r="N5" i="1" s="1"/>
  <c r="M6" i="1"/>
  <c r="N6" i="1" s="1"/>
  <c r="M7" i="1"/>
  <c r="N7" i="1" s="1"/>
  <c r="M8" i="1"/>
  <c r="N8" i="1" s="1"/>
  <c r="M9" i="1"/>
  <c r="N9" i="1" s="1"/>
  <c r="M10" i="1"/>
  <c r="N10" i="1" s="1"/>
  <c r="M11" i="1"/>
  <c r="N11" i="1" s="1"/>
  <c r="M12" i="1"/>
  <c r="N12" i="1" s="1"/>
  <c r="M13" i="1"/>
  <c r="N13" i="1" s="1"/>
  <c r="M14" i="1"/>
  <c r="N14" i="1" s="1"/>
  <c r="M15" i="1"/>
  <c r="N15" i="1" s="1"/>
  <c r="M16" i="1"/>
  <c r="N16" i="1" s="1"/>
  <c r="M17" i="1"/>
  <c r="N17" i="1" s="1"/>
  <c r="M18" i="1"/>
  <c r="N18" i="1" s="1"/>
  <c r="M19" i="1"/>
  <c r="N19" i="1" s="1"/>
  <c r="M20" i="1"/>
  <c r="N20" i="1" s="1"/>
  <c r="M21" i="1"/>
  <c r="N21" i="1" s="1"/>
  <c r="M22" i="1"/>
  <c r="N22" i="1" s="1"/>
  <c r="M23" i="1"/>
  <c r="N23" i="1" s="1"/>
  <c r="M3" i="1"/>
  <c r="N3" i="1" s="1"/>
  <c r="K4" i="1"/>
  <c r="L4" i="1" s="1"/>
  <c r="K16" i="1"/>
  <c r="L16" i="1" s="1"/>
  <c r="K19" i="1"/>
  <c r="L19" i="1" s="1"/>
  <c r="C23" i="1"/>
  <c r="K23" i="1" s="1"/>
  <c r="L23" i="1" s="1"/>
  <c r="C22" i="1"/>
  <c r="K22" i="1" s="1"/>
  <c r="L22" i="1" s="1"/>
  <c r="C21" i="1"/>
  <c r="K21" i="1" s="1"/>
  <c r="L21" i="1" s="1"/>
  <c r="C20" i="1"/>
  <c r="K20" i="1" s="1"/>
  <c r="L20" i="1" s="1"/>
  <c r="C19" i="1"/>
  <c r="C18" i="1"/>
  <c r="K18" i="1" s="1"/>
  <c r="L18" i="1" s="1"/>
  <c r="C17" i="1"/>
  <c r="K17" i="1" s="1"/>
  <c r="L17" i="1" s="1"/>
  <c r="C16" i="1"/>
  <c r="C15" i="1"/>
  <c r="K15" i="1" s="1"/>
  <c r="L15" i="1" s="1"/>
  <c r="C14" i="1"/>
  <c r="K14" i="1" s="1"/>
  <c r="L14" i="1" s="1"/>
  <c r="C13" i="1"/>
  <c r="K13" i="1" s="1"/>
  <c r="L13" i="1" s="1"/>
  <c r="C12" i="1"/>
  <c r="K12" i="1" s="1"/>
  <c r="L12" i="1" s="1"/>
  <c r="C11" i="1"/>
  <c r="K11" i="1" s="1"/>
  <c r="L11" i="1" s="1"/>
  <c r="C10" i="1"/>
  <c r="K10" i="1" s="1"/>
  <c r="L10" i="1" s="1"/>
  <c r="C9" i="1"/>
  <c r="K9" i="1" s="1"/>
  <c r="L9" i="1" s="1"/>
  <c r="C8" i="1"/>
  <c r="K8" i="1" s="1"/>
  <c r="L8" i="1" s="1"/>
  <c r="C7" i="1"/>
  <c r="K7" i="1" s="1"/>
  <c r="L7" i="1" s="1"/>
  <c r="C6" i="1"/>
  <c r="K6" i="1" s="1"/>
  <c r="L6" i="1" s="1"/>
  <c r="C5" i="1"/>
  <c r="K5" i="1" s="1"/>
  <c r="L5" i="1" s="1"/>
  <c r="C4" i="1"/>
  <c r="C3" i="1"/>
  <c r="K3" i="1" s="1"/>
  <c r="L3" i="1" s="1"/>
  <c r="M4" i="2"/>
  <c r="N4" i="2" s="1"/>
  <c r="M5" i="2"/>
  <c r="N5" i="2" s="1"/>
  <c r="M6" i="2"/>
  <c r="N6" i="2" s="1"/>
  <c r="M7" i="2"/>
  <c r="M8" i="2"/>
  <c r="N8" i="2" s="1"/>
  <c r="M9" i="2"/>
  <c r="M10" i="2"/>
  <c r="N10" i="2" s="1"/>
  <c r="M11" i="2"/>
  <c r="N11" i="2" s="1"/>
  <c r="M12" i="2"/>
  <c r="N12" i="2" s="1"/>
  <c r="M13" i="2"/>
  <c r="N13" i="2" s="1"/>
  <c r="M14" i="2"/>
  <c r="N14" i="2" s="1"/>
  <c r="M15" i="2"/>
  <c r="N15" i="2" s="1"/>
  <c r="M16" i="2"/>
  <c r="M17" i="2"/>
  <c r="M18" i="2"/>
  <c r="M19" i="2"/>
  <c r="N19" i="2" s="1"/>
  <c r="M20" i="2"/>
  <c r="N20" i="2" s="1"/>
  <c r="M21" i="2"/>
  <c r="N21" i="2" s="1"/>
  <c r="M22" i="2"/>
  <c r="N22" i="2" s="1"/>
  <c r="M23" i="2"/>
  <c r="M3" i="2"/>
  <c r="N3" i="2" s="1"/>
  <c r="K22" i="2"/>
  <c r="L22" i="2" s="1"/>
  <c r="K23" i="2"/>
  <c r="L23" i="2" s="1"/>
  <c r="K21" i="2"/>
  <c r="L21" i="2" s="1"/>
  <c r="K20" i="2"/>
  <c r="L20" i="2" s="1"/>
  <c r="K19" i="2"/>
  <c r="L19" i="2" s="1"/>
  <c r="K18" i="2"/>
  <c r="L18" i="2" s="1"/>
  <c r="K17" i="2"/>
  <c r="L17" i="2" s="1"/>
  <c r="K16" i="2"/>
  <c r="L16" i="2" s="1"/>
  <c r="K15" i="2"/>
  <c r="L15" i="2" s="1"/>
  <c r="K14" i="2"/>
  <c r="L14" i="2" s="1"/>
  <c r="K13" i="2"/>
  <c r="L13" i="2" s="1"/>
  <c r="K12" i="2"/>
  <c r="L12" i="2" s="1"/>
  <c r="K11" i="2"/>
  <c r="L11" i="2" s="1"/>
  <c r="K10" i="2"/>
  <c r="L10" i="2" s="1"/>
  <c r="K9" i="2"/>
  <c r="L9" i="2" s="1"/>
  <c r="K8" i="2"/>
  <c r="L8" i="2" s="1"/>
  <c r="K7" i="2"/>
  <c r="L7" i="2" s="1"/>
  <c r="K6" i="2"/>
  <c r="L6" i="2" s="1"/>
  <c r="K5" i="2"/>
  <c r="L5" i="2" s="1"/>
  <c r="K4" i="2"/>
  <c r="L4" i="2" s="1"/>
  <c r="K3" i="2"/>
  <c r="L3" i="2" s="1"/>
  <c r="M4" i="3"/>
  <c r="N4" i="3" s="1"/>
  <c r="M5" i="3"/>
  <c r="N5" i="3" s="1"/>
  <c r="M6" i="3"/>
  <c r="N6" i="3" s="1"/>
  <c r="M7" i="3"/>
  <c r="N7" i="3" s="1"/>
  <c r="M8" i="3"/>
  <c r="N8" i="3" s="1"/>
  <c r="M9" i="3"/>
  <c r="N9" i="3" s="1"/>
  <c r="M10" i="3"/>
  <c r="N10" i="3" s="1"/>
  <c r="M11" i="3"/>
  <c r="N11" i="3" s="1"/>
  <c r="M12" i="3"/>
  <c r="N12" i="3" s="1"/>
  <c r="M13" i="3"/>
  <c r="N13" i="3" s="1"/>
  <c r="M14" i="3"/>
  <c r="N14" i="3" s="1"/>
  <c r="M15" i="3"/>
  <c r="N15" i="3" s="1"/>
  <c r="M16" i="3"/>
  <c r="N16" i="3" s="1"/>
  <c r="M17" i="3"/>
  <c r="M18" i="3"/>
  <c r="N18" i="3" s="1"/>
  <c r="M19" i="3"/>
  <c r="N19" i="3" s="1"/>
  <c r="M20" i="3"/>
  <c r="N20" i="3" s="1"/>
  <c r="M21" i="3"/>
  <c r="N21" i="3" s="1"/>
  <c r="M22" i="3"/>
  <c r="N22" i="3" s="1"/>
  <c r="M23" i="3"/>
  <c r="N23" i="3" s="1"/>
  <c r="M3" i="3"/>
  <c r="N3" i="3" s="1"/>
  <c r="K9" i="3"/>
  <c r="L9" i="3" s="1"/>
  <c r="K10" i="3"/>
  <c r="L10" i="3" s="1"/>
  <c r="K17" i="3"/>
  <c r="L17" i="3" s="1"/>
  <c r="K18" i="3"/>
  <c r="L18" i="3" s="1"/>
  <c r="C23" i="3"/>
  <c r="K23" i="3" s="1"/>
  <c r="L23" i="3" s="1"/>
  <c r="C22" i="3"/>
  <c r="K22" i="3" s="1"/>
  <c r="L22" i="3" s="1"/>
  <c r="C21" i="3"/>
  <c r="K21" i="3" s="1"/>
  <c r="L21" i="3" s="1"/>
  <c r="C20" i="3"/>
  <c r="K20" i="3" s="1"/>
  <c r="L20" i="3" s="1"/>
  <c r="C19" i="3"/>
  <c r="K19" i="3" s="1"/>
  <c r="L19" i="3" s="1"/>
  <c r="C18" i="3"/>
  <c r="C17" i="3"/>
  <c r="C16" i="3"/>
  <c r="K16" i="3" s="1"/>
  <c r="L16" i="3" s="1"/>
  <c r="C15" i="3"/>
  <c r="K15" i="3" s="1"/>
  <c r="L15" i="3" s="1"/>
  <c r="C14" i="3"/>
  <c r="K14" i="3" s="1"/>
  <c r="L14" i="3" s="1"/>
  <c r="C13" i="3"/>
  <c r="K13" i="3" s="1"/>
  <c r="L13" i="3" s="1"/>
  <c r="C12" i="3"/>
  <c r="K12" i="3" s="1"/>
  <c r="L12" i="3" s="1"/>
  <c r="C11" i="3"/>
  <c r="K11" i="3" s="1"/>
  <c r="L11" i="3" s="1"/>
  <c r="C10" i="3"/>
  <c r="C9" i="3"/>
  <c r="C8" i="3"/>
  <c r="K8" i="3" s="1"/>
  <c r="L8" i="3" s="1"/>
  <c r="C7" i="3"/>
  <c r="K7" i="3" s="1"/>
  <c r="L7" i="3" s="1"/>
  <c r="C6" i="3"/>
  <c r="K6" i="3" s="1"/>
  <c r="L6" i="3" s="1"/>
  <c r="C5" i="3"/>
  <c r="K5" i="3" s="1"/>
  <c r="L5" i="3" s="1"/>
  <c r="C4" i="3"/>
  <c r="K4" i="3" s="1"/>
  <c r="L4" i="3" s="1"/>
  <c r="C3" i="3"/>
  <c r="K3" i="3" s="1"/>
  <c r="L3" i="3" s="1"/>
  <c r="M4" i="4"/>
  <c r="N4" i="4" s="1"/>
  <c r="M5" i="4"/>
  <c r="N5" i="4" s="1"/>
  <c r="M6" i="4"/>
  <c r="N6" i="4" s="1"/>
  <c r="M7" i="4"/>
  <c r="N7" i="4" s="1"/>
  <c r="M8" i="4"/>
  <c r="N8" i="4" s="1"/>
  <c r="M9" i="4"/>
  <c r="N9" i="4" s="1"/>
  <c r="M10" i="4"/>
  <c r="N10" i="4" s="1"/>
  <c r="M11" i="4"/>
  <c r="N11" i="4" s="1"/>
  <c r="M12" i="4"/>
  <c r="N12" i="4" s="1"/>
  <c r="M13" i="4"/>
  <c r="N13" i="4" s="1"/>
  <c r="M14" i="4"/>
  <c r="N14" i="4" s="1"/>
  <c r="M15" i="4"/>
  <c r="N15" i="4" s="1"/>
  <c r="M16" i="4"/>
  <c r="N16" i="4" s="1"/>
  <c r="M17" i="4"/>
  <c r="N17" i="4" s="1"/>
  <c r="M18" i="4"/>
  <c r="N18" i="4" s="1"/>
  <c r="M19" i="4"/>
  <c r="N19" i="4" s="1"/>
  <c r="M20" i="4"/>
  <c r="N20" i="4" s="1"/>
  <c r="M21" i="4"/>
  <c r="N21" i="4" s="1"/>
  <c r="M22" i="4"/>
  <c r="N22" i="4" s="1"/>
  <c r="M23" i="4"/>
  <c r="N23" i="4" s="1"/>
  <c r="M3" i="4"/>
  <c r="N3" i="4" s="1"/>
  <c r="K9" i="4"/>
  <c r="L9" i="4" s="1"/>
  <c r="K10" i="4"/>
  <c r="L10" i="4" s="1"/>
  <c r="K11" i="4"/>
  <c r="L11" i="4" s="1"/>
  <c r="K17" i="4"/>
  <c r="L17" i="4" s="1"/>
  <c r="K18" i="4"/>
  <c r="L18" i="4" s="1"/>
  <c r="C23" i="4"/>
  <c r="K23" i="4" s="1"/>
  <c r="L23" i="4" s="1"/>
  <c r="C22" i="4"/>
  <c r="K22" i="4" s="1"/>
  <c r="L22" i="4" s="1"/>
  <c r="C21" i="4"/>
  <c r="K21" i="4" s="1"/>
  <c r="L21" i="4" s="1"/>
  <c r="C20" i="4"/>
  <c r="K20" i="4" s="1"/>
  <c r="L20" i="4" s="1"/>
  <c r="C19" i="4"/>
  <c r="K19" i="4" s="1"/>
  <c r="L19" i="4" s="1"/>
  <c r="C18" i="4"/>
  <c r="C17" i="4"/>
  <c r="C16" i="4"/>
  <c r="K16" i="4" s="1"/>
  <c r="L16" i="4" s="1"/>
  <c r="C15" i="4"/>
  <c r="K15" i="4" s="1"/>
  <c r="L15" i="4" s="1"/>
  <c r="C14" i="4"/>
  <c r="K14" i="4" s="1"/>
  <c r="L14" i="4" s="1"/>
  <c r="C13" i="4"/>
  <c r="K13" i="4" s="1"/>
  <c r="L13" i="4" s="1"/>
  <c r="C12" i="4"/>
  <c r="K12" i="4" s="1"/>
  <c r="L12" i="4" s="1"/>
  <c r="C11" i="4"/>
  <c r="C10" i="4"/>
  <c r="C9" i="4"/>
  <c r="C8" i="4"/>
  <c r="K8" i="4" s="1"/>
  <c r="L8" i="4" s="1"/>
  <c r="C7" i="4"/>
  <c r="K7" i="4" s="1"/>
  <c r="L7" i="4" s="1"/>
  <c r="C6" i="4"/>
  <c r="K6" i="4" s="1"/>
  <c r="L6" i="4" s="1"/>
  <c r="C5" i="4"/>
  <c r="K5" i="4" s="1"/>
  <c r="L5" i="4" s="1"/>
  <c r="C4" i="4"/>
  <c r="K4" i="4" s="1"/>
  <c r="L4" i="4" s="1"/>
  <c r="C3" i="4"/>
  <c r="K3" i="4" s="1"/>
  <c r="L3" i="4" s="1"/>
  <c r="N17" i="3"/>
  <c r="N7" i="2"/>
  <c r="N9" i="2"/>
  <c r="N16" i="2"/>
  <c r="N17" i="2"/>
  <c r="N18" i="2"/>
  <c r="N23" i="2"/>
</calcChain>
</file>

<file path=xl/sharedStrings.xml><?xml version="1.0" encoding="utf-8"?>
<sst xmlns="http://schemas.openxmlformats.org/spreadsheetml/2006/main" count="57" uniqueCount="11">
  <si>
    <t>Energy (keV)</t>
  </si>
  <si>
    <t>27Al (845 keV)</t>
  </si>
  <si>
    <t>ERYA</t>
  </si>
  <si>
    <t>NDF</t>
  </si>
  <si>
    <t>SMNRA</t>
  </si>
  <si>
    <t>#</t>
  </si>
  <si>
    <t>#Energy (keV)</t>
  </si>
  <si>
    <t>REL</t>
  </si>
  <si>
    <t>Count/uC/msr</t>
  </si>
  <si>
    <t>ERYA/NDF</t>
  </si>
  <si>
    <t>SMNRA/NDF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</si>
</sst>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65" formatCode="0.000000"/>
  </numFmts>
  <fonts count="2" x14ac:knownFonts="1">
    <font>
      <sz val="12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Ex 1 Full straggling </a:t>
            </a:r>
            <a:r>
              <a:rPr lang="el-GR" sz="1800"/>
              <a:t>Δ</a:t>
            </a:r>
            <a:r>
              <a:rPr lang="en-US" sz="1800"/>
              <a:t>E=0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1 full 0'!$E$3:$E$23</c:f>
              <c:numCache>
                <c:formatCode>0.00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1 full 0'!$C$3:$C$23</c:f>
              <c:numCache>
                <c:formatCode>General</c:formatCode>
                <c:ptCount val="21"/>
                <c:pt idx="0">
                  <c:v>36.88731893394332</c:v>
                </c:pt>
                <c:pt idx="1">
                  <c:v>36.88731893394332</c:v>
                </c:pt>
                <c:pt idx="2">
                  <c:v>36.88731893394332</c:v>
                </c:pt>
                <c:pt idx="3">
                  <c:v>36.88731893394332</c:v>
                </c:pt>
                <c:pt idx="4">
                  <c:v>36.88731893394332</c:v>
                </c:pt>
                <c:pt idx="5">
                  <c:v>36.88731893394332</c:v>
                </c:pt>
                <c:pt idx="6">
                  <c:v>36.88731893394332</c:v>
                </c:pt>
                <c:pt idx="7">
                  <c:v>36.88731893394332</c:v>
                </c:pt>
                <c:pt idx="8">
                  <c:v>36.88731893394332</c:v>
                </c:pt>
                <c:pt idx="9">
                  <c:v>36.88731893394332</c:v>
                </c:pt>
                <c:pt idx="10">
                  <c:v>36.88731893394332</c:v>
                </c:pt>
                <c:pt idx="11">
                  <c:v>36.88731893394332</c:v>
                </c:pt>
                <c:pt idx="12">
                  <c:v>36.88731893394332</c:v>
                </c:pt>
                <c:pt idx="13">
                  <c:v>36.88731893394332</c:v>
                </c:pt>
                <c:pt idx="14">
                  <c:v>36.88731893394332</c:v>
                </c:pt>
                <c:pt idx="15">
                  <c:v>36.88731893394332</c:v>
                </c:pt>
                <c:pt idx="16">
                  <c:v>36.88731893394332</c:v>
                </c:pt>
                <c:pt idx="17">
                  <c:v>36.88731893394332</c:v>
                </c:pt>
                <c:pt idx="18">
                  <c:v>36.88731893394332</c:v>
                </c:pt>
                <c:pt idx="19">
                  <c:v>36.88731893394332</c:v>
                </c:pt>
                <c:pt idx="20">
                  <c:v>36.88731893394332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49-469B-9756-48E857AD7F58}"/>
            </c:ext>
          </c:extLst>
        </c:ser>
        <c:ser>
          <c:idx val="1"/>
          <c:order val="1"/>
          <c:tx>
            <c:v>NDF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1 full 0'!$A$3:$A$23</c:f>
              <c:numCache>
                <c:formatCode>General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1 full 0'!$F$3:$F$23</c:f>
              <c:numCache>
                <c:formatCode>0.0000000</c:formatCode>
                <c:ptCount val="21"/>
                <c:pt idx="0">
                  <c:v>36.887374999999999</c:v>
                </c:pt>
                <c:pt idx="1">
                  <c:v>36.887287000000001</c:v>
                </c:pt>
                <c:pt idx="2">
                  <c:v>36.887360000000001</c:v>
                </c:pt>
                <c:pt idx="3">
                  <c:v>36.887374999999999</c:v>
                </c:pt>
                <c:pt idx="4">
                  <c:v>36.887379000000003</c:v>
                </c:pt>
                <c:pt idx="5">
                  <c:v>36.887206999999997</c:v>
                </c:pt>
                <c:pt idx="6">
                  <c:v>36.887183999999998</c:v>
                </c:pt>
                <c:pt idx="7">
                  <c:v>36.887256999999998</c:v>
                </c:pt>
                <c:pt idx="8">
                  <c:v>36.887141999999997</c:v>
                </c:pt>
                <c:pt idx="9">
                  <c:v>36.887191999999999</c:v>
                </c:pt>
                <c:pt idx="10">
                  <c:v>36.887206999999997</c:v>
                </c:pt>
                <c:pt idx="11">
                  <c:v>36.887253000000001</c:v>
                </c:pt>
                <c:pt idx="12">
                  <c:v>36.887241000000003</c:v>
                </c:pt>
                <c:pt idx="13">
                  <c:v>36.887241000000003</c:v>
                </c:pt>
                <c:pt idx="14">
                  <c:v>36.887241000000003</c:v>
                </c:pt>
                <c:pt idx="15">
                  <c:v>36.887233999999999</c:v>
                </c:pt>
                <c:pt idx="16">
                  <c:v>36.887259999999998</c:v>
                </c:pt>
                <c:pt idx="17">
                  <c:v>36.887180000000001</c:v>
                </c:pt>
                <c:pt idx="18">
                  <c:v>36.887203</c:v>
                </c:pt>
                <c:pt idx="19">
                  <c:v>36.887138</c:v>
                </c:pt>
                <c:pt idx="20">
                  <c:v>36.887172999999997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849-469B-9756-48E857AD7F58}"/>
            </c:ext>
          </c:extLst>
        </c:ser>
        <c:ser>
          <c:idx val="2"/>
          <c:order val="2"/>
          <c:tx>
            <c:v>SMNRA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 1 full 0'!$A$3:$A$23</c:f>
              <c:numCache>
                <c:formatCode>General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1 full 0'!$I$3:$I$23</c:f>
              <c:numCache>
                <c:formatCode>General</c:formatCode>
                <c:ptCount val="21"/>
                <c:pt idx="0">
                  <c:v>36.885657607289502</c:v>
                </c:pt>
                <c:pt idx="1">
                  <c:v>36.885760136651598</c:v>
                </c:pt>
                <c:pt idx="2">
                  <c:v>36.885828594324799</c:v>
                </c:pt>
                <c:pt idx="3">
                  <c:v>36.885792806218198</c:v>
                </c:pt>
                <c:pt idx="4">
                  <c:v>36.885742018786097</c:v>
                </c:pt>
                <c:pt idx="5">
                  <c:v>36.885651327198097</c:v>
                </c:pt>
                <c:pt idx="6">
                  <c:v>36.8857709153408</c:v>
                </c:pt>
                <c:pt idx="7">
                  <c:v>36.885824912754501</c:v>
                </c:pt>
                <c:pt idx="8">
                  <c:v>36.885806065314497</c:v>
                </c:pt>
                <c:pt idx="9">
                  <c:v>36.885782570175301</c:v>
                </c:pt>
                <c:pt idx="10">
                  <c:v>36.885665822740698</c:v>
                </c:pt>
                <c:pt idx="11">
                  <c:v>36.8857484742583</c:v>
                </c:pt>
                <c:pt idx="12">
                  <c:v>36.885726082117998</c:v>
                </c:pt>
                <c:pt idx="13">
                  <c:v>36.8857774331453</c:v>
                </c:pt>
                <c:pt idx="14">
                  <c:v>36.885830298090703</c:v>
                </c:pt>
                <c:pt idx="15">
                  <c:v>36.885688428609598</c:v>
                </c:pt>
                <c:pt idx="16">
                  <c:v>36.885764800975402</c:v>
                </c:pt>
                <c:pt idx="17">
                  <c:v>36.885762335878397</c:v>
                </c:pt>
                <c:pt idx="18">
                  <c:v>36.885790793223997</c:v>
                </c:pt>
                <c:pt idx="19">
                  <c:v>36.885822320834301</c:v>
                </c:pt>
                <c:pt idx="20">
                  <c:v>36.885755554915598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849-469B-9756-48E857AD7F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831744"/>
        <c:axId val="242834048"/>
      </c:scatterChart>
      <c:valAx>
        <c:axId val="242831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</a:t>
                </a:r>
                <a:r>
                  <a:rPr lang="en-GB" sz="1600" baseline="0"/>
                  <a:t> energy (keV)</a:t>
                </a:r>
                <a:endParaRPr lang="en-GB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834048"/>
        <c:crosses val="autoZero"/>
        <c:crossBetween val="midCat"/>
      </c:valAx>
      <c:valAx>
        <c:axId val="24283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yield</a:t>
                </a:r>
              </a:p>
              <a:p>
                <a:pPr>
                  <a:defRPr/>
                </a:pP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8317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1 full 0'!$E$3:$E$23</c:f>
              <c:numCache>
                <c:formatCode>0.00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1 full 0'!$K$3:$K$23</c:f>
              <c:numCache>
                <c:formatCode>General</c:formatCode>
                <c:ptCount val="21"/>
                <c:pt idx="0">
                  <c:v>0.99999848007464132</c:v>
                </c:pt>
                <c:pt idx="1">
                  <c:v>1.0000008657167798</c:v>
                </c:pt>
                <c:pt idx="2">
                  <c:v>0.9999988867173828</c:v>
                </c:pt>
                <c:pt idx="3">
                  <c:v>0.99999848007464132</c:v>
                </c:pt>
                <c:pt idx="4">
                  <c:v>0.99999837163663263</c:v>
                </c:pt>
                <c:pt idx="5">
                  <c:v>1.0000030344922379</c:v>
                </c:pt>
                <c:pt idx="6">
                  <c:v>1.0000036580169231</c:v>
                </c:pt>
                <c:pt idx="7">
                  <c:v>1.0000016790064743</c:v>
                </c:pt>
                <c:pt idx="8">
                  <c:v>1.0000047966292245</c:v>
                </c:pt>
                <c:pt idx="9">
                  <c:v>1.0000034411386836</c:v>
                </c:pt>
                <c:pt idx="10">
                  <c:v>1.0000030344922379</c:v>
                </c:pt>
                <c:pt idx="11">
                  <c:v>1.0000017874452001</c:v>
                </c:pt>
                <c:pt idx="12">
                  <c:v>1.0000021127615186</c:v>
                </c:pt>
                <c:pt idx="13">
                  <c:v>1.0000021127615186</c:v>
                </c:pt>
                <c:pt idx="14">
                  <c:v>1.0000021127615186</c:v>
                </c:pt>
                <c:pt idx="15">
                  <c:v>1.0000023025294691</c:v>
                </c:pt>
                <c:pt idx="16">
                  <c:v>1.0000015976774452</c:v>
                </c:pt>
                <c:pt idx="17">
                  <c:v>1.0000037664560781</c:v>
                </c:pt>
                <c:pt idx="18">
                  <c:v>1.0000031429312577</c:v>
                </c:pt>
                <c:pt idx="19">
                  <c:v>1.0000049050686264</c:v>
                </c:pt>
                <c:pt idx="20">
                  <c:v>1.0000039562246563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6F-483C-9BBA-780CFCA4A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1742976"/>
        <c:axId val="241745280"/>
      </c:scatterChart>
      <c:valAx>
        <c:axId val="241742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</a:t>
                </a:r>
                <a:r>
                  <a:rPr lang="en-GB" sz="1600" baseline="0"/>
                  <a:t> energy (keV)</a:t>
                </a:r>
              </a:p>
              <a:p>
                <a:pPr>
                  <a:defRPr sz="1600"/>
                </a:pPr>
                <a:endParaRPr lang="en-GB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745280"/>
        <c:crosses val="autoZero"/>
        <c:crossBetween val="midCat"/>
      </c:valAx>
      <c:valAx>
        <c:axId val="24174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ratio over NDF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742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5713843159097123"/>
          <c:y val="0.82684315368486594"/>
          <c:w val="0.15974444853535916"/>
          <c:h val="9.28303144934337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SMNRA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1 full 0'!$H$3:$H$23</c:f>
              <c:numCache>
                <c:formatCode>General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1 full 0'!$M$3:$M$23</c:f>
              <c:numCache>
                <c:formatCode>General</c:formatCode>
                <c:ptCount val="21"/>
                <c:pt idx="0">
                  <c:v>0.99995344226282035</c:v>
                </c:pt>
                <c:pt idx="1">
                  <c:v>0.99995860732863329</c:v>
                </c:pt>
                <c:pt idx="2">
                  <c:v>0.99995848427008049</c:v>
                </c:pt>
                <c:pt idx="3">
                  <c:v>0.99995710744443589</c:v>
                </c:pt>
                <c:pt idx="4">
                  <c:v>0.99995562218682155</c:v>
                </c:pt>
                <c:pt idx="5">
                  <c:v>0.99995782622409179</c:v>
                </c:pt>
                <c:pt idx="6">
                  <c:v>0.99996169171766547</c:v>
                </c:pt>
                <c:pt idx="7">
                  <c:v>0.9999611766403369</c:v>
                </c:pt>
                <c:pt idx="8">
                  <c:v>0.99996378318804147</c:v>
                </c:pt>
                <c:pt idx="9">
                  <c:v>0.99996179080737024</c:v>
                </c:pt>
                <c:pt idx="10">
                  <c:v>0.99995821919346461</c:v>
                </c:pt>
                <c:pt idx="11">
                  <c:v>0.99995921285486611</c:v>
                </c:pt>
                <c:pt idx="12">
                  <c:v>0.9999589311143654</c:v>
                </c:pt>
                <c:pt idx="13">
                  <c:v>0.99996032322247408</c:v>
                </c:pt>
                <c:pt idx="14">
                  <c:v>0.99996175637236462</c:v>
                </c:pt>
                <c:pt idx="15">
                  <c:v>0.99995810010069064</c:v>
                </c:pt>
                <c:pt idx="16">
                  <c:v>0.99995946570646355</c:v>
                </c:pt>
                <c:pt idx="17">
                  <c:v>0.99996156756570698</c:v>
                </c:pt>
                <c:pt idx="18">
                  <c:v>0.99996171553652358</c:v>
                </c:pt>
                <c:pt idx="19">
                  <c:v>0.99996433230559389</c:v>
                </c:pt>
                <c:pt idx="20">
                  <c:v>0.99996157349644554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11-47CE-9902-F8520CEA8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1852416"/>
        <c:axId val="241854720"/>
      </c:scatterChart>
      <c:valAx>
        <c:axId val="241852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beam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854720"/>
        <c:crosses val="autoZero"/>
        <c:crossBetween val="midCat"/>
      </c:valAx>
      <c:valAx>
        <c:axId val="24185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ratio</a:t>
                </a:r>
                <a:r>
                  <a:rPr lang="en-GB" sz="1600" baseline="0"/>
                  <a:t> over NDF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852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/>
              <a:t>Ex</a:t>
            </a:r>
            <a:r>
              <a:rPr lang="en-GB" sz="1800" baseline="0"/>
              <a:t> 1 Full straggling </a:t>
            </a:r>
            <a:r>
              <a:rPr lang="el-GR" sz="1800" baseline="0"/>
              <a:t>Δ</a:t>
            </a:r>
            <a:r>
              <a:rPr lang="en-GB" sz="1800" baseline="0"/>
              <a:t>E=1</a:t>
            </a:r>
            <a:endParaRPr lang="en-GB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1 full 1'!$A$3:$A$23</c:f>
              <c:numCache>
                <c:formatCode>General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1 full 1'!$C$3:$C$23</c:f>
              <c:numCache>
                <c:formatCode>General</c:formatCode>
                <c:ptCount val="21"/>
                <c:pt idx="0">
                  <c:v>36.887408999999998</c:v>
                </c:pt>
                <c:pt idx="1">
                  <c:v>36.887318</c:v>
                </c:pt>
                <c:pt idx="2">
                  <c:v>36.887337000000002</c:v>
                </c:pt>
                <c:pt idx="3">
                  <c:v>36.887348000000003</c:v>
                </c:pt>
                <c:pt idx="4">
                  <c:v>36.887352</c:v>
                </c:pt>
                <c:pt idx="5">
                  <c:v>36.887397999999997</c:v>
                </c:pt>
                <c:pt idx="6">
                  <c:v>36.887177000000001</c:v>
                </c:pt>
                <c:pt idx="7">
                  <c:v>36.887233999999999</c:v>
                </c:pt>
                <c:pt idx="8">
                  <c:v>36.887225999999998</c:v>
                </c:pt>
                <c:pt idx="9">
                  <c:v>36.887287000000001</c:v>
                </c:pt>
                <c:pt idx="10">
                  <c:v>36.887183999999998</c:v>
                </c:pt>
                <c:pt idx="11">
                  <c:v>36.887214999999998</c:v>
                </c:pt>
                <c:pt idx="12">
                  <c:v>36.887264000000002</c:v>
                </c:pt>
                <c:pt idx="13">
                  <c:v>36.887217999999997</c:v>
                </c:pt>
                <c:pt idx="14">
                  <c:v>36.887225999999998</c:v>
                </c:pt>
                <c:pt idx="15">
                  <c:v>36.887214999999998</c:v>
                </c:pt>
                <c:pt idx="16">
                  <c:v>36.887238000000004</c:v>
                </c:pt>
                <c:pt idx="17">
                  <c:v>36.887146000000001</c:v>
                </c:pt>
                <c:pt idx="18">
                  <c:v>36.887183999999998</c:v>
                </c:pt>
                <c:pt idx="19">
                  <c:v>36.887118999999998</c:v>
                </c:pt>
                <c:pt idx="20">
                  <c:v>36.887149999999998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AE-4E98-AC16-D8487E489C96}"/>
            </c:ext>
          </c:extLst>
        </c:ser>
        <c:ser>
          <c:idx val="1"/>
          <c:order val="1"/>
          <c:tx>
            <c:v>NDF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1 full 1'!$A$3:$A$23</c:f>
              <c:numCache>
                <c:formatCode>General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1 full 1'!$F$3:$F$23</c:f>
              <c:numCache>
                <c:formatCode>0.000000</c:formatCode>
                <c:ptCount val="21"/>
                <c:pt idx="0">
                  <c:v>36.887320000000003</c:v>
                </c:pt>
                <c:pt idx="1">
                  <c:v>36.887239999999998</c:v>
                </c:pt>
                <c:pt idx="2">
                  <c:v>36.887239999999998</c:v>
                </c:pt>
                <c:pt idx="3">
                  <c:v>36.88729</c:v>
                </c:pt>
                <c:pt idx="4">
                  <c:v>36.887300000000003</c:v>
                </c:pt>
                <c:pt idx="5">
                  <c:v>36.887329999999999</c:v>
                </c:pt>
                <c:pt idx="6">
                  <c:v>36.887259999999998</c:v>
                </c:pt>
                <c:pt idx="7">
                  <c:v>36.887259999999998</c:v>
                </c:pt>
                <c:pt idx="8">
                  <c:v>36.887230000000002</c:v>
                </c:pt>
                <c:pt idx="9">
                  <c:v>36.887210000000003</c:v>
                </c:pt>
                <c:pt idx="10">
                  <c:v>36.887309999999999</c:v>
                </c:pt>
                <c:pt idx="11">
                  <c:v>36.887270000000001</c:v>
                </c:pt>
                <c:pt idx="12">
                  <c:v>36.887279999999997</c:v>
                </c:pt>
                <c:pt idx="13">
                  <c:v>36.887239999999998</c:v>
                </c:pt>
                <c:pt idx="14">
                  <c:v>36.887250000000002</c:v>
                </c:pt>
                <c:pt idx="15">
                  <c:v>36.887340000000002</c:v>
                </c:pt>
                <c:pt idx="16">
                  <c:v>36.887329999999999</c:v>
                </c:pt>
                <c:pt idx="17">
                  <c:v>36.887360000000001</c:v>
                </c:pt>
                <c:pt idx="18">
                  <c:v>36.887250000000002</c:v>
                </c:pt>
                <c:pt idx="19">
                  <c:v>36.887300000000003</c:v>
                </c:pt>
                <c:pt idx="20">
                  <c:v>36.887360000000001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AE-4E98-AC16-D8487E489C96}"/>
            </c:ext>
          </c:extLst>
        </c:ser>
        <c:ser>
          <c:idx val="2"/>
          <c:order val="2"/>
          <c:tx>
            <c:v>SMNRA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 1 full 1'!$A$3:$A$23</c:f>
              <c:numCache>
                <c:formatCode>General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1 full 1'!$I$3:$I$23</c:f>
              <c:numCache>
                <c:formatCode>General</c:formatCode>
                <c:ptCount val="21"/>
                <c:pt idx="0">
                  <c:v>36.885750470728901</c:v>
                </c:pt>
                <c:pt idx="1">
                  <c:v>36.885846313244699</c:v>
                </c:pt>
                <c:pt idx="2">
                  <c:v>36.885748267387797</c:v>
                </c:pt>
                <c:pt idx="3">
                  <c:v>36.885864154468699</c:v>
                </c:pt>
                <c:pt idx="4">
                  <c:v>36.885860002984202</c:v>
                </c:pt>
                <c:pt idx="5">
                  <c:v>36.885714898768597</c:v>
                </c:pt>
                <c:pt idx="6">
                  <c:v>36.885871365851401</c:v>
                </c:pt>
                <c:pt idx="7">
                  <c:v>36.885737229392198</c:v>
                </c:pt>
                <c:pt idx="8">
                  <c:v>36.885885101748499</c:v>
                </c:pt>
                <c:pt idx="9">
                  <c:v>36.885808495666602</c:v>
                </c:pt>
                <c:pt idx="10">
                  <c:v>36.8856867974811</c:v>
                </c:pt>
                <c:pt idx="11">
                  <c:v>36.885799719159202</c:v>
                </c:pt>
                <c:pt idx="12">
                  <c:v>36.885735632111597</c:v>
                </c:pt>
                <c:pt idx="13">
                  <c:v>36.885792116793603</c:v>
                </c:pt>
                <c:pt idx="14">
                  <c:v>36.885787429107801</c:v>
                </c:pt>
                <c:pt idx="15">
                  <c:v>36.885664798638402</c:v>
                </c:pt>
                <c:pt idx="16">
                  <c:v>36.885852394471797</c:v>
                </c:pt>
                <c:pt idx="17">
                  <c:v>36.885760831595398</c:v>
                </c:pt>
                <c:pt idx="18">
                  <c:v>36.885818044563898</c:v>
                </c:pt>
                <c:pt idx="19">
                  <c:v>36.885750265005299</c:v>
                </c:pt>
                <c:pt idx="20">
                  <c:v>36.885653813778497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AE-4E98-AC16-D8487E489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068480"/>
        <c:axId val="242071040"/>
      </c:scatterChart>
      <c:valAx>
        <c:axId val="242068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</a:t>
                </a:r>
                <a:r>
                  <a:rPr lang="en-GB" sz="1600" baseline="0"/>
                  <a:t> energy (keV)</a:t>
                </a:r>
                <a:endParaRPr lang="en-GB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071040"/>
        <c:crosses val="autoZero"/>
        <c:crossBetween val="midCat"/>
      </c:valAx>
      <c:valAx>
        <c:axId val="24207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06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1 full 1'!$A$3:$A$23</c:f>
              <c:numCache>
                <c:formatCode>General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1 full 1'!$K$3:$K$23</c:f>
              <c:numCache>
                <c:formatCode>General</c:formatCode>
                <c:ptCount val="21"/>
                <c:pt idx="0">
                  <c:v>1.000002412753217</c:v>
                </c:pt>
                <c:pt idx="1">
                  <c:v>1.0000021145523492</c:v>
                </c:pt>
                <c:pt idx="2">
                  <c:v>1.0000026296356139</c:v>
                </c:pt>
                <c:pt idx="3">
                  <c:v>1.0000015723573079</c:v>
                </c:pt>
                <c:pt idx="4">
                  <c:v>1.0000014096992731</c:v>
                </c:pt>
                <c:pt idx="5">
                  <c:v>1.0000018434513964</c:v>
                </c:pt>
                <c:pt idx="6">
                  <c:v>0.99999774990064327</c:v>
                </c:pt>
                <c:pt idx="7">
                  <c:v>0.99999929514959918</c:v>
                </c:pt>
                <c:pt idx="8">
                  <c:v>0.99999989156138847</c:v>
                </c:pt>
                <c:pt idx="9">
                  <c:v>1.0000020874444013</c:v>
                </c:pt>
                <c:pt idx="10">
                  <c:v>0.99999658419114867</c:v>
                </c:pt>
                <c:pt idx="11">
                  <c:v>0.99999850897070985</c:v>
                </c:pt>
                <c:pt idx="12">
                  <c:v>0.99999956624614239</c:v>
                </c:pt>
                <c:pt idx="13">
                  <c:v>0.99999940358779893</c:v>
                </c:pt>
                <c:pt idx="14">
                  <c:v>0.99999934936868418</c:v>
                </c:pt>
                <c:pt idx="15">
                  <c:v>0.99999661130349859</c:v>
                </c:pt>
                <c:pt idx="16">
                  <c:v>0.99999750591869907</c:v>
                </c:pt>
                <c:pt idx="17">
                  <c:v>0.99999419855473526</c:v>
                </c:pt>
                <c:pt idx="18">
                  <c:v>0.99999821076388173</c:v>
                </c:pt>
                <c:pt idx="19">
                  <c:v>0.99999509316214508</c:v>
                </c:pt>
                <c:pt idx="20">
                  <c:v>0.99999430699296443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09-4059-9D0B-130DC0849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086656"/>
        <c:axId val="242088960"/>
      </c:scatterChart>
      <c:valAx>
        <c:axId val="242086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</a:t>
                </a:r>
                <a:r>
                  <a:rPr lang="en-GB" sz="1600" baseline="0"/>
                  <a:t> energy (keV)</a:t>
                </a:r>
                <a:endParaRPr lang="en-GB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088960"/>
        <c:crosses val="autoZero"/>
        <c:crossBetween val="midCat"/>
      </c:valAx>
      <c:valAx>
        <c:axId val="24208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ratio</a:t>
                </a:r>
                <a:r>
                  <a:rPr lang="en-GB" sz="1600" baseline="0"/>
                  <a:t> over NDF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086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SMNRA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1 full 1'!$H$3:$H$23</c:f>
              <c:numCache>
                <c:formatCode>General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1 full 1'!$M$3:$M$23</c:f>
              <c:numCache>
                <c:formatCode>General</c:formatCode>
                <c:ptCount val="21"/>
                <c:pt idx="0">
                  <c:v>0.99995745071013287</c:v>
                </c:pt>
                <c:pt idx="1">
                  <c:v>0.99996221764612103</c:v>
                </c:pt>
                <c:pt idx="2">
                  <c:v>0.99995955965769734</c:v>
                </c:pt>
                <c:pt idx="3">
                  <c:v>0.99996134588549879</c:v>
                </c:pt>
                <c:pt idx="4">
                  <c:v>0.99996096225487363</c:v>
                </c:pt>
                <c:pt idx="5">
                  <c:v>0.99995621528499345</c:v>
                </c:pt>
                <c:pt idx="6">
                  <c:v>0.99996235464090866</c:v>
                </c:pt>
                <c:pt idx="7">
                  <c:v>0.99995871825102223</c:v>
                </c:pt>
                <c:pt idx="8">
                  <c:v>0.99996354027527945</c:v>
                </c:pt>
                <c:pt idx="9">
                  <c:v>0.99996200568344962</c:v>
                </c:pt>
                <c:pt idx="10">
                  <c:v>0.99995599563863835</c:v>
                </c:pt>
                <c:pt idx="11">
                  <c:v>0.99996014124003219</c:v>
                </c:pt>
                <c:pt idx="12">
                  <c:v>0.99995813277941881</c:v>
                </c:pt>
                <c:pt idx="13">
                  <c:v>0.99996074839954419</c:v>
                </c:pt>
                <c:pt idx="14">
                  <c:v>0.99996035023233765</c:v>
                </c:pt>
                <c:pt idx="15">
                  <c:v>0.99995458600805587</c:v>
                </c:pt>
                <c:pt idx="16">
                  <c:v>0.99995994273567101</c:v>
                </c:pt>
                <c:pt idx="17">
                  <c:v>0.99995664725248423</c:v>
                </c:pt>
                <c:pt idx="18">
                  <c:v>0.99996118020627445</c:v>
                </c:pt>
                <c:pt idx="19">
                  <c:v>0.99995798730200625</c:v>
                </c:pt>
                <c:pt idx="20">
                  <c:v>0.99995374604684362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1C-4289-B1D8-054FE32F93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139136"/>
        <c:axId val="242141440"/>
      </c:scatterChart>
      <c:valAx>
        <c:axId val="242139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</a:t>
                </a:r>
                <a:r>
                  <a:rPr lang="en-GB" sz="1600" baseline="0"/>
                  <a:t>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141440"/>
        <c:crosses val="autoZero"/>
        <c:crossBetween val="midCat"/>
      </c:valAx>
      <c:valAx>
        <c:axId val="24214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ratio</a:t>
                </a:r>
                <a:r>
                  <a:rPr lang="en-GB" sz="1600" baseline="0"/>
                  <a:t> over  NDF</a:t>
                </a:r>
                <a:endParaRPr lang="en-GB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139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Ex 1 Gauss Straggling </a:t>
            </a:r>
            <a:r>
              <a:rPr lang="el-GR" sz="2000"/>
              <a:t>Δ</a:t>
            </a:r>
            <a:r>
              <a:rPr lang="en-US" sz="2000"/>
              <a:t>E=0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1 Gauss 0'!$E$3:$E$23</c:f>
              <c:numCache>
                <c:formatCode>0.00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1 Gauss 0'!$C$3:$C$23</c:f>
              <c:numCache>
                <c:formatCode>General</c:formatCode>
                <c:ptCount val="21"/>
                <c:pt idx="0">
                  <c:v>36.88731893394332</c:v>
                </c:pt>
                <c:pt idx="1">
                  <c:v>36.88731893394332</c:v>
                </c:pt>
                <c:pt idx="2">
                  <c:v>36.88731893394332</c:v>
                </c:pt>
                <c:pt idx="3">
                  <c:v>36.88731893394332</c:v>
                </c:pt>
                <c:pt idx="4">
                  <c:v>36.88731893394332</c:v>
                </c:pt>
                <c:pt idx="5">
                  <c:v>36.88731893394332</c:v>
                </c:pt>
                <c:pt idx="6">
                  <c:v>36.88731893394332</c:v>
                </c:pt>
                <c:pt idx="7">
                  <c:v>36.88731893394332</c:v>
                </c:pt>
                <c:pt idx="8">
                  <c:v>36.88731893394332</c:v>
                </c:pt>
                <c:pt idx="9">
                  <c:v>36.88731893394332</c:v>
                </c:pt>
                <c:pt idx="10">
                  <c:v>36.88731893394332</c:v>
                </c:pt>
                <c:pt idx="11">
                  <c:v>36.88731893394332</c:v>
                </c:pt>
                <c:pt idx="12">
                  <c:v>36.88731893394332</c:v>
                </c:pt>
                <c:pt idx="13">
                  <c:v>36.88731893394332</c:v>
                </c:pt>
                <c:pt idx="14">
                  <c:v>36.88731893394332</c:v>
                </c:pt>
                <c:pt idx="15">
                  <c:v>36.88731893394332</c:v>
                </c:pt>
                <c:pt idx="16">
                  <c:v>36.88731893394332</c:v>
                </c:pt>
                <c:pt idx="17">
                  <c:v>36.88731893394332</c:v>
                </c:pt>
                <c:pt idx="18">
                  <c:v>36.88731893394332</c:v>
                </c:pt>
                <c:pt idx="19">
                  <c:v>36.88731893394332</c:v>
                </c:pt>
                <c:pt idx="20">
                  <c:v>36.88731893394332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14-4E6D-8720-D6DF0D76F052}"/>
            </c:ext>
          </c:extLst>
        </c:ser>
        <c:ser>
          <c:idx val="1"/>
          <c:order val="1"/>
          <c:tx>
            <c:v>NDF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1 Gauss 0'!$E$3:$E$23</c:f>
              <c:numCache>
                <c:formatCode>0.00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1 Gauss 0'!$F$3:$F$23</c:f>
              <c:numCache>
                <c:formatCode>0.000000</c:formatCode>
                <c:ptCount val="21"/>
                <c:pt idx="0">
                  <c:v>36.887421000000003</c:v>
                </c:pt>
                <c:pt idx="1">
                  <c:v>36.887428</c:v>
                </c:pt>
                <c:pt idx="2">
                  <c:v>36.887343999999999</c:v>
                </c:pt>
                <c:pt idx="3">
                  <c:v>36.887462999999997</c:v>
                </c:pt>
                <c:pt idx="4">
                  <c:v>36.887363000000001</c:v>
                </c:pt>
                <c:pt idx="5">
                  <c:v>36.887504999999997</c:v>
                </c:pt>
                <c:pt idx="6">
                  <c:v>36.887501</c:v>
                </c:pt>
                <c:pt idx="7">
                  <c:v>36.887318</c:v>
                </c:pt>
                <c:pt idx="8">
                  <c:v>36.887416999999999</c:v>
                </c:pt>
                <c:pt idx="9">
                  <c:v>36.887455000000003</c:v>
                </c:pt>
                <c:pt idx="10">
                  <c:v>36.887436000000001</c:v>
                </c:pt>
                <c:pt idx="11">
                  <c:v>36.887340999999999</c:v>
                </c:pt>
                <c:pt idx="12">
                  <c:v>36.887343999999999</c:v>
                </c:pt>
                <c:pt idx="13">
                  <c:v>36.887374999999999</c:v>
                </c:pt>
                <c:pt idx="14">
                  <c:v>36.887340999999999</c:v>
                </c:pt>
                <c:pt idx="15">
                  <c:v>36.887371000000002</c:v>
                </c:pt>
                <c:pt idx="16">
                  <c:v>36.887366999999998</c:v>
                </c:pt>
                <c:pt idx="17">
                  <c:v>36.887385999999999</c:v>
                </c:pt>
                <c:pt idx="18">
                  <c:v>36.887402000000002</c:v>
                </c:pt>
                <c:pt idx="19">
                  <c:v>36.887424000000003</c:v>
                </c:pt>
                <c:pt idx="20">
                  <c:v>36.887329000000001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14-4E6D-8720-D6DF0D76F052}"/>
            </c:ext>
          </c:extLst>
        </c:ser>
        <c:ser>
          <c:idx val="2"/>
          <c:order val="2"/>
          <c:tx>
            <c:v>SMNRA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 1 Gauss 0'!$E$3:$E$23</c:f>
              <c:numCache>
                <c:formatCode>0.00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1 Gauss 0'!$I$3:$I$23</c:f>
              <c:numCache>
                <c:formatCode>General</c:formatCode>
                <c:ptCount val="21"/>
                <c:pt idx="0">
                  <c:v>36.885413342732903</c:v>
                </c:pt>
                <c:pt idx="1">
                  <c:v>36.885493645160501</c:v>
                </c:pt>
                <c:pt idx="2">
                  <c:v>36.885584997800997</c:v>
                </c:pt>
                <c:pt idx="3">
                  <c:v>36.885538500072499</c:v>
                </c:pt>
                <c:pt idx="4">
                  <c:v>36.885528446643796</c:v>
                </c:pt>
                <c:pt idx="5">
                  <c:v>36.885417925923903</c:v>
                </c:pt>
                <c:pt idx="6">
                  <c:v>36.885490036358597</c:v>
                </c:pt>
                <c:pt idx="7">
                  <c:v>36.8854708566776</c:v>
                </c:pt>
                <c:pt idx="8">
                  <c:v>36.885512030453199</c:v>
                </c:pt>
                <c:pt idx="9">
                  <c:v>36.885508359907199</c:v>
                </c:pt>
                <c:pt idx="10">
                  <c:v>36.885394422297402</c:v>
                </c:pt>
                <c:pt idx="11">
                  <c:v>36.885517963534298</c:v>
                </c:pt>
                <c:pt idx="12">
                  <c:v>36.885472631637903</c:v>
                </c:pt>
                <c:pt idx="13">
                  <c:v>36.885458356399504</c:v>
                </c:pt>
                <c:pt idx="14">
                  <c:v>36.885517293163097</c:v>
                </c:pt>
                <c:pt idx="15">
                  <c:v>36.885403104250301</c:v>
                </c:pt>
                <c:pt idx="16">
                  <c:v>36.8855265757363</c:v>
                </c:pt>
                <c:pt idx="17">
                  <c:v>36.8854389060903</c:v>
                </c:pt>
                <c:pt idx="18">
                  <c:v>36.885464295131897</c:v>
                </c:pt>
                <c:pt idx="19">
                  <c:v>36.885507474793897</c:v>
                </c:pt>
                <c:pt idx="20">
                  <c:v>36.885412615338304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614-4E6D-8720-D6DF0D76F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30624"/>
        <c:axId val="242333184"/>
      </c:scatterChart>
      <c:valAx>
        <c:axId val="242330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</a:t>
                </a:r>
                <a:r>
                  <a:rPr lang="en-GB" sz="1600" baseline="0"/>
                  <a:t> energy (keV)</a:t>
                </a:r>
                <a:endParaRPr lang="en-GB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33184"/>
        <c:crosses val="autoZero"/>
        <c:crossBetween val="midCat"/>
      </c:valAx>
      <c:valAx>
        <c:axId val="24233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30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1 Gauss 0'!$A$3:$A$23</c:f>
              <c:numCache>
                <c:formatCode>General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1 Gauss 0'!$K$3:$K$25</c:f>
              <c:numCache>
                <c:formatCode>General</c:formatCode>
                <c:ptCount val="23"/>
                <c:pt idx="0">
                  <c:v>0.99999723303896237</c:v>
                </c:pt>
                <c:pt idx="1">
                  <c:v>0.99999704327293626</c:v>
                </c:pt>
                <c:pt idx="2">
                  <c:v>0.99999932047000517</c:v>
                </c:pt>
                <c:pt idx="3">
                  <c:v>0.99999609444388526</c:v>
                </c:pt>
                <c:pt idx="4">
                  <c:v>0.99999880538880803</c:v>
                </c:pt>
                <c:pt idx="5">
                  <c:v>0.99999495585140075</c:v>
                </c:pt>
                <c:pt idx="6">
                  <c:v>0.99999506428866836</c:v>
                </c:pt>
                <c:pt idx="7">
                  <c:v>1.0000000253188188</c:v>
                </c:pt>
                <c:pt idx="8">
                  <c:v>0.99999734147672414</c:v>
                </c:pt>
                <c:pt idx="9">
                  <c:v>0.99999631131893807</c:v>
                </c:pt>
                <c:pt idx="10">
                  <c:v>0.99999682639756582</c:v>
                </c:pt>
                <c:pt idx="11">
                  <c:v>0.99999940179866365</c:v>
                </c:pt>
                <c:pt idx="12">
                  <c:v>0.99999932047000517</c:v>
                </c:pt>
                <c:pt idx="13">
                  <c:v>0.99999848007464132</c:v>
                </c:pt>
                <c:pt idx="14">
                  <c:v>0.99999940179866365</c:v>
                </c:pt>
                <c:pt idx="15">
                  <c:v>0.99999858851267331</c:v>
                </c:pt>
                <c:pt idx="16">
                  <c:v>0.99999869695072896</c:v>
                </c:pt>
                <c:pt idx="17">
                  <c:v>0.99999818187017431</c:v>
                </c:pt>
                <c:pt idx="18">
                  <c:v>0.9999977481185397</c:v>
                </c:pt>
                <c:pt idx="19">
                  <c:v>0.99999715171065662</c:v>
                </c:pt>
                <c:pt idx="20">
                  <c:v>0.9999997271134301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1F4-4619-96C3-83A6516C2158}"/>
            </c:ext>
          </c:extLst>
        </c:ser>
        <c:ser>
          <c:idx val="1"/>
          <c:order val="1"/>
          <c:tx>
            <c:v>SMNRA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1 Gauss 0'!$H$3:$H$23</c:f>
              <c:numCache>
                <c:formatCode>General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1 Gauss 0'!$M$3:$M$23</c:f>
              <c:numCache>
                <c:formatCode>General</c:formatCode>
                <c:ptCount val="21"/>
                <c:pt idx="0">
                  <c:v>0.99994557339025947</c:v>
                </c:pt>
                <c:pt idx="1">
                  <c:v>0.99994756059328671</c:v>
                </c:pt>
                <c:pt idx="2">
                  <c:v>0.99995231420839081</c:v>
                </c:pt>
                <c:pt idx="3">
                  <c:v>0.99994782780459857</c:v>
                </c:pt>
                <c:pt idx="4">
                  <c:v>0.99995026607469328</c:v>
                </c:pt>
                <c:pt idx="5">
                  <c:v>0.99994342056812746</c:v>
                </c:pt>
                <c:pt idx="6">
                  <c:v>0.99994548387429649</c:v>
                </c:pt>
                <c:pt idx="7">
                  <c:v>0.99994992470522248</c:v>
                </c:pt>
                <c:pt idx="8">
                  <c:v>0.99994835719869457</c:v>
                </c:pt>
                <c:pt idx="9">
                  <c:v>0.99994722758474919</c:v>
                </c:pt>
                <c:pt idx="10">
                  <c:v>0.99994465384629605</c:v>
                </c:pt>
                <c:pt idx="11">
                  <c:v>0.99995057826299538</c:v>
                </c:pt>
                <c:pt idx="12">
                  <c:v>0.99994926801013118</c:v>
                </c:pt>
                <c:pt idx="13">
                  <c:v>0.99994804066159504</c:v>
                </c:pt>
                <c:pt idx="14">
                  <c:v>0.99995056008951955</c:v>
                </c:pt>
                <c:pt idx="15">
                  <c:v>0.99994665123329873</c:v>
                </c:pt>
                <c:pt idx="16">
                  <c:v>0.99995010692241337</c:v>
                </c:pt>
                <c:pt idx="17">
                  <c:v>0.9999472151832689</c:v>
                </c:pt>
                <c:pt idx="18">
                  <c:v>0.9999474697386358</c:v>
                </c:pt>
                <c:pt idx="19">
                  <c:v>0.99994804394022996</c:v>
                </c:pt>
                <c:pt idx="20">
                  <c:v>0.99994804761652167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6D-48C4-AEEB-905EF7818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403968"/>
        <c:axId val="242410624"/>
      </c:scatterChart>
      <c:valAx>
        <c:axId val="242403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beam</a:t>
                </a:r>
                <a:r>
                  <a:rPr lang="en-GB" baseline="0"/>
                  <a:t> energy (keV)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410624"/>
        <c:crosses val="autoZero"/>
        <c:crossBetween val="midCat"/>
      </c:valAx>
      <c:valAx>
        <c:axId val="24241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ratio</a:t>
                </a:r>
                <a:r>
                  <a:rPr lang="en-GB" baseline="0"/>
                  <a:t> over NDF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403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/>
              <a:t>Ex</a:t>
            </a:r>
            <a:r>
              <a:rPr lang="en-GB" sz="2000" baseline="0"/>
              <a:t> 1 Gauss Straggling </a:t>
            </a:r>
            <a:r>
              <a:rPr lang="el-GR" sz="2000" baseline="0"/>
              <a:t>Δ</a:t>
            </a:r>
            <a:r>
              <a:rPr lang="en-GB" sz="2000" baseline="0"/>
              <a:t>E=1</a:t>
            </a:r>
            <a:endParaRPr lang="en-GB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1 Gauss 1'!$A$3:$A$23</c:f>
              <c:numCache>
                <c:formatCode>General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1 Gauss 1'!$C$3:$C$23</c:f>
              <c:numCache>
                <c:formatCode>General</c:formatCode>
                <c:ptCount val="21"/>
                <c:pt idx="0">
                  <c:v>36.88731893394332</c:v>
                </c:pt>
                <c:pt idx="1">
                  <c:v>36.88731893394332</c:v>
                </c:pt>
                <c:pt idx="2">
                  <c:v>36.88731893394332</c:v>
                </c:pt>
                <c:pt idx="3">
                  <c:v>36.88731893394332</c:v>
                </c:pt>
                <c:pt idx="4">
                  <c:v>36.88731893394332</c:v>
                </c:pt>
                <c:pt idx="5">
                  <c:v>36.88731893394332</c:v>
                </c:pt>
                <c:pt idx="6">
                  <c:v>36.88731893394332</c:v>
                </c:pt>
                <c:pt idx="7">
                  <c:v>36.88731893394332</c:v>
                </c:pt>
                <c:pt idx="8">
                  <c:v>36.88731893394332</c:v>
                </c:pt>
                <c:pt idx="9">
                  <c:v>36.88731893394332</c:v>
                </c:pt>
                <c:pt idx="10">
                  <c:v>36.88731893394332</c:v>
                </c:pt>
                <c:pt idx="11">
                  <c:v>36.88731893394332</c:v>
                </c:pt>
                <c:pt idx="12">
                  <c:v>36.88731893394332</c:v>
                </c:pt>
                <c:pt idx="13">
                  <c:v>36.88731893394332</c:v>
                </c:pt>
                <c:pt idx="14">
                  <c:v>36.88731893394332</c:v>
                </c:pt>
                <c:pt idx="15">
                  <c:v>36.88731893394332</c:v>
                </c:pt>
                <c:pt idx="16">
                  <c:v>36.88731893394332</c:v>
                </c:pt>
                <c:pt idx="17">
                  <c:v>36.88731893394332</c:v>
                </c:pt>
                <c:pt idx="18">
                  <c:v>36.88731893394332</c:v>
                </c:pt>
                <c:pt idx="19">
                  <c:v>36.88731893394332</c:v>
                </c:pt>
                <c:pt idx="20">
                  <c:v>36.88731893394332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CF-4C4E-87BC-33498E5BEA93}"/>
            </c:ext>
          </c:extLst>
        </c:ser>
        <c:ser>
          <c:idx val="1"/>
          <c:order val="1"/>
          <c:tx>
            <c:v>NDF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1 Gauss 1'!$A$3:$A$23</c:f>
              <c:numCache>
                <c:formatCode>General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1 Gauss 1'!$F$3:$F$23</c:f>
              <c:numCache>
                <c:formatCode>0.000000</c:formatCode>
                <c:ptCount val="21"/>
                <c:pt idx="0">
                  <c:v>36.887259999999998</c:v>
                </c:pt>
                <c:pt idx="1">
                  <c:v>36.887165000000003</c:v>
                </c:pt>
                <c:pt idx="2">
                  <c:v>36.887253000000001</c:v>
                </c:pt>
                <c:pt idx="3">
                  <c:v>36.887256999999998</c:v>
                </c:pt>
                <c:pt idx="4">
                  <c:v>36.887199000000003</c:v>
                </c:pt>
                <c:pt idx="5">
                  <c:v>36.887141999999997</c:v>
                </c:pt>
                <c:pt idx="6">
                  <c:v>36.887233999999999</c:v>
                </c:pt>
                <c:pt idx="7">
                  <c:v>36.887287000000001</c:v>
                </c:pt>
                <c:pt idx="8">
                  <c:v>36.887225999999998</c:v>
                </c:pt>
                <c:pt idx="9">
                  <c:v>36.887287000000001</c:v>
                </c:pt>
                <c:pt idx="10">
                  <c:v>36.887248999999997</c:v>
                </c:pt>
                <c:pt idx="11">
                  <c:v>36.887245</c:v>
                </c:pt>
                <c:pt idx="12">
                  <c:v>36.887318</c:v>
                </c:pt>
                <c:pt idx="13">
                  <c:v>36.887241000000003</c:v>
                </c:pt>
                <c:pt idx="14">
                  <c:v>36.887321</c:v>
                </c:pt>
                <c:pt idx="15">
                  <c:v>36.887332999999998</c:v>
                </c:pt>
                <c:pt idx="16">
                  <c:v>36.887332999999998</c:v>
                </c:pt>
                <c:pt idx="17">
                  <c:v>36.887298999999999</c:v>
                </c:pt>
                <c:pt idx="18">
                  <c:v>36.887324999999997</c:v>
                </c:pt>
                <c:pt idx="19">
                  <c:v>36.887321</c:v>
                </c:pt>
                <c:pt idx="20">
                  <c:v>36.887332999999998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CF-4C4E-87BC-33498E5BEA93}"/>
            </c:ext>
          </c:extLst>
        </c:ser>
        <c:ser>
          <c:idx val="2"/>
          <c:order val="2"/>
          <c:tx>
            <c:v>SMNRA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 1 Gauss 1'!$A$3:$A$23</c:f>
              <c:numCache>
                <c:formatCode>General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1 Gauss 1'!$I$3:$I$25</c:f>
              <c:numCache>
                <c:formatCode>General</c:formatCode>
                <c:ptCount val="23"/>
                <c:pt idx="0">
                  <c:v>36.885481977797397</c:v>
                </c:pt>
                <c:pt idx="1">
                  <c:v>36.885572396624198</c:v>
                </c:pt>
                <c:pt idx="2">
                  <c:v>36.885520944763698</c:v>
                </c:pt>
                <c:pt idx="3">
                  <c:v>36.885422718870799</c:v>
                </c:pt>
                <c:pt idx="4">
                  <c:v>36.885495665556803</c:v>
                </c:pt>
                <c:pt idx="5">
                  <c:v>36.885451227025698</c:v>
                </c:pt>
                <c:pt idx="6">
                  <c:v>36.885512051347199</c:v>
                </c:pt>
                <c:pt idx="7">
                  <c:v>36.885527221640402</c:v>
                </c:pt>
                <c:pt idx="8">
                  <c:v>36.885431877050898</c:v>
                </c:pt>
                <c:pt idx="9">
                  <c:v>36.885440815584097</c:v>
                </c:pt>
                <c:pt idx="10">
                  <c:v>36.885454575142099</c:v>
                </c:pt>
                <c:pt idx="11">
                  <c:v>36.885516310102602</c:v>
                </c:pt>
                <c:pt idx="12">
                  <c:v>36.885534192044602</c:v>
                </c:pt>
                <c:pt idx="13">
                  <c:v>36.885441690516203</c:v>
                </c:pt>
                <c:pt idx="14">
                  <c:v>36.885383301506501</c:v>
                </c:pt>
                <c:pt idx="15">
                  <c:v>36.8854585656522</c:v>
                </c:pt>
                <c:pt idx="16">
                  <c:v>36.885521278078897</c:v>
                </c:pt>
                <c:pt idx="17">
                  <c:v>36.8854815478267</c:v>
                </c:pt>
                <c:pt idx="18">
                  <c:v>36.885452171488602</c:v>
                </c:pt>
                <c:pt idx="19">
                  <c:v>36.885388463028001</c:v>
                </c:pt>
                <c:pt idx="20">
                  <c:v>36.885463253297402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3CF-4C4E-87BC-33498E5BE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660480"/>
        <c:axId val="242662784"/>
      </c:scatterChart>
      <c:valAx>
        <c:axId val="24266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</a:t>
                </a:r>
                <a:r>
                  <a:rPr lang="en-GB" sz="1600" baseline="0"/>
                  <a:t> energy (keV)</a:t>
                </a:r>
                <a:endParaRPr lang="en-GB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662784"/>
        <c:crosses val="autoZero"/>
        <c:crossBetween val="midCat"/>
      </c:valAx>
      <c:valAx>
        <c:axId val="24266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66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0218559966531699"/>
          <c:y val="0.90259636785306829"/>
          <c:w val="0.59562860145328134"/>
          <c:h val="8.79024444984757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1 Gauss 1'!$A$3:$A$23</c:f>
              <c:numCache>
                <c:formatCode>General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1 Gauss 1'!$K$3:$K$25</c:f>
              <c:numCache>
                <c:formatCode>General</c:formatCode>
                <c:ptCount val="23"/>
                <c:pt idx="0">
                  <c:v>1.0000015976774452</c:v>
                </c:pt>
                <c:pt idx="1">
                  <c:v>1.0000041731031191</c:v>
                </c:pt>
                <c:pt idx="2">
                  <c:v>1.0000017874452001</c:v>
                </c:pt>
                <c:pt idx="3">
                  <c:v>1.0000016790064743</c:v>
                </c:pt>
                <c:pt idx="4">
                  <c:v>1.000003251370301</c:v>
                </c:pt>
                <c:pt idx="5">
                  <c:v>1.0000047966292245</c:v>
                </c:pt>
                <c:pt idx="6">
                  <c:v>1.0000023025294691</c:v>
                </c:pt>
                <c:pt idx="7">
                  <c:v>1.0000008657167798</c:v>
                </c:pt>
                <c:pt idx="8">
                  <c:v>1.0000025194072149</c:v>
                </c:pt>
                <c:pt idx="9">
                  <c:v>1.0000008657167798</c:v>
                </c:pt>
                <c:pt idx="10">
                  <c:v>1.0000018958839496</c:v>
                </c:pt>
                <c:pt idx="11">
                  <c:v>1.0000020043227225</c:v>
                </c:pt>
                <c:pt idx="12">
                  <c:v>1.0000000253188188</c:v>
                </c:pt>
                <c:pt idx="13">
                  <c:v>1.0000021127615186</c:v>
                </c:pt>
                <c:pt idx="14">
                  <c:v>0.99999994399005876</c:v>
                </c:pt>
                <c:pt idx="15">
                  <c:v>0.99999961867515119</c:v>
                </c:pt>
                <c:pt idx="16">
                  <c:v>0.99999961867515119</c:v>
                </c:pt>
                <c:pt idx="17">
                  <c:v>1.0000005404012726</c:v>
                </c:pt>
                <c:pt idx="18">
                  <c:v>0.99999983555173277</c:v>
                </c:pt>
                <c:pt idx="19">
                  <c:v>0.99999994399005876</c:v>
                </c:pt>
                <c:pt idx="20">
                  <c:v>0.99999961867515119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E4-44BE-8A8E-9AD722A17741}"/>
            </c:ext>
          </c:extLst>
        </c:ser>
        <c:ser>
          <c:idx val="1"/>
          <c:order val="1"/>
          <c:tx>
            <c:v>SMNRA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1 Gauss 1'!$H$3:$H$23</c:f>
              <c:numCache>
                <c:formatCode>General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1 Gauss 1'!$M$3:$M$23</c:f>
              <c:numCache>
                <c:formatCode>General</c:formatCode>
                <c:ptCount val="21"/>
                <c:pt idx="0">
                  <c:v>0.99995179847452476</c:v>
                </c:pt>
                <c:pt idx="1">
                  <c:v>0.99995682499926997</c:v>
                </c:pt>
                <c:pt idx="2">
                  <c:v>0.99995304461309975</c:v>
                </c:pt>
                <c:pt idx="3">
                  <c:v>0.99995027331175101</c:v>
                </c:pt>
                <c:pt idx="4">
                  <c:v>0.99995382315574577</c:v>
                </c:pt>
                <c:pt idx="5">
                  <c:v>0.99995416362226441</c:v>
                </c:pt>
                <c:pt idx="6">
                  <c:v>0.99995331857485437</c:v>
                </c:pt>
                <c:pt idx="7">
                  <c:v>0.99995229309329259</c:v>
                </c:pt>
                <c:pt idx="8">
                  <c:v>0.99995136194440049</c:v>
                </c:pt>
                <c:pt idx="9">
                  <c:v>0.99994995065872139</c:v>
                </c:pt>
                <c:pt idx="10">
                  <c:v>0.99995135379008881</c:v>
                </c:pt>
                <c:pt idx="11">
                  <c:v>0.9999531358360485</c:v>
                </c:pt>
                <c:pt idx="12">
                  <c:v>0.99995164170093909</c:v>
                </c:pt>
                <c:pt idx="13">
                  <c:v>0.99995122135906556</c:v>
                </c:pt>
                <c:pt idx="14">
                  <c:v>0.99994746979609883</c:v>
                </c:pt>
                <c:pt idx="15">
                  <c:v>0.99994918487742668</c:v>
                </c:pt>
                <c:pt idx="16">
                  <c:v>0.99995088498479678</c:v>
                </c:pt>
                <c:pt idx="17">
                  <c:v>0.99995072959466891</c:v>
                </c:pt>
                <c:pt idx="18">
                  <c:v>0.99994922839996137</c:v>
                </c:pt>
                <c:pt idx="19">
                  <c:v>0.9999476097228096</c:v>
                </c:pt>
                <c:pt idx="20">
                  <c:v>0.99994931195750592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82-446E-9C2B-8BF52F6830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709248"/>
        <c:axId val="242711552"/>
      </c:scatterChart>
      <c:valAx>
        <c:axId val="242709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</a:t>
                </a:r>
                <a:r>
                  <a:rPr lang="en-GB" sz="1600" baseline="0"/>
                  <a:t> energy (keV)</a:t>
                </a:r>
                <a:endParaRPr lang="en-GB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711552"/>
        <c:crosses val="autoZero"/>
        <c:crossBetween val="midCat"/>
      </c:valAx>
      <c:valAx>
        <c:axId val="24271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ratio</a:t>
                </a:r>
                <a:r>
                  <a:rPr lang="en-GB" sz="1600" baseline="0"/>
                  <a:t> over NDF</a:t>
                </a:r>
                <a:endParaRPr lang="en-GB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709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250308</xdr:colOff>
      <xdr:row>0</xdr:row>
      <xdr:rowOff>68224</xdr:rowOff>
    </xdr:from>
    <xdr:to>
      <xdr:col>17</xdr:col>
      <xdr:colOff>1362296</xdr:colOff>
      <xdr:row>21</xdr:row>
      <xdr:rowOff>121831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569CE2-80AF-E99E-F856-1679FD70B4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244769</xdr:colOff>
      <xdr:row>22</xdr:row>
      <xdr:rowOff>12847</xdr:rowOff>
    </xdr:from>
    <xdr:to>
      <xdr:col>17</xdr:col>
      <xdr:colOff>1351221</xdr:colOff>
      <xdr:row>41</xdr:row>
      <xdr:rowOff>22152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85F61A-9CDE-EC98-DF38-5DA5BF9BCD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250309</xdr:colOff>
      <xdr:row>41</xdr:row>
      <xdr:rowOff>101451</xdr:rowOff>
    </xdr:from>
    <xdr:to>
      <xdr:col>17</xdr:col>
      <xdr:colOff>1351222</xdr:colOff>
      <xdr:row>62</xdr:row>
      <xdr:rowOff>188285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4A4C4D9-955C-1406-4160-D85A277FDD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0.84221</cdr:x>
      <cdr:y>0.13436</cdr:y>
    </cdr:from>
    <cdr:to>
      <cdr:x>0.99152</cdr:x>
      <cdr:y>0.26135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1CFAFBD-B15C-39FF-12A9-06F9B421BEFD}"/>
            </a:ext>
          </a:extLst>
        </cdr:cNvPr>
        <cdr:cNvSpPr txBox="1"/>
      </cdr:nvSpPr>
      <cdr:spPr>
        <a:xfrm xmlns:a="http://schemas.openxmlformats.org/drawingml/2006/main">
          <a:off x="5497917" y="574159"/>
          <a:ext cx="974651" cy="5427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128586</xdr:colOff>
      <xdr:row>2</xdr:row>
      <xdr:rowOff>19050</xdr:rowOff>
    </xdr:from>
    <xdr:to>
      <xdr:col>22</xdr:col>
      <xdr:colOff>190500</xdr:colOff>
      <xdr:row>22</xdr:row>
      <xdr:rowOff>104776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58752B-D4BC-701F-622D-EA79436704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128587</xdr:colOff>
      <xdr:row>22</xdr:row>
      <xdr:rowOff>123823</xdr:rowOff>
    </xdr:from>
    <xdr:to>
      <xdr:col>22</xdr:col>
      <xdr:colOff>180975</xdr:colOff>
      <xdr:row>42</xdr:row>
      <xdr:rowOff>120431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948496-DADA-39BD-7189-BBE482ACA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133569</xdr:colOff>
      <xdr:row>42</xdr:row>
      <xdr:rowOff>128312</xdr:rowOff>
    </xdr:from>
    <xdr:to>
      <xdr:col>22</xdr:col>
      <xdr:colOff>185553</xdr:colOff>
      <xdr:row>63</xdr:row>
      <xdr:rowOff>12370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E26DF79-F6A0-F0DB-8CE1-43D309AC53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28575</xdr:colOff>
      <xdr:row>1</xdr:row>
      <xdr:rowOff>180975</xdr:rowOff>
    </xdr:from>
    <xdr:to>
      <xdr:col>22</xdr:col>
      <xdr:colOff>266700</xdr:colOff>
      <xdr:row>22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536B6E-F2DE-A22E-5844-8D5FD9C234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38100</xdr:colOff>
      <xdr:row>22</xdr:row>
      <xdr:rowOff>152399</xdr:rowOff>
    </xdr:from>
    <xdr:to>
      <xdr:col>22</xdr:col>
      <xdr:colOff>266700</xdr:colOff>
      <xdr:row>44</xdr:row>
      <xdr:rowOff>104775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CA7EC15-95B2-AA24-D2E4-1E2A98D4A4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219074</xdr:colOff>
      <xdr:row>0</xdr:row>
      <xdr:rowOff>95249</xdr:rowOff>
    </xdr:from>
    <xdr:to>
      <xdr:col>21</xdr:col>
      <xdr:colOff>438149</xdr:colOff>
      <xdr:row>20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D5396B-A4E0-84C6-EBBF-7EDE52E347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219075</xdr:colOff>
      <xdr:row>20</xdr:row>
      <xdr:rowOff>114300</xdr:rowOff>
    </xdr:from>
    <xdr:to>
      <xdr:col>21</xdr:col>
      <xdr:colOff>447675</xdr:colOff>
      <xdr:row>38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0D8EFD2-0CF5-0BCA-8FAA-9765A4570A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opLeftCell="F1" zoomScale="96" zoomScaleNormal="96" workbookViewId="0">
      <selection activeCell="F3" sqref="F3:F23"/>
    </sheetView>
  </sheetViews>
  <sheetFormatPr defaultColWidth="21" defaultRowHeight="15.75" x14ac:dyDescent="0.25"/>
  <cols>
    <col min="1" max="1" width="14.75" customWidth="1"/>
    <col min="3" max="3" width="17.375" customWidth="1"/>
    <col min="4" max="4" width="10.25" customWidth="1"/>
    <col min="5" max="5" width="17" customWidth="1"/>
    <col min="6" max="6" width="21" style="2"/>
    <col min="7" max="7" width="8.875" customWidth="1"/>
    <col min="8" max="8" width="17.5" customWidth="1"/>
    <col min="10" max="10" width="9.375" customWidth="1"/>
    <col min="11" max="11" width="18.625" customWidth="1"/>
    <col min="12" max="12" width="14.375" customWidth="1"/>
    <col min="13" max="13" width="17.375" customWidth="1"/>
    <col min="14" max="14" width="15.125" customWidth="1"/>
  </cols>
  <sheetData>
    <row r="1" spans="1:14" x14ac:dyDescent="0.25">
      <c r="A1" t="s">
        <v>5</v>
      </c>
      <c r="B1" t="s">
        <v>2</v>
      </c>
      <c r="F1" s="2" t="s">
        <v>3</v>
      </c>
      <c r="I1" t="s">
        <v>4</v>
      </c>
      <c r="K1" t="s">
        <v>9</v>
      </c>
      <c r="L1" t="s">
        <v>7</v>
      </c>
      <c r="M1" t="s">
        <v>10</v>
      </c>
      <c r="N1" t="s">
        <v>7</v>
      </c>
    </row>
    <row r="2" spans="1:14" x14ac:dyDescent="0.25">
      <c r="A2" t="s">
        <v>0</v>
      </c>
      <c r="B2" t="s">
        <v>1</v>
      </c>
      <c r="C2" t="s">
        <v>8</v>
      </c>
      <c r="E2" t="s">
        <v>0</v>
      </c>
      <c r="F2" t="s">
        <v>8</v>
      </c>
      <c r="H2" t="s">
        <v>0</v>
      </c>
      <c r="I2" t="s">
        <v>8</v>
      </c>
      <c r="J2" s="2"/>
    </row>
    <row r="3" spans="1:14" x14ac:dyDescent="0.25">
      <c r="A3">
        <v>1683.3</v>
      </c>
      <c r="B3">
        <v>463539.72069400002</v>
      </c>
      <c r="C3">
        <f t="shared" ref="C3:C23" si="0">B3/(4000*PI())</f>
        <v>36.88731893394332</v>
      </c>
      <c r="E3" s="1">
        <v>1683.3</v>
      </c>
      <c r="F3" s="2">
        <v>36.887374999999999</v>
      </c>
      <c r="H3">
        <v>1683.3</v>
      </c>
      <c r="I3">
        <v>36.885657607289502</v>
      </c>
      <c r="K3">
        <f>C3/F3</f>
        <v>0.99999848007464132</v>
      </c>
      <c r="L3">
        <f>1-K3</f>
        <v>1.519925358683949E-6</v>
      </c>
      <c r="M3">
        <f>I3/F3</f>
        <v>0.99995344226282035</v>
      </c>
      <c r="N3">
        <f>1-M3</f>
        <v>4.655773717965328E-5</v>
      </c>
    </row>
    <row r="4" spans="1:14" x14ac:dyDescent="0.25">
      <c r="A4">
        <v>1685.3</v>
      </c>
      <c r="B4">
        <v>463539.72069400002</v>
      </c>
      <c r="C4">
        <f t="shared" si="0"/>
        <v>36.88731893394332</v>
      </c>
      <c r="E4" s="1">
        <v>1685.3</v>
      </c>
      <c r="F4" s="2">
        <v>36.887287000000001</v>
      </c>
      <c r="H4">
        <v>1685.3</v>
      </c>
      <c r="I4">
        <v>36.885760136651598</v>
      </c>
      <c r="K4">
        <f t="shared" ref="K4:K23" si="1">C4/F4</f>
        <v>1.0000008657167798</v>
      </c>
      <c r="L4">
        <f t="shared" ref="L4:L23" si="2">1-K4</f>
        <v>-8.6571677981872597E-7</v>
      </c>
      <c r="M4">
        <f t="shared" ref="M4:M23" si="3">I4/F4</f>
        <v>0.99995860732863329</v>
      </c>
      <c r="N4">
        <f t="shared" ref="N4:N23" si="4">1-M4</f>
        <v>4.1392671366713429E-5</v>
      </c>
    </row>
    <row r="5" spans="1:14" x14ac:dyDescent="0.25">
      <c r="A5">
        <v>1687.3</v>
      </c>
      <c r="B5">
        <v>463539.72069400002</v>
      </c>
      <c r="C5">
        <f t="shared" si="0"/>
        <v>36.88731893394332</v>
      </c>
      <c r="E5" s="1">
        <v>1687.3</v>
      </c>
      <c r="F5" s="2">
        <v>36.887360000000001</v>
      </c>
      <c r="H5">
        <v>1687.3</v>
      </c>
      <c r="I5">
        <v>36.885828594324799</v>
      </c>
      <c r="K5">
        <f t="shared" si="1"/>
        <v>0.9999988867173828</v>
      </c>
      <c r="L5">
        <f t="shared" si="2"/>
        <v>1.1132826172044474E-6</v>
      </c>
      <c r="M5">
        <f t="shared" si="3"/>
        <v>0.99995848427008049</v>
      </c>
      <c r="N5">
        <f t="shared" si="4"/>
        <v>4.1515729919505695E-5</v>
      </c>
    </row>
    <row r="6" spans="1:14" x14ac:dyDescent="0.25">
      <c r="A6">
        <v>1689.3</v>
      </c>
      <c r="B6">
        <v>463539.72069400002</v>
      </c>
      <c r="C6">
        <f t="shared" si="0"/>
        <v>36.88731893394332</v>
      </c>
      <c r="E6" s="1">
        <v>1689.3</v>
      </c>
      <c r="F6" s="2">
        <v>36.887374999999999</v>
      </c>
      <c r="H6">
        <v>1689.3</v>
      </c>
      <c r="I6">
        <v>36.885792806218198</v>
      </c>
      <c r="K6">
        <f t="shared" si="1"/>
        <v>0.99999848007464132</v>
      </c>
      <c r="L6">
        <f t="shared" si="2"/>
        <v>1.519925358683949E-6</v>
      </c>
      <c r="M6">
        <f t="shared" si="3"/>
        <v>0.99995710744443589</v>
      </c>
      <c r="N6">
        <f t="shared" si="4"/>
        <v>4.2892555564111312E-5</v>
      </c>
    </row>
    <row r="7" spans="1:14" x14ac:dyDescent="0.25">
      <c r="A7">
        <v>1691.3</v>
      </c>
      <c r="B7">
        <v>463539.72069400002</v>
      </c>
      <c r="C7">
        <f t="shared" si="0"/>
        <v>36.88731893394332</v>
      </c>
      <c r="E7" s="1">
        <v>1691.3</v>
      </c>
      <c r="F7" s="2">
        <v>36.887379000000003</v>
      </c>
      <c r="H7">
        <v>1691.3</v>
      </c>
      <c r="I7">
        <v>36.885742018786097</v>
      </c>
      <c r="K7">
        <f t="shared" si="1"/>
        <v>0.99999837163663263</v>
      </c>
      <c r="L7">
        <f t="shared" si="2"/>
        <v>1.6283633673674913E-6</v>
      </c>
      <c r="M7">
        <f t="shared" si="3"/>
        <v>0.99995562218682155</v>
      </c>
      <c r="N7">
        <f t="shared" si="4"/>
        <v>4.4377813178453351E-5</v>
      </c>
    </row>
    <row r="8" spans="1:14" x14ac:dyDescent="0.25">
      <c r="A8">
        <v>1693.3</v>
      </c>
      <c r="B8">
        <v>463539.72069400002</v>
      </c>
      <c r="C8">
        <f t="shared" si="0"/>
        <v>36.88731893394332</v>
      </c>
      <c r="E8" s="1">
        <v>1693.3</v>
      </c>
      <c r="F8" s="2">
        <v>36.887206999999997</v>
      </c>
      <c r="H8">
        <v>1693.3</v>
      </c>
      <c r="I8">
        <v>36.885651327198097</v>
      </c>
      <c r="K8">
        <f t="shared" si="1"/>
        <v>1.0000030344922379</v>
      </c>
      <c r="L8">
        <f t="shared" si="2"/>
        <v>-3.0344922379299533E-6</v>
      </c>
      <c r="M8">
        <f t="shared" si="3"/>
        <v>0.99995782622409179</v>
      </c>
      <c r="N8">
        <f t="shared" si="4"/>
        <v>4.2173775908205258E-5</v>
      </c>
    </row>
    <row r="9" spans="1:14" x14ac:dyDescent="0.25">
      <c r="A9">
        <v>1695.3</v>
      </c>
      <c r="B9">
        <v>463539.72069400002</v>
      </c>
      <c r="C9">
        <f t="shared" si="0"/>
        <v>36.88731893394332</v>
      </c>
      <c r="E9" s="1">
        <v>1695.3</v>
      </c>
      <c r="F9" s="2">
        <v>36.887183999999998</v>
      </c>
      <c r="H9">
        <v>1695.3</v>
      </c>
      <c r="I9">
        <v>36.8857709153408</v>
      </c>
      <c r="K9">
        <f t="shared" si="1"/>
        <v>1.0000036580169231</v>
      </c>
      <c r="L9">
        <f t="shared" si="2"/>
        <v>-3.658016923147045E-6</v>
      </c>
      <c r="M9">
        <f t="shared" si="3"/>
        <v>0.99996169171766547</v>
      </c>
      <c r="N9">
        <f t="shared" si="4"/>
        <v>3.830828233453154E-5</v>
      </c>
    </row>
    <row r="10" spans="1:14" x14ac:dyDescent="0.25">
      <c r="A10">
        <v>1697.3</v>
      </c>
      <c r="B10">
        <v>463539.72069400002</v>
      </c>
      <c r="C10">
        <f t="shared" si="0"/>
        <v>36.88731893394332</v>
      </c>
      <c r="E10" s="1">
        <v>1697.3</v>
      </c>
      <c r="F10" s="2">
        <v>36.887256999999998</v>
      </c>
      <c r="H10">
        <v>1697.3</v>
      </c>
      <c r="I10">
        <v>36.885824912754501</v>
      </c>
      <c r="K10">
        <f t="shared" si="1"/>
        <v>1.0000016790064743</v>
      </c>
      <c r="L10">
        <f t="shared" si="2"/>
        <v>-1.6790064742977506E-6</v>
      </c>
      <c r="M10">
        <f t="shared" si="3"/>
        <v>0.9999611766403369</v>
      </c>
      <c r="N10">
        <f t="shared" si="4"/>
        <v>3.8823359663098245E-5</v>
      </c>
    </row>
    <row r="11" spans="1:14" x14ac:dyDescent="0.25">
      <c r="A11">
        <v>1699.3</v>
      </c>
      <c r="B11">
        <v>463539.72069400002</v>
      </c>
      <c r="C11">
        <f t="shared" si="0"/>
        <v>36.88731893394332</v>
      </c>
      <c r="E11" s="1">
        <v>1699.3</v>
      </c>
      <c r="F11" s="2">
        <v>36.887141999999997</v>
      </c>
      <c r="H11">
        <v>1699.3</v>
      </c>
      <c r="I11">
        <v>36.885806065314497</v>
      </c>
      <c r="K11">
        <f t="shared" si="1"/>
        <v>1.0000047966292245</v>
      </c>
      <c r="L11">
        <f t="shared" si="2"/>
        <v>-4.7966292244794317E-6</v>
      </c>
      <c r="M11">
        <f t="shared" si="3"/>
        <v>0.99996378318804147</v>
      </c>
      <c r="N11">
        <f t="shared" si="4"/>
        <v>3.6216811958533768E-5</v>
      </c>
    </row>
    <row r="12" spans="1:14" x14ac:dyDescent="0.25">
      <c r="A12">
        <v>1701.3</v>
      </c>
      <c r="B12">
        <v>463539.72069400002</v>
      </c>
      <c r="C12">
        <f t="shared" si="0"/>
        <v>36.88731893394332</v>
      </c>
      <c r="E12" s="1">
        <v>1701.3</v>
      </c>
      <c r="F12" s="2">
        <v>36.887191999999999</v>
      </c>
      <c r="H12">
        <v>1701.3</v>
      </c>
      <c r="I12">
        <v>36.885782570175301</v>
      </c>
      <c r="K12">
        <f t="shared" si="1"/>
        <v>1.0000034411386836</v>
      </c>
      <c r="L12">
        <f t="shared" si="2"/>
        <v>-3.4411386835575541E-6</v>
      </c>
      <c r="M12">
        <f t="shared" si="3"/>
        <v>0.99996179080737024</v>
      </c>
      <c r="N12">
        <f t="shared" si="4"/>
        <v>3.820919262975675E-5</v>
      </c>
    </row>
    <row r="13" spans="1:14" x14ac:dyDescent="0.25">
      <c r="A13">
        <v>1703.3</v>
      </c>
      <c r="B13">
        <v>463539.72069400002</v>
      </c>
      <c r="C13">
        <f t="shared" si="0"/>
        <v>36.88731893394332</v>
      </c>
      <c r="E13" s="1">
        <v>1703.3</v>
      </c>
      <c r="F13" s="2">
        <v>36.887206999999997</v>
      </c>
      <c r="H13">
        <v>1703.3</v>
      </c>
      <c r="I13">
        <v>36.885665822740698</v>
      </c>
      <c r="K13">
        <f t="shared" si="1"/>
        <v>1.0000030344922379</v>
      </c>
      <c r="L13">
        <f t="shared" si="2"/>
        <v>-3.0344922379299533E-6</v>
      </c>
      <c r="M13">
        <f t="shared" si="3"/>
        <v>0.99995821919346461</v>
      </c>
      <c r="N13">
        <f t="shared" si="4"/>
        <v>4.1780806535385295E-5</v>
      </c>
    </row>
    <row r="14" spans="1:14" x14ac:dyDescent="0.25">
      <c r="A14">
        <v>1705.3</v>
      </c>
      <c r="B14">
        <v>463539.72069400002</v>
      </c>
      <c r="C14">
        <f t="shared" si="0"/>
        <v>36.88731893394332</v>
      </c>
      <c r="E14" s="1">
        <v>1705.3</v>
      </c>
      <c r="F14" s="2">
        <v>36.887253000000001</v>
      </c>
      <c r="H14">
        <v>1705.3</v>
      </c>
      <c r="I14">
        <v>36.8857484742583</v>
      </c>
      <c r="K14">
        <f t="shared" si="1"/>
        <v>1.0000017874452001</v>
      </c>
      <c r="L14">
        <f t="shared" si="2"/>
        <v>-1.7874452000743446E-6</v>
      </c>
      <c r="M14">
        <f t="shared" si="3"/>
        <v>0.99995921285486611</v>
      </c>
      <c r="N14">
        <f t="shared" si="4"/>
        <v>4.0787145133891478E-5</v>
      </c>
    </row>
    <row r="15" spans="1:14" x14ac:dyDescent="0.25">
      <c r="A15">
        <v>1707.3</v>
      </c>
      <c r="B15">
        <v>463539.72069400002</v>
      </c>
      <c r="C15">
        <f t="shared" si="0"/>
        <v>36.88731893394332</v>
      </c>
      <c r="E15" s="1">
        <v>1707.3</v>
      </c>
      <c r="F15" s="2">
        <v>36.887241000000003</v>
      </c>
      <c r="H15">
        <v>1707.3</v>
      </c>
      <c r="I15">
        <v>36.885726082117998</v>
      </c>
      <c r="K15">
        <f t="shared" si="1"/>
        <v>1.0000021127615186</v>
      </c>
      <c r="L15">
        <f t="shared" si="2"/>
        <v>-2.1127615186244952E-6</v>
      </c>
      <c r="M15">
        <f t="shared" si="3"/>
        <v>0.9999589311143654</v>
      </c>
      <c r="N15">
        <f t="shared" si="4"/>
        <v>4.1068885634598651E-5</v>
      </c>
    </row>
    <row r="16" spans="1:14" x14ac:dyDescent="0.25">
      <c r="A16">
        <v>1709.3</v>
      </c>
      <c r="B16">
        <v>463539.72069400002</v>
      </c>
      <c r="C16">
        <f t="shared" si="0"/>
        <v>36.88731893394332</v>
      </c>
      <c r="E16" s="1">
        <v>1709.3</v>
      </c>
      <c r="F16" s="2">
        <v>36.887241000000003</v>
      </c>
      <c r="H16">
        <v>1709.3</v>
      </c>
      <c r="I16">
        <v>36.8857774331453</v>
      </c>
      <c r="K16">
        <f t="shared" si="1"/>
        <v>1.0000021127615186</v>
      </c>
      <c r="L16">
        <f t="shared" si="2"/>
        <v>-2.1127615186244952E-6</v>
      </c>
      <c r="M16">
        <f t="shared" si="3"/>
        <v>0.99996032322247408</v>
      </c>
      <c r="N16">
        <f t="shared" si="4"/>
        <v>3.9676777525921025E-5</v>
      </c>
    </row>
    <row r="17" spans="1:14" x14ac:dyDescent="0.25">
      <c r="A17">
        <v>1711.3</v>
      </c>
      <c r="B17">
        <v>463539.72069400002</v>
      </c>
      <c r="C17">
        <f t="shared" si="0"/>
        <v>36.88731893394332</v>
      </c>
      <c r="E17" s="1">
        <v>1711.3</v>
      </c>
      <c r="F17" s="2">
        <v>36.887241000000003</v>
      </c>
      <c r="H17">
        <v>1711.3</v>
      </c>
      <c r="I17">
        <v>36.885830298090703</v>
      </c>
      <c r="K17">
        <f t="shared" si="1"/>
        <v>1.0000021127615186</v>
      </c>
      <c r="L17">
        <f t="shared" si="2"/>
        <v>-2.1127615186244952E-6</v>
      </c>
      <c r="M17">
        <f t="shared" si="3"/>
        <v>0.99996175637236462</v>
      </c>
      <c r="N17">
        <f t="shared" si="4"/>
        <v>3.8243627635381472E-5</v>
      </c>
    </row>
    <row r="18" spans="1:14" x14ac:dyDescent="0.25">
      <c r="A18">
        <v>1713.3</v>
      </c>
      <c r="B18">
        <v>463539.72069400002</v>
      </c>
      <c r="C18">
        <f t="shared" si="0"/>
        <v>36.88731893394332</v>
      </c>
      <c r="E18" s="1">
        <v>1713.3</v>
      </c>
      <c r="F18" s="2">
        <v>36.887233999999999</v>
      </c>
      <c r="H18">
        <v>1713.3</v>
      </c>
      <c r="I18">
        <v>36.885688428609598</v>
      </c>
      <c r="K18">
        <f t="shared" si="1"/>
        <v>1.0000023025294691</v>
      </c>
      <c r="L18">
        <f t="shared" si="2"/>
        <v>-2.302529469089265E-6</v>
      </c>
      <c r="M18">
        <f t="shared" si="3"/>
        <v>0.99995810010069064</v>
      </c>
      <c r="N18">
        <f t="shared" si="4"/>
        <v>4.1899899309361111E-5</v>
      </c>
    </row>
    <row r="19" spans="1:14" x14ac:dyDescent="0.25">
      <c r="A19">
        <v>1715.3</v>
      </c>
      <c r="B19">
        <v>463539.72069400002</v>
      </c>
      <c r="C19">
        <f t="shared" si="0"/>
        <v>36.88731893394332</v>
      </c>
      <c r="E19" s="1">
        <v>1715.3</v>
      </c>
      <c r="F19" s="2">
        <v>36.887259999999998</v>
      </c>
      <c r="H19">
        <v>1715.3</v>
      </c>
      <c r="I19">
        <v>36.885764800975402</v>
      </c>
      <c r="K19">
        <f t="shared" si="1"/>
        <v>1.0000015976774452</v>
      </c>
      <c r="L19">
        <f t="shared" si="2"/>
        <v>-1.5976774452308717E-6</v>
      </c>
      <c r="M19">
        <f t="shared" si="3"/>
        <v>0.99995946570646355</v>
      </c>
      <c r="N19">
        <f t="shared" si="4"/>
        <v>4.053429353645388E-5</v>
      </c>
    </row>
    <row r="20" spans="1:14" x14ac:dyDescent="0.25">
      <c r="A20">
        <v>1717.3</v>
      </c>
      <c r="B20">
        <v>463539.72069400002</v>
      </c>
      <c r="C20">
        <f t="shared" si="0"/>
        <v>36.88731893394332</v>
      </c>
      <c r="E20" s="1">
        <v>1717.3</v>
      </c>
      <c r="F20" s="2">
        <v>36.887180000000001</v>
      </c>
      <c r="H20">
        <v>1717.3</v>
      </c>
      <c r="I20">
        <v>36.885762335878397</v>
      </c>
      <c r="K20">
        <f t="shared" si="1"/>
        <v>1.0000037664560781</v>
      </c>
      <c r="L20">
        <f t="shared" si="2"/>
        <v>-3.7664560781358603E-6</v>
      </c>
      <c r="M20">
        <f t="shared" si="3"/>
        <v>0.99996156756570698</v>
      </c>
      <c r="N20">
        <f t="shared" si="4"/>
        <v>3.8432434293023121E-5</v>
      </c>
    </row>
    <row r="21" spans="1:14" x14ac:dyDescent="0.25">
      <c r="A21">
        <v>1719.3</v>
      </c>
      <c r="B21">
        <v>463539.72069400002</v>
      </c>
      <c r="C21">
        <f t="shared" si="0"/>
        <v>36.88731893394332</v>
      </c>
      <c r="E21" s="1">
        <v>1719.3</v>
      </c>
      <c r="F21" s="2">
        <v>36.887203</v>
      </c>
      <c r="H21">
        <v>1719.3</v>
      </c>
      <c r="I21">
        <v>36.885790793223997</v>
      </c>
      <c r="K21">
        <f t="shared" si="1"/>
        <v>1.0000031429312577</v>
      </c>
      <c r="L21">
        <f t="shared" si="2"/>
        <v>-3.1429312576936042E-6</v>
      </c>
      <c r="M21">
        <f t="shared" si="3"/>
        <v>0.99996171553652358</v>
      </c>
      <c r="N21">
        <f t="shared" si="4"/>
        <v>3.8284463476423447E-5</v>
      </c>
    </row>
    <row r="22" spans="1:14" x14ac:dyDescent="0.25">
      <c r="A22">
        <v>1721.3</v>
      </c>
      <c r="B22">
        <v>463539.72069400002</v>
      </c>
      <c r="C22">
        <f t="shared" si="0"/>
        <v>36.88731893394332</v>
      </c>
      <c r="E22" s="1">
        <v>1721.3</v>
      </c>
      <c r="F22" s="2">
        <v>36.887138</v>
      </c>
      <c r="H22">
        <v>1721.3</v>
      </c>
      <c r="I22">
        <v>36.885822320834301</v>
      </c>
      <c r="K22">
        <f t="shared" si="1"/>
        <v>1.0000049050686264</v>
      </c>
      <c r="L22">
        <f t="shared" si="2"/>
        <v>-4.9050686263818477E-6</v>
      </c>
      <c r="M22">
        <f t="shared" si="3"/>
        <v>0.99996433230559389</v>
      </c>
      <c r="N22">
        <f t="shared" si="4"/>
        <v>3.5667694406105177E-5</v>
      </c>
    </row>
    <row r="23" spans="1:14" x14ac:dyDescent="0.25">
      <c r="A23">
        <v>1723.3</v>
      </c>
      <c r="B23">
        <v>463539.72069400002</v>
      </c>
      <c r="C23">
        <f t="shared" si="0"/>
        <v>36.88731893394332</v>
      </c>
      <c r="E23" s="1">
        <v>1723.3</v>
      </c>
      <c r="F23" s="2">
        <v>36.887172999999997</v>
      </c>
      <c r="H23">
        <v>1723.3</v>
      </c>
      <c r="I23">
        <v>36.885755554915598</v>
      </c>
      <c r="K23">
        <f t="shared" si="1"/>
        <v>1.0000039562246563</v>
      </c>
      <c r="L23">
        <f t="shared" si="2"/>
        <v>-3.9562246563207282E-6</v>
      </c>
      <c r="M23">
        <f t="shared" si="3"/>
        <v>0.99996157349644554</v>
      </c>
      <c r="N23">
        <f t="shared" si="4"/>
        <v>3.8426503554456204E-5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3"/>
  <sheetViews>
    <sheetView tabSelected="1" topLeftCell="B1" zoomScaleNormal="100" workbookViewId="0">
      <selection activeCell="C3" sqref="C3:C23"/>
    </sheetView>
  </sheetViews>
  <sheetFormatPr defaultRowHeight="15.75" x14ac:dyDescent="0.25"/>
  <cols>
    <col min="2" max="2" width="14.125" customWidth="1"/>
    <col min="5" max="5" width="17" style="1" customWidth="1"/>
    <col min="6" max="6" width="10.375" style="3" bestFit="1" customWidth="1"/>
    <col min="7" max="7" width="10.375" style="3" customWidth="1"/>
    <col min="8" max="8" width="16.875" customWidth="1"/>
    <col min="9" max="9" width="13.375" customWidth="1"/>
    <col min="11" max="11" width="11.375" customWidth="1"/>
    <col min="12" max="12" width="11.25" customWidth="1"/>
    <col min="13" max="13" width="10.5" customWidth="1"/>
    <col min="14" max="14" width="12.5" bestFit="1" customWidth="1"/>
  </cols>
  <sheetData>
    <row r="1" spans="1:14" x14ac:dyDescent="0.25">
      <c r="A1" t="s">
        <v>5</v>
      </c>
      <c r="B1" t="s">
        <v>2</v>
      </c>
      <c r="F1" s="3" t="s">
        <v>3</v>
      </c>
      <c r="I1" t="s">
        <v>4</v>
      </c>
      <c r="K1" t="s">
        <v>9</v>
      </c>
      <c r="L1" t="s">
        <v>7</v>
      </c>
      <c r="M1" t="s">
        <v>10</v>
      </c>
    </row>
    <row r="2" spans="1:14" x14ac:dyDescent="0.25">
      <c r="A2" t="s">
        <v>0</v>
      </c>
      <c r="B2" t="s">
        <v>1</v>
      </c>
      <c r="C2" t="s">
        <v>8</v>
      </c>
      <c r="E2" s="1" t="s">
        <v>0</v>
      </c>
      <c r="F2" t="s">
        <v>8</v>
      </c>
      <c r="H2" t="s">
        <v>0</v>
      </c>
      <c r="I2" t="s">
        <v>8</v>
      </c>
    </row>
    <row r="3" spans="1:14" x14ac:dyDescent="0.25">
      <c r="A3">
        <v>1683.3</v>
      </c>
      <c r="B3">
        <v>463539.72069400002</v>
      </c>
      <c r="C3">
        <v>36.887408999999998</v>
      </c>
      <c r="E3" s="1">
        <v>1683.3</v>
      </c>
      <c r="F3" s="3">
        <v>36.887320000000003</v>
      </c>
      <c r="H3">
        <v>1683.3</v>
      </c>
      <c r="I3">
        <v>36.885750470728901</v>
      </c>
      <c r="K3">
        <f>C3/F3</f>
        <v>1.000002412753217</v>
      </c>
      <c r="L3">
        <f>1-K3</f>
        <v>-2.4127532169959665E-6</v>
      </c>
      <c r="M3">
        <f>I3/F3</f>
        <v>0.99995745071013287</v>
      </c>
      <c r="N3">
        <f>1-M3</f>
        <v>4.2549289867133133E-5</v>
      </c>
    </row>
    <row r="4" spans="1:14" x14ac:dyDescent="0.25">
      <c r="A4">
        <v>1685.3</v>
      </c>
      <c r="B4">
        <v>463539.72069400002</v>
      </c>
      <c r="C4">
        <v>36.887318</v>
      </c>
      <c r="E4" s="1">
        <v>1685.3</v>
      </c>
      <c r="F4" s="3">
        <v>36.887239999999998</v>
      </c>
      <c r="H4">
        <v>1685.3</v>
      </c>
      <c r="I4">
        <v>36.885846313244699</v>
      </c>
      <c r="K4">
        <f t="shared" ref="K4:K23" si="0">C4/F4</f>
        <v>1.0000021145523492</v>
      </c>
      <c r="L4">
        <f t="shared" ref="L4:L23" si="1">1-K4</f>
        <v>-2.1145523492194229E-6</v>
      </c>
      <c r="M4">
        <f t="shared" ref="M4:M23" si="2">I4/F4</f>
        <v>0.99996221764612103</v>
      </c>
      <c r="N4">
        <f t="shared" ref="N4:N23" si="3">1-M4</f>
        <v>3.7782353878967889E-5</v>
      </c>
    </row>
    <row r="5" spans="1:14" x14ac:dyDescent="0.25">
      <c r="A5">
        <v>1687.3</v>
      </c>
      <c r="B5">
        <v>463539.72069400002</v>
      </c>
      <c r="C5">
        <v>36.887337000000002</v>
      </c>
      <c r="E5" s="1">
        <v>1687.3</v>
      </c>
      <c r="F5" s="3">
        <v>36.887239999999998</v>
      </c>
      <c r="H5">
        <v>1687.3</v>
      </c>
      <c r="I5">
        <v>36.885748267387797</v>
      </c>
      <c r="K5">
        <f t="shared" si="0"/>
        <v>1.0000026296356139</v>
      </c>
      <c r="L5">
        <f t="shared" si="1"/>
        <v>-2.6296356139265953E-6</v>
      </c>
      <c r="M5">
        <f t="shared" si="2"/>
        <v>0.99995955965769734</v>
      </c>
      <c r="N5">
        <f t="shared" si="3"/>
        <v>4.0440342302661136E-5</v>
      </c>
    </row>
    <row r="6" spans="1:14" x14ac:dyDescent="0.25">
      <c r="A6">
        <v>1689.3</v>
      </c>
      <c r="B6">
        <v>463539.72069400002</v>
      </c>
      <c r="C6">
        <v>36.887348000000003</v>
      </c>
      <c r="E6" s="1">
        <v>1689.3</v>
      </c>
      <c r="F6" s="3">
        <v>36.88729</v>
      </c>
      <c r="H6">
        <v>1689.3</v>
      </c>
      <c r="I6">
        <v>36.885864154468699</v>
      </c>
      <c r="K6">
        <f t="shared" si="0"/>
        <v>1.0000015723573079</v>
      </c>
      <c r="L6">
        <f t="shared" si="1"/>
        <v>-1.5723573079107211E-6</v>
      </c>
      <c r="M6">
        <f t="shared" si="2"/>
        <v>0.99996134588549879</v>
      </c>
      <c r="N6">
        <f t="shared" si="3"/>
        <v>3.8654114501213144E-5</v>
      </c>
    </row>
    <row r="7" spans="1:14" x14ac:dyDescent="0.25">
      <c r="A7">
        <v>1691.3</v>
      </c>
      <c r="B7">
        <v>463539.72069400002</v>
      </c>
      <c r="C7">
        <v>36.887352</v>
      </c>
      <c r="E7" s="1">
        <v>1691.3</v>
      </c>
      <c r="F7" s="3">
        <v>36.887300000000003</v>
      </c>
      <c r="H7">
        <v>1691.3</v>
      </c>
      <c r="I7">
        <v>36.885860002984202</v>
      </c>
      <c r="K7">
        <f t="shared" si="0"/>
        <v>1.0000014096992731</v>
      </c>
      <c r="L7">
        <f t="shared" si="1"/>
        <v>-1.4096992730916469E-6</v>
      </c>
      <c r="M7">
        <f t="shared" si="2"/>
        <v>0.99996096225487363</v>
      </c>
      <c r="N7">
        <f t="shared" si="3"/>
        <v>3.9037745126369039E-5</v>
      </c>
    </row>
    <row r="8" spans="1:14" x14ac:dyDescent="0.25">
      <c r="A8">
        <v>1693.3</v>
      </c>
      <c r="B8">
        <v>463539.72069400002</v>
      </c>
      <c r="C8">
        <v>36.887397999999997</v>
      </c>
      <c r="E8" s="1">
        <v>1693.3</v>
      </c>
      <c r="F8" s="3">
        <v>36.887329999999999</v>
      </c>
      <c r="H8">
        <v>1693.3</v>
      </c>
      <c r="I8">
        <v>36.885714898768597</v>
      </c>
      <c r="K8">
        <f t="shared" si="0"/>
        <v>1.0000018434513964</v>
      </c>
      <c r="L8">
        <f t="shared" si="1"/>
        <v>-1.8434513964216137E-6</v>
      </c>
      <c r="M8">
        <f t="shared" si="2"/>
        <v>0.99995621528499345</v>
      </c>
      <c r="N8">
        <f t="shared" si="3"/>
        <v>4.3784715006545127E-5</v>
      </c>
    </row>
    <row r="9" spans="1:14" x14ac:dyDescent="0.25">
      <c r="A9">
        <v>1695.3</v>
      </c>
      <c r="B9">
        <v>463539.72069400002</v>
      </c>
      <c r="C9">
        <v>36.887177000000001</v>
      </c>
      <c r="E9" s="1">
        <v>1695.3</v>
      </c>
      <c r="F9" s="3">
        <v>36.887259999999998</v>
      </c>
      <c r="H9">
        <v>1695.3</v>
      </c>
      <c r="I9">
        <v>36.885871365851401</v>
      </c>
      <c r="K9">
        <f t="shared" si="0"/>
        <v>0.99999774990064327</v>
      </c>
      <c r="L9">
        <f t="shared" si="1"/>
        <v>2.2500993567264871E-6</v>
      </c>
      <c r="M9">
        <f t="shared" si="2"/>
        <v>0.99996235464090866</v>
      </c>
      <c r="N9">
        <f t="shared" si="3"/>
        <v>3.7645359091342812E-5</v>
      </c>
    </row>
    <row r="10" spans="1:14" x14ac:dyDescent="0.25">
      <c r="A10">
        <v>1697.3</v>
      </c>
      <c r="B10">
        <v>463539.72069400002</v>
      </c>
      <c r="C10">
        <v>36.887233999999999</v>
      </c>
      <c r="E10" s="1">
        <v>1697.3</v>
      </c>
      <c r="F10" s="3">
        <v>36.887259999999998</v>
      </c>
      <c r="H10">
        <v>1697.3</v>
      </c>
      <c r="I10">
        <v>36.885737229392198</v>
      </c>
      <c r="K10">
        <f t="shared" si="0"/>
        <v>0.99999929514959918</v>
      </c>
      <c r="L10">
        <f t="shared" si="1"/>
        <v>7.048504008233536E-7</v>
      </c>
      <c r="M10">
        <f t="shared" si="2"/>
        <v>0.99995871825102223</v>
      </c>
      <c r="N10">
        <f t="shared" si="3"/>
        <v>4.1281748977772814E-5</v>
      </c>
    </row>
    <row r="11" spans="1:14" x14ac:dyDescent="0.25">
      <c r="A11">
        <v>1699.3</v>
      </c>
      <c r="B11">
        <v>463539.72069400002</v>
      </c>
      <c r="C11">
        <v>36.887225999999998</v>
      </c>
      <c r="E11" s="1">
        <v>1699.3</v>
      </c>
      <c r="F11" s="3">
        <v>36.887230000000002</v>
      </c>
      <c r="H11">
        <v>1699.3</v>
      </c>
      <c r="I11">
        <v>36.885885101748499</v>
      </c>
      <c r="K11">
        <f t="shared" si="0"/>
        <v>0.99999989156138847</v>
      </c>
      <c r="L11">
        <f t="shared" si="1"/>
        <v>1.0843861153464474E-7</v>
      </c>
      <c r="M11">
        <f t="shared" si="2"/>
        <v>0.99996354027527945</v>
      </c>
      <c r="N11">
        <f t="shared" si="3"/>
        <v>3.6459724720550035E-5</v>
      </c>
    </row>
    <row r="12" spans="1:14" x14ac:dyDescent="0.25">
      <c r="A12">
        <v>1701.3</v>
      </c>
      <c r="B12">
        <v>463539.72069400002</v>
      </c>
      <c r="C12">
        <v>36.887287000000001</v>
      </c>
      <c r="E12" s="1">
        <v>1701.3</v>
      </c>
      <c r="F12" s="3">
        <v>36.887210000000003</v>
      </c>
      <c r="H12">
        <v>1701.3</v>
      </c>
      <c r="I12">
        <v>36.885808495666602</v>
      </c>
      <c r="K12">
        <f t="shared" si="0"/>
        <v>1.0000020874444013</v>
      </c>
      <c r="L12">
        <f t="shared" si="1"/>
        <v>-2.0874444013330162E-6</v>
      </c>
      <c r="M12">
        <f t="shared" si="2"/>
        <v>0.99996200568344962</v>
      </c>
      <c r="N12">
        <f t="shared" si="3"/>
        <v>3.7994316550382656E-5</v>
      </c>
    </row>
    <row r="13" spans="1:14" x14ac:dyDescent="0.25">
      <c r="A13">
        <v>1703.3</v>
      </c>
      <c r="B13">
        <v>463539.72069400002</v>
      </c>
      <c r="C13">
        <v>36.887183999999998</v>
      </c>
      <c r="E13" s="1">
        <v>1703.3</v>
      </c>
      <c r="F13" s="3">
        <v>36.887309999999999</v>
      </c>
      <c r="H13">
        <v>1703.3</v>
      </c>
      <c r="I13">
        <v>36.8856867974811</v>
      </c>
      <c r="K13">
        <f t="shared" si="0"/>
        <v>0.99999658419114867</v>
      </c>
      <c r="L13">
        <f t="shared" si="1"/>
        <v>3.4158088513258633E-6</v>
      </c>
      <c r="M13">
        <f t="shared" si="2"/>
        <v>0.99995599563863835</v>
      </c>
      <c r="N13">
        <f t="shared" si="3"/>
        <v>4.4004361361649202E-5</v>
      </c>
    </row>
    <row r="14" spans="1:14" x14ac:dyDescent="0.25">
      <c r="A14">
        <v>1705.3</v>
      </c>
      <c r="B14">
        <v>463539.72069400002</v>
      </c>
      <c r="C14">
        <v>36.887214999999998</v>
      </c>
      <c r="E14" s="1">
        <v>1705.3</v>
      </c>
      <c r="F14" s="3">
        <v>36.887270000000001</v>
      </c>
      <c r="H14">
        <v>1705.3</v>
      </c>
      <c r="I14">
        <v>36.885799719159202</v>
      </c>
      <c r="K14">
        <f t="shared" si="0"/>
        <v>0.99999850897070985</v>
      </c>
      <c r="L14">
        <f t="shared" si="1"/>
        <v>1.4910292901459954E-6</v>
      </c>
      <c r="M14">
        <f t="shared" si="2"/>
        <v>0.99996014124003219</v>
      </c>
      <c r="N14">
        <f t="shared" si="3"/>
        <v>3.9858759967814628E-5</v>
      </c>
    </row>
    <row r="15" spans="1:14" x14ac:dyDescent="0.25">
      <c r="A15">
        <v>1707.3</v>
      </c>
      <c r="B15">
        <v>463539.72069400002</v>
      </c>
      <c r="C15">
        <v>36.887264000000002</v>
      </c>
      <c r="E15" s="1">
        <v>1707.3</v>
      </c>
      <c r="F15" s="3">
        <v>36.887279999999997</v>
      </c>
      <c r="H15">
        <v>1707.3</v>
      </c>
      <c r="I15">
        <v>36.885735632111597</v>
      </c>
      <c r="K15">
        <f t="shared" si="0"/>
        <v>0.99999956624614239</v>
      </c>
      <c r="L15">
        <f t="shared" si="1"/>
        <v>4.3375385760935359E-7</v>
      </c>
      <c r="M15">
        <f t="shared" si="2"/>
        <v>0.99995813277941881</v>
      </c>
      <c r="N15">
        <f t="shared" si="3"/>
        <v>4.1867220581193187E-5</v>
      </c>
    </row>
    <row r="16" spans="1:14" x14ac:dyDescent="0.25">
      <c r="A16">
        <v>1709.3</v>
      </c>
      <c r="B16">
        <v>463539.72069400002</v>
      </c>
      <c r="C16">
        <v>36.887217999999997</v>
      </c>
      <c r="E16" s="1">
        <v>1709.3</v>
      </c>
      <c r="F16" s="3">
        <v>36.887239999999998</v>
      </c>
      <c r="H16">
        <v>1709.3</v>
      </c>
      <c r="I16">
        <v>36.885792116793603</v>
      </c>
      <c r="K16">
        <f t="shared" si="0"/>
        <v>0.99999940358779893</v>
      </c>
      <c r="L16">
        <f t="shared" si="1"/>
        <v>5.9641220107042869E-7</v>
      </c>
      <c r="M16">
        <f t="shared" si="2"/>
        <v>0.99996074839954419</v>
      </c>
      <c r="N16">
        <f t="shared" si="3"/>
        <v>3.9251600455814106E-5</v>
      </c>
    </row>
    <row r="17" spans="1:14" x14ac:dyDescent="0.25">
      <c r="A17">
        <v>1711.3</v>
      </c>
      <c r="B17">
        <v>463539.72069400002</v>
      </c>
      <c r="C17">
        <v>36.887225999999998</v>
      </c>
      <c r="E17" s="1">
        <v>1711.3</v>
      </c>
      <c r="F17" s="3">
        <v>36.887250000000002</v>
      </c>
      <c r="H17">
        <v>1711.3</v>
      </c>
      <c r="I17">
        <v>36.885787429107801</v>
      </c>
      <c r="K17">
        <f t="shared" si="0"/>
        <v>0.99999934936868418</v>
      </c>
      <c r="L17">
        <f t="shared" si="1"/>
        <v>6.5063131582387967E-7</v>
      </c>
      <c r="M17">
        <f t="shared" si="2"/>
        <v>0.99996035023233765</v>
      </c>
      <c r="N17">
        <f t="shared" si="3"/>
        <v>3.9649767662353064E-5</v>
      </c>
    </row>
    <row r="18" spans="1:14" x14ac:dyDescent="0.25">
      <c r="A18">
        <v>1713.3</v>
      </c>
      <c r="B18">
        <v>463539.72069400002</v>
      </c>
      <c r="C18">
        <v>36.887214999999998</v>
      </c>
      <c r="E18" s="1">
        <v>1713.3</v>
      </c>
      <c r="F18" s="3">
        <v>36.887340000000002</v>
      </c>
      <c r="H18">
        <v>1713.3</v>
      </c>
      <c r="I18">
        <v>36.885664798638402</v>
      </c>
      <c r="K18">
        <f t="shared" si="0"/>
        <v>0.99999661130349859</v>
      </c>
      <c r="L18">
        <f t="shared" si="1"/>
        <v>3.388696501405164E-6</v>
      </c>
      <c r="M18">
        <f t="shared" si="2"/>
        <v>0.99995458600805587</v>
      </c>
      <c r="N18">
        <f t="shared" si="3"/>
        <v>4.5413991944132093E-5</v>
      </c>
    </row>
    <row r="19" spans="1:14" x14ac:dyDescent="0.25">
      <c r="A19">
        <v>1715.3</v>
      </c>
      <c r="B19">
        <v>463539.72069400002</v>
      </c>
      <c r="C19">
        <v>36.887238000000004</v>
      </c>
      <c r="E19" s="1">
        <v>1715.3</v>
      </c>
      <c r="F19" s="3">
        <v>36.887329999999999</v>
      </c>
      <c r="H19">
        <v>1715.3</v>
      </c>
      <c r="I19">
        <v>36.885852394471797</v>
      </c>
      <c r="K19">
        <f t="shared" si="0"/>
        <v>0.99999750591869907</v>
      </c>
      <c r="L19">
        <f t="shared" si="1"/>
        <v>2.4940813009299845E-6</v>
      </c>
      <c r="M19">
        <f t="shared" si="2"/>
        <v>0.99995994273567101</v>
      </c>
      <c r="N19">
        <f t="shared" si="3"/>
        <v>4.0057264328985376E-5</v>
      </c>
    </row>
    <row r="20" spans="1:14" x14ac:dyDescent="0.25">
      <c r="A20">
        <v>1717.3</v>
      </c>
      <c r="B20">
        <v>463539.72069400002</v>
      </c>
      <c r="C20">
        <v>36.887146000000001</v>
      </c>
      <c r="E20" s="1">
        <v>1717.3</v>
      </c>
      <c r="F20" s="3">
        <v>36.887360000000001</v>
      </c>
      <c r="H20">
        <v>1717.3</v>
      </c>
      <c r="I20">
        <v>36.885760831595398</v>
      </c>
      <c r="K20">
        <f t="shared" si="0"/>
        <v>0.99999419855473526</v>
      </c>
      <c r="L20">
        <f t="shared" si="1"/>
        <v>5.8014452647414672E-6</v>
      </c>
      <c r="M20">
        <f t="shared" si="2"/>
        <v>0.99995664725248423</v>
      </c>
      <c r="N20">
        <f t="shared" si="3"/>
        <v>4.3352747515768009E-5</v>
      </c>
    </row>
    <row r="21" spans="1:14" x14ac:dyDescent="0.25">
      <c r="A21">
        <v>1719.3</v>
      </c>
      <c r="B21">
        <v>463539.72069400002</v>
      </c>
      <c r="C21">
        <v>36.887183999999998</v>
      </c>
      <c r="E21" s="1">
        <v>1719.3</v>
      </c>
      <c r="F21" s="3">
        <v>36.887250000000002</v>
      </c>
      <c r="H21">
        <v>1719.3</v>
      </c>
      <c r="I21">
        <v>36.885818044563898</v>
      </c>
      <c r="K21">
        <f t="shared" si="0"/>
        <v>0.99999821076388173</v>
      </c>
      <c r="L21">
        <f t="shared" si="1"/>
        <v>1.7892361182658689E-6</v>
      </c>
      <c r="M21">
        <f t="shared" si="2"/>
        <v>0.99996118020627445</v>
      </c>
      <c r="N21">
        <f t="shared" si="3"/>
        <v>3.8819793725552998E-5</v>
      </c>
    </row>
    <row r="22" spans="1:14" x14ac:dyDescent="0.25">
      <c r="A22">
        <v>1721.3</v>
      </c>
      <c r="B22">
        <v>463539.72069400002</v>
      </c>
      <c r="C22">
        <v>36.887118999999998</v>
      </c>
      <c r="E22" s="1">
        <v>1721.3</v>
      </c>
      <c r="F22" s="3">
        <v>36.887300000000003</v>
      </c>
      <c r="H22">
        <v>1721.3</v>
      </c>
      <c r="I22">
        <v>36.885750265005299</v>
      </c>
      <c r="K22">
        <f t="shared" si="0"/>
        <v>0.99999509316214508</v>
      </c>
      <c r="L22">
        <f t="shared" si="1"/>
        <v>4.906837854923296E-6</v>
      </c>
      <c r="M22">
        <f t="shared" si="2"/>
        <v>0.99995798730200625</v>
      </c>
      <c r="N22">
        <f t="shared" si="3"/>
        <v>4.2012697993754067E-5</v>
      </c>
    </row>
    <row r="23" spans="1:14" x14ac:dyDescent="0.25">
      <c r="A23">
        <v>1723.3</v>
      </c>
      <c r="B23">
        <v>463539.72069400002</v>
      </c>
      <c r="C23">
        <v>36.887149999999998</v>
      </c>
      <c r="E23" s="1">
        <v>1723.3</v>
      </c>
      <c r="F23" s="3">
        <v>36.887360000000001</v>
      </c>
      <c r="H23">
        <v>1723.3</v>
      </c>
      <c r="I23">
        <v>36.885653813778497</v>
      </c>
      <c r="K23">
        <f t="shared" si="0"/>
        <v>0.99999430699296443</v>
      </c>
      <c r="L23">
        <f t="shared" si="1"/>
        <v>5.6930070355676321E-6</v>
      </c>
      <c r="M23">
        <f t="shared" si="2"/>
        <v>0.99995374604684362</v>
      </c>
      <c r="N23">
        <f t="shared" si="3"/>
        <v>4.6253953156383254E-5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3"/>
  <sheetViews>
    <sheetView zoomScale="91" zoomScaleNormal="91" workbookViewId="0">
      <selection activeCell="F3" sqref="F3:F23"/>
    </sheetView>
  </sheetViews>
  <sheetFormatPr defaultRowHeight="15.75" x14ac:dyDescent="0.25"/>
  <cols>
    <col min="2" max="2" width="11.375" customWidth="1"/>
    <col min="5" max="5" width="17.625" customWidth="1"/>
    <col min="6" max="6" width="10.375" bestFit="1" customWidth="1"/>
    <col min="7" max="7" width="10.375" customWidth="1"/>
    <col min="8" max="8" width="17.5" customWidth="1"/>
    <col min="9" max="9" width="12.75" customWidth="1"/>
    <col min="11" max="11" width="11.875" customWidth="1"/>
    <col min="12" max="12" width="14" customWidth="1"/>
    <col min="13" max="13" width="14.25" customWidth="1"/>
    <col min="14" max="14" width="14.75" customWidth="1"/>
  </cols>
  <sheetData>
    <row r="1" spans="1:14" x14ac:dyDescent="0.25">
      <c r="A1" t="s">
        <v>5</v>
      </c>
      <c r="B1" t="s">
        <v>2</v>
      </c>
      <c r="E1" s="1"/>
      <c r="F1" s="3" t="s">
        <v>3</v>
      </c>
      <c r="G1" s="3"/>
      <c r="I1" t="s">
        <v>4</v>
      </c>
      <c r="K1" t="s">
        <v>9</v>
      </c>
      <c r="M1" t="s">
        <v>10</v>
      </c>
    </row>
    <row r="2" spans="1:14" x14ac:dyDescent="0.25">
      <c r="A2" t="s">
        <v>6</v>
      </c>
      <c r="B2" t="s">
        <v>1</v>
      </c>
      <c r="C2" t="s">
        <v>8</v>
      </c>
      <c r="E2" s="1" t="s">
        <v>0</v>
      </c>
      <c r="F2" t="s">
        <v>8</v>
      </c>
      <c r="G2" s="3"/>
      <c r="H2" t="s">
        <v>0</v>
      </c>
      <c r="I2" t="s">
        <v>8</v>
      </c>
    </row>
    <row r="3" spans="1:14" x14ac:dyDescent="0.25">
      <c r="A3">
        <v>1683.3</v>
      </c>
      <c r="B3">
        <v>463539.72069400002</v>
      </c>
      <c r="C3">
        <f t="shared" ref="C3:C23" si="0">B3/(4000*PI())</f>
        <v>36.88731893394332</v>
      </c>
      <c r="E3" s="1">
        <v>1683.3</v>
      </c>
      <c r="F3" s="3">
        <v>36.887421000000003</v>
      </c>
      <c r="G3" s="3"/>
      <c r="H3">
        <v>1683.3</v>
      </c>
      <c r="I3">
        <v>36.885413342732903</v>
      </c>
      <c r="K3">
        <f>C3/F3</f>
        <v>0.99999723303896237</v>
      </c>
      <c r="L3">
        <f>1-K3</f>
        <v>2.7669610376257481E-6</v>
      </c>
      <c r="M3">
        <f>I3/F3</f>
        <v>0.99994557339025947</v>
      </c>
      <c r="N3">
        <f>1-M3</f>
        <v>5.442660974053215E-5</v>
      </c>
    </row>
    <row r="4" spans="1:14" x14ac:dyDescent="0.25">
      <c r="A4">
        <v>1685.3</v>
      </c>
      <c r="B4">
        <v>463539.72069400002</v>
      </c>
      <c r="C4">
        <f t="shared" si="0"/>
        <v>36.88731893394332</v>
      </c>
      <c r="E4" s="1">
        <v>1685.3</v>
      </c>
      <c r="F4" s="3">
        <v>36.887428</v>
      </c>
      <c r="G4" s="3"/>
      <c r="H4">
        <v>1685.3</v>
      </c>
      <c r="I4">
        <v>36.885493645160501</v>
      </c>
      <c r="K4">
        <f t="shared" ref="K4:K23" si="1">C4/F4</f>
        <v>0.99999704327293626</v>
      </c>
      <c r="L4">
        <f t="shared" ref="L4:L23" si="2">1-K4</f>
        <v>2.9567270637409493E-6</v>
      </c>
      <c r="M4">
        <f t="shared" ref="M4:M23" si="3">I4/F4</f>
        <v>0.99994756059328671</v>
      </c>
      <c r="N4">
        <f t="shared" ref="N4:N23" si="4">1-M4</f>
        <v>5.2439406713289394E-5</v>
      </c>
    </row>
    <row r="5" spans="1:14" x14ac:dyDescent="0.25">
      <c r="A5">
        <v>1687.3</v>
      </c>
      <c r="B5">
        <v>463539.72069400002</v>
      </c>
      <c r="C5">
        <f t="shared" si="0"/>
        <v>36.88731893394332</v>
      </c>
      <c r="E5" s="1">
        <v>1687.3</v>
      </c>
      <c r="F5" s="3">
        <v>36.887343999999999</v>
      </c>
      <c r="G5" s="3"/>
      <c r="H5">
        <v>1687.3</v>
      </c>
      <c r="I5">
        <v>36.885584997800997</v>
      </c>
      <c r="K5">
        <f t="shared" si="1"/>
        <v>0.99999932047000517</v>
      </c>
      <c r="L5">
        <f t="shared" si="2"/>
        <v>6.7952999482923104E-7</v>
      </c>
      <c r="M5">
        <f t="shared" si="3"/>
        <v>0.99995231420839081</v>
      </c>
      <c r="N5">
        <f t="shared" si="4"/>
        <v>4.7685791609186623E-5</v>
      </c>
    </row>
    <row r="6" spans="1:14" x14ac:dyDescent="0.25">
      <c r="A6">
        <v>1689.3</v>
      </c>
      <c r="B6">
        <v>463539.72069400002</v>
      </c>
      <c r="C6">
        <f t="shared" si="0"/>
        <v>36.88731893394332</v>
      </c>
      <c r="E6" s="1">
        <v>1689.3</v>
      </c>
      <c r="F6" s="3">
        <v>36.887462999999997</v>
      </c>
      <c r="G6" s="3"/>
      <c r="H6">
        <v>1689.3</v>
      </c>
      <c r="I6">
        <v>36.885538500072499</v>
      </c>
      <c r="K6">
        <f t="shared" si="1"/>
        <v>0.99999609444388526</v>
      </c>
      <c r="L6">
        <f t="shared" si="2"/>
        <v>3.9055561147360862E-6</v>
      </c>
      <c r="M6">
        <f t="shared" si="3"/>
        <v>0.99994782780459857</v>
      </c>
      <c r="N6">
        <f t="shared" si="4"/>
        <v>5.2172195401434251E-5</v>
      </c>
    </row>
    <row r="7" spans="1:14" x14ac:dyDescent="0.25">
      <c r="A7">
        <v>1691.3</v>
      </c>
      <c r="B7">
        <v>463539.72069400002</v>
      </c>
      <c r="C7">
        <f t="shared" si="0"/>
        <v>36.88731893394332</v>
      </c>
      <c r="E7" s="1">
        <v>1691.3</v>
      </c>
      <c r="F7" s="3">
        <v>36.887363000000001</v>
      </c>
      <c r="G7" s="3"/>
      <c r="H7">
        <v>1691.3</v>
      </c>
      <c r="I7">
        <v>36.885528446643796</v>
      </c>
      <c r="K7">
        <f t="shared" si="1"/>
        <v>0.99999880538880803</v>
      </c>
      <c r="L7">
        <f t="shared" si="2"/>
        <v>1.1946111919680646E-6</v>
      </c>
      <c r="M7">
        <f t="shared" si="3"/>
        <v>0.99995026607469328</v>
      </c>
      <c r="N7">
        <f t="shared" si="4"/>
        <v>4.9733925306716387E-5</v>
      </c>
    </row>
    <row r="8" spans="1:14" x14ac:dyDescent="0.25">
      <c r="A8">
        <v>1693.3</v>
      </c>
      <c r="B8">
        <v>463539.72069400002</v>
      </c>
      <c r="C8">
        <f t="shared" si="0"/>
        <v>36.88731893394332</v>
      </c>
      <c r="E8" s="1">
        <v>1693.3</v>
      </c>
      <c r="F8" s="3">
        <v>36.887504999999997</v>
      </c>
      <c r="G8" s="3"/>
      <c r="H8">
        <v>1693.3</v>
      </c>
      <c r="I8">
        <v>36.885417925923903</v>
      </c>
      <c r="K8">
        <f t="shared" si="1"/>
        <v>0.99999495585140075</v>
      </c>
      <c r="L8">
        <f t="shared" si="2"/>
        <v>5.0441485992536172E-6</v>
      </c>
      <c r="M8">
        <f t="shared" si="3"/>
        <v>0.99994342056812746</v>
      </c>
      <c r="N8">
        <f t="shared" si="4"/>
        <v>5.6579431872538777E-5</v>
      </c>
    </row>
    <row r="9" spans="1:14" x14ac:dyDescent="0.25">
      <c r="A9">
        <v>1695.3</v>
      </c>
      <c r="B9">
        <v>463539.72069400002</v>
      </c>
      <c r="C9">
        <f t="shared" si="0"/>
        <v>36.88731893394332</v>
      </c>
      <c r="E9" s="1">
        <v>1695.3</v>
      </c>
      <c r="F9" s="3">
        <v>36.887501</v>
      </c>
      <c r="G9" s="3"/>
      <c r="H9">
        <v>1695.3</v>
      </c>
      <c r="I9">
        <v>36.885490036358597</v>
      </c>
      <c r="K9">
        <f t="shared" si="1"/>
        <v>0.99999506428866836</v>
      </c>
      <c r="L9">
        <f t="shared" si="2"/>
        <v>4.9357113316439438E-6</v>
      </c>
      <c r="M9">
        <f t="shared" si="3"/>
        <v>0.99994548387429649</v>
      </c>
      <c r="N9">
        <f t="shared" si="4"/>
        <v>5.4516125703507612E-5</v>
      </c>
    </row>
    <row r="10" spans="1:14" x14ac:dyDescent="0.25">
      <c r="A10">
        <v>1697.3</v>
      </c>
      <c r="B10">
        <v>463539.72069400002</v>
      </c>
      <c r="C10">
        <f t="shared" si="0"/>
        <v>36.88731893394332</v>
      </c>
      <c r="E10" s="1">
        <v>1697.3</v>
      </c>
      <c r="F10" s="3">
        <v>36.887318</v>
      </c>
      <c r="G10" s="3"/>
      <c r="H10">
        <v>1697.3</v>
      </c>
      <c r="I10">
        <v>36.8854708566776</v>
      </c>
      <c r="K10">
        <f t="shared" si="1"/>
        <v>1.0000000253188188</v>
      </c>
      <c r="L10">
        <f t="shared" si="2"/>
        <v>-2.5318818819286548E-8</v>
      </c>
      <c r="M10">
        <f t="shared" si="3"/>
        <v>0.99994992470522248</v>
      </c>
      <c r="N10">
        <f t="shared" si="4"/>
        <v>5.0075294777518486E-5</v>
      </c>
    </row>
    <row r="11" spans="1:14" x14ac:dyDescent="0.25">
      <c r="A11">
        <v>1699.3</v>
      </c>
      <c r="B11">
        <v>463539.72069400002</v>
      </c>
      <c r="C11">
        <f t="shared" si="0"/>
        <v>36.88731893394332</v>
      </c>
      <c r="E11" s="1">
        <v>1699.3</v>
      </c>
      <c r="F11" s="3">
        <v>36.887416999999999</v>
      </c>
      <c r="G11" s="3"/>
      <c r="H11">
        <v>1699.3</v>
      </c>
      <c r="I11">
        <v>36.885512030453199</v>
      </c>
      <c r="K11">
        <f t="shared" si="1"/>
        <v>0.99999734147672414</v>
      </c>
      <c r="L11">
        <f t="shared" si="2"/>
        <v>2.6585232758558064E-6</v>
      </c>
      <c r="M11">
        <f t="shared" si="3"/>
        <v>0.99994835719869457</v>
      </c>
      <c r="N11">
        <f t="shared" si="4"/>
        <v>5.1642801305429309E-5</v>
      </c>
    </row>
    <row r="12" spans="1:14" x14ac:dyDescent="0.25">
      <c r="A12">
        <v>1701.3</v>
      </c>
      <c r="B12">
        <v>463539.72069400002</v>
      </c>
      <c r="C12">
        <f t="shared" si="0"/>
        <v>36.88731893394332</v>
      </c>
      <c r="E12" s="1">
        <v>1701.3</v>
      </c>
      <c r="F12" s="3">
        <v>36.887455000000003</v>
      </c>
      <c r="G12" s="3"/>
      <c r="H12">
        <v>1701.3</v>
      </c>
      <c r="I12">
        <v>36.885508359907199</v>
      </c>
      <c r="K12">
        <f t="shared" si="1"/>
        <v>0.99999631131893807</v>
      </c>
      <c r="L12">
        <f t="shared" si="2"/>
        <v>3.6886810619307653E-6</v>
      </c>
      <c r="M12">
        <f t="shared" si="3"/>
        <v>0.99994722758474919</v>
      </c>
      <c r="N12">
        <f t="shared" si="4"/>
        <v>5.2772415250812443E-5</v>
      </c>
    </row>
    <row r="13" spans="1:14" x14ac:dyDescent="0.25">
      <c r="A13">
        <v>1703.3</v>
      </c>
      <c r="B13">
        <v>463539.72069400002</v>
      </c>
      <c r="C13">
        <f t="shared" si="0"/>
        <v>36.88731893394332</v>
      </c>
      <c r="E13" s="1">
        <v>1703.3</v>
      </c>
      <c r="F13" s="3">
        <v>36.887436000000001</v>
      </c>
      <c r="G13" s="3"/>
      <c r="H13">
        <v>1703.3</v>
      </c>
      <c r="I13">
        <v>36.885394422297402</v>
      </c>
      <c r="K13">
        <f t="shared" si="1"/>
        <v>0.99999682639756582</v>
      </c>
      <c r="L13">
        <f t="shared" si="2"/>
        <v>3.1736024341810776E-6</v>
      </c>
      <c r="M13">
        <f t="shared" si="3"/>
        <v>0.99994465384629605</v>
      </c>
      <c r="N13">
        <f t="shared" si="4"/>
        <v>5.5346153703950129E-5</v>
      </c>
    </row>
    <row r="14" spans="1:14" x14ac:dyDescent="0.25">
      <c r="A14">
        <v>1705.3</v>
      </c>
      <c r="B14">
        <v>463539.72069400002</v>
      </c>
      <c r="C14">
        <f t="shared" si="0"/>
        <v>36.88731893394332</v>
      </c>
      <c r="E14" s="1">
        <v>1705.3</v>
      </c>
      <c r="F14" s="3">
        <v>36.887340999999999</v>
      </c>
      <c r="G14" s="3"/>
      <c r="H14">
        <v>1705.3</v>
      </c>
      <c r="I14">
        <v>36.885517963534298</v>
      </c>
      <c r="K14">
        <f t="shared" si="1"/>
        <v>0.99999940179866365</v>
      </c>
      <c r="L14">
        <f t="shared" si="2"/>
        <v>5.9820133635479777E-7</v>
      </c>
      <c r="M14">
        <f t="shared" si="3"/>
        <v>0.99995057826299538</v>
      </c>
      <c r="N14">
        <f t="shared" si="4"/>
        <v>4.9421737004617938E-5</v>
      </c>
    </row>
    <row r="15" spans="1:14" x14ac:dyDescent="0.25">
      <c r="A15">
        <v>1707.3</v>
      </c>
      <c r="B15">
        <v>463539.72069400002</v>
      </c>
      <c r="C15">
        <f t="shared" si="0"/>
        <v>36.88731893394332</v>
      </c>
      <c r="E15" s="1">
        <v>1707.3</v>
      </c>
      <c r="F15" s="3">
        <v>36.887343999999999</v>
      </c>
      <c r="G15" s="3"/>
      <c r="H15">
        <v>1707.3</v>
      </c>
      <c r="I15">
        <v>36.885472631637903</v>
      </c>
      <c r="K15">
        <f t="shared" si="1"/>
        <v>0.99999932047000517</v>
      </c>
      <c r="L15">
        <f t="shared" si="2"/>
        <v>6.7952999482923104E-7</v>
      </c>
      <c r="M15">
        <f t="shared" si="3"/>
        <v>0.99994926801013118</v>
      </c>
      <c r="N15">
        <f t="shared" si="4"/>
        <v>5.0731989868824101E-5</v>
      </c>
    </row>
    <row r="16" spans="1:14" x14ac:dyDescent="0.25">
      <c r="A16">
        <v>1709.3</v>
      </c>
      <c r="B16">
        <v>463539.72069400002</v>
      </c>
      <c r="C16">
        <f t="shared" si="0"/>
        <v>36.88731893394332</v>
      </c>
      <c r="E16" s="1">
        <v>1709.3</v>
      </c>
      <c r="F16" s="3">
        <v>36.887374999999999</v>
      </c>
      <c r="G16" s="3"/>
      <c r="H16">
        <v>1709.3</v>
      </c>
      <c r="I16">
        <v>36.885458356399504</v>
      </c>
      <c r="K16">
        <f t="shared" si="1"/>
        <v>0.99999848007464132</v>
      </c>
      <c r="L16">
        <f t="shared" si="2"/>
        <v>1.519925358683949E-6</v>
      </c>
      <c r="M16">
        <f t="shared" si="3"/>
        <v>0.99994804066159504</v>
      </c>
      <c r="N16">
        <f t="shared" si="4"/>
        <v>5.1959338404961031E-5</v>
      </c>
    </row>
    <row r="17" spans="1:14" x14ac:dyDescent="0.25">
      <c r="A17">
        <v>1711.3</v>
      </c>
      <c r="B17">
        <v>463539.72069400002</v>
      </c>
      <c r="C17">
        <f t="shared" si="0"/>
        <v>36.88731893394332</v>
      </c>
      <c r="E17" s="1">
        <v>1711.3</v>
      </c>
      <c r="F17" s="3">
        <v>36.887340999999999</v>
      </c>
      <c r="G17" s="3"/>
      <c r="H17">
        <v>1711.3</v>
      </c>
      <c r="I17">
        <v>36.885517293163097</v>
      </c>
      <c r="K17">
        <f t="shared" si="1"/>
        <v>0.99999940179866365</v>
      </c>
      <c r="L17">
        <f t="shared" si="2"/>
        <v>5.9820133635479777E-7</v>
      </c>
      <c r="M17">
        <f t="shared" si="3"/>
        <v>0.99995056008951955</v>
      </c>
      <c r="N17">
        <f t="shared" si="4"/>
        <v>4.9439910480453264E-5</v>
      </c>
    </row>
    <row r="18" spans="1:14" x14ac:dyDescent="0.25">
      <c r="A18">
        <v>1713.3</v>
      </c>
      <c r="B18">
        <v>463539.72069400002</v>
      </c>
      <c r="C18">
        <f t="shared" si="0"/>
        <v>36.88731893394332</v>
      </c>
      <c r="E18" s="1">
        <v>1713.3</v>
      </c>
      <c r="F18" s="3">
        <v>36.887371000000002</v>
      </c>
      <c r="G18" s="3"/>
      <c r="H18">
        <v>1713.3</v>
      </c>
      <c r="I18">
        <v>36.885403104250301</v>
      </c>
      <c r="K18">
        <f t="shared" si="1"/>
        <v>0.99999858851267331</v>
      </c>
      <c r="L18">
        <f t="shared" si="2"/>
        <v>1.4114873266857231E-6</v>
      </c>
      <c r="M18">
        <f t="shared" si="3"/>
        <v>0.99994665123329873</v>
      </c>
      <c r="N18">
        <f t="shared" si="4"/>
        <v>5.3348766701266648E-5</v>
      </c>
    </row>
    <row r="19" spans="1:14" x14ac:dyDescent="0.25">
      <c r="A19">
        <v>1715.3</v>
      </c>
      <c r="B19">
        <v>463539.72069400002</v>
      </c>
      <c r="C19">
        <f t="shared" si="0"/>
        <v>36.88731893394332</v>
      </c>
      <c r="E19" s="1">
        <v>1715.3</v>
      </c>
      <c r="F19" s="3">
        <v>36.887366999999998</v>
      </c>
      <c r="G19" s="3"/>
      <c r="H19">
        <v>1715.3</v>
      </c>
      <c r="I19">
        <v>36.8855265757363</v>
      </c>
      <c r="K19">
        <f t="shared" si="1"/>
        <v>0.99999869695072896</v>
      </c>
      <c r="L19">
        <f t="shared" si="2"/>
        <v>1.3030492710397468E-6</v>
      </c>
      <c r="M19">
        <f t="shared" si="3"/>
        <v>0.99995010692241337</v>
      </c>
      <c r="N19">
        <f t="shared" si="4"/>
        <v>4.9893077586626866E-5</v>
      </c>
    </row>
    <row r="20" spans="1:14" x14ac:dyDescent="0.25">
      <c r="A20">
        <v>1717.3</v>
      </c>
      <c r="B20">
        <v>463539.72069400002</v>
      </c>
      <c r="C20">
        <f t="shared" si="0"/>
        <v>36.88731893394332</v>
      </c>
      <c r="E20" s="1">
        <v>1717.3</v>
      </c>
      <c r="F20" s="3">
        <v>36.887385999999999</v>
      </c>
      <c r="G20" s="3"/>
      <c r="H20">
        <v>1717.3</v>
      </c>
      <c r="I20">
        <v>36.8854389060903</v>
      </c>
      <c r="K20">
        <f t="shared" si="1"/>
        <v>0.99999818187017431</v>
      </c>
      <c r="L20">
        <f t="shared" si="2"/>
        <v>1.818129825692516E-6</v>
      </c>
      <c r="M20">
        <f t="shared" si="3"/>
        <v>0.9999472151832689</v>
      </c>
      <c r="N20">
        <f t="shared" si="4"/>
        <v>5.2784816731099582E-5</v>
      </c>
    </row>
    <row r="21" spans="1:14" x14ac:dyDescent="0.25">
      <c r="A21">
        <v>1719.3</v>
      </c>
      <c r="B21">
        <v>463539.72069400002</v>
      </c>
      <c r="C21">
        <f t="shared" si="0"/>
        <v>36.88731893394332</v>
      </c>
      <c r="E21" s="1">
        <v>1719.3</v>
      </c>
      <c r="F21" s="3">
        <v>36.887402000000002</v>
      </c>
      <c r="G21" s="3"/>
      <c r="H21">
        <v>1719.3</v>
      </c>
      <c r="I21">
        <v>36.885464295131897</v>
      </c>
      <c r="K21">
        <f t="shared" si="1"/>
        <v>0.9999977481185397</v>
      </c>
      <c r="L21">
        <f t="shared" si="2"/>
        <v>2.2518814603023074E-6</v>
      </c>
      <c r="M21">
        <f t="shared" si="3"/>
        <v>0.9999474697386358</v>
      </c>
      <c r="N21">
        <f t="shared" si="4"/>
        <v>5.2530261364203135E-5</v>
      </c>
    </row>
    <row r="22" spans="1:14" x14ac:dyDescent="0.25">
      <c r="A22">
        <v>1721.3</v>
      </c>
      <c r="B22">
        <v>463539.72069400002</v>
      </c>
      <c r="C22">
        <f t="shared" si="0"/>
        <v>36.88731893394332</v>
      </c>
      <c r="E22" s="1">
        <v>1721.3</v>
      </c>
      <c r="F22" s="3">
        <v>36.887424000000003</v>
      </c>
      <c r="G22" s="3"/>
      <c r="H22">
        <v>1721.3</v>
      </c>
      <c r="I22">
        <v>36.885507474793897</v>
      </c>
      <c r="K22">
        <f t="shared" si="1"/>
        <v>0.99999715171065662</v>
      </c>
      <c r="L22">
        <f t="shared" si="2"/>
        <v>2.8482893433823264E-6</v>
      </c>
      <c r="M22">
        <f t="shared" si="3"/>
        <v>0.99994804394022996</v>
      </c>
      <c r="N22">
        <f t="shared" si="4"/>
        <v>5.1956059770041918E-5</v>
      </c>
    </row>
    <row r="23" spans="1:14" x14ac:dyDescent="0.25">
      <c r="A23">
        <v>1723.3</v>
      </c>
      <c r="B23">
        <v>463539.72069400002</v>
      </c>
      <c r="C23">
        <f t="shared" si="0"/>
        <v>36.88731893394332</v>
      </c>
      <c r="E23" s="1">
        <v>1723.3</v>
      </c>
      <c r="F23" s="3">
        <v>36.887329000000001</v>
      </c>
      <c r="G23" s="3"/>
      <c r="H23">
        <v>1723.3</v>
      </c>
      <c r="I23">
        <v>36.885412615338304</v>
      </c>
      <c r="K23">
        <f t="shared" si="1"/>
        <v>0.9999997271134301</v>
      </c>
      <c r="L23">
        <f t="shared" si="2"/>
        <v>2.7288656989643556E-7</v>
      </c>
      <c r="M23">
        <f t="shared" si="3"/>
        <v>0.99994804761652167</v>
      </c>
      <c r="N23">
        <f t="shared" si="4"/>
        <v>5.1952383478326425E-5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3"/>
  <sheetViews>
    <sheetView topLeftCell="E1" workbookViewId="0">
      <selection activeCell="F3" sqref="F3:F23"/>
    </sheetView>
  </sheetViews>
  <sheetFormatPr defaultRowHeight="15.75" x14ac:dyDescent="0.25"/>
  <cols>
    <col min="2" max="2" width="12.25" customWidth="1"/>
    <col min="3" max="3" width="14.375" customWidth="1"/>
    <col min="5" max="5" width="18.875" customWidth="1"/>
    <col min="6" max="6" width="13.375" style="3" customWidth="1"/>
    <col min="8" max="8" width="14.625" customWidth="1"/>
    <col min="9" max="9" width="12.875" customWidth="1"/>
    <col min="14" max="14" width="12.5" bestFit="1" customWidth="1"/>
  </cols>
  <sheetData>
    <row r="1" spans="1:14" x14ac:dyDescent="0.25">
      <c r="A1" t="s">
        <v>5</v>
      </c>
      <c r="B1" t="s">
        <v>2</v>
      </c>
      <c r="E1" s="1"/>
      <c r="F1" s="3" t="s">
        <v>3</v>
      </c>
      <c r="H1" t="s">
        <v>4</v>
      </c>
      <c r="K1" t="s">
        <v>9</v>
      </c>
      <c r="L1" t="s">
        <v>7</v>
      </c>
      <c r="M1" t="s">
        <v>10</v>
      </c>
      <c r="N1" t="s">
        <v>7</v>
      </c>
    </row>
    <row r="2" spans="1:14" x14ac:dyDescent="0.25">
      <c r="A2" t="s">
        <v>0</v>
      </c>
      <c r="B2" t="s">
        <v>1</v>
      </c>
      <c r="C2" t="s">
        <v>8</v>
      </c>
      <c r="E2" s="1" t="s">
        <v>0</v>
      </c>
      <c r="F2" t="s">
        <v>8</v>
      </c>
      <c r="H2" t="s">
        <v>0</v>
      </c>
      <c r="I2" t="s">
        <v>8</v>
      </c>
    </row>
    <row r="3" spans="1:14" x14ac:dyDescent="0.25">
      <c r="A3">
        <v>1683.3</v>
      </c>
      <c r="B3">
        <v>463539.72069400002</v>
      </c>
      <c r="C3">
        <f t="shared" ref="C3:C23" si="0">B3/(4000*PI())</f>
        <v>36.88731893394332</v>
      </c>
      <c r="E3" s="1">
        <v>1683.3</v>
      </c>
      <c r="F3" s="3">
        <v>36.887259999999998</v>
      </c>
      <c r="H3">
        <v>1683.3</v>
      </c>
      <c r="I3">
        <v>36.885481977797397</v>
      </c>
      <c r="K3">
        <f t="shared" ref="K3:K23" si="1">C3/F3</f>
        <v>1.0000015976774452</v>
      </c>
      <c r="L3">
        <f>1-K3</f>
        <v>-1.5976774452308717E-6</v>
      </c>
      <c r="M3">
        <f>I3/F3</f>
        <v>0.99995179847452476</v>
      </c>
      <c r="N3">
        <f>1-M3</f>
        <v>4.8201525475244367E-5</v>
      </c>
    </row>
    <row r="4" spans="1:14" x14ac:dyDescent="0.25">
      <c r="A4">
        <v>1685.3</v>
      </c>
      <c r="B4">
        <v>463539.72069400002</v>
      </c>
      <c r="C4">
        <f t="shared" si="0"/>
        <v>36.88731893394332</v>
      </c>
      <c r="E4" s="1">
        <v>1685.3</v>
      </c>
      <c r="F4" s="3">
        <v>36.887165000000003</v>
      </c>
      <c r="H4">
        <v>1685.3</v>
      </c>
      <c r="I4">
        <v>36.885572396624198</v>
      </c>
      <c r="K4">
        <f t="shared" si="1"/>
        <v>1.0000041731031191</v>
      </c>
      <c r="L4">
        <f t="shared" ref="L4:L23" si="2">1-K4</f>
        <v>-4.1731031190650469E-6</v>
      </c>
      <c r="M4">
        <f t="shared" ref="M4:M23" si="3">I4/F4</f>
        <v>0.99995682499926997</v>
      </c>
      <c r="N4">
        <f t="shared" ref="N4:N23" si="4">1-M4</f>
        <v>4.3175000730033553E-5</v>
      </c>
    </row>
    <row r="5" spans="1:14" x14ac:dyDescent="0.25">
      <c r="A5">
        <v>1687.3</v>
      </c>
      <c r="B5">
        <v>463539.72069400002</v>
      </c>
      <c r="C5">
        <f t="shared" si="0"/>
        <v>36.88731893394332</v>
      </c>
      <c r="E5" s="1">
        <v>1687.3</v>
      </c>
      <c r="F5" s="3">
        <v>36.887253000000001</v>
      </c>
      <c r="H5">
        <v>1687.3</v>
      </c>
      <c r="I5">
        <v>36.885520944763698</v>
      </c>
      <c r="K5">
        <f t="shared" si="1"/>
        <v>1.0000017874452001</v>
      </c>
      <c r="L5">
        <f t="shared" si="2"/>
        <v>-1.7874452000743446E-6</v>
      </c>
      <c r="M5">
        <f t="shared" si="3"/>
        <v>0.99995304461309975</v>
      </c>
      <c r="N5">
        <f t="shared" si="4"/>
        <v>4.6955386900249252E-5</v>
      </c>
    </row>
    <row r="6" spans="1:14" x14ac:dyDescent="0.25">
      <c r="A6">
        <v>1689.3</v>
      </c>
      <c r="B6">
        <v>463539.72069400002</v>
      </c>
      <c r="C6">
        <f t="shared" si="0"/>
        <v>36.88731893394332</v>
      </c>
      <c r="E6" s="1">
        <v>1689.3</v>
      </c>
      <c r="F6" s="3">
        <v>36.887256999999998</v>
      </c>
      <c r="H6">
        <v>1689.3</v>
      </c>
      <c r="I6">
        <v>36.885422718870799</v>
      </c>
      <c r="K6">
        <f t="shared" si="1"/>
        <v>1.0000016790064743</v>
      </c>
      <c r="L6">
        <f t="shared" si="2"/>
        <v>-1.6790064742977506E-6</v>
      </c>
      <c r="M6">
        <f t="shared" si="3"/>
        <v>0.99995027331175101</v>
      </c>
      <c r="N6">
        <f t="shared" si="4"/>
        <v>4.9726688248985518E-5</v>
      </c>
    </row>
    <row r="7" spans="1:14" x14ac:dyDescent="0.25">
      <c r="A7">
        <v>1691.3</v>
      </c>
      <c r="B7">
        <v>463539.72069400002</v>
      </c>
      <c r="C7">
        <f t="shared" si="0"/>
        <v>36.88731893394332</v>
      </c>
      <c r="E7" s="1">
        <v>1691.3</v>
      </c>
      <c r="F7" s="3">
        <v>36.887199000000003</v>
      </c>
      <c r="H7">
        <v>1691.3</v>
      </c>
      <c r="I7">
        <v>36.885495665556803</v>
      </c>
      <c r="K7">
        <f t="shared" si="1"/>
        <v>1.000003251370301</v>
      </c>
      <c r="L7">
        <f t="shared" si="2"/>
        <v>-3.2513703009939832E-6</v>
      </c>
      <c r="M7">
        <f t="shared" si="3"/>
        <v>0.99995382315574577</v>
      </c>
      <c r="N7">
        <f t="shared" si="4"/>
        <v>4.6176844254230964E-5</v>
      </c>
    </row>
    <row r="8" spans="1:14" x14ac:dyDescent="0.25">
      <c r="A8">
        <v>1693.3</v>
      </c>
      <c r="B8">
        <v>463539.72069400002</v>
      </c>
      <c r="C8">
        <f t="shared" si="0"/>
        <v>36.88731893394332</v>
      </c>
      <c r="E8" s="1">
        <v>1693.3</v>
      </c>
      <c r="F8" s="3">
        <v>36.887141999999997</v>
      </c>
      <c r="H8">
        <v>1693.3</v>
      </c>
      <c r="I8">
        <v>36.885451227025698</v>
      </c>
      <c r="K8">
        <f t="shared" si="1"/>
        <v>1.0000047966292245</v>
      </c>
      <c r="L8">
        <f t="shared" si="2"/>
        <v>-4.7966292244794317E-6</v>
      </c>
      <c r="M8">
        <f t="shared" si="3"/>
        <v>0.99995416362226441</v>
      </c>
      <c r="N8">
        <f t="shared" si="4"/>
        <v>4.5836377735586353E-5</v>
      </c>
    </row>
    <row r="9" spans="1:14" x14ac:dyDescent="0.25">
      <c r="A9">
        <v>1695.3</v>
      </c>
      <c r="B9">
        <v>463539.72069400002</v>
      </c>
      <c r="C9">
        <f t="shared" si="0"/>
        <v>36.88731893394332</v>
      </c>
      <c r="E9" s="1">
        <v>1695.3</v>
      </c>
      <c r="F9" s="3">
        <v>36.887233999999999</v>
      </c>
      <c r="H9">
        <v>1695.3</v>
      </c>
      <c r="I9">
        <v>36.885512051347199</v>
      </c>
      <c r="K9">
        <f t="shared" si="1"/>
        <v>1.0000023025294691</v>
      </c>
      <c r="L9">
        <f t="shared" si="2"/>
        <v>-2.302529469089265E-6</v>
      </c>
      <c r="M9">
        <f t="shared" si="3"/>
        <v>0.99995331857485437</v>
      </c>
      <c r="N9">
        <f t="shared" si="4"/>
        <v>4.6681425145633781E-5</v>
      </c>
    </row>
    <row r="10" spans="1:14" x14ac:dyDescent="0.25">
      <c r="A10">
        <v>1697.3</v>
      </c>
      <c r="B10">
        <v>463539.72069400002</v>
      </c>
      <c r="C10">
        <f t="shared" si="0"/>
        <v>36.88731893394332</v>
      </c>
      <c r="E10" s="1">
        <v>1697.3</v>
      </c>
      <c r="F10" s="3">
        <v>36.887287000000001</v>
      </c>
      <c r="H10">
        <v>1697.3</v>
      </c>
      <c r="I10">
        <v>36.885527221640402</v>
      </c>
      <c r="K10">
        <f t="shared" si="1"/>
        <v>1.0000008657167798</v>
      </c>
      <c r="L10">
        <f t="shared" si="2"/>
        <v>-8.6571677981872597E-7</v>
      </c>
      <c r="M10">
        <f t="shared" si="3"/>
        <v>0.99995229309329259</v>
      </c>
      <c r="N10">
        <f t="shared" si="4"/>
        <v>4.7706906707412067E-5</v>
      </c>
    </row>
    <row r="11" spans="1:14" x14ac:dyDescent="0.25">
      <c r="A11">
        <v>1699.3</v>
      </c>
      <c r="B11">
        <v>463539.72069400002</v>
      </c>
      <c r="C11">
        <f t="shared" si="0"/>
        <v>36.88731893394332</v>
      </c>
      <c r="E11" s="1">
        <v>1699.3</v>
      </c>
      <c r="F11" s="3">
        <v>36.887225999999998</v>
      </c>
      <c r="H11">
        <v>1699.3</v>
      </c>
      <c r="I11">
        <v>36.885431877050898</v>
      </c>
      <c r="K11">
        <f t="shared" si="1"/>
        <v>1.0000025194072149</v>
      </c>
      <c r="L11">
        <f t="shared" si="2"/>
        <v>-2.5194072148515545E-6</v>
      </c>
      <c r="M11">
        <f t="shared" si="3"/>
        <v>0.99995136194440049</v>
      </c>
      <c r="N11">
        <f t="shared" si="4"/>
        <v>4.8638055599514729E-5</v>
      </c>
    </row>
    <row r="12" spans="1:14" x14ac:dyDescent="0.25">
      <c r="A12">
        <v>1701.3</v>
      </c>
      <c r="B12">
        <v>463539.72069400002</v>
      </c>
      <c r="C12">
        <f t="shared" si="0"/>
        <v>36.88731893394332</v>
      </c>
      <c r="E12" s="1">
        <v>1701.3</v>
      </c>
      <c r="F12" s="3">
        <v>36.887287000000001</v>
      </c>
      <c r="H12">
        <v>1701.3</v>
      </c>
      <c r="I12">
        <v>36.885440815584097</v>
      </c>
      <c r="K12">
        <f t="shared" si="1"/>
        <v>1.0000008657167798</v>
      </c>
      <c r="L12">
        <f t="shared" si="2"/>
        <v>-8.6571677981872597E-7</v>
      </c>
      <c r="M12">
        <f t="shared" si="3"/>
        <v>0.99994995065872139</v>
      </c>
      <c r="N12">
        <f t="shared" si="4"/>
        <v>5.0049341278612935E-5</v>
      </c>
    </row>
    <row r="13" spans="1:14" x14ac:dyDescent="0.25">
      <c r="A13">
        <v>1703.3</v>
      </c>
      <c r="B13">
        <v>463539.72069400002</v>
      </c>
      <c r="C13">
        <f t="shared" si="0"/>
        <v>36.88731893394332</v>
      </c>
      <c r="E13" s="1">
        <v>1703.3</v>
      </c>
      <c r="F13" s="3">
        <v>36.887248999999997</v>
      </c>
      <c r="H13">
        <v>1703.3</v>
      </c>
      <c r="I13">
        <v>36.885454575142099</v>
      </c>
      <c r="K13">
        <f t="shared" si="1"/>
        <v>1.0000018958839496</v>
      </c>
      <c r="L13">
        <f t="shared" si="2"/>
        <v>-1.8958839496097113E-6</v>
      </c>
      <c r="M13">
        <f t="shared" si="3"/>
        <v>0.99995135379008881</v>
      </c>
      <c r="N13">
        <f t="shared" si="4"/>
        <v>4.8646209911185068E-5</v>
      </c>
    </row>
    <row r="14" spans="1:14" x14ac:dyDescent="0.25">
      <c r="A14">
        <v>1705.3</v>
      </c>
      <c r="B14">
        <v>463539.72069400002</v>
      </c>
      <c r="C14">
        <f t="shared" si="0"/>
        <v>36.88731893394332</v>
      </c>
      <c r="E14" s="1">
        <v>1705.3</v>
      </c>
      <c r="F14" s="3">
        <v>36.887245</v>
      </c>
      <c r="H14">
        <v>1705.3</v>
      </c>
      <c r="I14">
        <v>36.885516310102602</v>
      </c>
      <c r="K14">
        <f t="shared" si="1"/>
        <v>1.0000020043227225</v>
      </c>
      <c r="L14">
        <f t="shared" si="2"/>
        <v>-2.0043227224597615E-6</v>
      </c>
      <c r="M14">
        <f t="shared" si="3"/>
        <v>0.9999531358360485</v>
      </c>
      <c r="N14">
        <f t="shared" si="4"/>
        <v>4.6864163951498838E-5</v>
      </c>
    </row>
    <row r="15" spans="1:14" x14ac:dyDescent="0.25">
      <c r="A15">
        <v>1707.3</v>
      </c>
      <c r="B15">
        <v>463539.72069400002</v>
      </c>
      <c r="C15">
        <f t="shared" si="0"/>
        <v>36.88731893394332</v>
      </c>
      <c r="E15" s="1">
        <v>1707.3</v>
      </c>
      <c r="F15" s="3">
        <v>36.887318</v>
      </c>
      <c r="H15">
        <v>1707.3</v>
      </c>
      <c r="I15">
        <v>36.885534192044602</v>
      </c>
      <c r="K15">
        <f t="shared" si="1"/>
        <v>1.0000000253188188</v>
      </c>
      <c r="L15">
        <f t="shared" si="2"/>
        <v>-2.5318818819286548E-8</v>
      </c>
      <c r="M15">
        <f t="shared" si="3"/>
        <v>0.99995164170093909</v>
      </c>
      <c r="N15">
        <f t="shared" si="4"/>
        <v>4.8358299060913268E-5</v>
      </c>
    </row>
    <row r="16" spans="1:14" x14ac:dyDescent="0.25">
      <c r="A16">
        <v>1709.3</v>
      </c>
      <c r="B16">
        <v>463539.72069400002</v>
      </c>
      <c r="C16">
        <f t="shared" si="0"/>
        <v>36.88731893394332</v>
      </c>
      <c r="E16" s="1">
        <v>1709.3</v>
      </c>
      <c r="F16" s="3">
        <v>36.887241000000003</v>
      </c>
      <c r="H16">
        <v>1709.3</v>
      </c>
      <c r="I16">
        <v>36.885441690516203</v>
      </c>
      <c r="K16">
        <f t="shared" si="1"/>
        <v>1.0000021127615186</v>
      </c>
      <c r="L16">
        <f t="shared" si="2"/>
        <v>-2.1127615186244952E-6</v>
      </c>
      <c r="M16">
        <f t="shared" si="3"/>
        <v>0.99995122135906556</v>
      </c>
      <c r="N16">
        <f t="shared" si="4"/>
        <v>4.8778640934443729E-5</v>
      </c>
    </row>
    <row r="17" spans="1:14" x14ac:dyDescent="0.25">
      <c r="A17">
        <v>1711.3</v>
      </c>
      <c r="B17">
        <v>463539.72069400002</v>
      </c>
      <c r="C17">
        <f t="shared" si="0"/>
        <v>36.88731893394332</v>
      </c>
      <c r="E17" s="1">
        <v>1711.3</v>
      </c>
      <c r="F17" s="3">
        <v>36.887321</v>
      </c>
      <c r="H17">
        <v>1711.3</v>
      </c>
      <c r="I17">
        <v>36.885383301506501</v>
      </c>
      <c r="K17">
        <f t="shared" si="1"/>
        <v>0.99999994399005876</v>
      </c>
      <c r="L17">
        <f t="shared" si="2"/>
        <v>5.6009941240553474E-8</v>
      </c>
      <c r="M17">
        <f t="shared" si="3"/>
        <v>0.99994746979609883</v>
      </c>
      <c r="N17">
        <f t="shared" si="4"/>
        <v>5.2530203901168804E-5</v>
      </c>
    </row>
    <row r="18" spans="1:14" x14ac:dyDescent="0.25">
      <c r="A18">
        <v>1713.3</v>
      </c>
      <c r="B18">
        <v>463539.72069400002</v>
      </c>
      <c r="C18">
        <f t="shared" si="0"/>
        <v>36.88731893394332</v>
      </c>
      <c r="E18" s="1">
        <v>1713.3</v>
      </c>
      <c r="F18" s="3">
        <v>36.887332999999998</v>
      </c>
      <c r="H18">
        <v>1713.3</v>
      </c>
      <c r="I18">
        <v>36.8854585656522</v>
      </c>
      <c r="K18">
        <f t="shared" si="1"/>
        <v>0.99999961867515119</v>
      </c>
      <c r="L18">
        <f t="shared" si="2"/>
        <v>3.8132484880826212E-7</v>
      </c>
      <c r="M18">
        <f t="shared" si="3"/>
        <v>0.99994918487742668</v>
      </c>
      <c r="N18">
        <f t="shared" si="4"/>
        <v>5.0815122573322213E-5</v>
      </c>
    </row>
    <row r="19" spans="1:14" x14ac:dyDescent="0.25">
      <c r="A19">
        <v>1715.3</v>
      </c>
      <c r="B19">
        <v>463539.72069400002</v>
      </c>
      <c r="C19">
        <f t="shared" si="0"/>
        <v>36.88731893394332</v>
      </c>
      <c r="E19" s="1">
        <v>1715.3</v>
      </c>
      <c r="F19" s="3">
        <v>36.887332999999998</v>
      </c>
      <c r="H19">
        <v>1715.3</v>
      </c>
      <c r="I19">
        <v>36.885521278078897</v>
      </c>
      <c r="K19">
        <f t="shared" si="1"/>
        <v>0.99999961867515119</v>
      </c>
      <c r="L19">
        <f t="shared" si="2"/>
        <v>3.8132484880826212E-7</v>
      </c>
      <c r="M19">
        <f t="shared" si="3"/>
        <v>0.99995088498479678</v>
      </c>
      <c r="N19">
        <f t="shared" si="4"/>
        <v>4.9115015203216039E-5</v>
      </c>
    </row>
    <row r="20" spans="1:14" x14ac:dyDescent="0.25">
      <c r="A20">
        <v>1717.3</v>
      </c>
      <c r="B20">
        <v>463539.72069400002</v>
      </c>
      <c r="C20">
        <f t="shared" si="0"/>
        <v>36.88731893394332</v>
      </c>
      <c r="E20" s="1">
        <v>1717.3</v>
      </c>
      <c r="F20" s="3">
        <v>36.887298999999999</v>
      </c>
      <c r="H20">
        <v>1717.3</v>
      </c>
      <c r="I20">
        <v>36.8854815478267</v>
      </c>
      <c r="K20">
        <f t="shared" si="1"/>
        <v>1.0000005404012726</v>
      </c>
      <c r="L20">
        <f t="shared" si="2"/>
        <v>-5.4040127261956172E-7</v>
      </c>
      <c r="M20">
        <f t="shared" si="3"/>
        <v>0.99995072959466891</v>
      </c>
      <c r="N20">
        <f t="shared" si="4"/>
        <v>4.9270405331092171E-5</v>
      </c>
    </row>
    <row r="21" spans="1:14" x14ac:dyDescent="0.25">
      <c r="A21">
        <v>1719.3</v>
      </c>
      <c r="B21">
        <v>463539.72069400002</v>
      </c>
      <c r="C21">
        <f t="shared" si="0"/>
        <v>36.88731893394332</v>
      </c>
      <c r="E21" s="1">
        <v>1719.3</v>
      </c>
      <c r="F21" s="3">
        <v>36.887324999999997</v>
      </c>
      <c r="H21">
        <v>1719.3</v>
      </c>
      <c r="I21">
        <v>36.885452171488602</v>
      </c>
      <c r="K21">
        <f t="shared" si="1"/>
        <v>0.99999983555173277</v>
      </c>
      <c r="L21">
        <f t="shared" si="2"/>
        <v>1.6444826722583628E-7</v>
      </c>
      <c r="M21">
        <f t="shared" si="3"/>
        <v>0.99994922839996137</v>
      </c>
      <c r="N21">
        <f t="shared" si="4"/>
        <v>5.0771600038634901E-5</v>
      </c>
    </row>
    <row r="22" spans="1:14" x14ac:dyDescent="0.25">
      <c r="A22">
        <v>1721.3</v>
      </c>
      <c r="B22">
        <v>463539.72069400002</v>
      </c>
      <c r="C22">
        <f t="shared" si="0"/>
        <v>36.88731893394332</v>
      </c>
      <c r="E22" s="1">
        <v>1721.3</v>
      </c>
      <c r="F22" s="3">
        <v>36.887321</v>
      </c>
      <c r="H22">
        <v>1721.3</v>
      </c>
      <c r="I22">
        <v>36.885388463028001</v>
      </c>
      <c r="K22">
        <f t="shared" si="1"/>
        <v>0.99999994399005876</v>
      </c>
      <c r="L22">
        <f t="shared" si="2"/>
        <v>5.6009941240553474E-8</v>
      </c>
      <c r="M22">
        <f t="shared" si="3"/>
        <v>0.9999476097228096</v>
      </c>
      <c r="N22">
        <f t="shared" si="4"/>
        <v>5.2390277190395018E-5</v>
      </c>
    </row>
    <row r="23" spans="1:14" x14ac:dyDescent="0.25">
      <c r="A23">
        <v>1723.3</v>
      </c>
      <c r="B23">
        <v>463539.72069400002</v>
      </c>
      <c r="C23">
        <f t="shared" si="0"/>
        <v>36.88731893394332</v>
      </c>
      <c r="E23" s="1">
        <v>1723.3</v>
      </c>
      <c r="F23" s="3">
        <v>36.887332999999998</v>
      </c>
      <c r="H23">
        <v>1723.3</v>
      </c>
      <c r="I23">
        <v>36.885463253297402</v>
      </c>
      <c r="K23">
        <f t="shared" si="1"/>
        <v>0.99999961867515119</v>
      </c>
      <c r="L23">
        <f t="shared" si="2"/>
        <v>3.8132484880826212E-7</v>
      </c>
      <c r="M23">
        <f t="shared" si="3"/>
        <v>0.99994931195750592</v>
      </c>
      <c r="N23">
        <f t="shared" si="4"/>
        <v>5.0688042494084762E-5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 1 full 0</vt:lpstr>
      <vt:lpstr>Ex 1 full 1</vt:lpstr>
      <vt:lpstr>Ex 1 Gauss 0</vt:lpstr>
      <vt:lpstr>Ex 1 Gauss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ERYA-Profiling</dc:creator>
  <cp:lastModifiedBy>Nuno Pessoa Barradas</cp:lastModifiedBy>
  <cp:revision>0</cp:revision>
  <dcterms:created xsi:type="dcterms:W3CDTF">2024-01-08T15:14:35Z</dcterms:created>
  <dcterms:modified xsi:type="dcterms:W3CDTF">2024-04-05T14:58:41Z</dcterms:modified>
</cp:coreProperties>
</file>