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8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4.xml" ContentType="application/vnd.openxmlformats-officedocument.drawing+xml"/>
  <Override PartName="/xl/charts/chart9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10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aeacloud-my.sharepoint.com/personal/p_dimitriou_iaea_org/Documents/Desktop/PIGE_codes-II/Exercises/Results/PIGEcodes-II-round2/"/>
    </mc:Choice>
  </mc:AlternateContent>
  <xr:revisionPtr revIDLastSave="442" documentId="8_{6A8A3CED-35F5-4236-823F-B9F8DD5B2C8A}" xr6:coauthVersionLast="47" xr6:coauthVersionMax="47" xr10:uidLastSave="{361B1FA6-284B-4D4F-A2D6-FEFCA373910C}"/>
  <bookViews>
    <workbookView xWindow="28680" yWindow="-120" windowWidth="29040" windowHeight="17520" tabRatio="500" xr2:uid="{00000000-000D-0000-FFFF-FFFF00000000}"/>
  </bookViews>
  <sheets>
    <sheet name="Ex 5 Full 0" sheetId="1" r:id="rId1"/>
    <sheet name="Ex 5 Full 1" sheetId="2" r:id="rId2"/>
    <sheet name="Ex 5 Gauss 0" sheetId="3" r:id="rId3"/>
    <sheet name="Ex 5 Gauss 1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Z4" i="4" l="1"/>
  <c r="Z5" i="4"/>
  <c r="Z6" i="4"/>
  <c r="Z7" i="4"/>
  <c r="Z8" i="4"/>
  <c r="Z9" i="4"/>
  <c r="Z10" i="4"/>
  <c r="Z11" i="4"/>
  <c r="Z12" i="4"/>
  <c r="Z13" i="4"/>
  <c r="Z14" i="4"/>
  <c r="Z15" i="4"/>
  <c r="Z16" i="4"/>
  <c r="Z17" i="4"/>
  <c r="Z18" i="4"/>
  <c r="Z19" i="4"/>
  <c r="Z20" i="4"/>
  <c r="Z21" i="4"/>
  <c r="Z22" i="4"/>
  <c r="Z23" i="4"/>
  <c r="Z3" i="4"/>
  <c r="AB4" i="3"/>
  <c r="AB5" i="3"/>
  <c r="AB6" i="3"/>
  <c r="AB7" i="3"/>
  <c r="AB8" i="3"/>
  <c r="AB9" i="3"/>
  <c r="AB10" i="3"/>
  <c r="AB11" i="3"/>
  <c r="AB12" i="3"/>
  <c r="AB13" i="3"/>
  <c r="AB14" i="3"/>
  <c r="AB15" i="3"/>
  <c r="AB16" i="3"/>
  <c r="AB17" i="3"/>
  <c r="AB18" i="3"/>
  <c r="AB19" i="3"/>
  <c r="AB20" i="3"/>
  <c r="AB21" i="3"/>
  <c r="AB22" i="3"/>
  <c r="AB23" i="3"/>
  <c r="AB3" i="3"/>
  <c r="N4" i="4"/>
  <c r="O4" i="4" s="1"/>
  <c r="N5" i="4"/>
  <c r="O5" i="4" s="1"/>
  <c r="N6" i="4"/>
  <c r="O6" i="4" s="1"/>
  <c r="N7" i="4"/>
  <c r="O7" i="4" s="1"/>
  <c r="N8" i="4"/>
  <c r="O8" i="4" s="1"/>
  <c r="N9" i="4"/>
  <c r="O9" i="4" s="1"/>
  <c r="N10" i="4"/>
  <c r="O10" i="4" s="1"/>
  <c r="N11" i="4"/>
  <c r="O11" i="4" s="1"/>
  <c r="N12" i="4"/>
  <c r="O12" i="4" s="1"/>
  <c r="N13" i="4"/>
  <c r="O13" i="4" s="1"/>
  <c r="N14" i="4"/>
  <c r="O14" i="4" s="1"/>
  <c r="N15" i="4"/>
  <c r="O15" i="4" s="1"/>
  <c r="N16" i="4"/>
  <c r="O16" i="4" s="1"/>
  <c r="N17" i="4"/>
  <c r="O17" i="4" s="1"/>
  <c r="N18" i="4"/>
  <c r="O18" i="4" s="1"/>
  <c r="N19" i="4"/>
  <c r="O19" i="4" s="1"/>
  <c r="N20" i="4"/>
  <c r="O20" i="4" s="1"/>
  <c r="N21" i="4"/>
  <c r="O21" i="4" s="1"/>
  <c r="N22" i="4"/>
  <c r="O22" i="4" s="1"/>
  <c r="N23" i="4"/>
  <c r="O23" i="4" s="1"/>
  <c r="N3" i="4"/>
  <c r="O3" i="4" s="1"/>
  <c r="L9" i="4"/>
  <c r="M9" i="4" s="1"/>
  <c r="L17" i="4"/>
  <c r="M17" i="4" s="1"/>
  <c r="L18" i="4"/>
  <c r="M18" i="4" s="1"/>
  <c r="D23" i="4"/>
  <c r="L23" i="4" s="1"/>
  <c r="M23" i="4" s="1"/>
  <c r="D22" i="4"/>
  <c r="L22" i="4" s="1"/>
  <c r="M22" i="4" s="1"/>
  <c r="D21" i="4"/>
  <c r="L21" i="4" s="1"/>
  <c r="M21" i="4" s="1"/>
  <c r="D20" i="4"/>
  <c r="L20" i="4" s="1"/>
  <c r="M20" i="4" s="1"/>
  <c r="D19" i="4"/>
  <c r="L19" i="4" s="1"/>
  <c r="M19" i="4" s="1"/>
  <c r="D18" i="4"/>
  <c r="D17" i="4"/>
  <c r="D16" i="4"/>
  <c r="L16" i="4" s="1"/>
  <c r="M16" i="4" s="1"/>
  <c r="D15" i="4"/>
  <c r="L15" i="4" s="1"/>
  <c r="M15" i="4" s="1"/>
  <c r="D14" i="4"/>
  <c r="L14" i="4" s="1"/>
  <c r="M14" i="4" s="1"/>
  <c r="D13" i="4"/>
  <c r="L13" i="4" s="1"/>
  <c r="M13" i="4" s="1"/>
  <c r="D12" i="4"/>
  <c r="L12" i="4" s="1"/>
  <c r="M12" i="4" s="1"/>
  <c r="D11" i="4"/>
  <c r="L11" i="4" s="1"/>
  <c r="M11" i="4" s="1"/>
  <c r="D10" i="4"/>
  <c r="L10" i="4" s="1"/>
  <c r="M10" i="4" s="1"/>
  <c r="D9" i="4"/>
  <c r="D8" i="4"/>
  <c r="L8" i="4" s="1"/>
  <c r="M8" i="4" s="1"/>
  <c r="D7" i="4"/>
  <c r="L7" i="4" s="1"/>
  <c r="M7" i="4" s="1"/>
  <c r="D6" i="4"/>
  <c r="L6" i="4" s="1"/>
  <c r="M6" i="4" s="1"/>
  <c r="D5" i="4"/>
  <c r="L5" i="4" s="1"/>
  <c r="M5" i="4" s="1"/>
  <c r="D4" i="4"/>
  <c r="L4" i="4" s="1"/>
  <c r="M4" i="4" s="1"/>
  <c r="D3" i="4"/>
  <c r="L3" i="4" s="1"/>
  <c r="M3" i="4" s="1"/>
  <c r="N4" i="3"/>
  <c r="O4" i="3" s="1"/>
  <c r="N5" i="3"/>
  <c r="O5" i="3" s="1"/>
  <c r="N6" i="3"/>
  <c r="O6" i="3" s="1"/>
  <c r="N7" i="3"/>
  <c r="O7" i="3" s="1"/>
  <c r="N8" i="3"/>
  <c r="O8" i="3" s="1"/>
  <c r="N9" i="3"/>
  <c r="O9" i="3" s="1"/>
  <c r="N10" i="3"/>
  <c r="O10" i="3" s="1"/>
  <c r="N11" i="3"/>
  <c r="O11" i="3" s="1"/>
  <c r="N12" i="3"/>
  <c r="O12" i="3" s="1"/>
  <c r="N13" i="3"/>
  <c r="O13" i="3" s="1"/>
  <c r="N14" i="3"/>
  <c r="O14" i="3" s="1"/>
  <c r="N15" i="3"/>
  <c r="O15" i="3" s="1"/>
  <c r="N16" i="3"/>
  <c r="O16" i="3" s="1"/>
  <c r="N17" i="3"/>
  <c r="O17" i="3" s="1"/>
  <c r="N18" i="3"/>
  <c r="O18" i="3" s="1"/>
  <c r="N19" i="3"/>
  <c r="O19" i="3" s="1"/>
  <c r="N20" i="3"/>
  <c r="O20" i="3" s="1"/>
  <c r="N21" i="3"/>
  <c r="O21" i="3" s="1"/>
  <c r="N22" i="3"/>
  <c r="O22" i="3" s="1"/>
  <c r="N23" i="3"/>
  <c r="O23" i="3" s="1"/>
  <c r="N3" i="3"/>
  <c r="O3" i="3" s="1"/>
  <c r="L18" i="3"/>
  <c r="M18" i="3" s="1"/>
  <c r="L19" i="3"/>
  <c r="M19" i="3" s="1"/>
  <c r="D23" i="3"/>
  <c r="L23" i="3" s="1"/>
  <c r="M23" i="3" s="1"/>
  <c r="D22" i="3"/>
  <c r="L22" i="3" s="1"/>
  <c r="M22" i="3" s="1"/>
  <c r="D21" i="3"/>
  <c r="L21" i="3" s="1"/>
  <c r="M21" i="3" s="1"/>
  <c r="D20" i="3"/>
  <c r="L20" i="3" s="1"/>
  <c r="M20" i="3" s="1"/>
  <c r="D19" i="3"/>
  <c r="D18" i="3"/>
  <c r="D17" i="3"/>
  <c r="L17" i="3" s="1"/>
  <c r="M17" i="3" s="1"/>
  <c r="D16" i="3"/>
  <c r="L16" i="3" s="1"/>
  <c r="M16" i="3" s="1"/>
  <c r="D15" i="3"/>
  <c r="L15" i="3" s="1"/>
  <c r="M15" i="3" s="1"/>
  <c r="D14" i="3"/>
  <c r="L14" i="3" s="1"/>
  <c r="M14" i="3" s="1"/>
  <c r="D13" i="3"/>
  <c r="L13" i="3" s="1"/>
  <c r="M13" i="3" s="1"/>
  <c r="D12" i="3"/>
  <c r="L12" i="3" s="1"/>
  <c r="M12" i="3" s="1"/>
  <c r="D11" i="3"/>
  <c r="L11" i="3" s="1"/>
  <c r="M11" i="3" s="1"/>
  <c r="D10" i="3"/>
  <c r="L10" i="3" s="1"/>
  <c r="M10" i="3" s="1"/>
  <c r="D9" i="3"/>
  <c r="L9" i="3" s="1"/>
  <c r="M9" i="3" s="1"/>
  <c r="D8" i="3"/>
  <c r="L8" i="3" s="1"/>
  <c r="M8" i="3" s="1"/>
  <c r="D7" i="3"/>
  <c r="L7" i="3" s="1"/>
  <c r="M7" i="3" s="1"/>
  <c r="D6" i="3"/>
  <c r="L6" i="3" s="1"/>
  <c r="M6" i="3" s="1"/>
  <c r="D5" i="3"/>
  <c r="L5" i="3" s="1"/>
  <c r="M5" i="3" s="1"/>
  <c r="D4" i="3"/>
  <c r="L4" i="3" s="1"/>
  <c r="M4" i="3" s="1"/>
  <c r="D3" i="3"/>
  <c r="L3" i="3" s="1"/>
  <c r="M3" i="3" s="1"/>
  <c r="M4" i="2"/>
  <c r="N4" i="2" s="1"/>
  <c r="M5" i="2"/>
  <c r="N5" i="2" s="1"/>
  <c r="M6" i="2"/>
  <c r="N6" i="2" s="1"/>
  <c r="M7" i="2"/>
  <c r="N7" i="2" s="1"/>
  <c r="M8" i="2"/>
  <c r="N8" i="2" s="1"/>
  <c r="M9" i="2"/>
  <c r="N9" i="2" s="1"/>
  <c r="M10" i="2"/>
  <c r="N10" i="2" s="1"/>
  <c r="M11" i="2"/>
  <c r="N11" i="2" s="1"/>
  <c r="M12" i="2"/>
  <c r="N12" i="2" s="1"/>
  <c r="M13" i="2"/>
  <c r="N13" i="2" s="1"/>
  <c r="M14" i="2"/>
  <c r="N14" i="2" s="1"/>
  <c r="M15" i="2"/>
  <c r="N15" i="2" s="1"/>
  <c r="M16" i="2"/>
  <c r="N16" i="2" s="1"/>
  <c r="M17" i="2"/>
  <c r="N17" i="2" s="1"/>
  <c r="M18" i="2"/>
  <c r="N18" i="2" s="1"/>
  <c r="M19" i="2"/>
  <c r="N19" i="2" s="1"/>
  <c r="M20" i="2"/>
  <c r="N20" i="2" s="1"/>
  <c r="M21" i="2"/>
  <c r="N21" i="2" s="1"/>
  <c r="M22" i="2"/>
  <c r="N22" i="2" s="1"/>
  <c r="M23" i="2"/>
  <c r="N23" i="2" s="1"/>
  <c r="M3" i="2"/>
  <c r="N3" i="2" s="1"/>
  <c r="K7" i="2"/>
  <c r="L7" i="2" s="1"/>
  <c r="K10" i="2"/>
  <c r="L10" i="2" s="1"/>
  <c r="K11" i="2"/>
  <c r="L11" i="2" s="1"/>
  <c r="K15" i="2"/>
  <c r="L15" i="2" s="1"/>
  <c r="K18" i="2"/>
  <c r="L18" i="2" s="1"/>
  <c r="K19" i="2"/>
  <c r="L19" i="2" s="1"/>
  <c r="K23" i="2"/>
  <c r="L23" i="2" s="1"/>
  <c r="K22" i="2"/>
  <c r="L22" i="2" s="1"/>
  <c r="K21" i="2"/>
  <c r="L21" i="2" s="1"/>
  <c r="K20" i="2"/>
  <c r="L20" i="2" s="1"/>
  <c r="K17" i="2"/>
  <c r="L17" i="2" s="1"/>
  <c r="K16" i="2"/>
  <c r="L16" i="2" s="1"/>
  <c r="K14" i="2"/>
  <c r="L14" i="2" s="1"/>
  <c r="K13" i="2"/>
  <c r="L13" i="2" s="1"/>
  <c r="K12" i="2"/>
  <c r="L12" i="2" s="1"/>
  <c r="K9" i="2"/>
  <c r="L9" i="2" s="1"/>
  <c r="K8" i="2"/>
  <c r="L8" i="2" s="1"/>
  <c r="K6" i="2"/>
  <c r="L6" i="2" s="1"/>
  <c r="K5" i="2"/>
  <c r="L5" i="2" s="1"/>
  <c r="K4" i="2"/>
  <c r="L4" i="2" s="1"/>
  <c r="K3" i="2"/>
  <c r="L3" i="2" s="1"/>
  <c r="M4" i="1"/>
  <c r="N4" i="1" s="1"/>
  <c r="M5" i="1"/>
  <c r="N5" i="1" s="1"/>
  <c r="M6" i="1"/>
  <c r="N6" i="1" s="1"/>
  <c r="M7" i="1"/>
  <c r="N7" i="1" s="1"/>
  <c r="M8" i="1"/>
  <c r="N8" i="1" s="1"/>
  <c r="M9" i="1"/>
  <c r="N9" i="1" s="1"/>
  <c r="M10" i="1"/>
  <c r="N10" i="1" s="1"/>
  <c r="M11" i="1"/>
  <c r="N11" i="1" s="1"/>
  <c r="M12" i="1"/>
  <c r="N12" i="1" s="1"/>
  <c r="M13" i="1"/>
  <c r="N13" i="1" s="1"/>
  <c r="M14" i="1"/>
  <c r="N14" i="1" s="1"/>
  <c r="M15" i="1"/>
  <c r="N15" i="1" s="1"/>
  <c r="M16" i="1"/>
  <c r="N16" i="1" s="1"/>
  <c r="M17" i="1"/>
  <c r="N17" i="1" s="1"/>
  <c r="M18" i="1"/>
  <c r="N18" i="1" s="1"/>
  <c r="M19" i="1"/>
  <c r="N19" i="1" s="1"/>
  <c r="M20" i="1"/>
  <c r="N20" i="1" s="1"/>
  <c r="M21" i="1"/>
  <c r="N21" i="1" s="1"/>
  <c r="M22" i="1"/>
  <c r="N22" i="1" s="1"/>
  <c r="M23" i="1"/>
  <c r="N23" i="1" s="1"/>
  <c r="M3" i="1"/>
  <c r="N3" i="1" s="1"/>
  <c r="K5" i="1"/>
  <c r="L5" i="1" s="1"/>
  <c r="K7" i="1"/>
  <c r="L7" i="1" s="1"/>
  <c r="K10" i="1"/>
  <c r="L10" i="1" s="1"/>
  <c r="K13" i="1"/>
  <c r="L13" i="1" s="1"/>
  <c r="K15" i="1"/>
  <c r="L15" i="1" s="1"/>
  <c r="K18" i="1"/>
  <c r="L18" i="1" s="1"/>
  <c r="K21" i="1"/>
  <c r="L21" i="1" s="1"/>
  <c r="K23" i="1"/>
  <c r="L23" i="1" s="1"/>
  <c r="K22" i="1"/>
  <c r="L22" i="1" s="1"/>
  <c r="K20" i="1"/>
  <c r="L20" i="1" s="1"/>
  <c r="K19" i="1"/>
  <c r="L19" i="1" s="1"/>
  <c r="K17" i="1"/>
  <c r="L17" i="1" s="1"/>
  <c r="K16" i="1"/>
  <c r="L16" i="1" s="1"/>
  <c r="K14" i="1"/>
  <c r="L14" i="1" s="1"/>
  <c r="K12" i="1"/>
  <c r="L12" i="1" s="1"/>
  <c r="K11" i="1"/>
  <c r="L11" i="1" s="1"/>
  <c r="K9" i="1"/>
  <c r="L9" i="1" s="1"/>
  <c r="K8" i="1"/>
  <c r="L8" i="1" s="1"/>
  <c r="K6" i="1"/>
  <c r="L6" i="1" s="1"/>
  <c r="K4" i="1"/>
  <c r="L4" i="1" s="1"/>
  <c r="K3" i="1"/>
  <c r="L3" i="1" s="1"/>
</calcChain>
</file>

<file path=xl/sharedStrings.xml><?xml version="1.0" encoding="utf-8"?>
<sst xmlns="http://schemas.openxmlformats.org/spreadsheetml/2006/main" count="58" uniqueCount="15">
  <si>
    <t>Energy (keV)</t>
  </si>
  <si>
    <t>27Al (844 keV)</t>
  </si>
  <si>
    <t>28Si (1779 keV)</t>
  </si>
  <si>
    <t>Count/uC/msr</t>
  </si>
  <si>
    <t>ERYA</t>
  </si>
  <si>
    <t>NDF</t>
  </si>
  <si>
    <t>SMNRA</t>
  </si>
  <si>
    <t>ERYA/NDF</t>
  </si>
  <si>
    <t>REL</t>
  </si>
  <si>
    <t>SMNRA/NDF</t>
  </si>
  <si>
    <t>SMNRA--asym</t>
  </si>
  <si>
    <t>SMNRA-asym</t>
  </si>
  <si>
    <t>VAVILOV</t>
  </si>
  <si>
    <t>YANG</t>
  </si>
  <si>
    <t>ENERGY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</si>
</sst>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2" x14ac:knownFonts="1">
    <font>
      <sz val="12"/>
      <name val="Calibri"/>
      <family val="2"/>
      <charset val="1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2" fontId="0" fillId="0" borderId="0" xfId="0" applyNumberFormat="1"/>
    <xf numFmtId="164" fontId="0" fillId="0" borderId="0" xfId="0" applyNumberFormat="1"/>
    <xf numFmtId="0" fontId="1" fillId="0" borderId="0" xfId="1" applyAlignment="1">
      <alignment horizontal="center"/>
    </xf>
    <xf numFmtId="0" fontId="1" fillId="0" borderId="0" xfId="1"/>
  </cellXfs>
  <cellStyles count="2">
    <cellStyle name="Normal" xfId="0" builtinId="0"/>
    <cellStyle name="Normal 2" xfId="1" xr:uid="{379617DF-B082-4A66-BBB3-652643433D2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800"/>
              <a:t>Ex 5 Full </a:t>
            </a:r>
            <a:r>
              <a:rPr lang="el-GR" sz="1800"/>
              <a:t>Δ</a:t>
            </a:r>
            <a:r>
              <a:rPr lang="en-GB" sz="1800"/>
              <a:t>E=0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ERYA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'Ex 5 Full 0'!$D$3:$D$23</c:f>
              <c:numCache>
                <c:formatCode>0.00</c:formatCode>
                <c:ptCount val="21"/>
                <c:pt idx="0">
                  <c:v>2000</c:v>
                </c:pt>
                <c:pt idx="1">
                  <c:v>2002</c:v>
                </c:pt>
                <c:pt idx="2">
                  <c:v>2004</c:v>
                </c:pt>
                <c:pt idx="3">
                  <c:v>2006</c:v>
                </c:pt>
                <c:pt idx="4">
                  <c:v>2008</c:v>
                </c:pt>
                <c:pt idx="5">
                  <c:v>2010</c:v>
                </c:pt>
                <c:pt idx="6">
                  <c:v>2012</c:v>
                </c:pt>
                <c:pt idx="7">
                  <c:v>2014</c:v>
                </c:pt>
                <c:pt idx="8">
                  <c:v>2016</c:v>
                </c:pt>
                <c:pt idx="9">
                  <c:v>2018</c:v>
                </c:pt>
                <c:pt idx="10">
                  <c:v>2020</c:v>
                </c:pt>
                <c:pt idx="11">
                  <c:v>2022</c:v>
                </c:pt>
                <c:pt idx="12">
                  <c:v>2024</c:v>
                </c:pt>
                <c:pt idx="13">
                  <c:v>2026</c:v>
                </c:pt>
                <c:pt idx="14">
                  <c:v>2028</c:v>
                </c:pt>
                <c:pt idx="15">
                  <c:v>2030</c:v>
                </c:pt>
                <c:pt idx="16">
                  <c:v>2032</c:v>
                </c:pt>
                <c:pt idx="17">
                  <c:v>2034</c:v>
                </c:pt>
                <c:pt idx="18">
                  <c:v>2036</c:v>
                </c:pt>
                <c:pt idx="19">
                  <c:v>2038</c:v>
                </c:pt>
                <c:pt idx="20">
                  <c:v>2040</c:v>
                </c:pt>
              </c:numCache>
            </c:numRef>
          </c:xVal>
          <c:yVal>
            <c:numRef>
              <c:f>'Ex 5 Full 0'!$B$3:$B$23</c:f>
              <c:numCache>
                <c:formatCode>General</c:formatCode>
                <c:ptCount val="21"/>
                <c:pt idx="0">
                  <c:v>36.887318999999998</c:v>
                </c:pt>
                <c:pt idx="1">
                  <c:v>36.887318999999998</c:v>
                </c:pt>
                <c:pt idx="2">
                  <c:v>36.887318999999998</c:v>
                </c:pt>
                <c:pt idx="3">
                  <c:v>36.887318999999998</c:v>
                </c:pt>
                <c:pt idx="4">
                  <c:v>36.887318999999998</c:v>
                </c:pt>
                <c:pt idx="5">
                  <c:v>36.887318999999998</c:v>
                </c:pt>
                <c:pt idx="6">
                  <c:v>36.887318999999998</c:v>
                </c:pt>
                <c:pt idx="7">
                  <c:v>36.887318999999998</c:v>
                </c:pt>
                <c:pt idx="8">
                  <c:v>36.887318999999998</c:v>
                </c:pt>
                <c:pt idx="9">
                  <c:v>36.887318999999998</c:v>
                </c:pt>
                <c:pt idx="10">
                  <c:v>36.887318999999998</c:v>
                </c:pt>
                <c:pt idx="11">
                  <c:v>36.887318999999998</c:v>
                </c:pt>
                <c:pt idx="12">
                  <c:v>36.887318999999998</c:v>
                </c:pt>
                <c:pt idx="13">
                  <c:v>36.887318999999998</c:v>
                </c:pt>
                <c:pt idx="14">
                  <c:v>36.887318999999998</c:v>
                </c:pt>
                <c:pt idx="15">
                  <c:v>36.887318999999998</c:v>
                </c:pt>
                <c:pt idx="16">
                  <c:v>36.887318999999998</c:v>
                </c:pt>
                <c:pt idx="17">
                  <c:v>36.887318999999998</c:v>
                </c:pt>
                <c:pt idx="18">
                  <c:v>36.887318999999998</c:v>
                </c:pt>
                <c:pt idx="19">
                  <c:v>36.887318999999998</c:v>
                </c:pt>
                <c:pt idx="20">
                  <c:v>36.887318999999998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DCF-42BC-9EF7-BEC0DA330439}"/>
            </c:ext>
          </c:extLst>
        </c:ser>
        <c:ser>
          <c:idx val="1"/>
          <c:order val="1"/>
          <c:tx>
            <c:v>NDF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'Ex 5 Full 0'!$D$3:$D$23</c:f>
              <c:numCache>
                <c:formatCode>0.00</c:formatCode>
                <c:ptCount val="21"/>
                <c:pt idx="0">
                  <c:v>2000</c:v>
                </c:pt>
                <c:pt idx="1">
                  <c:v>2002</c:v>
                </c:pt>
                <c:pt idx="2">
                  <c:v>2004</c:v>
                </c:pt>
                <c:pt idx="3">
                  <c:v>2006</c:v>
                </c:pt>
                <c:pt idx="4">
                  <c:v>2008</c:v>
                </c:pt>
                <c:pt idx="5">
                  <c:v>2010</c:v>
                </c:pt>
                <c:pt idx="6">
                  <c:v>2012</c:v>
                </c:pt>
                <c:pt idx="7">
                  <c:v>2014</c:v>
                </c:pt>
                <c:pt idx="8">
                  <c:v>2016</c:v>
                </c:pt>
                <c:pt idx="9">
                  <c:v>2018</c:v>
                </c:pt>
                <c:pt idx="10">
                  <c:v>2020</c:v>
                </c:pt>
                <c:pt idx="11">
                  <c:v>2022</c:v>
                </c:pt>
                <c:pt idx="12">
                  <c:v>2024</c:v>
                </c:pt>
                <c:pt idx="13">
                  <c:v>2026</c:v>
                </c:pt>
                <c:pt idx="14">
                  <c:v>2028</c:v>
                </c:pt>
                <c:pt idx="15">
                  <c:v>2030</c:v>
                </c:pt>
                <c:pt idx="16">
                  <c:v>2032</c:v>
                </c:pt>
                <c:pt idx="17">
                  <c:v>2034</c:v>
                </c:pt>
                <c:pt idx="18">
                  <c:v>2036</c:v>
                </c:pt>
                <c:pt idx="19">
                  <c:v>2038</c:v>
                </c:pt>
                <c:pt idx="20">
                  <c:v>2040</c:v>
                </c:pt>
              </c:numCache>
            </c:numRef>
          </c:xVal>
          <c:yVal>
            <c:numRef>
              <c:f>'Ex 5 Full 0'!$E$3:$E$23</c:f>
              <c:numCache>
                <c:formatCode>0.000000</c:formatCode>
                <c:ptCount val="21"/>
                <c:pt idx="0">
                  <c:v>36.887225999999998</c:v>
                </c:pt>
                <c:pt idx="1">
                  <c:v>36.887287000000001</c:v>
                </c:pt>
                <c:pt idx="2">
                  <c:v>36.887324999999997</c:v>
                </c:pt>
                <c:pt idx="3">
                  <c:v>36.887374999999999</c:v>
                </c:pt>
                <c:pt idx="4">
                  <c:v>36.887324999999997</c:v>
                </c:pt>
                <c:pt idx="5">
                  <c:v>36.887385999999999</c:v>
                </c:pt>
                <c:pt idx="6">
                  <c:v>36.887473999999997</c:v>
                </c:pt>
                <c:pt idx="7">
                  <c:v>36.887272000000003</c:v>
                </c:pt>
                <c:pt idx="8">
                  <c:v>36.887321</c:v>
                </c:pt>
                <c:pt idx="9">
                  <c:v>36.887318</c:v>
                </c:pt>
                <c:pt idx="10">
                  <c:v>36.887225999999998</c:v>
                </c:pt>
                <c:pt idx="11">
                  <c:v>36.887233999999999</c:v>
                </c:pt>
                <c:pt idx="12">
                  <c:v>36.887379000000003</c:v>
                </c:pt>
                <c:pt idx="13">
                  <c:v>36.887394</c:v>
                </c:pt>
                <c:pt idx="14">
                  <c:v>36.887366999999998</c:v>
                </c:pt>
                <c:pt idx="15">
                  <c:v>36.887439999999998</c:v>
                </c:pt>
                <c:pt idx="16">
                  <c:v>36.887348000000003</c:v>
                </c:pt>
                <c:pt idx="17">
                  <c:v>36.887385999999999</c:v>
                </c:pt>
                <c:pt idx="18">
                  <c:v>36.887318</c:v>
                </c:pt>
                <c:pt idx="19">
                  <c:v>36.887318</c:v>
                </c:pt>
                <c:pt idx="20">
                  <c:v>36.887455000000003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DCF-42BC-9EF7-BEC0DA330439}"/>
            </c:ext>
          </c:extLst>
        </c:ser>
        <c:ser>
          <c:idx val="2"/>
          <c:order val="2"/>
          <c:tx>
            <c:v>SIMNRA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'Ex 5 Full 0'!$D$3:$D$23</c:f>
              <c:numCache>
                <c:formatCode>0.00</c:formatCode>
                <c:ptCount val="21"/>
                <c:pt idx="0">
                  <c:v>2000</c:v>
                </c:pt>
                <c:pt idx="1">
                  <c:v>2002</c:v>
                </c:pt>
                <c:pt idx="2">
                  <c:v>2004</c:v>
                </c:pt>
                <c:pt idx="3">
                  <c:v>2006</c:v>
                </c:pt>
                <c:pt idx="4">
                  <c:v>2008</c:v>
                </c:pt>
                <c:pt idx="5">
                  <c:v>2010</c:v>
                </c:pt>
                <c:pt idx="6">
                  <c:v>2012</c:v>
                </c:pt>
                <c:pt idx="7">
                  <c:v>2014</c:v>
                </c:pt>
                <c:pt idx="8">
                  <c:v>2016</c:v>
                </c:pt>
                <c:pt idx="9">
                  <c:v>2018</c:v>
                </c:pt>
                <c:pt idx="10">
                  <c:v>2020</c:v>
                </c:pt>
                <c:pt idx="11">
                  <c:v>2022</c:v>
                </c:pt>
                <c:pt idx="12">
                  <c:v>2024</c:v>
                </c:pt>
                <c:pt idx="13">
                  <c:v>2026</c:v>
                </c:pt>
                <c:pt idx="14">
                  <c:v>2028</c:v>
                </c:pt>
                <c:pt idx="15">
                  <c:v>2030</c:v>
                </c:pt>
                <c:pt idx="16">
                  <c:v>2032</c:v>
                </c:pt>
                <c:pt idx="17">
                  <c:v>2034</c:v>
                </c:pt>
                <c:pt idx="18">
                  <c:v>2036</c:v>
                </c:pt>
                <c:pt idx="19">
                  <c:v>2038</c:v>
                </c:pt>
                <c:pt idx="20">
                  <c:v>2040</c:v>
                </c:pt>
              </c:numCache>
            </c:numRef>
          </c:xVal>
          <c:yVal>
            <c:numRef>
              <c:f>'Ex 5 Full 0'!$H$3:$H$23</c:f>
              <c:numCache>
                <c:formatCode>General</c:formatCode>
                <c:ptCount val="21"/>
                <c:pt idx="0">
                  <c:v>36.887341715486102</c:v>
                </c:pt>
                <c:pt idx="1">
                  <c:v>36.887343099842397</c:v>
                </c:pt>
                <c:pt idx="2">
                  <c:v>36.887299679733601</c:v>
                </c:pt>
                <c:pt idx="3">
                  <c:v>36.8872940840848</c:v>
                </c:pt>
                <c:pt idx="4">
                  <c:v>36.887316794861903</c:v>
                </c:pt>
                <c:pt idx="5">
                  <c:v>36.887336055394101</c:v>
                </c:pt>
                <c:pt idx="6">
                  <c:v>36.887349307379097</c:v>
                </c:pt>
                <c:pt idx="7">
                  <c:v>36.887310585114399</c:v>
                </c:pt>
                <c:pt idx="8">
                  <c:v>36.8872804654414</c:v>
                </c:pt>
                <c:pt idx="9">
                  <c:v>36.887314940116198</c:v>
                </c:pt>
                <c:pt idx="10">
                  <c:v>36.887337610748503</c:v>
                </c:pt>
                <c:pt idx="11">
                  <c:v>36.887341712279998</c:v>
                </c:pt>
                <c:pt idx="12">
                  <c:v>36.8873221133058</c:v>
                </c:pt>
                <c:pt idx="13">
                  <c:v>36.887282417139303</c:v>
                </c:pt>
                <c:pt idx="14">
                  <c:v>36.887301786539197</c:v>
                </c:pt>
                <c:pt idx="15">
                  <c:v>36.887348475088601</c:v>
                </c:pt>
                <c:pt idx="16">
                  <c:v>36.887339602321198</c:v>
                </c:pt>
                <c:pt idx="17">
                  <c:v>36.887313476231199</c:v>
                </c:pt>
                <c:pt idx="18">
                  <c:v>36.887297193272197</c:v>
                </c:pt>
                <c:pt idx="19">
                  <c:v>36.887295988178799</c:v>
                </c:pt>
                <c:pt idx="20">
                  <c:v>36.8873423034414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DCF-42BC-9EF7-BEC0DA3304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18390152"/>
        <c:axId val="918391232"/>
      </c:scatterChart>
      <c:valAx>
        <c:axId val="9183901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/>
                  <a:t>beam energy (keV)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8391232"/>
        <c:crosses val="autoZero"/>
        <c:crossBetween val="midCat"/>
      </c:valAx>
      <c:valAx>
        <c:axId val="918391232"/>
        <c:scaling>
          <c:orientation val="minMax"/>
          <c:max val="36.887599999999992"/>
          <c:min val="36.88709999999999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/>
                  <a:t>yield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83901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ERYA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'Ex 5 Full 0'!$G$3:$G$23</c:f>
              <c:numCache>
                <c:formatCode>General</c:formatCode>
                <c:ptCount val="21"/>
                <c:pt idx="0">
                  <c:v>2000</c:v>
                </c:pt>
                <c:pt idx="1">
                  <c:v>2002</c:v>
                </c:pt>
                <c:pt idx="2">
                  <c:v>2004</c:v>
                </c:pt>
                <c:pt idx="3">
                  <c:v>2006</c:v>
                </c:pt>
                <c:pt idx="4">
                  <c:v>2008</c:v>
                </c:pt>
                <c:pt idx="5">
                  <c:v>2010</c:v>
                </c:pt>
                <c:pt idx="6">
                  <c:v>2012</c:v>
                </c:pt>
                <c:pt idx="7">
                  <c:v>2014</c:v>
                </c:pt>
                <c:pt idx="8">
                  <c:v>2016</c:v>
                </c:pt>
                <c:pt idx="9">
                  <c:v>2018</c:v>
                </c:pt>
                <c:pt idx="10">
                  <c:v>2020</c:v>
                </c:pt>
                <c:pt idx="11">
                  <c:v>2022</c:v>
                </c:pt>
                <c:pt idx="12">
                  <c:v>2024</c:v>
                </c:pt>
                <c:pt idx="13">
                  <c:v>2026</c:v>
                </c:pt>
                <c:pt idx="14">
                  <c:v>2028</c:v>
                </c:pt>
                <c:pt idx="15">
                  <c:v>2030</c:v>
                </c:pt>
                <c:pt idx="16">
                  <c:v>2032</c:v>
                </c:pt>
                <c:pt idx="17">
                  <c:v>2034</c:v>
                </c:pt>
                <c:pt idx="18">
                  <c:v>2036</c:v>
                </c:pt>
                <c:pt idx="19">
                  <c:v>2038</c:v>
                </c:pt>
                <c:pt idx="20">
                  <c:v>2040</c:v>
                </c:pt>
              </c:numCache>
            </c:numRef>
          </c:xVal>
          <c:yVal>
            <c:numRef>
              <c:f>'Ex 5 Full 0'!$K$3:$K$23</c:f>
              <c:numCache>
                <c:formatCode>General</c:formatCode>
                <c:ptCount val="21"/>
                <c:pt idx="0">
                  <c:v>1.0000025211979886</c:v>
                </c:pt>
                <c:pt idx="1">
                  <c:v>1.0000008675075507</c:v>
                </c:pt>
                <c:pt idx="2">
                  <c:v>0.99999983734250186</c:v>
                </c:pt>
                <c:pt idx="3">
                  <c:v>0.99999848186540785</c:v>
                </c:pt>
                <c:pt idx="4">
                  <c:v>0.99999983734250186</c:v>
                </c:pt>
                <c:pt idx="5">
                  <c:v>0.99999818366094029</c:v>
                </c:pt>
                <c:pt idx="6">
                  <c:v>0.99999579803160288</c:v>
                </c:pt>
                <c:pt idx="7">
                  <c:v>1.0000012741522333</c:v>
                </c:pt>
                <c:pt idx="8">
                  <c:v>0.99999994578082796</c:v>
                </c:pt>
                <c:pt idx="9">
                  <c:v>1.0000000271095881</c:v>
                </c:pt>
                <c:pt idx="10">
                  <c:v>1.0000025211979886</c:v>
                </c:pt>
                <c:pt idx="11">
                  <c:v>1.0000023043202426</c:v>
                </c:pt>
                <c:pt idx="12">
                  <c:v>0.99999837342739895</c:v>
                </c:pt>
                <c:pt idx="13">
                  <c:v>0.99999796678507558</c:v>
                </c:pt>
                <c:pt idx="14">
                  <c:v>0.99999869874149594</c:v>
                </c:pt>
                <c:pt idx="15">
                  <c:v>0.99999671975067939</c:v>
                </c:pt>
                <c:pt idx="16">
                  <c:v>0.99999921382258206</c:v>
                </c:pt>
                <c:pt idx="17">
                  <c:v>0.99999818366094029</c:v>
                </c:pt>
                <c:pt idx="18">
                  <c:v>1.0000000271095881</c:v>
                </c:pt>
                <c:pt idx="19">
                  <c:v>1.0000000271095881</c:v>
                </c:pt>
                <c:pt idx="20">
                  <c:v>0.99999631310970072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882-4FCC-A54C-FE8FB5C20DDF}"/>
            </c:ext>
          </c:extLst>
        </c:ser>
        <c:ser>
          <c:idx val="1"/>
          <c:order val="1"/>
          <c:spPr>
            <a:ln w="127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'Ex 5 Full 0'!$G$3:$G$23</c:f>
              <c:numCache>
                <c:formatCode>General</c:formatCode>
                <c:ptCount val="21"/>
                <c:pt idx="0">
                  <c:v>2000</c:v>
                </c:pt>
                <c:pt idx="1">
                  <c:v>2002</c:v>
                </c:pt>
                <c:pt idx="2">
                  <c:v>2004</c:v>
                </c:pt>
                <c:pt idx="3">
                  <c:v>2006</c:v>
                </c:pt>
                <c:pt idx="4">
                  <c:v>2008</c:v>
                </c:pt>
                <c:pt idx="5">
                  <c:v>2010</c:v>
                </c:pt>
                <c:pt idx="6">
                  <c:v>2012</c:v>
                </c:pt>
                <c:pt idx="7">
                  <c:v>2014</c:v>
                </c:pt>
                <c:pt idx="8">
                  <c:v>2016</c:v>
                </c:pt>
                <c:pt idx="9">
                  <c:v>2018</c:v>
                </c:pt>
                <c:pt idx="10">
                  <c:v>2020</c:v>
                </c:pt>
                <c:pt idx="11">
                  <c:v>2022</c:v>
                </c:pt>
                <c:pt idx="12">
                  <c:v>2024</c:v>
                </c:pt>
                <c:pt idx="13">
                  <c:v>2026</c:v>
                </c:pt>
                <c:pt idx="14">
                  <c:v>2028</c:v>
                </c:pt>
                <c:pt idx="15">
                  <c:v>2030</c:v>
                </c:pt>
                <c:pt idx="16">
                  <c:v>2032</c:v>
                </c:pt>
                <c:pt idx="17">
                  <c:v>2034</c:v>
                </c:pt>
                <c:pt idx="18">
                  <c:v>2036</c:v>
                </c:pt>
                <c:pt idx="19">
                  <c:v>2038</c:v>
                </c:pt>
                <c:pt idx="20">
                  <c:v>2040</c:v>
                </c:pt>
              </c:numCache>
            </c:numRef>
          </c:xVal>
          <c:yVal>
            <c:numRef>
              <c:f>'Ex 5 Full 0'!$T$3:$T$23</c:f>
              <c:numCache>
                <c:formatCode>General</c:formatCode>
                <c:ptCount val="2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2AE-4BED-A6AB-A9E52CF057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30057896"/>
        <c:axId val="930050696"/>
      </c:scatterChart>
      <c:valAx>
        <c:axId val="930057896"/>
        <c:scaling>
          <c:orientation val="minMax"/>
          <c:max val="2040"/>
          <c:min val="2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/>
                  <a:t>beam energy (keV)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0050696"/>
        <c:crosses val="autoZero"/>
        <c:crossBetween val="midCat"/>
      </c:valAx>
      <c:valAx>
        <c:axId val="930050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/>
                  <a:t>ratio to NDF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00578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1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SIMNRA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'Ex 5 Full 0'!$G$3:$G$23</c:f>
              <c:numCache>
                <c:formatCode>General</c:formatCode>
                <c:ptCount val="21"/>
                <c:pt idx="0">
                  <c:v>2000</c:v>
                </c:pt>
                <c:pt idx="1">
                  <c:v>2002</c:v>
                </c:pt>
                <c:pt idx="2">
                  <c:v>2004</c:v>
                </c:pt>
                <c:pt idx="3">
                  <c:v>2006</c:v>
                </c:pt>
                <c:pt idx="4">
                  <c:v>2008</c:v>
                </c:pt>
                <c:pt idx="5">
                  <c:v>2010</c:v>
                </c:pt>
                <c:pt idx="6">
                  <c:v>2012</c:v>
                </c:pt>
                <c:pt idx="7">
                  <c:v>2014</c:v>
                </c:pt>
                <c:pt idx="8">
                  <c:v>2016</c:v>
                </c:pt>
                <c:pt idx="9">
                  <c:v>2018</c:v>
                </c:pt>
                <c:pt idx="10">
                  <c:v>2020</c:v>
                </c:pt>
                <c:pt idx="11">
                  <c:v>2022</c:v>
                </c:pt>
                <c:pt idx="12">
                  <c:v>2024</c:v>
                </c:pt>
                <c:pt idx="13">
                  <c:v>2026</c:v>
                </c:pt>
                <c:pt idx="14">
                  <c:v>2028</c:v>
                </c:pt>
                <c:pt idx="15">
                  <c:v>2030</c:v>
                </c:pt>
                <c:pt idx="16">
                  <c:v>2032</c:v>
                </c:pt>
                <c:pt idx="17">
                  <c:v>2034</c:v>
                </c:pt>
                <c:pt idx="18">
                  <c:v>2036</c:v>
                </c:pt>
                <c:pt idx="19">
                  <c:v>2038</c:v>
                </c:pt>
                <c:pt idx="20">
                  <c:v>2040</c:v>
                </c:pt>
              </c:numCache>
            </c:numRef>
          </c:xVal>
          <c:yVal>
            <c:numRef>
              <c:f>'Ex 5 Full 0'!$M$3:$M$23</c:f>
              <c:numCache>
                <c:formatCode>General</c:formatCode>
                <c:ptCount val="21"/>
                <c:pt idx="0">
                  <c:v>1.0000031370069982</c:v>
                </c:pt>
                <c:pt idx="1">
                  <c:v>1.0000015208449025</c:v>
                </c:pt>
                <c:pt idx="2">
                  <c:v>0.99999931357813565</c:v>
                </c:pt>
                <c:pt idx="3">
                  <c:v>0.99999780640625147</c:v>
                </c:pt>
                <c:pt idx="4">
                  <c:v>0.99999977756212755</c:v>
                </c:pt>
                <c:pt idx="5">
                  <c:v>0.99999864602479838</c:v>
                </c:pt>
                <c:pt idx="6">
                  <c:v>0.99999661964869424</c:v>
                </c:pt>
                <c:pt idx="7">
                  <c:v>1.0000010460278654</c:v>
                </c:pt>
                <c:pt idx="8">
                  <c:v>0.99999890112489875</c:v>
                </c:pt>
                <c:pt idx="9">
                  <c:v>0.99999991704781022</c:v>
                </c:pt>
                <c:pt idx="10">
                  <c:v>1.0000030257289747</c:v>
                </c:pt>
                <c:pt idx="11">
                  <c:v>1.000002920042202</c:v>
                </c:pt>
                <c:pt idx="12">
                  <c:v>0.99999845782769758</c:v>
                </c:pt>
                <c:pt idx="13">
                  <c:v>0.99999697504083107</c:v>
                </c:pt>
                <c:pt idx="14">
                  <c:v>0.99999823209228245</c:v>
                </c:pt>
                <c:pt idx="15">
                  <c:v>0.9999975188055501</c:v>
                </c:pt>
                <c:pt idx="16">
                  <c:v>0.99999977234257109</c:v>
                </c:pt>
                <c:pt idx="17">
                  <c:v>0.99999803391411901</c:v>
                </c:pt>
                <c:pt idx="18">
                  <c:v>0.99999943593817786</c:v>
                </c:pt>
                <c:pt idx="19">
                  <c:v>0.99999940326859216</c:v>
                </c:pt>
                <c:pt idx="20">
                  <c:v>0.99999694485405399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386-471B-B3BE-5EEAD8586E00}"/>
            </c:ext>
          </c:extLst>
        </c:ser>
        <c:ser>
          <c:idx val="1"/>
          <c:order val="1"/>
          <c:spPr>
            <a:ln w="127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'Ex 5 Full 0'!$S$3:$S$23</c:f>
              <c:numCache>
                <c:formatCode>General</c:formatCode>
                <c:ptCount val="21"/>
              </c:numCache>
            </c:numRef>
          </c:xVal>
          <c:yVal>
            <c:numRef>
              <c:f>'Ex 5 Full 0'!$T$3:$T$23</c:f>
              <c:numCache>
                <c:formatCode>General</c:formatCode>
                <c:ptCount val="2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5F4-4518-B7E1-7907F9F54B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18352712"/>
        <c:axId val="918353432"/>
      </c:scatterChart>
      <c:valAx>
        <c:axId val="918352712"/>
        <c:scaling>
          <c:orientation val="minMax"/>
          <c:max val="2040"/>
          <c:min val="2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/>
                  <a:t>beam</a:t>
                </a:r>
                <a:r>
                  <a:rPr lang="en-GB" sz="1600" baseline="0"/>
                  <a:t> energy (keV)</a:t>
                </a:r>
                <a:endParaRPr lang="en-GB" sz="16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8353432"/>
        <c:crosses val="autoZero"/>
        <c:crossBetween val="midCat"/>
      </c:valAx>
      <c:valAx>
        <c:axId val="918353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/>
                  <a:t>ratio to NDF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83527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1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ERYA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'Ex 5 Full 1'!$A$3:$A$23</c:f>
              <c:numCache>
                <c:formatCode>General</c:formatCode>
                <c:ptCount val="21"/>
                <c:pt idx="0">
                  <c:v>2000</c:v>
                </c:pt>
                <c:pt idx="1">
                  <c:v>2002</c:v>
                </c:pt>
                <c:pt idx="2">
                  <c:v>2004</c:v>
                </c:pt>
                <c:pt idx="3">
                  <c:v>2006</c:v>
                </c:pt>
                <c:pt idx="4">
                  <c:v>2008</c:v>
                </c:pt>
                <c:pt idx="5">
                  <c:v>2010</c:v>
                </c:pt>
                <c:pt idx="6">
                  <c:v>2012</c:v>
                </c:pt>
                <c:pt idx="7">
                  <c:v>2014</c:v>
                </c:pt>
                <c:pt idx="8">
                  <c:v>2016</c:v>
                </c:pt>
                <c:pt idx="9">
                  <c:v>2018</c:v>
                </c:pt>
                <c:pt idx="10">
                  <c:v>2020</c:v>
                </c:pt>
                <c:pt idx="11">
                  <c:v>2022</c:v>
                </c:pt>
                <c:pt idx="12">
                  <c:v>2024</c:v>
                </c:pt>
                <c:pt idx="13">
                  <c:v>2026</c:v>
                </c:pt>
                <c:pt idx="14">
                  <c:v>2028</c:v>
                </c:pt>
                <c:pt idx="15">
                  <c:v>2030</c:v>
                </c:pt>
                <c:pt idx="16">
                  <c:v>2032</c:v>
                </c:pt>
                <c:pt idx="17">
                  <c:v>2034</c:v>
                </c:pt>
                <c:pt idx="18">
                  <c:v>2036</c:v>
                </c:pt>
                <c:pt idx="19">
                  <c:v>2038</c:v>
                </c:pt>
                <c:pt idx="20">
                  <c:v>2040</c:v>
                </c:pt>
              </c:numCache>
            </c:numRef>
          </c:xVal>
          <c:yVal>
            <c:numRef>
              <c:f>'Ex 5 Full 1'!$K$3:$K$23</c:f>
              <c:numCache>
                <c:formatCode>General</c:formatCode>
                <c:ptCount val="21"/>
                <c:pt idx="0">
                  <c:v>0.99999921382258206</c:v>
                </c:pt>
                <c:pt idx="1">
                  <c:v>1.0000037682468543</c:v>
                </c:pt>
                <c:pt idx="2">
                  <c:v>1.0000009759461004</c:v>
                </c:pt>
                <c:pt idx="3">
                  <c:v>1.000001165713619</c:v>
                </c:pt>
                <c:pt idx="4">
                  <c:v>1.0000001355479555</c:v>
                </c:pt>
                <c:pt idx="5">
                  <c:v>0.99999888850815011</c:v>
                </c:pt>
                <c:pt idx="6">
                  <c:v>0.9999982649894138</c:v>
                </c:pt>
                <c:pt idx="7">
                  <c:v>0.99999579803160288</c:v>
                </c:pt>
                <c:pt idx="8">
                  <c:v>0.99999951202766402</c:v>
                </c:pt>
                <c:pt idx="9">
                  <c:v>0.99999848186540785</c:v>
                </c:pt>
                <c:pt idx="10">
                  <c:v>0.9999972348297268</c:v>
                </c:pt>
                <c:pt idx="11">
                  <c:v>0.99999682818832936</c:v>
                </c:pt>
                <c:pt idx="12">
                  <c:v>1.0000012741522333</c:v>
                </c:pt>
                <c:pt idx="13">
                  <c:v>1.0000005421920428</c:v>
                </c:pt>
                <c:pt idx="14">
                  <c:v>0.99999921382258206</c:v>
                </c:pt>
                <c:pt idx="15">
                  <c:v>0.99999962046591984</c:v>
                </c:pt>
                <c:pt idx="16">
                  <c:v>0.99999796678507558</c:v>
                </c:pt>
                <c:pt idx="17">
                  <c:v>1.0000008675075507</c:v>
                </c:pt>
                <c:pt idx="18">
                  <c:v>0.99999869874149594</c:v>
                </c:pt>
                <c:pt idx="19">
                  <c:v>0.99999859030344007</c:v>
                </c:pt>
                <c:pt idx="20">
                  <c:v>0.99999880717957523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66F-40A6-91B9-F2C72EC376F2}"/>
            </c:ext>
          </c:extLst>
        </c:ser>
        <c:ser>
          <c:idx val="1"/>
          <c:order val="1"/>
          <c:spPr>
            <a:ln w="127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'Ex 5 Full 1'!$A$3:$A$23</c:f>
              <c:numCache>
                <c:formatCode>General</c:formatCode>
                <c:ptCount val="21"/>
                <c:pt idx="0">
                  <c:v>2000</c:v>
                </c:pt>
                <c:pt idx="1">
                  <c:v>2002</c:v>
                </c:pt>
                <c:pt idx="2">
                  <c:v>2004</c:v>
                </c:pt>
                <c:pt idx="3">
                  <c:v>2006</c:v>
                </c:pt>
                <c:pt idx="4">
                  <c:v>2008</c:v>
                </c:pt>
                <c:pt idx="5">
                  <c:v>2010</c:v>
                </c:pt>
                <c:pt idx="6">
                  <c:v>2012</c:v>
                </c:pt>
                <c:pt idx="7">
                  <c:v>2014</c:v>
                </c:pt>
                <c:pt idx="8">
                  <c:v>2016</c:v>
                </c:pt>
                <c:pt idx="9">
                  <c:v>2018</c:v>
                </c:pt>
                <c:pt idx="10">
                  <c:v>2020</c:v>
                </c:pt>
                <c:pt idx="11">
                  <c:v>2022</c:v>
                </c:pt>
                <c:pt idx="12">
                  <c:v>2024</c:v>
                </c:pt>
                <c:pt idx="13">
                  <c:v>2026</c:v>
                </c:pt>
                <c:pt idx="14">
                  <c:v>2028</c:v>
                </c:pt>
                <c:pt idx="15">
                  <c:v>2030</c:v>
                </c:pt>
                <c:pt idx="16">
                  <c:v>2032</c:v>
                </c:pt>
                <c:pt idx="17">
                  <c:v>2034</c:v>
                </c:pt>
                <c:pt idx="18">
                  <c:v>2036</c:v>
                </c:pt>
                <c:pt idx="19">
                  <c:v>2038</c:v>
                </c:pt>
                <c:pt idx="20">
                  <c:v>2040</c:v>
                </c:pt>
              </c:numCache>
            </c:numRef>
          </c:xVal>
          <c:yVal>
            <c:numRef>
              <c:f>'Ex 5 Full 1'!$W$3:$W$23</c:f>
              <c:numCache>
                <c:formatCode>General</c:formatCode>
                <c:ptCount val="2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517-4B8C-9605-0CC1A075A9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4637832"/>
        <c:axId val="824635672"/>
      </c:scatterChart>
      <c:valAx>
        <c:axId val="824637832"/>
        <c:scaling>
          <c:orientation val="minMax"/>
          <c:max val="2040"/>
          <c:min val="2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/>
                  <a:t>beam energy (keV)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4635672"/>
        <c:crosses val="autoZero"/>
        <c:crossBetween val="midCat"/>
      </c:valAx>
      <c:valAx>
        <c:axId val="824635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/>
                  <a:t>ratio to NDF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46378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1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SIMNRA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'Ex 5 Full 1'!$A$3:$A$23</c:f>
              <c:numCache>
                <c:formatCode>General</c:formatCode>
                <c:ptCount val="21"/>
                <c:pt idx="0">
                  <c:v>2000</c:v>
                </c:pt>
                <c:pt idx="1">
                  <c:v>2002</c:v>
                </c:pt>
                <c:pt idx="2">
                  <c:v>2004</c:v>
                </c:pt>
                <c:pt idx="3">
                  <c:v>2006</c:v>
                </c:pt>
                <c:pt idx="4">
                  <c:v>2008</c:v>
                </c:pt>
                <c:pt idx="5">
                  <c:v>2010</c:v>
                </c:pt>
                <c:pt idx="6">
                  <c:v>2012</c:v>
                </c:pt>
                <c:pt idx="7">
                  <c:v>2014</c:v>
                </c:pt>
                <c:pt idx="8">
                  <c:v>2016</c:v>
                </c:pt>
                <c:pt idx="9">
                  <c:v>2018</c:v>
                </c:pt>
                <c:pt idx="10">
                  <c:v>2020</c:v>
                </c:pt>
                <c:pt idx="11">
                  <c:v>2022</c:v>
                </c:pt>
                <c:pt idx="12">
                  <c:v>2024</c:v>
                </c:pt>
                <c:pt idx="13">
                  <c:v>2026</c:v>
                </c:pt>
                <c:pt idx="14">
                  <c:v>2028</c:v>
                </c:pt>
                <c:pt idx="15">
                  <c:v>2030</c:v>
                </c:pt>
                <c:pt idx="16">
                  <c:v>2032</c:v>
                </c:pt>
                <c:pt idx="17">
                  <c:v>2034</c:v>
                </c:pt>
                <c:pt idx="18">
                  <c:v>2036</c:v>
                </c:pt>
                <c:pt idx="19">
                  <c:v>2038</c:v>
                </c:pt>
                <c:pt idx="20">
                  <c:v>2040</c:v>
                </c:pt>
              </c:numCache>
            </c:numRef>
          </c:xVal>
          <c:yVal>
            <c:numRef>
              <c:f>'Ex 5 Full 1'!$M$3:$M$23</c:f>
              <c:numCache>
                <c:formatCode>General</c:formatCode>
                <c:ptCount val="21"/>
                <c:pt idx="0">
                  <c:v>0.99999982862661474</c:v>
                </c:pt>
                <c:pt idx="1">
                  <c:v>1.000004419043524</c:v>
                </c:pt>
                <c:pt idx="2">
                  <c:v>1.0000004527894126</c:v>
                </c:pt>
                <c:pt idx="3">
                  <c:v>1.0000004919702012</c:v>
                </c:pt>
                <c:pt idx="4">
                  <c:v>1.0000000777343776</c:v>
                </c:pt>
                <c:pt idx="5">
                  <c:v>0.999999351399257</c:v>
                </c:pt>
                <c:pt idx="6">
                  <c:v>0.99999908237682789</c:v>
                </c:pt>
                <c:pt idx="7">
                  <c:v>0.99999604296396116</c:v>
                </c:pt>
                <c:pt idx="8">
                  <c:v>1.0000000215928029</c:v>
                </c:pt>
                <c:pt idx="9">
                  <c:v>0.99999825045310498</c:v>
                </c:pt>
                <c:pt idx="10">
                  <c:v>0.99999653633921159</c:v>
                </c:pt>
                <c:pt idx="11">
                  <c:v>0.9999972720827276</c:v>
                </c:pt>
                <c:pt idx="12">
                  <c:v>1.0000019483247065</c:v>
                </c:pt>
                <c:pt idx="13">
                  <c:v>1.0000000018151587</c:v>
                </c:pt>
                <c:pt idx="14">
                  <c:v>0.99999867979785362</c:v>
                </c:pt>
                <c:pt idx="15">
                  <c:v>0.99999957595356115</c:v>
                </c:pt>
                <c:pt idx="16">
                  <c:v>0.99999822899383173</c:v>
                </c:pt>
                <c:pt idx="17">
                  <c:v>1.0000016128773797</c:v>
                </c:pt>
                <c:pt idx="18">
                  <c:v>0.9999983851169183</c:v>
                </c:pt>
                <c:pt idx="19">
                  <c:v>0.99999767131003992</c:v>
                </c:pt>
                <c:pt idx="20">
                  <c:v>0.99999920109452933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68-4136-B04A-690774361285}"/>
            </c:ext>
          </c:extLst>
        </c:ser>
        <c:ser>
          <c:idx val="1"/>
          <c:order val="1"/>
          <c:spPr>
            <a:ln w="127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'Ex 5 Full 1'!$A$3:$A$23</c:f>
              <c:numCache>
                <c:formatCode>General</c:formatCode>
                <c:ptCount val="21"/>
                <c:pt idx="0">
                  <c:v>2000</c:v>
                </c:pt>
                <c:pt idx="1">
                  <c:v>2002</c:v>
                </c:pt>
                <c:pt idx="2">
                  <c:v>2004</c:v>
                </c:pt>
                <c:pt idx="3">
                  <c:v>2006</c:v>
                </c:pt>
                <c:pt idx="4">
                  <c:v>2008</c:v>
                </c:pt>
                <c:pt idx="5">
                  <c:v>2010</c:v>
                </c:pt>
                <c:pt idx="6">
                  <c:v>2012</c:v>
                </c:pt>
                <c:pt idx="7">
                  <c:v>2014</c:v>
                </c:pt>
                <c:pt idx="8">
                  <c:v>2016</c:v>
                </c:pt>
                <c:pt idx="9">
                  <c:v>2018</c:v>
                </c:pt>
                <c:pt idx="10">
                  <c:v>2020</c:v>
                </c:pt>
                <c:pt idx="11">
                  <c:v>2022</c:v>
                </c:pt>
                <c:pt idx="12">
                  <c:v>2024</c:v>
                </c:pt>
                <c:pt idx="13">
                  <c:v>2026</c:v>
                </c:pt>
                <c:pt idx="14">
                  <c:v>2028</c:v>
                </c:pt>
                <c:pt idx="15">
                  <c:v>2030</c:v>
                </c:pt>
                <c:pt idx="16">
                  <c:v>2032</c:v>
                </c:pt>
                <c:pt idx="17">
                  <c:v>2034</c:v>
                </c:pt>
                <c:pt idx="18">
                  <c:v>2036</c:v>
                </c:pt>
                <c:pt idx="19">
                  <c:v>2038</c:v>
                </c:pt>
                <c:pt idx="20">
                  <c:v>2040</c:v>
                </c:pt>
              </c:numCache>
            </c:numRef>
          </c:xVal>
          <c:yVal>
            <c:numRef>
              <c:f>'Ex 5 Full 1'!$W$3:$W$23</c:f>
              <c:numCache>
                <c:formatCode>General</c:formatCode>
                <c:ptCount val="2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36B-42CB-93B4-86F0D14678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1397456"/>
        <c:axId val="1131398176"/>
      </c:scatterChart>
      <c:valAx>
        <c:axId val="1131397456"/>
        <c:scaling>
          <c:orientation val="minMax"/>
          <c:max val="2040"/>
          <c:min val="2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/>
                  <a:t>beam energy (keV)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1398176"/>
        <c:crosses val="autoZero"/>
        <c:crossBetween val="midCat"/>
      </c:valAx>
      <c:valAx>
        <c:axId val="1131398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/>
                  <a:t>ratio to NDF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13974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1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</a:t>
            </a:r>
            <a:r>
              <a:rPr lang="en-US" baseline="0"/>
              <a:t> 5 Full Straggling </a:t>
            </a:r>
            <a:r>
              <a:rPr lang="el-GR" baseline="0"/>
              <a:t>Δ</a:t>
            </a:r>
            <a:r>
              <a:rPr lang="en-US" baseline="0"/>
              <a:t>E=1</a:t>
            </a:r>
            <a:endParaRPr 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ERYA</c:v>
          </c:tx>
          <c:spPr>
            <a:ln>
              <a:solidFill>
                <a:schemeClr val="accent1"/>
              </a:solidFill>
            </a:ln>
          </c:spPr>
          <c:marker>
            <c:spPr>
              <a:solidFill>
                <a:schemeClr val="accent1"/>
              </a:solidFill>
              <a:ln>
                <a:solidFill>
                  <a:schemeClr val="accent1"/>
                </a:solidFill>
              </a:ln>
            </c:spPr>
          </c:marker>
          <c:xVal>
            <c:numRef>
              <c:f>'Ex 5 Full 1'!$A$3:$A$23</c:f>
              <c:numCache>
                <c:formatCode>General</c:formatCode>
                <c:ptCount val="21"/>
                <c:pt idx="0">
                  <c:v>2000</c:v>
                </c:pt>
                <c:pt idx="1">
                  <c:v>2002</c:v>
                </c:pt>
                <c:pt idx="2">
                  <c:v>2004</c:v>
                </c:pt>
                <c:pt idx="3">
                  <c:v>2006</c:v>
                </c:pt>
                <c:pt idx="4">
                  <c:v>2008</c:v>
                </c:pt>
                <c:pt idx="5">
                  <c:v>2010</c:v>
                </c:pt>
                <c:pt idx="6">
                  <c:v>2012</c:v>
                </c:pt>
                <c:pt idx="7">
                  <c:v>2014</c:v>
                </c:pt>
                <c:pt idx="8">
                  <c:v>2016</c:v>
                </c:pt>
                <c:pt idx="9">
                  <c:v>2018</c:v>
                </c:pt>
                <c:pt idx="10">
                  <c:v>2020</c:v>
                </c:pt>
                <c:pt idx="11">
                  <c:v>2022</c:v>
                </c:pt>
                <c:pt idx="12">
                  <c:v>2024</c:v>
                </c:pt>
                <c:pt idx="13">
                  <c:v>2026</c:v>
                </c:pt>
                <c:pt idx="14">
                  <c:v>2028</c:v>
                </c:pt>
                <c:pt idx="15">
                  <c:v>2030</c:v>
                </c:pt>
                <c:pt idx="16">
                  <c:v>2032</c:v>
                </c:pt>
                <c:pt idx="17">
                  <c:v>2034</c:v>
                </c:pt>
                <c:pt idx="18">
                  <c:v>2036</c:v>
                </c:pt>
                <c:pt idx="19">
                  <c:v>2038</c:v>
                </c:pt>
                <c:pt idx="20">
                  <c:v>2040</c:v>
                </c:pt>
              </c:numCache>
            </c:numRef>
          </c:xVal>
          <c:yVal>
            <c:numRef>
              <c:f>'Ex 5 Full 1'!$B$3:$B$23</c:f>
              <c:numCache>
                <c:formatCode>General</c:formatCode>
                <c:ptCount val="21"/>
                <c:pt idx="0">
                  <c:v>36.887318999999998</c:v>
                </c:pt>
                <c:pt idx="1">
                  <c:v>36.887318999999998</c:v>
                </c:pt>
                <c:pt idx="2">
                  <c:v>36.887318999999998</c:v>
                </c:pt>
                <c:pt idx="3">
                  <c:v>36.887318999999998</c:v>
                </c:pt>
                <c:pt idx="4">
                  <c:v>36.887318999999998</c:v>
                </c:pt>
                <c:pt idx="5">
                  <c:v>36.887318999999998</c:v>
                </c:pt>
                <c:pt idx="6">
                  <c:v>36.887318999999998</c:v>
                </c:pt>
                <c:pt idx="7">
                  <c:v>36.887318999999998</c:v>
                </c:pt>
                <c:pt idx="8">
                  <c:v>36.887318999999998</c:v>
                </c:pt>
                <c:pt idx="9">
                  <c:v>36.887318999999998</c:v>
                </c:pt>
                <c:pt idx="10">
                  <c:v>36.887318999999998</c:v>
                </c:pt>
                <c:pt idx="11">
                  <c:v>36.887318999999998</c:v>
                </c:pt>
                <c:pt idx="12">
                  <c:v>36.887318999999998</c:v>
                </c:pt>
                <c:pt idx="13">
                  <c:v>36.887318999999998</c:v>
                </c:pt>
                <c:pt idx="14">
                  <c:v>36.887318999999998</c:v>
                </c:pt>
                <c:pt idx="15">
                  <c:v>36.887318999999998</c:v>
                </c:pt>
                <c:pt idx="16">
                  <c:v>36.887318999999998</c:v>
                </c:pt>
                <c:pt idx="17">
                  <c:v>36.887318999999998</c:v>
                </c:pt>
                <c:pt idx="18">
                  <c:v>36.887318999999998</c:v>
                </c:pt>
                <c:pt idx="19">
                  <c:v>36.887318999999998</c:v>
                </c:pt>
                <c:pt idx="20">
                  <c:v>36.887318999999998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999E-4E1A-BE7F-AA67178DE39A}"/>
            </c:ext>
          </c:extLst>
        </c:ser>
        <c:ser>
          <c:idx val="2"/>
          <c:order val="1"/>
          <c:tx>
            <c:v>NDF</c:v>
          </c:tx>
          <c:spPr>
            <a:ln>
              <a:solidFill>
                <a:schemeClr val="accent2"/>
              </a:solidFill>
            </a:ln>
          </c:spPr>
          <c:marker>
            <c:spPr>
              <a:solidFill>
                <a:schemeClr val="accent2"/>
              </a:solidFill>
              <a:ln>
                <a:solidFill>
                  <a:schemeClr val="accent2"/>
                </a:solidFill>
              </a:ln>
            </c:spPr>
          </c:marker>
          <c:xVal>
            <c:numRef>
              <c:f>'Ex 5 Full 1'!$A$3:$A$23</c:f>
              <c:numCache>
                <c:formatCode>General</c:formatCode>
                <c:ptCount val="21"/>
                <c:pt idx="0">
                  <c:v>2000</c:v>
                </c:pt>
                <c:pt idx="1">
                  <c:v>2002</c:v>
                </c:pt>
                <c:pt idx="2">
                  <c:v>2004</c:v>
                </c:pt>
                <c:pt idx="3">
                  <c:v>2006</c:v>
                </c:pt>
                <c:pt idx="4">
                  <c:v>2008</c:v>
                </c:pt>
                <c:pt idx="5">
                  <c:v>2010</c:v>
                </c:pt>
                <c:pt idx="6">
                  <c:v>2012</c:v>
                </c:pt>
                <c:pt idx="7">
                  <c:v>2014</c:v>
                </c:pt>
                <c:pt idx="8">
                  <c:v>2016</c:v>
                </c:pt>
                <c:pt idx="9">
                  <c:v>2018</c:v>
                </c:pt>
                <c:pt idx="10">
                  <c:v>2020</c:v>
                </c:pt>
                <c:pt idx="11">
                  <c:v>2022</c:v>
                </c:pt>
                <c:pt idx="12">
                  <c:v>2024</c:v>
                </c:pt>
                <c:pt idx="13">
                  <c:v>2026</c:v>
                </c:pt>
                <c:pt idx="14">
                  <c:v>2028</c:v>
                </c:pt>
                <c:pt idx="15">
                  <c:v>2030</c:v>
                </c:pt>
                <c:pt idx="16">
                  <c:v>2032</c:v>
                </c:pt>
                <c:pt idx="17">
                  <c:v>2034</c:v>
                </c:pt>
                <c:pt idx="18">
                  <c:v>2036</c:v>
                </c:pt>
                <c:pt idx="19">
                  <c:v>2038</c:v>
                </c:pt>
                <c:pt idx="20">
                  <c:v>2040</c:v>
                </c:pt>
              </c:numCache>
            </c:numRef>
          </c:xVal>
          <c:yVal>
            <c:numRef>
              <c:f>'Ex 5 Full 1'!$E$3:$E$23</c:f>
              <c:numCache>
                <c:formatCode>0.000000</c:formatCode>
                <c:ptCount val="21"/>
                <c:pt idx="0">
                  <c:v>36.887348000000003</c:v>
                </c:pt>
                <c:pt idx="1">
                  <c:v>36.887180000000001</c:v>
                </c:pt>
                <c:pt idx="2">
                  <c:v>36.887282999999996</c:v>
                </c:pt>
                <c:pt idx="3">
                  <c:v>36.887276</c:v>
                </c:pt>
                <c:pt idx="4">
                  <c:v>36.887314000000003</c:v>
                </c:pt>
                <c:pt idx="5">
                  <c:v>36.887360000000001</c:v>
                </c:pt>
                <c:pt idx="6">
                  <c:v>36.887383</c:v>
                </c:pt>
                <c:pt idx="7">
                  <c:v>36.887473999999997</c:v>
                </c:pt>
                <c:pt idx="8">
                  <c:v>36.887337000000002</c:v>
                </c:pt>
                <c:pt idx="9">
                  <c:v>36.887374999999999</c:v>
                </c:pt>
                <c:pt idx="10">
                  <c:v>36.887421000000003</c:v>
                </c:pt>
                <c:pt idx="11">
                  <c:v>36.887436000000001</c:v>
                </c:pt>
                <c:pt idx="12">
                  <c:v>36.887272000000003</c:v>
                </c:pt>
                <c:pt idx="13">
                  <c:v>36.887298999999999</c:v>
                </c:pt>
                <c:pt idx="14">
                  <c:v>36.887348000000003</c:v>
                </c:pt>
                <c:pt idx="15">
                  <c:v>36.887332999999998</c:v>
                </c:pt>
                <c:pt idx="16">
                  <c:v>36.887394</c:v>
                </c:pt>
                <c:pt idx="17">
                  <c:v>36.887287000000001</c:v>
                </c:pt>
                <c:pt idx="18">
                  <c:v>36.887366999999998</c:v>
                </c:pt>
                <c:pt idx="19">
                  <c:v>36.887371000000002</c:v>
                </c:pt>
                <c:pt idx="20">
                  <c:v>36.887363000000001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999E-4E1A-BE7F-AA67178DE39A}"/>
            </c:ext>
          </c:extLst>
        </c:ser>
        <c:ser>
          <c:idx val="3"/>
          <c:order val="2"/>
          <c:tx>
            <c:v>SIMNRA</c:v>
          </c:tx>
          <c:spPr>
            <a:ln>
              <a:solidFill>
                <a:schemeClr val="accent3"/>
              </a:solidFill>
            </a:ln>
          </c:spPr>
          <c:marker>
            <c:spPr>
              <a:ln>
                <a:solidFill>
                  <a:schemeClr val="accent3"/>
                </a:solidFill>
              </a:ln>
            </c:spPr>
          </c:marker>
          <c:xVal>
            <c:numRef>
              <c:f>'Ex 5 Full 1'!$G$3:$G$23</c:f>
              <c:numCache>
                <c:formatCode>General</c:formatCode>
                <c:ptCount val="21"/>
                <c:pt idx="0">
                  <c:v>2000</c:v>
                </c:pt>
                <c:pt idx="1">
                  <c:v>2002</c:v>
                </c:pt>
                <c:pt idx="2">
                  <c:v>2004</c:v>
                </c:pt>
                <c:pt idx="3">
                  <c:v>2006</c:v>
                </c:pt>
                <c:pt idx="4">
                  <c:v>2008</c:v>
                </c:pt>
                <c:pt idx="5">
                  <c:v>2010</c:v>
                </c:pt>
                <c:pt idx="6">
                  <c:v>2012</c:v>
                </c:pt>
                <c:pt idx="7">
                  <c:v>2014</c:v>
                </c:pt>
                <c:pt idx="8">
                  <c:v>2016</c:v>
                </c:pt>
                <c:pt idx="9">
                  <c:v>2018</c:v>
                </c:pt>
                <c:pt idx="10">
                  <c:v>2020</c:v>
                </c:pt>
                <c:pt idx="11">
                  <c:v>2022</c:v>
                </c:pt>
                <c:pt idx="12">
                  <c:v>2024</c:v>
                </c:pt>
                <c:pt idx="13">
                  <c:v>2026</c:v>
                </c:pt>
                <c:pt idx="14">
                  <c:v>2028</c:v>
                </c:pt>
                <c:pt idx="15">
                  <c:v>2030</c:v>
                </c:pt>
                <c:pt idx="16">
                  <c:v>2032</c:v>
                </c:pt>
                <c:pt idx="17">
                  <c:v>2034</c:v>
                </c:pt>
                <c:pt idx="18">
                  <c:v>2036</c:v>
                </c:pt>
                <c:pt idx="19">
                  <c:v>2038</c:v>
                </c:pt>
                <c:pt idx="20">
                  <c:v>2040</c:v>
                </c:pt>
              </c:numCache>
            </c:numRef>
          </c:xVal>
          <c:yVal>
            <c:numRef>
              <c:f>'Ex 5 Full 1'!$H$3:$H$23</c:f>
              <c:numCache>
                <c:formatCode>General</c:formatCode>
                <c:ptCount val="21"/>
                <c:pt idx="0">
                  <c:v>36.887341678490301</c:v>
                </c:pt>
                <c:pt idx="1">
                  <c:v>36.887343006053896</c:v>
                </c:pt>
                <c:pt idx="2">
                  <c:v>36.887299702171198</c:v>
                </c:pt>
                <c:pt idx="3">
                  <c:v>36.887294147440599</c:v>
                </c:pt>
                <c:pt idx="4">
                  <c:v>36.887316867412402</c:v>
                </c:pt>
                <c:pt idx="5">
                  <c:v>36.887336074830898</c:v>
                </c:pt>
                <c:pt idx="6">
                  <c:v>36.887349151282599</c:v>
                </c:pt>
                <c:pt idx="7">
                  <c:v>36.887328034935997</c:v>
                </c:pt>
                <c:pt idx="8">
                  <c:v>36.887337796501001</c:v>
                </c:pt>
                <c:pt idx="9">
                  <c:v>36.887310463807601</c:v>
                </c:pt>
                <c:pt idx="10">
                  <c:v>36.8872932344863</c:v>
                </c:pt>
                <c:pt idx="11">
                  <c:v>36.887335374126202</c:v>
                </c:pt>
                <c:pt idx="12">
                  <c:v>36.887343868383397</c:v>
                </c:pt>
                <c:pt idx="13">
                  <c:v>36.887299066956302</c:v>
                </c:pt>
                <c:pt idx="14">
                  <c:v>36.887299301243999</c:v>
                </c:pt>
                <c:pt idx="15">
                  <c:v>36.8873173580578</c:v>
                </c:pt>
                <c:pt idx="16">
                  <c:v>36.887328672197697</c:v>
                </c:pt>
                <c:pt idx="17">
                  <c:v>36.887346494670801</c:v>
                </c:pt>
                <c:pt idx="18">
                  <c:v>36.887307431215099</c:v>
                </c:pt>
                <c:pt idx="19">
                  <c:v>36.887285100749502</c:v>
                </c:pt>
                <c:pt idx="20">
                  <c:v>36.8873335304839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999E-4E1A-BE7F-AA67178DE3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4637832"/>
        <c:axId val="824635672"/>
      </c:scatterChart>
      <c:valAx>
        <c:axId val="8246378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/>
                  <a:t>beam energy (keV)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4635672"/>
        <c:crosses val="autoZero"/>
        <c:crossBetween val="midCat"/>
      </c:valAx>
      <c:valAx>
        <c:axId val="824635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/>
                  <a:t>yield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4637832"/>
        <c:crosses val="autoZero"/>
        <c:crossBetween val="midCat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2000"/>
              <a:t>Ex 5 Gauss Straggling </a:t>
            </a:r>
            <a:r>
              <a:rPr lang="el-GR" sz="2000"/>
              <a:t>Δ</a:t>
            </a:r>
            <a:r>
              <a:rPr lang="en-GB" sz="2000"/>
              <a:t>E=0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ERYA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'Ex 5 Gauss 0'!$A$3:$A$23</c:f>
              <c:numCache>
                <c:formatCode>General</c:formatCode>
                <c:ptCount val="21"/>
                <c:pt idx="0">
                  <c:v>2000</c:v>
                </c:pt>
                <c:pt idx="1">
                  <c:v>2002</c:v>
                </c:pt>
                <c:pt idx="2">
                  <c:v>2004</c:v>
                </c:pt>
                <c:pt idx="3">
                  <c:v>2006</c:v>
                </c:pt>
                <c:pt idx="4">
                  <c:v>2008</c:v>
                </c:pt>
                <c:pt idx="5">
                  <c:v>2010</c:v>
                </c:pt>
                <c:pt idx="6">
                  <c:v>2012</c:v>
                </c:pt>
                <c:pt idx="7">
                  <c:v>2014</c:v>
                </c:pt>
                <c:pt idx="8">
                  <c:v>2016</c:v>
                </c:pt>
                <c:pt idx="9">
                  <c:v>2018</c:v>
                </c:pt>
                <c:pt idx="10">
                  <c:v>2020</c:v>
                </c:pt>
                <c:pt idx="11">
                  <c:v>2022</c:v>
                </c:pt>
                <c:pt idx="12">
                  <c:v>2024</c:v>
                </c:pt>
                <c:pt idx="13">
                  <c:v>2026</c:v>
                </c:pt>
                <c:pt idx="14">
                  <c:v>2028</c:v>
                </c:pt>
                <c:pt idx="15">
                  <c:v>2030</c:v>
                </c:pt>
                <c:pt idx="16">
                  <c:v>2032</c:v>
                </c:pt>
                <c:pt idx="17">
                  <c:v>2034</c:v>
                </c:pt>
                <c:pt idx="18">
                  <c:v>2036</c:v>
                </c:pt>
                <c:pt idx="19">
                  <c:v>2038</c:v>
                </c:pt>
                <c:pt idx="20">
                  <c:v>2040</c:v>
                </c:pt>
              </c:numCache>
            </c:numRef>
          </c:xVal>
          <c:yVal>
            <c:numRef>
              <c:f>'Ex 5 Gauss 0'!$D$3:$D$23</c:f>
              <c:numCache>
                <c:formatCode>General</c:formatCode>
                <c:ptCount val="21"/>
                <c:pt idx="0">
                  <c:v>36.88731893394332</c:v>
                </c:pt>
                <c:pt idx="1">
                  <c:v>36.88731893394332</c:v>
                </c:pt>
                <c:pt idx="2">
                  <c:v>36.88731893394332</c:v>
                </c:pt>
                <c:pt idx="3">
                  <c:v>36.88731893394332</c:v>
                </c:pt>
                <c:pt idx="4">
                  <c:v>36.88731893394332</c:v>
                </c:pt>
                <c:pt idx="5">
                  <c:v>36.88731893394332</c:v>
                </c:pt>
                <c:pt idx="6">
                  <c:v>36.88731893394332</c:v>
                </c:pt>
                <c:pt idx="7">
                  <c:v>36.88731893394332</c:v>
                </c:pt>
                <c:pt idx="8">
                  <c:v>36.88731893394332</c:v>
                </c:pt>
                <c:pt idx="9">
                  <c:v>36.88731893394332</c:v>
                </c:pt>
                <c:pt idx="10">
                  <c:v>36.88731893394332</c:v>
                </c:pt>
                <c:pt idx="11">
                  <c:v>36.88731893394332</c:v>
                </c:pt>
                <c:pt idx="12">
                  <c:v>36.88731893394332</c:v>
                </c:pt>
                <c:pt idx="13">
                  <c:v>36.88731893394332</c:v>
                </c:pt>
                <c:pt idx="14">
                  <c:v>36.88731893394332</c:v>
                </c:pt>
                <c:pt idx="15">
                  <c:v>36.88731893394332</c:v>
                </c:pt>
                <c:pt idx="16">
                  <c:v>36.88731893394332</c:v>
                </c:pt>
                <c:pt idx="17">
                  <c:v>36.88731893394332</c:v>
                </c:pt>
                <c:pt idx="18">
                  <c:v>36.88731893394332</c:v>
                </c:pt>
                <c:pt idx="19">
                  <c:v>36.88731893394332</c:v>
                </c:pt>
                <c:pt idx="20">
                  <c:v>36.88731893394332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B90-4003-8B8A-4A6761EF4548}"/>
            </c:ext>
          </c:extLst>
        </c:ser>
        <c:ser>
          <c:idx val="1"/>
          <c:order val="1"/>
          <c:tx>
            <c:v>NDF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'Ex 5 Gauss 0'!$A$3:$A$23</c:f>
              <c:numCache>
                <c:formatCode>General</c:formatCode>
                <c:ptCount val="21"/>
                <c:pt idx="0">
                  <c:v>2000</c:v>
                </c:pt>
                <c:pt idx="1">
                  <c:v>2002</c:v>
                </c:pt>
                <c:pt idx="2">
                  <c:v>2004</c:v>
                </c:pt>
                <c:pt idx="3">
                  <c:v>2006</c:v>
                </c:pt>
                <c:pt idx="4">
                  <c:v>2008</c:v>
                </c:pt>
                <c:pt idx="5">
                  <c:v>2010</c:v>
                </c:pt>
                <c:pt idx="6">
                  <c:v>2012</c:v>
                </c:pt>
                <c:pt idx="7">
                  <c:v>2014</c:v>
                </c:pt>
                <c:pt idx="8">
                  <c:v>2016</c:v>
                </c:pt>
                <c:pt idx="9">
                  <c:v>2018</c:v>
                </c:pt>
                <c:pt idx="10">
                  <c:v>2020</c:v>
                </c:pt>
                <c:pt idx="11">
                  <c:v>2022</c:v>
                </c:pt>
                <c:pt idx="12">
                  <c:v>2024</c:v>
                </c:pt>
                <c:pt idx="13">
                  <c:v>2026</c:v>
                </c:pt>
                <c:pt idx="14">
                  <c:v>2028</c:v>
                </c:pt>
                <c:pt idx="15">
                  <c:v>2030</c:v>
                </c:pt>
                <c:pt idx="16">
                  <c:v>2032</c:v>
                </c:pt>
                <c:pt idx="17">
                  <c:v>2034</c:v>
                </c:pt>
                <c:pt idx="18">
                  <c:v>2036</c:v>
                </c:pt>
                <c:pt idx="19">
                  <c:v>2038</c:v>
                </c:pt>
                <c:pt idx="20">
                  <c:v>2040</c:v>
                </c:pt>
              </c:numCache>
            </c:numRef>
          </c:xVal>
          <c:yVal>
            <c:numRef>
              <c:f>'Ex 5 Gauss 0'!$G$3:$G$23</c:f>
              <c:numCache>
                <c:formatCode>0.000000</c:formatCode>
                <c:ptCount val="21"/>
                <c:pt idx="0">
                  <c:v>36.887352</c:v>
                </c:pt>
                <c:pt idx="1">
                  <c:v>36.887267999999999</c:v>
                </c:pt>
                <c:pt idx="2">
                  <c:v>36.887450999999999</c:v>
                </c:pt>
                <c:pt idx="3">
                  <c:v>36.887241000000003</c:v>
                </c:pt>
                <c:pt idx="4">
                  <c:v>36.887230000000002</c:v>
                </c:pt>
                <c:pt idx="5">
                  <c:v>36.887005000000002</c:v>
                </c:pt>
                <c:pt idx="6">
                  <c:v>36.887577</c:v>
                </c:pt>
                <c:pt idx="7">
                  <c:v>36.887211000000001</c:v>
                </c:pt>
                <c:pt idx="8">
                  <c:v>36.887287000000001</c:v>
                </c:pt>
                <c:pt idx="9">
                  <c:v>36.887276</c:v>
                </c:pt>
                <c:pt idx="10">
                  <c:v>36.887568999999999</c:v>
                </c:pt>
                <c:pt idx="11">
                  <c:v>36.88747</c:v>
                </c:pt>
                <c:pt idx="12">
                  <c:v>36.887383</c:v>
                </c:pt>
                <c:pt idx="13">
                  <c:v>36.887256999999998</c:v>
                </c:pt>
                <c:pt idx="14">
                  <c:v>36.887253000000001</c:v>
                </c:pt>
                <c:pt idx="15">
                  <c:v>36.887562000000003</c:v>
                </c:pt>
                <c:pt idx="16">
                  <c:v>36.887298999999999</c:v>
                </c:pt>
                <c:pt idx="17">
                  <c:v>36.887573000000003</c:v>
                </c:pt>
                <c:pt idx="18">
                  <c:v>36.887301999999998</c:v>
                </c:pt>
                <c:pt idx="19">
                  <c:v>36.887416999999999</c:v>
                </c:pt>
                <c:pt idx="20">
                  <c:v>36.887402000000002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B90-4003-8B8A-4A6761EF4548}"/>
            </c:ext>
          </c:extLst>
        </c:ser>
        <c:ser>
          <c:idx val="2"/>
          <c:order val="2"/>
          <c:tx>
            <c:v>SIMNRA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'Ex 5 Gauss 0'!$I$3:$I$23</c:f>
              <c:numCache>
                <c:formatCode>General</c:formatCode>
                <c:ptCount val="21"/>
                <c:pt idx="0">
                  <c:v>2000</c:v>
                </c:pt>
                <c:pt idx="1">
                  <c:v>2002</c:v>
                </c:pt>
                <c:pt idx="2">
                  <c:v>2004</c:v>
                </c:pt>
                <c:pt idx="3">
                  <c:v>2006</c:v>
                </c:pt>
                <c:pt idx="4">
                  <c:v>2008</c:v>
                </c:pt>
                <c:pt idx="5">
                  <c:v>2010</c:v>
                </c:pt>
                <c:pt idx="6">
                  <c:v>2012</c:v>
                </c:pt>
                <c:pt idx="7">
                  <c:v>2014</c:v>
                </c:pt>
                <c:pt idx="8">
                  <c:v>2016</c:v>
                </c:pt>
                <c:pt idx="9">
                  <c:v>2018</c:v>
                </c:pt>
                <c:pt idx="10">
                  <c:v>2020</c:v>
                </c:pt>
                <c:pt idx="11">
                  <c:v>2022</c:v>
                </c:pt>
                <c:pt idx="12">
                  <c:v>2024</c:v>
                </c:pt>
                <c:pt idx="13">
                  <c:v>2026</c:v>
                </c:pt>
                <c:pt idx="14">
                  <c:v>2028</c:v>
                </c:pt>
                <c:pt idx="15">
                  <c:v>2030</c:v>
                </c:pt>
                <c:pt idx="16">
                  <c:v>2032</c:v>
                </c:pt>
                <c:pt idx="17">
                  <c:v>2034</c:v>
                </c:pt>
                <c:pt idx="18">
                  <c:v>2036</c:v>
                </c:pt>
                <c:pt idx="19">
                  <c:v>2038</c:v>
                </c:pt>
                <c:pt idx="20">
                  <c:v>2040</c:v>
                </c:pt>
              </c:numCache>
            </c:numRef>
          </c:xVal>
          <c:yVal>
            <c:numRef>
              <c:f>'Ex 5 Gauss 0'!$J$3:$J$23</c:f>
              <c:numCache>
                <c:formatCode>General</c:formatCode>
                <c:ptCount val="21"/>
                <c:pt idx="0">
                  <c:v>36.887318721887901</c:v>
                </c:pt>
                <c:pt idx="1">
                  <c:v>36.887318721887901</c:v>
                </c:pt>
                <c:pt idx="2">
                  <c:v>36.887318721887901</c:v>
                </c:pt>
                <c:pt idx="3">
                  <c:v>36.887318721887901</c:v>
                </c:pt>
                <c:pt idx="4">
                  <c:v>36.887318721887901</c:v>
                </c:pt>
                <c:pt idx="5">
                  <c:v>36.887318721887901</c:v>
                </c:pt>
                <c:pt idx="6">
                  <c:v>36.887318721887901</c:v>
                </c:pt>
                <c:pt idx="7">
                  <c:v>36.887318721887901</c:v>
                </c:pt>
                <c:pt idx="8">
                  <c:v>36.887318721887901</c:v>
                </c:pt>
                <c:pt idx="9">
                  <c:v>36.887318721887901</c:v>
                </c:pt>
                <c:pt idx="10">
                  <c:v>36.887318721887901</c:v>
                </c:pt>
                <c:pt idx="11">
                  <c:v>36.887318721887901</c:v>
                </c:pt>
                <c:pt idx="12">
                  <c:v>36.887318721887901</c:v>
                </c:pt>
                <c:pt idx="13">
                  <c:v>36.887318721887901</c:v>
                </c:pt>
                <c:pt idx="14">
                  <c:v>36.887318721887901</c:v>
                </c:pt>
                <c:pt idx="15">
                  <c:v>36.887318721887901</c:v>
                </c:pt>
                <c:pt idx="16">
                  <c:v>36.887318721887901</c:v>
                </c:pt>
                <c:pt idx="17">
                  <c:v>36.887318721887901</c:v>
                </c:pt>
                <c:pt idx="18">
                  <c:v>36.887318721887901</c:v>
                </c:pt>
                <c:pt idx="19">
                  <c:v>36.887318721887901</c:v>
                </c:pt>
                <c:pt idx="20">
                  <c:v>36.887318721887901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B90-4003-8B8A-4A6761EF45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3991360"/>
        <c:axId val="1143992080"/>
      </c:scatterChart>
      <c:valAx>
        <c:axId val="11439913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/>
                  <a:t>beam energy (keV)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3992080"/>
        <c:crosses val="autoZero"/>
        <c:crossBetween val="midCat"/>
      </c:valAx>
      <c:valAx>
        <c:axId val="1143992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/>
                  <a:t>yield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39913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ERYA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'Ex 5 Gauss 0'!$A$3:$A$23</c:f>
              <c:numCache>
                <c:formatCode>General</c:formatCode>
                <c:ptCount val="21"/>
                <c:pt idx="0">
                  <c:v>2000</c:v>
                </c:pt>
                <c:pt idx="1">
                  <c:v>2002</c:v>
                </c:pt>
                <c:pt idx="2">
                  <c:v>2004</c:v>
                </c:pt>
                <c:pt idx="3">
                  <c:v>2006</c:v>
                </c:pt>
                <c:pt idx="4">
                  <c:v>2008</c:v>
                </c:pt>
                <c:pt idx="5">
                  <c:v>2010</c:v>
                </c:pt>
                <c:pt idx="6">
                  <c:v>2012</c:v>
                </c:pt>
                <c:pt idx="7">
                  <c:v>2014</c:v>
                </c:pt>
                <c:pt idx="8">
                  <c:v>2016</c:v>
                </c:pt>
                <c:pt idx="9">
                  <c:v>2018</c:v>
                </c:pt>
                <c:pt idx="10">
                  <c:v>2020</c:v>
                </c:pt>
                <c:pt idx="11">
                  <c:v>2022</c:v>
                </c:pt>
                <c:pt idx="12">
                  <c:v>2024</c:v>
                </c:pt>
                <c:pt idx="13">
                  <c:v>2026</c:v>
                </c:pt>
                <c:pt idx="14">
                  <c:v>2028</c:v>
                </c:pt>
                <c:pt idx="15">
                  <c:v>2030</c:v>
                </c:pt>
                <c:pt idx="16">
                  <c:v>2032</c:v>
                </c:pt>
                <c:pt idx="17">
                  <c:v>2034</c:v>
                </c:pt>
                <c:pt idx="18">
                  <c:v>2036</c:v>
                </c:pt>
                <c:pt idx="19">
                  <c:v>2038</c:v>
                </c:pt>
                <c:pt idx="20">
                  <c:v>2040</c:v>
                </c:pt>
              </c:numCache>
            </c:numRef>
          </c:xVal>
          <c:yVal>
            <c:numRef>
              <c:f>'Ex 5 Gauss 0'!$L$3:$L$23</c:f>
              <c:numCache>
                <c:formatCode>General</c:formatCode>
                <c:ptCount val="21"/>
                <c:pt idx="0">
                  <c:v>0.99999910359364697</c:v>
                </c:pt>
                <c:pt idx="1">
                  <c:v>1.0000013808000994</c:v>
                </c:pt>
                <c:pt idx="2">
                  <c:v>0.99999641975649989</c:v>
                </c:pt>
                <c:pt idx="3">
                  <c:v>1.0000021127615186</c:v>
                </c:pt>
                <c:pt idx="4">
                  <c:v>1.0000024109683301</c:v>
                </c:pt>
                <c:pt idx="5">
                  <c:v>1.0000085106921344</c:v>
                </c:pt>
                <c:pt idx="6">
                  <c:v>0.99999300398460222</c:v>
                </c:pt>
                <c:pt idx="7">
                  <c:v>1.0000029260532415</c:v>
                </c:pt>
                <c:pt idx="8">
                  <c:v>1.0000008657167798</c:v>
                </c:pt>
                <c:pt idx="9">
                  <c:v>1.0000011639228474</c:v>
                </c:pt>
                <c:pt idx="10">
                  <c:v>0.99999322085831466</c:v>
                </c:pt>
                <c:pt idx="11">
                  <c:v>0.99999590467829103</c:v>
                </c:pt>
                <c:pt idx="12">
                  <c:v>0.9999982631986476</c:v>
                </c:pt>
                <c:pt idx="13">
                  <c:v>1.0000016790064743</c:v>
                </c:pt>
                <c:pt idx="14">
                  <c:v>1.0000017874452001</c:v>
                </c:pt>
                <c:pt idx="15">
                  <c:v>0.99999341062289004</c:v>
                </c:pt>
                <c:pt idx="16">
                  <c:v>1.0000005404012726</c:v>
                </c:pt>
                <c:pt idx="17">
                  <c:v>0.99999311242144651</c:v>
                </c:pt>
                <c:pt idx="18">
                  <c:v>1.0000004590724287</c:v>
                </c:pt>
                <c:pt idx="19">
                  <c:v>0.99999734147672414</c:v>
                </c:pt>
                <c:pt idx="20">
                  <c:v>0.9999977481185397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4A6-4169-83F4-56E2592B2E1B}"/>
            </c:ext>
          </c:extLst>
        </c:ser>
        <c:ser>
          <c:idx val="1"/>
          <c:order val="1"/>
          <c:tx>
            <c:v>SIMNRA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'Ex 5 Gauss 0'!$I$3:$I$23</c:f>
              <c:numCache>
                <c:formatCode>General</c:formatCode>
                <c:ptCount val="21"/>
                <c:pt idx="0">
                  <c:v>2000</c:v>
                </c:pt>
                <c:pt idx="1">
                  <c:v>2002</c:v>
                </c:pt>
                <c:pt idx="2">
                  <c:v>2004</c:v>
                </c:pt>
                <c:pt idx="3">
                  <c:v>2006</c:v>
                </c:pt>
                <c:pt idx="4">
                  <c:v>2008</c:v>
                </c:pt>
                <c:pt idx="5">
                  <c:v>2010</c:v>
                </c:pt>
                <c:pt idx="6">
                  <c:v>2012</c:v>
                </c:pt>
                <c:pt idx="7">
                  <c:v>2014</c:v>
                </c:pt>
                <c:pt idx="8">
                  <c:v>2016</c:v>
                </c:pt>
                <c:pt idx="9">
                  <c:v>2018</c:v>
                </c:pt>
                <c:pt idx="10">
                  <c:v>2020</c:v>
                </c:pt>
                <c:pt idx="11">
                  <c:v>2022</c:v>
                </c:pt>
                <c:pt idx="12">
                  <c:v>2024</c:v>
                </c:pt>
                <c:pt idx="13">
                  <c:v>2026</c:v>
                </c:pt>
                <c:pt idx="14">
                  <c:v>2028</c:v>
                </c:pt>
                <c:pt idx="15">
                  <c:v>2030</c:v>
                </c:pt>
                <c:pt idx="16">
                  <c:v>2032</c:v>
                </c:pt>
                <c:pt idx="17">
                  <c:v>2034</c:v>
                </c:pt>
                <c:pt idx="18">
                  <c:v>2036</c:v>
                </c:pt>
                <c:pt idx="19">
                  <c:v>2038</c:v>
                </c:pt>
                <c:pt idx="20">
                  <c:v>2040</c:v>
                </c:pt>
              </c:numCache>
            </c:numRef>
          </c:xVal>
          <c:yVal>
            <c:numRef>
              <c:f>'Ex 5 Gauss 0'!$N$3:$N$23</c:f>
              <c:numCache>
                <c:formatCode>General</c:formatCode>
                <c:ptCount val="21"/>
                <c:pt idx="0">
                  <c:v>0.99999909784491714</c:v>
                </c:pt>
                <c:pt idx="1">
                  <c:v>1.0000013750513566</c:v>
                </c:pt>
                <c:pt idx="2">
                  <c:v>0.99999641400778549</c:v>
                </c:pt>
                <c:pt idx="3">
                  <c:v>1.0000021070127716</c:v>
                </c:pt>
                <c:pt idx="4">
                  <c:v>1.0000024052195813</c:v>
                </c:pt>
                <c:pt idx="5">
                  <c:v>1.0000085049433507</c:v>
                </c:pt>
                <c:pt idx="6">
                  <c:v>0.99999299823590748</c:v>
                </c:pt>
                <c:pt idx="7">
                  <c:v>1.0000029203044898</c:v>
                </c:pt>
                <c:pt idx="8">
                  <c:v>1.0000008599680399</c:v>
                </c:pt>
                <c:pt idx="9">
                  <c:v>1.000001158174106</c:v>
                </c:pt>
                <c:pt idx="10">
                  <c:v>0.99999321510961869</c:v>
                </c:pt>
                <c:pt idx="11">
                  <c:v>0.99999589892957963</c:v>
                </c:pt>
                <c:pt idx="12">
                  <c:v>0.99999825744992266</c:v>
                </c:pt>
                <c:pt idx="13">
                  <c:v>1.0000016732577297</c:v>
                </c:pt>
                <c:pt idx="14">
                  <c:v>1.0000017816964548</c:v>
                </c:pt>
                <c:pt idx="15">
                  <c:v>0.99999340487419308</c:v>
                </c:pt>
                <c:pt idx="16">
                  <c:v>1.0000005346525345</c:v>
                </c:pt>
                <c:pt idx="17">
                  <c:v>0.99999310667275121</c:v>
                </c:pt>
                <c:pt idx="18">
                  <c:v>1.0000004533236913</c:v>
                </c:pt>
                <c:pt idx="19">
                  <c:v>0.99999733572800453</c:v>
                </c:pt>
                <c:pt idx="20">
                  <c:v>0.99999774236981775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4A6-4169-83F4-56E2592B2E1B}"/>
            </c:ext>
          </c:extLst>
        </c:ser>
        <c:ser>
          <c:idx val="2"/>
          <c:order val="2"/>
          <c:spPr>
            <a:ln w="127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'Ex 5 Gauss 0'!$Z$3:$Z$23</c:f>
              <c:numCache>
                <c:formatCode>General</c:formatCode>
                <c:ptCount val="21"/>
                <c:pt idx="0">
                  <c:v>2000</c:v>
                </c:pt>
                <c:pt idx="1">
                  <c:v>2002</c:v>
                </c:pt>
                <c:pt idx="2">
                  <c:v>2004</c:v>
                </c:pt>
                <c:pt idx="3">
                  <c:v>2006</c:v>
                </c:pt>
                <c:pt idx="4">
                  <c:v>2008</c:v>
                </c:pt>
                <c:pt idx="5">
                  <c:v>2010</c:v>
                </c:pt>
                <c:pt idx="6">
                  <c:v>2012</c:v>
                </c:pt>
                <c:pt idx="7">
                  <c:v>2014</c:v>
                </c:pt>
                <c:pt idx="8">
                  <c:v>2016</c:v>
                </c:pt>
                <c:pt idx="9">
                  <c:v>2018</c:v>
                </c:pt>
                <c:pt idx="10">
                  <c:v>2020</c:v>
                </c:pt>
                <c:pt idx="11">
                  <c:v>2022</c:v>
                </c:pt>
                <c:pt idx="12">
                  <c:v>2024</c:v>
                </c:pt>
                <c:pt idx="13">
                  <c:v>2026</c:v>
                </c:pt>
                <c:pt idx="14">
                  <c:v>2028</c:v>
                </c:pt>
                <c:pt idx="15">
                  <c:v>2030</c:v>
                </c:pt>
                <c:pt idx="16">
                  <c:v>2032</c:v>
                </c:pt>
                <c:pt idx="17">
                  <c:v>2034</c:v>
                </c:pt>
                <c:pt idx="18">
                  <c:v>2036</c:v>
                </c:pt>
                <c:pt idx="19">
                  <c:v>2038</c:v>
                </c:pt>
                <c:pt idx="20">
                  <c:v>2040</c:v>
                </c:pt>
              </c:numCache>
            </c:numRef>
          </c:xVal>
          <c:yVal>
            <c:numRef>
              <c:f>'Ex 5 Gauss 0'!$AE$3:$AE$23</c:f>
              <c:numCache>
                <c:formatCode>General</c:formatCode>
                <c:ptCount val="2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B32-4942-B60B-BD726E35F4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18364952"/>
        <c:axId val="918361352"/>
      </c:scatterChart>
      <c:valAx>
        <c:axId val="918364952"/>
        <c:scaling>
          <c:orientation val="minMax"/>
          <c:max val="2040"/>
          <c:min val="2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/>
                  <a:t>beam energy (keV)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8361352"/>
        <c:crosses val="autoZero"/>
        <c:crossBetween val="midCat"/>
      </c:valAx>
      <c:valAx>
        <c:axId val="918361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/>
                  <a:t>ratio to NDF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83649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800"/>
              <a:t>Ex 5 Gauss Straggling</a:t>
            </a:r>
            <a:r>
              <a:rPr lang="en-GB" sz="1800" baseline="0"/>
              <a:t> </a:t>
            </a:r>
            <a:r>
              <a:rPr lang="el-GR" sz="1800" baseline="0"/>
              <a:t>Δ</a:t>
            </a:r>
            <a:r>
              <a:rPr lang="en-GB" sz="1800" baseline="0"/>
              <a:t>E=1</a:t>
            </a:r>
            <a:endParaRPr lang="en-GB" sz="18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ERYA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'Ex 5 Gauss 1'!$A$3:$A$23</c:f>
              <c:numCache>
                <c:formatCode>General</c:formatCode>
                <c:ptCount val="21"/>
                <c:pt idx="0">
                  <c:v>2000</c:v>
                </c:pt>
                <c:pt idx="1">
                  <c:v>2002</c:v>
                </c:pt>
                <c:pt idx="2">
                  <c:v>2004</c:v>
                </c:pt>
                <c:pt idx="3">
                  <c:v>2006</c:v>
                </c:pt>
                <c:pt idx="4">
                  <c:v>2008</c:v>
                </c:pt>
                <c:pt idx="5">
                  <c:v>2010</c:v>
                </c:pt>
                <c:pt idx="6">
                  <c:v>2012</c:v>
                </c:pt>
                <c:pt idx="7">
                  <c:v>2014</c:v>
                </c:pt>
                <c:pt idx="8">
                  <c:v>2016</c:v>
                </c:pt>
                <c:pt idx="9">
                  <c:v>2018</c:v>
                </c:pt>
                <c:pt idx="10">
                  <c:v>2020</c:v>
                </c:pt>
                <c:pt idx="11">
                  <c:v>2022</c:v>
                </c:pt>
                <c:pt idx="12">
                  <c:v>2024</c:v>
                </c:pt>
                <c:pt idx="13">
                  <c:v>2026</c:v>
                </c:pt>
                <c:pt idx="14">
                  <c:v>2028</c:v>
                </c:pt>
                <c:pt idx="15">
                  <c:v>2030</c:v>
                </c:pt>
                <c:pt idx="16">
                  <c:v>2032</c:v>
                </c:pt>
                <c:pt idx="17">
                  <c:v>2034</c:v>
                </c:pt>
                <c:pt idx="18">
                  <c:v>2036</c:v>
                </c:pt>
                <c:pt idx="19">
                  <c:v>2038</c:v>
                </c:pt>
                <c:pt idx="20">
                  <c:v>2040</c:v>
                </c:pt>
              </c:numCache>
            </c:numRef>
          </c:xVal>
          <c:yVal>
            <c:numRef>
              <c:f>'Ex 5 Gauss 1'!$D$3:$D$23</c:f>
              <c:numCache>
                <c:formatCode>General</c:formatCode>
                <c:ptCount val="21"/>
                <c:pt idx="0">
                  <c:v>36.88731893394332</c:v>
                </c:pt>
                <c:pt idx="1">
                  <c:v>36.88731893394332</c:v>
                </c:pt>
                <c:pt idx="2">
                  <c:v>36.88731893394332</c:v>
                </c:pt>
                <c:pt idx="3">
                  <c:v>36.88731893394332</c:v>
                </c:pt>
                <c:pt idx="4">
                  <c:v>36.88731893394332</c:v>
                </c:pt>
                <c:pt idx="5">
                  <c:v>36.88731893394332</c:v>
                </c:pt>
                <c:pt idx="6">
                  <c:v>36.88731893394332</c:v>
                </c:pt>
                <c:pt idx="7">
                  <c:v>36.88731893394332</c:v>
                </c:pt>
                <c:pt idx="8">
                  <c:v>36.88731893394332</c:v>
                </c:pt>
                <c:pt idx="9">
                  <c:v>36.88731893394332</c:v>
                </c:pt>
                <c:pt idx="10">
                  <c:v>36.88731893394332</c:v>
                </c:pt>
                <c:pt idx="11">
                  <c:v>36.88731893394332</c:v>
                </c:pt>
                <c:pt idx="12">
                  <c:v>36.88731893394332</c:v>
                </c:pt>
                <c:pt idx="13">
                  <c:v>36.88731893394332</c:v>
                </c:pt>
                <c:pt idx="14">
                  <c:v>36.88731893394332</c:v>
                </c:pt>
                <c:pt idx="15">
                  <c:v>36.88731893394332</c:v>
                </c:pt>
                <c:pt idx="16">
                  <c:v>36.88731893394332</c:v>
                </c:pt>
                <c:pt idx="17">
                  <c:v>36.88731893394332</c:v>
                </c:pt>
                <c:pt idx="18">
                  <c:v>36.88731893394332</c:v>
                </c:pt>
                <c:pt idx="19">
                  <c:v>36.88731893394332</c:v>
                </c:pt>
                <c:pt idx="20">
                  <c:v>36.88731893394332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3CF-4FB4-B96C-22B455D29883}"/>
            </c:ext>
          </c:extLst>
        </c:ser>
        <c:ser>
          <c:idx val="1"/>
          <c:order val="1"/>
          <c:tx>
            <c:v>NDF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'Ex 5 Gauss 1'!$A$3:$A$23</c:f>
              <c:numCache>
                <c:formatCode>General</c:formatCode>
                <c:ptCount val="21"/>
                <c:pt idx="0">
                  <c:v>2000</c:v>
                </c:pt>
                <c:pt idx="1">
                  <c:v>2002</c:v>
                </c:pt>
                <c:pt idx="2">
                  <c:v>2004</c:v>
                </c:pt>
                <c:pt idx="3">
                  <c:v>2006</c:v>
                </c:pt>
                <c:pt idx="4">
                  <c:v>2008</c:v>
                </c:pt>
                <c:pt idx="5">
                  <c:v>2010</c:v>
                </c:pt>
                <c:pt idx="6">
                  <c:v>2012</c:v>
                </c:pt>
                <c:pt idx="7">
                  <c:v>2014</c:v>
                </c:pt>
                <c:pt idx="8">
                  <c:v>2016</c:v>
                </c:pt>
                <c:pt idx="9">
                  <c:v>2018</c:v>
                </c:pt>
                <c:pt idx="10">
                  <c:v>2020</c:v>
                </c:pt>
                <c:pt idx="11">
                  <c:v>2022</c:v>
                </c:pt>
                <c:pt idx="12">
                  <c:v>2024</c:v>
                </c:pt>
                <c:pt idx="13">
                  <c:v>2026</c:v>
                </c:pt>
                <c:pt idx="14">
                  <c:v>2028</c:v>
                </c:pt>
                <c:pt idx="15">
                  <c:v>2030</c:v>
                </c:pt>
                <c:pt idx="16">
                  <c:v>2032</c:v>
                </c:pt>
                <c:pt idx="17">
                  <c:v>2034</c:v>
                </c:pt>
                <c:pt idx="18">
                  <c:v>2036</c:v>
                </c:pt>
                <c:pt idx="19">
                  <c:v>2038</c:v>
                </c:pt>
                <c:pt idx="20">
                  <c:v>2040</c:v>
                </c:pt>
              </c:numCache>
            </c:numRef>
          </c:xVal>
          <c:yVal>
            <c:numRef>
              <c:f>'Ex 5 Gauss 1'!$G$3:$G$23</c:f>
              <c:numCache>
                <c:formatCode>0.000000</c:formatCode>
                <c:ptCount val="21"/>
                <c:pt idx="0">
                  <c:v>36.887394</c:v>
                </c:pt>
                <c:pt idx="1">
                  <c:v>36.887188000000002</c:v>
                </c:pt>
                <c:pt idx="2">
                  <c:v>36.887241000000003</c:v>
                </c:pt>
                <c:pt idx="3">
                  <c:v>36.887371000000002</c:v>
                </c:pt>
                <c:pt idx="4">
                  <c:v>36.887337000000002</c:v>
                </c:pt>
                <c:pt idx="5">
                  <c:v>36.887135000000001</c:v>
                </c:pt>
                <c:pt idx="6">
                  <c:v>36.887196000000003</c:v>
                </c:pt>
                <c:pt idx="7">
                  <c:v>36.887314000000003</c:v>
                </c:pt>
                <c:pt idx="8">
                  <c:v>36.887332999999998</c:v>
                </c:pt>
                <c:pt idx="9">
                  <c:v>36.887379000000003</c:v>
                </c:pt>
                <c:pt idx="10">
                  <c:v>36.88747</c:v>
                </c:pt>
                <c:pt idx="11">
                  <c:v>36.887096</c:v>
                </c:pt>
                <c:pt idx="12">
                  <c:v>36.887127</c:v>
                </c:pt>
                <c:pt idx="13">
                  <c:v>36.887301999999998</c:v>
                </c:pt>
                <c:pt idx="14">
                  <c:v>36.887348000000003</c:v>
                </c:pt>
                <c:pt idx="15">
                  <c:v>36.887272000000003</c:v>
                </c:pt>
                <c:pt idx="16">
                  <c:v>36.887390000000003</c:v>
                </c:pt>
                <c:pt idx="17">
                  <c:v>36.887282999999996</c:v>
                </c:pt>
                <c:pt idx="18">
                  <c:v>36.887462999999997</c:v>
                </c:pt>
                <c:pt idx="19">
                  <c:v>36.887287000000001</c:v>
                </c:pt>
                <c:pt idx="20">
                  <c:v>36.887058000000003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3CF-4FB4-B96C-22B455D29883}"/>
            </c:ext>
          </c:extLst>
        </c:ser>
        <c:ser>
          <c:idx val="2"/>
          <c:order val="2"/>
          <c:tx>
            <c:v>SIMNRA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'Ex 5 Gauss 1'!$I$3:$I$23</c:f>
              <c:numCache>
                <c:formatCode>General</c:formatCode>
                <c:ptCount val="21"/>
                <c:pt idx="0">
                  <c:v>2000</c:v>
                </c:pt>
                <c:pt idx="1">
                  <c:v>2002</c:v>
                </c:pt>
                <c:pt idx="2">
                  <c:v>2004</c:v>
                </c:pt>
                <c:pt idx="3">
                  <c:v>2006</c:v>
                </c:pt>
                <c:pt idx="4">
                  <c:v>2008</c:v>
                </c:pt>
                <c:pt idx="5">
                  <c:v>2010</c:v>
                </c:pt>
                <c:pt idx="6">
                  <c:v>2012</c:v>
                </c:pt>
                <c:pt idx="7">
                  <c:v>2014</c:v>
                </c:pt>
                <c:pt idx="8">
                  <c:v>2016</c:v>
                </c:pt>
                <c:pt idx="9">
                  <c:v>2018</c:v>
                </c:pt>
                <c:pt idx="10">
                  <c:v>2020</c:v>
                </c:pt>
                <c:pt idx="11">
                  <c:v>2022</c:v>
                </c:pt>
                <c:pt idx="12">
                  <c:v>2024</c:v>
                </c:pt>
                <c:pt idx="13">
                  <c:v>2026</c:v>
                </c:pt>
                <c:pt idx="14">
                  <c:v>2028</c:v>
                </c:pt>
                <c:pt idx="15">
                  <c:v>2030</c:v>
                </c:pt>
                <c:pt idx="16">
                  <c:v>2032</c:v>
                </c:pt>
                <c:pt idx="17">
                  <c:v>2034</c:v>
                </c:pt>
                <c:pt idx="18">
                  <c:v>2036</c:v>
                </c:pt>
                <c:pt idx="19">
                  <c:v>2038</c:v>
                </c:pt>
                <c:pt idx="20">
                  <c:v>2040</c:v>
                </c:pt>
              </c:numCache>
            </c:numRef>
          </c:xVal>
          <c:yVal>
            <c:numRef>
              <c:f>'Ex 5 Gauss 1'!$J$3:$J$23</c:f>
              <c:numCache>
                <c:formatCode>General</c:formatCode>
                <c:ptCount val="21"/>
                <c:pt idx="0">
                  <c:v>36.887318721887901</c:v>
                </c:pt>
                <c:pt idx="1">
                  <c:v>36.887318721887901</c:v>
                </c:pt>
                <c:pt idx="2">
                  <c:v>36.887318721887901</c:v>
                </c:pt>
                <c:pt idx="3">
                  <c:v>36.887318721887901</c:v>
                </c:pt>
                <c:pt idx="4">
                  <c:v>36.887318721887901</c:v>
                </c:pt>
                <c:pt idx="5">
                  <c:v>36.887318721887901</c:v>
                </c:pt>
                <c:pt idx="6">
                  <c:v>36.887318721887901</c:v>
                </c:pt>
                <c:pt idx="7">
                  <c:v>36.887318721887901</c:v>
                </c:pt>
                <c:pt idx="8">
                  <c:v>36.887318721887901</c:v>
                </c:pt>
                <c:pt idx="9">
                  <c:v>36.887318721887901</c:v>
                </c:pt>
                <c:pt idx="10">
                  <c:v>36.887318721887901</c:v>
                </c:pt>
                <c:pt idx="11">
                  <c:v>36.887318721887901</c:v>
                </c:pt>
                <c:pt idx="12">
                  <c:v>36.887318721887901</c:v>
                </c:pt>
                <c:pt idx="13">
                  <c:v>36.887318721887901</c:v>
                </c:pt>
                <c:pt idx="14">
                  <c:v>36.887318721887901</c:v>
                </c:pt>
                <c:pt idx="15">
                  <c:v>36.887318721887901</c:v>
                </c:pt>
                <c:pt idx="16">
                  <c:v>36.887318721887901</c:v>
                </c:pt>
                <c:pt idx="17">
                  <c:v>36.887318721887901</c:v>
                </c:pt>
                <c:pt idx="18">
                  <c:v>36.887318721887901</c:v>
                </c:pt>
                <c:pt idx="19">
                  <c:v>36.887318721887901</c:v>
                </c:pt>
                <c:pt idx="20">
                  <c:v>36.887318721887901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3CF-4FB4-B96C-22B455D298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5752616"/>
        <c:axId val="455752976"/>
      </c:scatterChart>
      <c:valAx>
        <c:axId val="4557526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/>
                  <a:t>beam energy (keV)</a:t>
                </a:r>
              </a:p>
            </c:rich>
          </c:tx>
          <c:layout>
            <c:manualLayout>
              <c:xMode val="edge"/>
              <c:yMode val="edge"/>
              <c:x val="0.37039155985983635"/>
              <c:y val="0.7959367734120084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752976"/>
        <c:crosses val="autoZero"/>
        <c:crossBetween val="midCat"/>
      </c:valAx>
      <c:valAx>
        <c:axId val="455752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/>
                  <a:t>yield</a:t>
                </a:r>
              </a:p>
            </c:rich>
          </c:tx>
          <c:layout>
            <c:manualLayout>
              <c:xMode val="edge"/>
              <c:yMode val="edge"/>
              <c:x val="3.0555555555555555E-2"/>
              <c:y val="0.3459295713035870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7526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ERYA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'Ex 5 Gauss 1'!$A$3:$A$23</c:f>
              <c:numCache>
                <c:formatCode>General</c:formatCode>
                <c:ptCount val="21"/>
                <c:pt idx="0">
                  <c:v>2000</c:v>
                </c:pt>
                <c:pt idx="1">
                  <c:v>2002</c:v>
                </c:pt>
                <c:pt idx="2">
                  <c:v>2004</c:v>
                </c:pt>
                <c:pt idx="3">
                  <c:v>2006</c:v>
                </c:pt>
                <c:pt idx="4">
                  <c:v>2008</c:v>
                </c:pt>
                <c:pt idx="5">
                  <c:v>2010</c:v>
                </c:pt>
                <c:pt idx="6">
                  <c:v>2012</c:v>
                </c:pt>
                <c:pt idx="7">
                  <c:v>2014</c:v>
                </c:pt>
                <c:pt idx="8">
                  <c:v>2016</c:v>
                </c:pt>
                <c:pt idx="9">
                  <c:v>2018</c:v>
                </c:pt>
                <c:pt idx="10">
                  <c:v>2020</c:v>
                </c:pt>
                <c:pt idx="11">
                  <c:v>2022</c:v>
                </c:pt>
                <c:pt idx="12">
                  <c:v>2024</c:v>
                </c:pt>
                <c:pt idx="13">
                  <c:v>2026</c:v>
                </c:pt>
                <c:pt idx="14">
                  <c:v>2028</c:v>
                </c:pt>
                <c:pt idx="15">
                  <c:v>2030</c:v>
                </c:pt>
                <c:pt idx="16">
                  <c:v>2032</c:v>
                </c:pt>
                <c:pt idx="17">
                  <c:v>2034</c:v>
                </c:pt>
                <c:pt idx="18">
                  <c:v>2036</c:v>
                </c:pt>
                <c:pt idx="19">
                  <c:v>2038</c:v>
                </c:pt>
                <c:pt idx="20">
                  <c:v>2040</c:v>
                </c:pt>
              </c:numCache>
            </c:numRef>
          </c:xVal>
          <c:yVal>
            <c:numRef>
              <c:f>'Ex 5 Gauss 1'!$L$3:$L$23</c:f>
              <c:numCache>
                <c:formatCode>General</c:formatCode>
                <c:ptCount val="21"/>
                <c:pt idx="0">
                  <c:v>0.99999796499430993</c:v>
                </c:pt>
                <c:pt idx="1">
                  <c:v>1.0000035495777915</c:v>
                </c:pt>
                <c:pt idx="2">
                  <c:v>1.0000021127615186</c:v>
                </c:pt>
                <c:pt idx="3">
                  <c:v>0.99999858851267331</c:v>
                </c:pt>
                <c:pt idx="4">
                  <c:v>0.99999951023689559</c:v>
                </c:pt>
                <c:pt idx="5">
                  <c:v>1.0000049863981932</c:v>
                </c:pt>
                <c:pt idx="6">
                  <c:v>1.000003332699599</c:v>
                </c:pt>
                <c:pt idx="7">
                  <c:v>1.000000133757186</c:v>
                </c:pt>
                <c:pt idx="8">
                  <c:v>0.99999961867515119</c:v>
                </c:pt>
                <c:pt idx="9">
                  <c:v>0.99999837163663263</c:v>
                </c:pt>
                <c:pt idx="10">
                  <c:v>0.99999590467829103</c:v>
                </c:pt>
                <c:pt idx="11">
                  <c:v>1.0000060436837674</c:v>
                </c:pt>
                <c:pt idx="12">
                  <c:v>1.0000052032771032</c:v>
                </c:pt>
                <c:pt idx="13">
                  <c:v>1.0000004590724287</c:v>
                </c:pt>
                <c:pt idx="14">
                  <c:v>0.99999921203181419</c:v>
                </c:pt>
                <c:pt idx="15">
                  <c:v>1.0000012723614615</c:v>
                </c:pt>
                <c:pt idx="16">
                  <c:v>0.99999807343223024</c:v>
                </c:pt>
                <c:pt idx="17">
                  <c:v>1.0000009741553295</c:v>
                </c:pt>
                <c:pt idx="18">
                  <c:v>0.99999609444388526</c:v>
                </c:pt>
                <c:pt idx="19">
                  <c:v>1.0000008657167798</c:v>
                </c:pt>
                <c:pt idx="20">
                  <c:v>1.0000070738616051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913-4947-9033-E2237D3AB482}"/>
            </c:ext>
          </c:extLst>
        </c:ser>
        <c:ser>
          <c:idx val="1"/>
          <c:order val="1"/>
          <c:tx>
            <c:v>SIMNRA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'Ex 5 Gauss 1'!$A$3:$A$23</c:f>
              <c:numCache>
                <c:formatCode>General</c:formatCode>
                <c:ptCount val="21"/>
                <c:pt idx="0">
                  <c:v>2000</c:v>
                </c:pt>
                <c:pt idx="1">
                  <c:v>2002</c:v>
                </c:pt>
                <c:pt idx="2">
                  <c:v>2004</c:v>
                </c:pt>
                <c:pt idx="3">
                  <c:v>2006</c:v>
                </c:pt>
                <c:pt idx="4">
                  <c:v>2008</c:v>
                </c:pt>
                <c:pt idx="5">
                  <c:v>2010</c:v>
                </c:pt>
                <c:pt idx="6">
                  <c:v>2012</c:v>
                </c:pt>
                <c:pt idx="7">
                  <c:v>2014</c:v>
                </c:pt>
                <c:pt idx="8">
                  <c:v>2016</c:v>
                </c:pt>
                <c:pt idx="9">
                  <c:v>2018</c:v>
                </c:pt>
                <c:pt idx="10">
                  <c:v>2020</c:v>
                </c:pt>
                <c:pt idx="11">
                  <c:v>2022</c:v>
                </c:pt>
                <c:pt idx="12">
                  <c:v>2024</c:v>
                </c:pt>
                <c:pt idx="13">
                  <c:v>2026</c:v>
                </c:pt>
                <c:pt idx="14">
                  <c:v>2028</c:v>
                </c:pt>
                <c:pt idx="15">
                  <c:v>2030</c:v>
                </c:pt>
                <c:pt idx="16">
                  <c:v>2032</c:v>
                </c:pt>
                <c:pt idx="17">
                  <c:v>2034</c:v>
                </c:pt>
                <c:pt idx="18">
                  <c:v>2036</c:v>
                </c:pt>
                <c:pt idx="19">
                  <c:v>2038</c:v>
                </c:pt>
                <c:pt idx="20">
                  <c:v>2040</c:v>
                </c:pt>
              </c:numCache>
            </c:numRef>
          </c:xVal>
          <c:yVal>
            <c:numRef>
              <c:f>'Ex 5 Gauss 1'!$N$3:$N$23</c:f>
              <c:numCache>
                <c:formatCode>General</c:formatCode>
                <c:ptCount val="21"/>
                <c:pt idx="0">
                  <c:v>0.99999795924558676</c:v>
                </c:pt>
                <c:pt idx="1">
                  <c:v>1.0000035438290362</c:v>
                </c:pt>
                <c:pt idx="2">
                  <c:v>1.0000021070127716</c:v>
                </c:pt>
                <c:pt idx="3">
                  <c:v>0.99999858276394649</c:v>
                </c:pt>
                <c:pt idx="4">
                  <c:v>0.99999950448816344</c:v>
                </c:pt>
                <c:pt idx="5">
                  <c:v>1.0000049806494298</c:v>
                </c:pt>
                <c:pt idx="6">
                  <c:v>1.0000033269508448</c:v>
                </c:pt>
                <c:pt idx="7">
                  <c:v>1.0000001280084503</c:v>
                </c:pt>
                <c:pt idx="8">
                  <c:v>0.99999961292641848</c:v>
                </c:pt>
                <c:pt idx="9">
                  <c:v>0.99999836588790703</c:v>
                </c:pt>
                <c:pt idx="10">
                  <c:v>0.99999589892957963</c:v>
                </c:pt>
                <c:pt idx="11">
                  <c:v>1.0000060379349978</c:v>
                </c:pt>
                <c:pt idx="12">
                  <c:v>1.0000051975283384</c:v>
                </c:pt>
                <c:pt idx="13">
                  <c:v>1.0000004533236913</c:v>
                </c:pt>
                <c:pt idx="14">
                  <c:v>0.99999920628308381</c:v>
                </c:pt>
                <c:pt idx="15">
                  <c:v>1.0000012666127194</c:v>
                </c:pt>
                <c:pt idx="16">
                  <c:v>0.99999806768350641</c:v>
                </c:pt>
                <c:pt idx="17">
                  <c:v>1.0000009684065889</c:v>
                </c:pt>
                <c:pt idx="18">
                  <c:v>0.99999608869517276</c:v>
                </c:pt>
                <c:pt idx="19">
                  <c:v>1.0000008599680399</c:v>
                </c:pt>
                <c:pt idx="20">
                  <c:v>1.0000070681128297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913-4947-9033-E2237D3AB482}"/>
            </c:ext>
          </c:extLst>
        </c:ser>
        <c:ser>
          <c:idx val="2"/>
          <c:order val="2"/>
          <c:spPr>
            <a:ln w="127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'Ex 5 Gauss 1'!$X$3:$X$23</c:f>
              <c:numCache>
                <c:formatCode>General</c:formatCode>
                <c:ptCount val="21"/>
                <c:pt idx="0">
                  <c:v>2000</c:v>
                </c:pt>
                <c:pt idx="1">
                  <c:v>2002</c:v>
                </c:pt>
                <c:pt idx="2">
                  <c:v>2004</c:v>
                </c:pt>
                <c:pt idx="3">
                  <c:v>2006</c:v>
                </c:pt>
                <c:pt idx="4">
                  <c:v>2008</c:v>
                </c:pt>
                <c:pt idx="5">
                  <c:v>2010</c:v>
                </c:pt>
                <c:pt idx="6">
                  <c:v>2012</c:v>
                </c:pt>
                <c:pt idx="7">
                  <c:v>2014</c:v>
                </c:pt>
                <c:pt idx="8">
                  <c:v>2016</c:v>
                </c:pt>
                <c:pt idx="9">
                  <c:v>2018</c:v>
                </c:pt>
                <c:pt idx="10">
                  <c:v>2020</c:v>
                </c:pt>
                <c:pt idx="11">
                  <c:v>2022</c:v>
                </c:pt>
                <c:pt idx="12">
                  <c:v>2024</c:v>
                </c:pt>
                <c:pt idx="13">
                  <c:v>2026</c:v>
                </c:pt>
                <c:pt idx="14">
                  <c:v>2028</c:v>
                </c:pt>
                <c:pt idx="15">
                  <c:v>2030</c:v>
                </c:pt>
                <c:pt idx="16">
                  <c:v>2032</c:v>
                </c:pt>
                <c:pt idx="17">
                  <c:v>2034</c:v>
                </c:pt>
                <c:pt idx="18">
                  <c:v>2036</c:v>
                </c:pt>
                <c:pt idx="19">
                  <c:v>2038</c:v>
                </c:pt>
                <c:pt idx="20">
                  <c:v>2040</c:v>
                </c:pt>
              </c:numCache>
            </c:numRef>
          </c:xVal>
          <c:yVal>
            <c:numRef>
              <c:f>'Ex 5 Gauss 1'!$AC$3:$AC$23</c:f>
              <c:numCache>
                <c:formatCode>General</c:formatCode>
                <c:ptCount val="2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87B-4CEC-BCA2-299DB8BF69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6957800"/>
        <c:axId val="1126959240"/>
      </c:scatterChart>
      <c:valAx>
        <c:axId val="1126957800"/>
        <c:scaling>
          <c:orientation val="minMax"/>
          <c:max val="2040"/>
          <c:min val="2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/>
                  <a:t>beam energy (keV)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6959240"/>
        <c:crosses val="autoZero"/>
        <c:crossBetween val="midCat"/>
      </c:valAx>
      <c:valAx>
        <c:axId val="1126959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/>
                  <a:t>ratio to NDF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69578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598487</xdr:colOff>
      <xdr:row>26</xdr:row>
      <xdr:rowOff>60325</xdr:rowOff>
    </xdr:from>
    <xdr:to>
      <xdr:col>6</xdr:col>
      <xdr:colOff>469900</xdr:colOff>
      <xdr:row>55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D1C80C6-A1E0-302E-D6EB-2A6B2D9996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725486</xdr:colOff>
      <xdr:row>26</xdr:row>
      <xdr:rowOff>187324</xdr:rowOff>
    </xdr:from>
    <xdr:to>
      <xdr:col>10</xdr:col>
      <xdr:colOff>406400</xdr:colOff>
      <xdr:row>47</xdr:row>
      <xdr:rowOff>190500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F64C543-080C-F9B9-CD87-16D70FB6CF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661986</xdr:colOff>
      <xdr:row>27</xdr:row>
      <xdr:rowOff>19050</xdr:rowOff>
    </xdr:from>
    <xdr:to>
      <xdr:col>15</xdr:col>
      <xdr:colOff>520700</xdr:colOff>
      <xdr:row>47</xdr:row>
      <xdr:rowOff>114300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52D2C7E-AD39-2816-D216-9F03DEAB1A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821393</xdr:colOff>
      <xdr:row>25</xdr:row>
      <xdr:rowOff>21897</xdr:rowOff>
    </xdr:from>
    <xdr:to>
      <xdr:col>13</xdr:col>
      <xdr:colOff>87587</xdr:colOff>
      <xdr:row>45</xdr:row>
      <xdr:rowOff>131378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573FD88-8AD1-872F-9E45-8175ACB983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384883</xdr:colOff>
      <xdr:row>25</xdr:row>
      <xdr:rowOff>44777</xdr:rowOff>
    </xdr:from>
    <xdr:to>
      <xdr:col>21</xdr:col>
      <xdr:colOff>273705</xdr:colOff>
      <xdr:row>45</xdr:row>
      <xdr:rowOff>142327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B4E7C06-8CAD-3EDA-9D4C-EAC354C843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459827</xdr:colOff>
      <xdr:row>24</xdr:row>
      <xdr:rowOff>76637</xdr:rowOff>
    </xdr:from>
    <xdr:to>
      <xdr:col>7</xdr:col>
      <xdr:colOff>426982</xdr:colOff>
      <xdr:row>48</xdr:row>
      <xdr:rowOff>153275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804FBF4-615E-403B-8D84-39C9820B23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404812</xdr:colOff>
      <xdr:row>0</xdr:row>
      <xdr:rowOff>47625</xdr:rowOff>
    </xdr:from>
    <xdr:to>
      <xdr:col>23</xdr:col>
      <xdr:colOff>104776</xdr:colOff>
      <xdr:row>19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26A685D-972A-9577-6AC5-A8FF80389F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404811</xdr:colOff>
      <xdr:row>19</xdr:row>
      <xdr:rowOff>66675</xdr:rowOff>
    </xdr:from>
    <xdr:to>
      <xdr:col>23</xdr:col>
      <xdr:colOff>104774</xdr:colOff>
      <xdr:row>37</xdr:row>
      <xdr:rowOff>66675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DDEF42D-FA76-75DA-184F-59C9284011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261936</xdr:colOff>
      <xdr:row>0</xdr:row>
      <xdr:rowOff>19049</xdr:rowOff>
    </xdr:from>
    <xdr:to>
      <xdr:col>23</xdr:col>
      <xdr:colOff>28575</xdr:colOff>
      <xdr:row>19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6B96957-1B72-8218-3C0A-D3D5BE3F98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261936</xdr:colOff>
      <xdr:row>19</xdr:row>
      <xdr:rowOff>171449</xdr:rowOff>
    </xdr:from>
    <xdr:to>
      <xdr:col>23</xdr:col>
      <xdr:colOff>76200</xdr:colOff>
      <xdr:row>36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3C08076-A847-B81A-5426-B57765DA4C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zoomScale="75" zoomScaleNormal="75" workbookViewId="0">
      <selection activeCell="T1" sqref="T1:V1048576"/>
    </sheetView>
  </sheetViews>
  <sheetFormatPr defaultColWidth="20.625" defaultRowHeight="15.75" x14ac:dyDescent="0.25"/>
  <cols>
    <col min="1" max="1" width="14.625" customWidth="1"/>
    <col min="2" max="2" width="16.75" customWidth="1"/>
    <col min="3" max="3" width="11.5" customWidth="1"/>
    <col min="4" max="4" width="15.75" style="1" customWidth="1"/>
    <col min="5" max="5" width="20.625" style="2"/>
    <col min="6" max="6" width="14.625" customWidth="1"/>
    <col min="7" max="7" width="15.625" customWidth="1"/>
    <col min="11" max="11" width="16.5" customWidth="1"/>
    <col min="12" max="12" width="13.5" customWidth="1"/>
    <col min="13" max="13" width="16.5" customWidth="1"/>
    <col min="14" max="14" width="13.75" customWidth="1"/>
    <col min="19" max="19" width="30.375" customWidth="1"/>
  </cols>
  <sheetData>
    <row r="1" spans="1:14" x14ac:dyDescent="0.25">
      <c r="A1" t="s">
        <v>4</v>
      </c>
      <c r="D1" s="1" t="s">
        <v>5</v>
      </c>
      <c r="G1" t="s">
        <v>6</v>
      </c>
      <c r="H1" t="s">
        <v>12</v>
      </c>
      <c r="I1" t="s">
        <v>13</v>
      </c>
      <c r="K1" t="s">
        <v>7</v>
      </c>
      <c r="L1" t="s">
        <v>8</v>
      </c>
      <c r="M1" t="s">
        <v>9</v>
      </c>
      <c r="N1" t="s">
        <v>8</v>
      </c>
    </row>
    <row r="2" spans="1:14" x14ac:dyDescent="0.25">
      <c r="A2" t="s">
        <v>0</v>
      </c>
      <c r="B2" t="s">
        <v>3</v>
      </c>
      <c r="D2" t="s">
        <v>0</v>
      </c>
      <c r="E2" t="s">
        <v>3</v>
      </c>
      <c r="G2" t="s">
        <v>0</v>
      </c>
      <c r="H2" t="s">
        <v>3</v>
      </c>
    </row>
    <row r="3" spans="1:14" x14ac:dyDescent="0.25">
      <c r="A3">
        <v>2000</v>
      </c>
      <c r="B3" s="3">
        <v>36.887318999999998</v>
      </c>
      <c r="D3" s="1">
        <v>2000</v>
      </c>
      <c r="E3" s="2">
        <v>36.887225999999998</v>
      </c>
      <c r="G3">
        <v>2000</v>
      </c>
      <c r="H3">
        <v>36.887341715486102</v>
      </c>
      <c r="I3">
        <v>36.887310595459198</v>
      </c>
      <c r="K3">
        <f>B3/E3</f>
        <v>1.0000025211979886</v>
      </c>
      <c r="L3">
        <f>1-K3</f>
        <v>-2.5211979886030633E-6</v>
      </c>
      <c r="M3">
        <f>H3/E3</f>
        <v>1.0000031370069982</v>
      </c>
      <c r="N3">
        <f>1-M3</f>
        <v>-3.1370069981662141E-6</v>
      </c>
    </row>
    <row r="4" spans="1:14" x14ac:dyDescent="0.25">
      <c r="A4">
        <v>2002</v>
      </c>
      <c r="B4" s="3">
        <v>36.887318999999998</v>
      </c>
      <c r="D4" s="1">
        <v>2002</v>
      </c>
      <c r="E4" s="2">
        <v>36.887287000000001</v>
      </c>
      <c r="G4">
        <v>2002</v>
      </c>
      <c r="H4">
        <v>36.887343099842397</v>
      </c>
      <c r="I4">
        <v>36.887310514137702</v>
      </c>
      <c r="K4">
        <f t="shared" ref="K4:K23" si="0">B4/E4</f>
        <v>1.0000008675075507</v>
      </c>
      <c r="L4">
        <f t="shared" ref="L4:L23" si="1">1-K4</f>
        <v>-8.6750755068365493E-7</v>
      </c>
      <c r="M4">
        <f t="shared" ref="M4:M23" si="2">H4/E4</f>
        <v>1.0000015208449025</v>
      </c>
      <c r="N4">
        <f t="shared" ref="N4:N23" si="3">1-M4</f>
        <v>-1.520844902458407E-6</v>
      </c>
    </row>
    <row r="5" spans="1:14" x14ac:dyDescent="0.25">
      <c r="A5">
        <v>2004</v>
      </c>
      <c r="B5" s="3">
        <v>36.887318999999998</v>
      </c>
      <c r="D5" s="1">
        <v>2004</v>
      </c>
      <c r="E5" s="2">
        <v>36.887324999999997</v>
      </c>
      <c r="G5">
        <v>2004</v>
      </c>
      <c r="H5">
        <v>36.887299679733601</v>
      </c>
      <c r="I5">
        <v>36.887338234991603</v>
      </c>
      <c r="K5">
        <f t="shared" si="0"/>
        <v>0.99999983734250186</v>
      </c>
      <c r="L5">
        <f t="shared" si="1"/>
        <v>1.6265749813726416E-7</v>
      </c>
      <c r="M5">
        <f t="shared" si="2"/>
        <v>0.99999931357813565</v>
      </c>
      <c r="N5">
        <f t="shared" si="3"/>
        <v>6.8642186434875185E-7</v>
      </c>
    </row>
    <row r="6" spans="1:14" x14ac:dyDescent="0.25">
      <c r="A6">
        <v>2006</v>
      </c>
      <c r="B6" s="3">
        <v>36.887318999999998</v>
      </c>
      <c r="D6" s="1">
        <v>2006</v>
      </c>
      <c r="E6" s="2">
        <v>36.887374999999999</v>
      </c>
      <c r="G6">
        <v>2006</v>
      </c>
      <c r="H6">
        <v>36.8872940840848</v>
      </c>
      <c r="I6">
        <v>36.887342915644197</v>
      </c>
      <c r="K6">
        <f t="shared" si="0"/>
        <v>0.99999848186540785</v>
      </c>
      <c r="L6">
        <f t="shared" si="1"/>
        <v>1.5181345921488898E-6</v>
      </c>
      <c r="M6">
        <f t="shared" si="2"/>
        <v>0.99999780640625147</v>
      </c>
      <c r="N6">
        <f t="shared" si="3"/>
        <v>2.1935937485340062E-6</v>
      </c>
    </row>
    <row r="7" spans="1:14" x14ac:dyDescent="0.25">
      <c r="A7">
        <v>2008</v>
      </c>
      <c r="B7" s="3">
        <v>36.887318999999998</v>
      </c>
      <c r="D7" s="1">
        <v>2008</v>
      </c>
      <c r="E7" s="2">
        <v>36.887324999999997</v>
      </c>
      <c r="G7">
        <v>2008</v>
      </c>
      <c r="H7">
        <v>36.887316794861903</v>
      </c>
      <c r="I7">
        <v>36.8872916552899</v>
      </c>
      <c r="K7">
        <f t="shared" si="0"/>
        <v>0.99999983734250186</v>
      </c>
      <c r="L7">
        <f t="shared" si="1"/>
        <v>1.6265749813726416E-7</v>
      </c>
      <c r="M7">
        <f t="shared" si="2"/>
        <v>0.99999977756212755</v>
      </c>
      <c r="N7">
        <f t="shared" si="3"/>
        <v>2.2243787245468383E-7</v>
      </c>
    </row>
    <row r="8" spans="1:14" x14ac:dyDescent="0.25">
      <c r="A8">
        <v>2010</v>
      </c>
      <c r="B8" s="3">
        <v>36.887318999999998</v>
      </c>
      <c r="D8" s="1">
        <v>2010</v>
      </c>
      <c r="E8" s="2">
        <v>36.887385999999999</v>
      </c>
      <c r="G8">
        <v>2010</v>
      </c>
      <c r="H8">
        <v>36.887336055394101</v>
      </c>
      <c r="I8">
        <v>36.887301014948598</v>
      </c>
      <c r="K8">
        <f t="shared" si="0"/>
        <v>0.99999818366094029</v>
      </c>
      <c r="L8">
        <f t="shared" si="1"/>
        <v>1.8163390597125684E-6</v>
      </c>
      <c r="M8">
        <f t="shared" si="2"/>
        <v>0.99999864602479838</v>
      </c>
      <c r="N8">
        <f t="shared" si="3"/>
        <v>1.3539752016233919E-6</v>
      </c>
    </row>
    <row r="9" spans="1:14" x14ac:dyDescent="0.25">
      <c r="A9">
        <v>2012</v>
      </c>
      <c r="B9" s="3">
        <v>36.887318999999998</v>
      </c>
      <c r="D9" s="1">
        <v>2012</v>
      </c>
      <c r="E9" s="2">
        <v>36.887473999999997</v>
      </c>
      <c r="G9">
        <v>2012</v>
      </c>
      <c r="H9">
        <v>36.887349307379097</v>
      </c>
      <c r="I9">
        <v>36.887337122487303</v>
      </c>
      <c r="K9">
        <f t="shared" si="0"/>
        <v>0.99999579803160288</v>
      </c>
      <c r="L9">
        <f t="shared" si="1"/>
        <v>4.2019683971217248E-6</v>
      </c>
      <c r="M9">
        <f t="shared" si="2"/>
        <v>0.99999661964869424</v>
      </c>
      <c r="N9">
        <f t="shared" si="3"/>
        <v>3.3803513057595325E-6</v>
      </c>
    </row>
    <row r="10" spans="1:14" x14ac:dyDescent="0.25">
      <c r="A10">
        <v>2014</v>
      </c>
      <c r="B10" s="3">
        <v>36.887318999999998</v>
      </c>
      <c r="D10" s="1">
        <v>2014</v>
      </c>
      <c r="E10" s="2">
        <v>36.887272000000003</v>
      </c>
      <c r="G10">
        <v>2014</v>
      </c>
      <c r="H10">
        <v>36.887310585114399</v>
      </c>
      <c r="I10">
        <v>36.887332485868399</v>
      </c>
      <c r="K10">
        <f t="shared" si="0"/>
        <v>1.0000012741522333</v>
      </c>
      <c r="L10">
        <f t="shared" si="1"/>
        <v>-1.2741522332770927E-6</v>
      </c>
      <c r="M10">
        <f t="shared" si="2"/>
        <v>1.0000010460278654</v>
      </c>
      <c r="N10">
        <f t="shared" si="3"/>
        <v>-1.0460278654367272E-6</v>
      </c>
    </row>
    <row r="11" spans="1:14" x14ac:dyDescent="0.25">
      <c r="A11">
        <v>2016</v>
      </c>
      <c r="B11" s="3">
        <v>36.887318999999998</v>
      </c>
      <c r="D11" s="1">
        <v>2016</v>
      </c>
      <c r="E11" s="2">
        <v>36.887321</v>
      </c>
      <c r="G11">
        <v>2016</v>
      </c>
      <c r="H11">
        <v>36.8872804654414</v>
      </c>
      <c r="I11">
        <v>36.887321402483401</v>
      </c>
      <c r="K11">
        <f t="shared" si="0"/>
        <v>0.99999994578082796</v>
      </c>
      <c r="L11">
        <f t="shared" si="1"/>
        <v>5.4219172040959052E-8</v>
      </c>
      <c r="M11">
        <f t="shared" si="2"/>
        <v>0.99999890112489875</v>
      </c>
      <c r="N11">
        <f t="shared" si="3"/>
        <v>1.0988751012463993E-6</v>
      </c>
    </row>
    <row r="12" spans="1:14" x14ac:dyDescent="0.25">
      <c r="A12">
        <v>2018</v>
      </c>
      <c r="B12" s="3">
        <v>36.887318999999998</v>
      </c>
      <c r="D12" s="1">
        <v>2018</v>
      </c>
      <c r="E12" s="2">
        <v>36.887318</v>
      </c>
      <c r="G12">
        <v>2018</v>
      </c>
      <c r="H12">
        <v>36.887314940116198</v>
      </c>
      <c r="I12">
        <v>36.887303454072701</v>
      </c>
      <c r="K12">
        <f t="shared" si="0"/>
        <v>1.0000000271095881</v>
      </c>
      <c r="L12">
        <f t="shared" si="1"/>
        <v>-2.7109588129903273E-8</v>
      </c>
      <c r="M12">
        <f t="shared" si="2"/>
        <v>0.99999991704781022</v>
      </c>
      <c r="N12">
        <f t="shared" si="3"/>
        <v>8.2952189783824792E-8</v>
      </c>
    </row>
    <row r="13" spans="1:14" x14ac:dyDescent="0.25">
      <c r="A13">
        <v>2020</v>
      </c>
      <c r="B13" s="3">
        <v>36.887318999999998</v>
      </c>
      <c r="D13" s="1">
        <v>2020</v>
      </c>
      <c r="E13" s="2">
        <v>36.887225999999998</v>
      </c>
      <c r="G13">
        <v>2020</v>
      </c>
      <c r="H13">
        <v>36.887337610748503</v>
      </c>
      <c r="I13">
        <v>36.887298129662099</v>
      </c>
      <c r="K13">
        <f t="shared" si="0"/>
        <v>1.0000025211979886</v>
      </c>
      <c r="L13">
        <f t="shared" si="1"/>
        <v>-2.5211979886030633E-6</v>
      </c>
      <c r="M13">
        <f t="shared" si="2"/>
        <v>1.0000030257289747</v>
      </c>
      <c r="N13">
        <f t="shared" si="3"/>
        <v>-3.0257289747037674E-6</v>
      </c>
    </row>
    <row r="14" spans="1:14" x14ac:dyDescent="0.25">
      <c r="A14">
        <v>2022</v>
      </c>
      <c r="B14" s="3">
        <v>36.887318999999998</v>
      </c>
      <c r="D14" s="1">
        <v>2022</v>
      </c>
      <c r="E14" s="2">
        <v>36.887233999999999</v>
      </c>
      <c r="G14">
        <v>2022</v>
      </c>
      <c r="H14">
        <v>36.887341712279998</v>
      </c>
      <c r="I14">
        <v>36.887341633610298</v>
      </c>
      <c r="K14">
        <f t="shared" si="0"/>
        <v>1.0000023043202426</v>
      </c>
      <c r="L14">
        <f t="shared" si="1"/>
        <v>-2.3043202426187293E-6</v>
      </c>
      <c r="M14">
        <f t="shared" si="2"/>
        <v>1.000002920042202</v>
      </c>
      <c r="N14">
        <f t="shared" si="3"/>
        <v>-2.9200422020370098E-6</v>
      </c>
    </row>
    <row r="15" spans="1:14" x14ac:dyDescent="0.25">
      <c r="A15">
        <v>2024</v>
      </c>
      <c r="B15" s="3">
        <v>36.887318999999998</v>
      </c>
      <c r="D15" s="1">
        <v>2024</v>
      </c>
      <c r="E15" s="2">
        <v>36.887379000000003</v>
      </c>
      <c r="G15">
        <v>2024</v>
      </c>
      <c r="H15">
        <v>36.8873221133058</v>
      </c>
      <c r="I15">
        <v>36.887347763958701</v>
      </c>
      <c r="K15">
        <f t="shared" si="0"/>
        <v>0.99999837342739895</v>
      </c>
      <c r="L15">
        <f t="shared" si="1"/>
        <v>1.6265726010544768E-6</v>
      </c>
      <c r="M15">
        <f t="shared" si="2"/>
        <v>0.99999845782769758</v>
      </c>
      <c r="N15">
        <f t="shared" si="3"/>
        <v>1.5421723024156009E-6</v>
      </c>
    </row>
    <row r="16" spans="1:14" x14ac:dyDescent="0.25">
      <c r="A16">
        <v>2026</v>
      </c>
      <c r="B16" s="3">
        <v>36.887318999999998</v>
      </c>
      <c r="D16" s="1">
        <v>2026</v>
      </c>
      <c r="E16" s="2">
        <v>36.887394</v>
      </c>
      <c r="G16">
        <v>2026</v>
      </c>
      <c r="H16">
        <v>36.887282417139303</v>
      </c>
      <c r="I16">
        <v>36.8872917370444</v>
      </c>
      <c r="K16">
        <f t="shared" si="0"/>
        <v>0.99999796678507558</v>
      </c>
      <c r="L16">
        <f t="shared" si="1"/>
        <v>2.0332149244239872E-6</v>
      </c>
      <c r="M16">
        <f t="shared" si="2"/>
        <v>0.99999697504083107</v>
      </c>
      <c r="N16">
        <f t="shared" si="3"/>
        <v>3.0249591689290867E-6</v>
      </c>
    </row>
    <row r="17" spans="1:14" x14ac:dyDescent="0.25">
      <c r="A17">
        <v>2028</v>
      </c>
      <c r="B17" s="3">
        <v>36.887318999999998</v>
      </c>
      <c r="D17" s="1">
        <v>2028</v>
      </c>
      <c r="E17" s="2">
        <v>36.887366999999998</v>
      </c>
      <c r="G17">
        <v>2028</v>
      </c>
      <c r="H17">
        <v>36.887301786539197</v>
      </c>
      <c r="I17">
        <v>36.887295070483702</v>
      </c>
      <c r="K17">
        <f t="shared" si="0"/>
        <v>0.99999869874149594</v>
      </c>
      <c r="L17">
        <f t="shared" si="1"/>
        <v>1.3012585040605984E-6</v>
      </c>
      <c r="M17">
        <f t="shared" si="2"/>
        <v>0.99999823209228245</v>
      </c>
      <c r="N17">
        <f t="shared" si="3"/>
        <v>1.7679077175536406E-6</v>
      </c>
    </row>
    <row r="18" spans="1:14" x14ac:dyDescent="0.25">
      <c r="A18">
        <v>2030</v>
      </c>
      <c r="B18" s="3">
        <v>36.887318999999998</v>
      </c>
      <c r="D18" s="1">
        <v>2030</v>
      </c>
      <c r="E18" s="2">
        <v>36.887439999999998</v>
      </c>
      <c r="G18">
        <v>2030</v>
      </c>
      <c r="H18">
        <v>36.887348475088601</v>
      </c>
      <c r="I18">
        <v>36.8873292758595</v>
      </c>
      <c r="K18">
        <f t="shared" si="0"/>
        <v>0.99999671975067939</v>
      </c>
      <c r="L18">
        <f t="shared" si="1"/>
        <v>3.2802493206141037E-6</v>
      </c>
      <c r="M18">
        <f t="shared" si="2"/>
        <v>0.9999975188055501</v>
      </c>
      <c r="N18">
        <f t="shared" si="3"/>
        <v>2.4811944498992489E-6</v>
      </c>
    </row>
    <row r="19" spans="1:14" x14ac:dyDescent="0.25">
      <c r="A19">
        <v>2032</v>
      </c>
      <c r="B19" s="3">
        <v>36.887318999999998</v>
      </c>
      <c r="D19" s="1">
        <v>2032</v>
      </c>
      <c r="E19" s="2">
        <v>36.887348000000003</v>
      </c>
      <c r="G19">
        <v>2032</v>
      </c>
      <c r="H19">
        <v>36.887339602321198</v>
      </c>
      <c r="I19">
        <v>36.8873362039405</v>
      </c>
      <c r="K19">
        <f t="shared" si="0"/>
        <v>0.99999921382258206</v>
      </c>
      <c r="L19">
        <f t="shared" si="1"/>
        <v>7.8617741794406726E-7</v>
      </c>
      <c r="M19">
        <f t="shared" si="2"/>
        <v>0.99999977234257109</v>
      </c>
      <c r="N19">
        <f t="shared" si="3"/>
        <v>2.2765742890840102E-7</v>
      </c>
    </row>
    <row r="20" spans="1:14" x14ac:dyDescent="0.25">
      <c r="A20">
        <v>2034</v>
      </c>
      <c r="B20" s="3">
        <v>36.887318999999998</v>
      </c>
      <c r="D20" s="1">
        <v>2034</v>
      </c>
      <c r="E20" s="2">
        <v>36.887385999999999</v>
      </c>
      <c r="G20">
        <v>2034</v>
      </c>
      <c r="H20">
        <v>36.887313476231199</v>
      </c>
      <c r="I20">
        <v>36.887333119123397</v>
      </c>
      <c r="K20">
        <f t="shared" si="0"/>
        <v>0.99999818366094029</v>
      </c>
      <c r="L20">
        <f t="shared" si="1"/>
        <v>1.8163390597125684E-6</v>
      </c>
      <c r="M20">
        <f t="shared" si="2"/>
        <v>0.99999803391411901</v>
      </c>
      <c r="N20">
        <f t="shared" si="3"/>
        <v>1.9660858809888992E-6</v>
      </c>
    </row>
    <row r="21" spans="1:14" x14ac:dyDescent="0.25">
      <c r="A21">
        <v>2036</v>
      </c>
      <c r="B21" s="3">
        <v>36.887318999999998</v>
      </c>
      <c r="D21" s="1">
        <v>2036</v>
      </c>
      <c r="E21" s="2">
        <v>36.887318</v>
      </c>
      <c r="G21">
        <v>2036</v>
      </c>
      <c r="H21">
        <v>36.887297193272197</v>
      </c>
      <c r="I21">
        <v>36.887299490283198</v>
      </c>
      <c r="K21">
        <f t="shared" si="0"/>
        <v>1.0000000271095881</v>
      </c>
      <c r="L21">
        <f t="shared" si="1"/>
        <v>-2.7109588129903273E-8</v>
      </c>
      <c r="M21">
        <f t="shared" si="2"/>
        <v>0.99999943593817786</v>
      </c>
      <c r="N21">
        <f t="shared" si="3"/>
        <v>5.6406182213919465E-7</v>
      </c>
    </row>
    <row r="22" spans="1:14" x14ac:dyDescent="0.25">
      <c r="A22">
        <v>2038</v>
      </c>
      <c r="B22" s="3">
        <v>36.887318999999998</v>
      </c>
      <c r="D22" s="1">
        <v>2038</v>
      </c>
      <c r="E22" s="2">
        <v>36.887318</v>
      </c>
      <c r="G22">
        <v>2038</v>
      </c>
      <c r="H22">
        <v>36.887295988178799</v>
      </c>
      <c r="I22">
        <v>36.887290077044902</v>
      </c>
      <c r="K22">
        <f t="shared" si="0"/>
        <v>1.0000000271095881</v>
      </c>
      <c r="L22">
        <f t="shared" si="1"/>
        <v>-2.7109588129903273E-8</v>
      </c>
      <c r="M22">
        <f t="shared" si="2"/>
        <v>0.99999940326859216</v>
      </c>
      <c r="N22">
        <f t="shared" si="3"/>
        <v>5.9673140784255452E-7</v>
      </c>
    </row>
    <row r="23" spans="1:14" x14ac:dyDescent="0.25">
      <c r="A23">
        <v>2040</v>
      </c>
      <c r="B23" s="3">
        <v>36.887318999999998</v>
      </c>
      <c r="D23" s="1">
        <v>2040</v>
      </c>
      <c r="E23" s="2">
        <v>36.887455000000003</v>
      </c>
      <c r="G23">
        <v>2040</v>
      </c>
      <c r="H23">
        <v>36.8873423034414</v>
      </c>
      <c r="I23">
        <v>36.887342104118702</v>
      </c>
      <c r="K23">
        <f t="shared" si="0"/>
        <v>0.99999631310970072</v>
      </c>
      <c r="L23">
        <f t="shared" si="1"/>
        <v>3.6868902992814867E-6</v>
      </c>
      <c r="M23">
        <f t="shared" si="2"/>
        <v>0.99999694485405399</v>
      </c>
      <c r="N23">
        <f t="shared" si="3"/>
        <v>3.0551459460070873E-6</v>
      </c>
    </row>
  </sheetData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B5B14-CA38-4098-ABA7-1A28CD0A8FBE}">
  <dimension ref="A1:W23"/>
  <sheetViews>
    <sheetView topLeftCell="A6" zoomScale="87" zoomScaleNormal="87" workbookViewId="0">
      <selection activeCell="V25" sqref="U25:V29"/>
    </sheetView>
  </sheetViews>
  <sheetFormatPr defaultRowHeight="15.75" x14ac:dyDescent="0.25"/>
  <cols>
    <col min="1" max="1" width="13.625" customWidth="1"/>
    <col min="2" max="2" width="14" customWidth="1"/>
    <col min="4" max="4" width="13.375" style="1" customWidth="1"/>
    <col min="5" max="5" width="14.5" style="2" customWidth="1"/>
    <col min="7" max="7" width="14.25" customWidth="1"/>
    <col min="8" max="8" width="15.625" customWidth="1"/>
    <col min="9" max="10" width="14.875" customWidth="1"/>
    <col min="12" max="12" width="12.5" bestFit="1" customWidth="1"/>
  </cols>
  <sheetData>
    <row r="1" spans="1:23" x14ac:dyDescent="0.25">
      <c r="A1" t="s">
        <v>4</v>
      </c>
      <c r="D1" s="1" t="s">
        <v>5</v>
      </c>
      <c r="G1" t="s">
        <v>6</v>
      </c>
      <c r="K1" t="s">
        <v>7</v>
      </c>
      <c r="M1" t="s">
        <v>9</v>
      </c>
    </row>
    <row r="2" spans="1:23" x14ac:dyDescent="0.25">
      <c r="A2" t="s">
        <v>0</v>
      </c>
      <c r="B2" t="s">
        <v>3</v>
      </c>
      <c r="D2" t="s">
        <v>0</v>
      </c>
      <c r="E2" t="s">
        <v>3</v>
      </c>
      <c r="G2" t="s">
        <v>14</v>
      </c>
      <c r="H2" t="s">
        <v>12</v>
      </c>
      <c r="I2" t="s">
        <v>13</v>
      </c>
    </row>
    <row r="3" spans="1:23" x14ac:dyDescent="0.25">
      <c r="A3">
        <v>2000</v>
      </c>
      <c r="B3" s="4">
        <v>36.887318999999998</v>
      </c>
      <c r="D3" s="1">
        <v>2000</v>
      </c>
      <c r="E3" s="2">
        <v>36.887348000000003</v>
      </c>
      <c r="G3">
        <v>2000</v>
      </c>
      <c r="H3">
        <v>36.887341678490301</v>
      </c>
      <c r="I3">
        <v>36.887316549276697</v>
      </c>
      <c r="K3">
        <f>B3/E3</f>
        <v>0.99999921382258206</v>
      </c>
      <c r="L3">
        <f>1-K3</f>
        <v>7.8617741794406726E-7</v>
      </c>
      <c r="M3">
        <f>H3/E3</f>
        <v>0.99999982862661474</v>
      </c>
      <c r="N3">
        <f>1-M3</f>
        <v>1.7137338526040935E-7</v>
      </c>
      <c r="W3">
        <v>1</v>
      </c>
    </row>
    <row r="4" spans="1:23" x14ac:dyDescent="0.25">
      <c r="A4">
        <v>2002</v>
      </c>
      <c r="B4" s="4">
        <v>36.887318999999998</v>
      </c>
      <c r="D4" s="1">
        <v>2002</v>
      </c>
      <c r="E4" s="2">
        <v>36.887180000000001</v>
      </c>
      <c r="G4">
        <v>2002</v>
      </c>
      <c r="H4">
        <v>36.887343006053896</v>
      </c>
      <c r="I4">
        <v>36.887333648162297</v>
      </c>
      <c r="K4">
        <f t="shared" ref="K4:K23" si="0">B4/E4</f>
        <v>1.0000037682468543</v>
      </c>
      <c r="L4">
        <f t="shared" ref="L4:L23" si="1">1-K4</f>
        <v>-3.7682468543298597E-6</v>
      </c>
      <c r="M4">
        <f t="shared" ref="M4:M23" si="2">H4/E4</f>
        <v>1.000004419043524</v>
      </c>
      <c r="N4">
        <f t="shared" ref="N4:N23" si="3">1-M4</f>
        <v>-4.4190435239954695E-6</v>
      </c>
      <c r="W4">
        <v>1</v>
      </c>
    </row>
    <row r="5" spans="1:23" x14ac:dyDescent="0.25">
      <c r="A5">
        <v>2004</v>
      </c>
      <c r="B5" s="4">
        <v>36.887318999999998</v>
      </c>
      <c r="D5" s="1">
        <v>2004</v>
      </c>
      <c r="E5" s="2">
        <v>36.887282999999996</v>
      </c>
      <c r="G5">
        <v>2004</v>
      </c>
      <c r="H5">
        <v>36.887299702171198</v>
      </c>
      <c r="I5">
        <v>36.887336538695301</v>
      </c>
      <c r="K5">
        <f t="shared" si="0"/>
        <v>1.0000009759461004</v>
      </c>
      <c r="L5">
        <f t="shared" si="1"/>
        <v>-9.7594610037887719E-7</v>
      </c>
      <c r="M5">
        <f t="shared" si="2"/>
        <v>1.0000004527894126</v>
      </c>
      <c r="N5">
        <f t="shared" si="3"/>
        <v>-4.5278941263049433E-7</v>
      </c>
      <c r="W5">
        <v>1</v>
      </c>
    </row>
    <row r="6" spans="1:23" x14ac:dyDescent="0.25">
      <c r="A6">
        <v>2006</v>
      </c>
      <c r="B6" s="4">
        <v>36.887318999999998</v>
      </c>
      <c r="D6" s="1">
        <v>2006</v>
      </c>
      <c r="E6" s="2">
        <v>36.887276</v>
      </c>
      <c r="G6">
        <v>2006</v>
      </c>
      <c r="H6">
        <v>36.887294147440599</v>
      </c>
      <c r="I6">
        <v>36.887322280830297</v>
      </c>
      <c r="K6">
        <f t="shared" si="0"/>
        <v>1.000001165713619</v>
      </c>
      <c r="L6">
        <f t="shared" si="1"/>
        <v>-1.1657136189668904E-6</v>
      </c>
      <c r="M6">
        <f t="shared" si="2"/>
        <v>1.0000004919702012</v>
      </c>
      <c r="N6">
        <f t="shared" si="3"/>
        <v>-4.9197020124402968E-7</v>
      </c>
      <c r="W6">
        <v>1</v>
      </c>
    </row>
    <row r="7" spans="1:23" x14ac:dyDescent="0.25">
      <c r="A7">
        <v>2008</v>
      </c>
      <c r="B7" s="4">
        <v>36.887318999999998</v>
      </c>
      <c r="D7" s="1">
        <v>2008</v>
      </c>
      <c r="E7" s="2">
        <v>36.887314000000003</v>
      </c>
      <c r="G7">
        <v>2008</v>
      </c>
      <c r="H7">
        <v>36.887316867412402</v>
      </c>
      <c r="I7">
        <v>36.887285733646202</v>
      </c>
      <c r="K7">
        <f t="shared" si="0"/>
        <v>1.0000001355479555</v>
      </c>
      <c r="L7">
        <f t="shared" si="1"/>
        <v>-1.3554795552650489E-7</v>
      </c>
      <c r="M7">
        <f t="shared" si="2"/>
        <v>1.0000000777343776</v>
      </c>
      <c r="N7">
        <f t="shared" si="3"/>
        <v>-7.7734377601501592E-8</v>
      </c>
      <c r="W7">
        <v>1</v>
      </c>
    </row>
    <row r="8" spans="1:23" x14ac:dyDescent="0.25">
      <c r="A8">
        <v>2010</v>
      </c>
      <c r="B8" s="4">
        <v>36.887318999999998</v>
      </c>
      <c r="D8" s="1">
        <v>2010</v>
      </c>
      <c r="E8" s="2">
        <v>36.887360000000001</v>
      </c>
      <c r="G8">
        <v>2010</v>
      </c>
      <c r="H8">
        <v>36.887336074830898</v>
      </c>
      <c r="I8">
        <v>36.887308121479897</v>
      </c>
      <c r="K8">
        <f t="shared" si="0"/>
        <v>0.99999888850815011</v>
      </c>
      <c r="L8">
        <f t="shared" si="1"/>
        <v>1.1114918498922322E-6</v>
      </c>
      <c r="M8">
        <f t="shared" si="2"/>
        <v>0.999999351399257</v>
      </c>
      <c r="N8">
        <f t="shared" si="3"/>
        <v>6.4860074300288062E-7</v>
      </c>
      <c r="W8">
        <v>1</v>
      </c>
    </row>
    <row r="9" spans="1:23" x14ac:dyDescent="0.25">
      <c r="A9">
        <v>2012</v>
      </c>
      <c r="B9" s="4">
        <v>36.887318999999998</v>
      </c>
      <c r="D9" s="1">
        <v>2012</v>
      </c>
      <c r="E9" s="2">
        <v>36.887383</v>
      </c>
      <c r="G9">
        <v>2012</v>
      </c>
      <c r="H9">
        <v>36.887349151282599</v>
      </c>
      <c r="I9">
        <v>36.887357772955703</v>
      </c>
      <c r="K9">
        <f t="shared" si="0"/>
        <v>0.9999982649894138</v>
      </c>
      <c r="L9">
        <f t="shared" si="1"/>
        <v>1.735010586201291E-6</v>
      </c>
      <c r="M9">
        <f t="shared" si="2"/>
        <v>0.99999908237682789</v>
      </c>
      <c r="N9">
        <f t="shared" si="3"/>
        <v>9.1762317211419031E-7</v>
      </c>
      <c r="W9">
        <v>1</v>
      </c>
    </row>
    <row r="10" spans="1:23" x14ac:dyDescent="0.25">
      <c r="A10">
        <v>2014</v>
      </c>
      <c r="B10" s="4">
        <v>36.887318999999998</v>
      </c>
      <c r="D10" s="1">
        <v>2014</v>
      </c>
      <c r="E10" s="2">
        <v>36.887473999999997</v>
      </c>
      <c r="G10">
        <v>2014</v>
      </c>
      <c r="H10">
        <v>36.887328034935997</v>
      </c>
      <c r="I10">
        <v>36.887332507526402</v>
      </c>
      <c r="K10">
        <f t="shared" si="0"/>
        <v>0.99999579803160288</v>
      </c>
      <c r="L10">
        <f t="shared" si="1"/>
        <v>4.2019683971217248E-6</v>
      </c>
      <c r="M10">
        <f t="shared" si="2"/>
        <v>0.99999604296396116</v>
      </c>
      <c r="N10">
        <f t="shared" si="3"/>
        <v>3.9570360388374581E-6</v>
      </c>
      <c r="W10">
        <v>1</v>
      </c>
    </row>
    <row r="11" spans="1:23" x14ac:dyDescent="0.25">
      <c r="A11">
        <v>2016</v>
      </c>
      <c r="B11" s="4">
        <v>36.887318999999998</v>
      </c>
      <c r="D11" s="1">
        <v>2016</v>
      </c>
      <c r="E11" s="2">
        <v>36.887337000000002</v>
      </c>
      <c r="G11">
        <v>2016</v>
      </c>
      <c r="H11">
        <v>36.887337796501001</v>
      </c>
      <c r="I11">
        <v>36.887289309584503</v>
      </c>
      <c r="K11">
        <f t="shared" si="0"/>
        <v>0.99999951202766402</v>
      </c>
      <c r="L11">
        <f t="shared" si="1"/>
        <v>4.8797233598296685E-7</v>
      </c>
      <c r="M11">
        <f t="shared" si="2"/>
        <v>1.0000000215928029</v>
      </c>
      <c r="N11">
        <f t="shared" si="3"/>
        <v>-2.1592802879055739E-8</v>
      </c>
      <c r="W11">
        <v>1</v>
      </c>
    </row>
    <row r="12" spans="1:23" x14ac:dyDescent="0.25">
      <c r="A12">
        <v>2018</v>
      </c>
      <c r="B12" s="4">
        <v>36.887318999999998</v>
      </c>
      <c r="D12" s="1">
        <v>2018</v>
      </c>
      <c r="E12" s="2">
        <v>36.887374999999999</v>
      </c>
      <c r="G12">
        <v>2018</v>
      </c>
      <c r="H12">
        <v>36.887310463807601</v>
      </c>
      <c r="I12">
        <v>36.8873046066198</v>
      </c>
      <c r="K12">
        <f t="shared" si="0"/>
        <v>0.99999848186540785</v>
      </c>
      <c r="L12">
        <f t="shared" si="1"/>
        <v>1.5181345921488898E-6</v>
      </c>
      <c r="M12">
        <f t="shared" si="2"/>
        <v>0.99999825045310498</v>
      </c>
      <c r="N12">
        <f t="shared" si="3"/>
        <v>1.7495468950246007E-6</v>
      </c>
      <c r="W12">
        <v>1</v>
      </c>
    </row>
    <row r="13" spans="1:23" x14ac:dyDescent="0.25">
      <c r="A13">
        <v>2020</v>
      </c>
      <c r="B13" s="4">
        <v>36.887318999999998</v>
      </c>
      <c r="D13" s="1">
        <v>2020</v>
      </c>
      <c r="E13" s="2">
        <v>36.887421000000003</v>
      </c>
      <c r="G13">
        <v>2020</v>
      </c>
      <c r="H13">
        <v>36.8872932344863</v>
      </c>
      <c r="I13">
        <v>36.8873221324789</v>
      </c>
      <c r="K13">
        <f t="shared" si="0"/>
        <v>0.9999972348297268</v>
      </c>
      <c r="L13">
        <f t="shared" si="1"/>
        <v>2.7651702732001127E-6</v>
      </c>
      <c r="M13">
        <f t="shared" si="2"/>
        <v>0.99999653633921159</v>
      </c>
      <c r="N13">
        <f t="shared" si="3"/>
        <v>3.4636607884053205E-6</v>
      </c>
      <c r="W13">
        <v>1</v>
      </c>
    </row>
    <row r="14" spans="1:23" x14ac:dyDescent="0.25">
      <c r="A14">
        <v>2022</v>
      </c>
      <c r="B14" s="4">
        <v>36.887318999999998</v>
      </c>
      <c r="D14" s="1">
        <v>2022</v>
      </c>
      <c r="E14" s="2">
        <v>36.887436000000001</v>
      </c>
      <c r="G14">
        <v>2022</v>
      </c>
      <c r="H14">
        <v>36.887335374126202</v>
      </c>
      <c r="I14">
        <v>36.887346046482001</v>
      </c>
      <c r="K14">
        <f t="shared" si="0"/>
        <v>0.99999682818832936</v>
      </c>
      <c r="L14">
        <f t="shared" si="1"/>
        <v>3.1718116706436206E-6</v>
      </c>
      <c r="M14">
        <f t="shared" si="2"/>
        <v>0.9999972720827276</v>
      </c>
      <c r="N14">
        <f t="shared" si="3"/>
        <v>2.7279172724048451E-6</v>
      </c>
      <c r="W14">
        <v>1</v>
      </c>
    </row>
    <row r="15" spans="1:23" x14ac:dyDescent="0.25">
      <c r="A15">
        <v>2024</v>
      </c>
      <c r="B15" s="4">
        <v>36.887318999999998</v>
      </c>
      <c r="D15" s="1">
        <v>2024</v>
      </c>
      <c r="E15" s="2">
        <v>36.887272000000003</v>
      </c>
      <c r="G15">
        <v>2024</v>
      </c>
      <c r="H15">
        <v>36.887343868383397</v>
      </c>
      <c r="I15">
        <v>36.8873316079167</v>
      </c>
      <c r="K15">
        <f t="shared" si="0"/>
        <v>1.0000012741522333</v>
      </c>
      <c r="L15">
        <f t="shared" si="1"/>
        <v>-1.2741522332770927E-6</v>
      </c>
      <c r="M15">
        <f t="shared" si="2"/>
        <v>1.0000019483247065</v>
      </c>
      <c r="N15">
        <f t="shared" si="3"/>
        <v>-1.9483247064577824E-6</v>
      </c>
      <c r="W15">
        <v>1</v>
      </c>
    </row>
    <row r="16" spans="1:23" x14ac:dyDescent="0.25">
      <c r="A16">
        <v>2026</v>
      </c>
      <c r="B16" s="4">
        <v>36.887318999999998</v>
      </c>
      <c r="D16" s="1">
        <v>2026</v>
      </c>
      <c r="E16" s="2">
        <v>36.887298999999999</v>
      </c>
      <c r="G16">
        <v>2026</v>
      </c>
      <c r="H16">
        <v>36.887299066956302</v>
      </c>
      <c r="I16">
        <v>36.887280029201101</v>
      </c>
      <c r="K16">
        <f t="shared" si="0"/>
        <v>1.0000005421920428</v>
      </c>
      <c r="L16">
        <f t="shared" si="1"/>
        <v>-5.4219204281835687E-7</v>
      </c>
      <c r="M16">
        <f t="shared" si="2"/>
        <v>1.0000000018151587</v>
      </c>
      <c r="N16">
        <f t="shared" si="3"/>
        <v>-1.8151586900216898E-9</v>
      </c>
      <c r="W16">
        <v>1</v>
      </c>
    </row>
    <row r="17" spans="1:23" x14ac:dyDescent="0.25">
      <c r="A17">
        <v>2028</v>
      </c>
      <c r="B17" s="4">
        <v>36.887318999999998</v>
      </c>
      <c r="D17" s="1">
        <v>2028</v>
      </c>
      <c r="E17" s="2">
        <v>36.887348000000003</v>
      </c>
      <c r="G17">
        <v>2028</v>
      </c>
      <c r="H17">
        <v>36.887299301243999</v>
      </c>
      <c r="I17">
        <v>36.887300702851</v>
      </c>
      <c r="K17">
        <f t="shared" si="0"/>
        <v>0.99999921382258206</v>
      </c>
      <c r="L17">
        <f t="shared" si="1"/>
        <v>7.8617741794406726E-7</v>
      </c>
      <c r="M17">
        <f t="shared" si="2"/>
        <v>0.99999867979785362</v>
      </c>
      <c r="N17">
        <f t="shared" si="3"/>
        <v>1.3202021463820657E-6</v>
      </c>
      <c r="W17">
        <v>1</v>
      </c>
    </row>
    <row r="18" spans="1:23" x14ac:dyDescent="0.25">
      <c r="A18">
        <v>2030</v>
      </c>
      <c r="B18" s="4">
        <v>36.887318999999998</v>
      </c>
      <c r="D18" s="1">
        <v>2030</v>
      </c>
      <c r="E18" s="2">
        <v>36.887332999999998</v>
      </c>
      <c r="G18">
        <v>2030</v>
      </c>
      <c r="H18">
        <v>36.8873173580578</v>
      </c>
      <c r="I18">
        <v>36.8873519661974</v>
      </c>
      <c r="K18">
        <f t="shared" si="0"/>
        <v>0.99999962046591984</v>
      </c>
      <c r="L18">
        <f t="shared" si="1"/>
        <v>3.7953408016377921E-7</v>
      </c>
      <c r="M18">
        <f t="shared" si="2"/>
        <v>0.99999957595356115</v>
      </c>
      <c r="N18">
        <f t="shared" si="3"/>
        <v>4.2404643885163296E-7</v>
      </c>
      <c r="W18">
        <v>1</v>
      </c>
    </row>
    <row r="19" spans="1:23" x14ac:dyDescent="0.25">
      <c r="A19">
        <v>2032</v>
      </c>
      <c r="B19" s="4">
        <v>36.887318999999998</v>
      </c>
      <c r="D19" s="1">
        <v>2032</v>
      </c>
      <c r="E19" s="2">
        <v>36.887394</v>
      </c>
      <c r="G19">
        <v>2032</v>
      </c>
      <c r="H19">
        <v>36.887328672197697</v>
      </c>
      <c r="I19">
        <v>36.887339996404997</v>
      </c>
      <c r="K19">
        <f t="shared" si="0"/>
        <v>0.99999796678507558</v>
      </c>
      <c r="L19">
        <f t="shared" si="1"/>
        <v>2.0332149244239872E-6</v>
      </c>
      <c r="M19">
        <f t="shared" si="2"/>
        <v>0.99999822899383173</v>
      </c>
      <c r="N19">
        <f t="shared" si="3"/>
        <v>1.7710061682718603E-6</v>
      </c>
      <c r="W19">
        <v>1</v>
      </c>
    </row>
    <row r="20" spans="1:23" x14ac:dyDescent="0.25">
      <c r="A20">
        <v>2034</v>
      </c>
      <c r="B20" s="4">
        <v>36.887318999999998</v>
      </c>
      <c r="D20" s="1">
        <v>2034</v>
      </c>
      <c r="E20" s="2">
        <v>36.887287000000001</v>
      </c>
      <c r="G20">
        <v>2034</v>
      </c>
      <c r="H20">
        <v>36.887346494670801</v>
      </c>
      <c r="I20">
        <v>36.887309777582601</v>
      </c>
      <c r="K20">
        <f t="shared" si="0"/>
        <v>1.0000008675075507</v>
      </c>
      <c r="L20">
        <f t="shared" si="1"/>
        <v>-8.6750755068365493E-7</v>
      </c>
      <c r="M20">
        <f t="shared" si="2"/>
        <v>1.0000016128773797</v>
      </c>
      <c r="N20">
        <f t="shared" si="3"/>
        <v>-1.6128773796530993E-6</v>
      </c>
      <c r="W20">
        <v>1</v>
      </c>
    </row>
    <row r="21" spans="1:23" x14ac:dyDescent="0.25">
      <c r="A21">
        <v>2036</v>
      </c>
      <c r="B21" s="4">
        <v>36.887318999999998</v>
      </c>
      <c r="D21" s="1">
        <v>2036</v>
      </c>
      <c r="E21" s="2">
        <v>36.887366999999998</v>
      </c>
      <c r="G21">
        <v>2036</v>
      </c>
      <c r="H21">
        <v>36.887307431215099</v>
      </c>
      <c r="I21">
        <v>36.887296399694399</v>
      </c>
      <c r="K21">
        <f t="shared" si="0"/>
        <v>0.99999869874149594</v>
      </c>
      <c r="L21">
        <f t="shared" si="1"/>
        <v>1.3012585040605984E-6</v>
      </c>
      <c r="M21">
        <f t="shared" si="2"/>
        <v>0.9999983851169183</v>
      </c>
      <c r="N21">
        <f t="shared" si="3"/>
        <v>1.6148830817019899E-6</v>
      </c>
      <c r="W21">
        <v>1</v>
      </c>
    </row>
    <row r="22" spans="1:23" x14ac:dyDescent="0.25">
      <c r="A22">
        <v>2038</v>
      </c>
      <c r="B22" s="4">
        <v>36.887318999999998</v>
      </c>
      <c r="D22" s="1">
        <v>2038</v>
      </c>
      <c r="E22" s="2">
        <v>36.887371000000002</v>
      </c>
      <c r="G22">
        <v>2038</v>
      </c>
      <c r="H22">
        <v>36.887285100749502</v>
      </c>
      <c r="I22">
        <v>36.887297388557002</v>
      </c>
      <c r="K22">
        <f t="shared" si="0"/>
        <v>0.99999859030344007</v>
      </c>
      <c r="L22">
        <f t="shared" si="1"/>
        <v>1.4096965599286193E-6</v>
      </c>
      <c r="M22">
        <f t="shared" si="2"/>
        <v>0.99999767131003992</v>
      </c>
      <c r="N22">
        <f t="shared" si="3"/>
        <v>2.3286899600849509E-6</v>
      </c>
      <c r="W22">
        <v>1</v>
      </c>
    </row>
    <row r="23" spans="1:23" x14ac:dyDescent="0.25">
      <c r="A23">
        <v>2040</v>
      </c>
      <c r="B23" s="4">
        <v>36.887318999999998</v>
      </c>
      <c r="D23" s="1">
        <v>2040</v>
      </c>
      <c r="E23" s="2">
        <v>36.887363000000001</v>
      </c>
      <c r="G23">
        <v>2040</v>
      </c>
      <c r="H23">
        <v>36.8873335304839</v>
      </c>
      <c r="I23">
        <v>36.887344659705001</v>
      </c>
      <c r="K23">
        <f t="shared" si="0"/>
        <v>0.99999880717957523</v>
      </c>
      <c r="L23">
        <f t="shared" si="1"/>
        <v>1.1928204247668717E-6</v>
      </c>
      <c r="M23">
        <f t="shared" si="2"/>
        <v>0.99999920109452933</v>
      </c>
      <c r="N23">
        <f t="shared" si="3"/>
        <v>7.9890547066696627E-7</v>
      </c>
      <c r="W23">
        <v>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985BA-F4AC-4DD1-AAAE-EC9DB128D024}">
  <dimension ref="A1:AG23"/>
  <sheetViews>
    <sheetView topLeftCell="B1" workbookViewId="0">
      <selection activeCell="G3" sqref="G3:G23"/>
    </sheetView>
  </sheetViews>
  <sheetFormatPr defaultRowHeight="15.75" x14ac:dyDescent="0.25"/>
  <cols>
    <col min="1" max="1" width="12.875" customWidth="1"/>
    <col min="4" max="4" width="14.625" customWidth="1"/>
    <col min="6" max="6" width="13.375" style="1" customWidth="1"/>
    <col min="7" max="7" width="13.625" style="2" customWidth="1"/>
    <col min="9" max="9" width="13.125" customWidth="1"/>
    <col min="10" max="10" width="13.5" customWidth="1"/>
    <col min="13" max="13" width="11.875" bestFit="1" customWidth="1"/>
    <col min="15" max="15" width="11.875" bestFit="1" customWidth="1"/>
    <col min="26" max="26" width="10.375" customWidth="1"/>
    <col min="27" max="28" width="15.5" customWidth="1"/>
    <col min="30" max="30" width="27.375" customWidth="1"/>
  </cols>
  <sheetData>
    <row r="1" spans="1:33" x14ac:dyDescent="0.25">
      <c r="G1" s="2" t="s">
        <v>5</v>
      </c>
      <c r="J1" t="s">
        <v>6</v>
      </c>
      <c r="L1" t="s">
        <v>7</v>
      </c>
      <c r="M1" t="s">
        <v>8</v>
      </c>
      <c r="N1" t="s">
        <v>9</v>
      </c>
      <c r="O1" t="s">
        <v>8</v>
      </c>
      <c r="AA1" t="s">
        <v>10</v>
      </c>
    </row>
    <row r="2" spans="1:33" x14ac:dyDescent="0.25">
      <c r="A2" t="s">
        <v>0</v>
      </c>
      <c r="B2" t="s">
        <v>1</v>
      </c>
      <c r="C2" t="s">
        <v>2</v>
      </c>
      <c r="D2" t="s">
        <v>3</v>
      </c>
      <c r="F2" t="s">
        <v>0</v>
      </c>
      <c r="G2" t="s">
        <v>3</v>
      </c>
      <c r="I2" t="s">
        <v>0</v>
      </c>
      <c r="J2" t="s">
        <v>3</v>
      </c>
    </row>
    <row r="3" spans="1:33" x14ac:dyDescent="0.25">
      <c r="A3">
        <v>2000</v>
      </c>
      <c r="B3">
        <v>463539.72069400002</v>
      </c>
      <c r="C3">
        <v>0</v>
      </c>
      <c r="D3">
        <f t="shared" ref="D3:D23" si="0">B3/(4000*PI())</f>
        <v>36.88731893394332</v>
      </c>
      <c r="F3" s="1">
        <v>2000</v>
      </c>
      <c r="G3" s="2">
        <v>36.887352</v>
      </c>
      <c r="I3">
        <v>2000</v>
      </c>
      <c r="J3">
        <v>36.887318721887901</v>
      </c>
      <c r="L3">
        <f>D3/G3</f>
        <v>0.99999910359364697</v>
      </c>
      <c r="M3">
        <f>1-L3</f>
        <v>8.9640635303478433E-7</v>
      </c>
      <c r="N3">
        <f>J3/G3</f>
        <v>0.99999909784491714</v>
      </c>
      <c r="O3">
        <f>1-N3</f>
        <v>9.0215508286028978E-7</v>
      </c>
      <c r="Y3">
        <v>1</v>
      </c>
      <c r="Z3">
        <v>2000</v>
      </c>
      <c r="AA3">
        <v>36.886569537259199</v>
      </c>
      <c r="AB3">
        <f>AA3/G3</f>
        <v>0.99997878777688354</v>
      </c>
      <c r="AD3">
        <v>2000</v>
      </c>
      <c r="AE3">
        <v>1</v>
      </c>
      <c r="AF3">
        <v>844</v>
      </c>
      <c r="AG3">
        <v>36.887318721882501</v>
      </c>
    </row>
    <row r="4" spans="1:33" x14ac:dyDescent="0.25">
      <c r="A4">
        <v>2002</v>
      </c>
      <c r="B4">
        <v>463539.72069400002</v>
      </c>
      <c r="C4">
        <v>0</v>
      </c>
      <c r="D4">
        <f t="shared" si="0"/>
        <v>36.88731893394332</v>
      </c>
      <c r="F4" s="1">
        <v>2002</v>
      </c>
      <c r="G4" s="2">
        <v>36.887267999999999</v>
      </c>
      <c r="I4">
        <v>2002</v>
      </c>
      <c r="J4">
        <v>36.887318721887901</v>
      </c>
      <c r="L4">
        <f t="shared" ref="L4:L23" si="1">D4/G4</f>
        <v>1.0000013808000994</v>
      </c>
      <c r="M4">
        <f t="shared" ref="M4:M23" si="2">1-L4</f>
        <v>-1.3808000993709157E-6</v>
      </c>
      <c r="N4">
        <f t="shared" ref="N4:N23" si="3">J4/G4</f>
        <v>1.0000013750513566</v>
      </c>
      <c r="O4">
        <f t="shared" ref="O4:O23" si="4">1-N4</f>
        <v>-1.3750513565558009E-6</v>
      </c>
      <c r="Y4">
        <v>1</v>
      </c>
      <c r="Z4">
        <v>2002</v>
      </c>
      <c r="AA4">
        <v>36.886736061201901</v>
      </c>
      <c r="AB4">
        <f t="shared" ref="AB4:AB23" si="5">AA4/G4</f>
        <v>0.99998557933870036</v>
      </c>
      <c r="AD4">
        <v>2002</v>
      </c>
      <c r="AE4">
        <v>1</v>
      </c>
      <c r="AF4">
        <v>844</v>
      </c>
      <c r="AG4">
        <v>36.8873187218826</v>
      </c>
    </row>
    <row r="5" spans="1:33" x14ac:dyDescent="0.25">
      <c r="A5">
        <v>2004</v>
      </c>
      <c r="B5">
        <v>463539.72069400002</v>
      </c>
      <c r="C5">
        <v>0</v>
      </c>
      <c r="D5">
        <f t="shared" si="0"/>
        <v>36.88731893394332</v>
      </c>
      <c r="F5" s="1">
        <v>2004</v>
      </c>
      <c r="G5" s="2">
        <v>36.887450999999999</v>
      </c>
      <c r="I5">
        <v>2004</v>
      </c>
      <c r="J5">
        <v>36.887318721887901</v>
      </c>
      <c r="L5">
        <f t="shared" si="1"/>
        <v>0.99999641975649989</v>
      </c>
      <c r="M5">
        <f t="shared" si="2"/>
        <v>3.5802435001119903E-6</v>
      </c>
      <c r="N5">
        <f t="shared" si="3"/>
        <v>0.99999641400778549</v>
      </c>
      <c r="O5">
        <f t="shared" si="4"/>
        <v>3.5859922145053957E-6</v>
      </c>
      <c r="Y5">
        <v>1</v>
      </c>
      <c r="Z5">
        <v>2004</v>
      </c>
      <c r="AA5">
        <v>36.886306215464501</v>
      </c>
      <c r="AB5">
        <f t="shared" si="5"/>
        <v>0.99996896547458647</v>
      </c>
      <c r="AD5">
        <v>2004</v>
      </c>
      <c r="AE5">
        <v>1</v>
      </c>
      <c r="AF5">
        <v>844</v>
      </c>
      <c r="AG5">
        <v>36.887318721882501</v>
      </c>
    </row>
    <row r="6" spans="1:33" x14ac:dyDescent="0.25">
      <c r="A6">
        <v>2006</v>
      </c>
      <c r="B6">
        <v>463539.72069400002</v>
      </c>
      <c r="C6">
        <v>0</v>
      </c>
      <c r="D6">
        <f t="shared" si="0"/>
        <v>36.88731893394332</v>
      </c>
      <c r="F6" s="1">
        <v>2006</v>
      </c>
      <c r="G6" s="2">
        <v>36.887241000000003</v>
      </c>
      <c r="I6">
        <v>2006</v>
      </c>
      <c r="J6">
        <v>36.887318721887901</v>
      </c>
      <c r="L6">
        <f t="shared" si="1"/>
        <v>1.0000021127615186</v>
      </c>
      <c r="M6">
        <f t="shared" si="2"/>
        <v>-2.1127615186244952E-6</v>
      </c>
      <c r="N6">
        <f t="shared" si="3"/>
        <v>1.0000021070127716</v>
      </c>
      <c r="O6">
        <f t="shared" si="4"/>
        <v>-2.1070127715905329E-6</v>
      </c>
      <c r="Y6">
        <v>1</v>
      </c>
      <c r="Z6">
        <v>2006</v>
      </c>
      <c r="AA6">
        <v>36.886795931274698</v>
      </c>
      <c r="AB6">
        <f t="shared" si="5"/>
        <v>0.99998793434495936</v>
      </c>
      <c r="AD6">
        <v>2006</v>
      </c>
      <c r="AE6">
        <v>1</v>
      </c>
      <c r="AF6">
        <v>844</v>
      </c>
      <c r="AG6">
        <v>36.8873187218826</v>
      </c>
    </row>
    <row r="7" spans="1:33" x14ac:dyDescent="0.25">
      <c r="A7">
        <v>2008</v>
      </c>
      <c r="B7">
        <v>463539.72069400002</v>
      </c>
      <c r="C7">
        <v>0</v>
      </c>
      <c r="D7">
        <f t="shared" si="0"/>
        <v>36.88731893394332</v>
      </c>
      <c r="F7" s="1">
        <v>2008</v>
      </c>
      <c r="G7" s="2">
        <v>36.887230000000002</v>
      </c>
      <c r="I7">
        <v>2008</v>
      </c>
      <c r="J7">
        <v>36.887318721887901</v>
      </c>
      <c r="L7">
        <f t="shared" si="1"/>
        <v>1.0000024109683301</v>
      </c>
      <c r="M7">
        <f t="shared" si="2"/>
        <v>-2.4109683300910234E-6</v>
      </c>
      <c r="N7">
        <f t="shared" si="3"/>
        <v>1.0000024052195813</v>
      </c>
      <c r="O7">
        <f t="shared" si="4"/>
        <v>-2.4052195812807042E-6</v>
      </c>
      <c r="Y7">
        <v>1</v>
      </c>
      <c r="Z7">
        <v>2008</v>
      </c>
      <c r="AA7">
        <v>36.8864567192797</v>
      </c>
      <c r="AB7">
        <f t="shared" si="5"/>
        <v>0.99997903662811483</v>
      </c>
      <c r="AD7">
        <v>2008</v>
      </c>
      <c r="AE7">
        <v>1</v>
      </c>
      <c r="AF7">
        <v>844</v>
      </c>
      <c r="AG7">
        <v>36.887318721882501</v>
      </c>
    </row>
    <row r="8" spans="1:33" x14ac:dyDescent="0.25">
      <c r="A8">
        <v>2010</v>
      </c>
      <c r="B8">
        <v>463539.72069400002</v>
      </c>
      <c r="C8">
        <v>0</v>
      </c>
      <c r="D8">
        <f t="shared" si="0"/>
        <v>36.88731893394332</v>
      </c>
      <c r="F8" s="1">
        <v>2010</v>
      </c>
      <c r="G8" s="2">
        <v>36.887005000000002</v>
      </c>
      <c r="I8">
        <v>2010</v>
      </c>
      <c r="J8">
        <v>36.887318721887901</v>
      </c>
      <c r="L8">
        <f t="shared" si="1"/>
        <v>1.0000085106921344</v>
      </c>
      <c r="M8">
        <f t="shared" si="2"/>
        <v>-8.5106921343669484E-6</v>
      </c>
      <c r="N8">
        <f t="shared" si="3"/>
        <v>1.0000085049433507</v>
      </c>
      <c r="O8">
        <f t="shared" si="4"/>
        <v>-8.5049433506956262E-6</v>
      </c>
      <c r="Y8">
        <v>1</v>
      </c>
      <c r="Z8">
        <v>2010</v>
      </c>
      <c r="AA8">
        <v>36.8867525565242</v>
      </c>
      <c r="AB8">
        <f t="shared" si="5"/>
        <v>0.9999931563032618</v>
      </c>
      <c r="AD8">
        <v>2010</v>
      </c>
      <c r="AE8">
        <v>1</v>
      </c>
      <c r="AF8">
        <v>844</v>
      </c>
      <c r="AG8">
        <v>36.887318721882501</v>
      </c>
    </row>
    <row r="9" spans="1:33" x14ac:dyDescent="0.25">
      <c r="A9">
        <v>2012</v>
      </c>
      <c r="B9">
        <v>463539.72069400002</v>
      </c>
      <c r="C9">
        <v>0</v>
      </c>
      <c r="D9">
        <f t="shared" si="0"/>
        <v>36.88731893394332</v>
      </c>
      <c r="F9" s="1">
        <v>2012</v>
      </c>
      <c r="G9" s="2">
        <v>36.887577</v>
      </c>
      <c r="I9">
        <v>2012</v>
      </c>
      <c r="J9">
        <v>36.887318721887901</v>
      </c>
      <c r="L9">
        <f t="shared" si="1"/>
        <v>0.99999300398460222</v>
      </c>
      <c r="M9">
        <f t="shared" si="2"/>
        <v>6.9960153977755013E-6</v>
      </c>
      <c r="N9">
        <f t="shared" si="3"/>
        <v>0.99999299823590748</v>
      </c>
      <c r="O9">
        <f t="shared" si="4"/>
        <v>7.0017640925179592E-6</v>
      </c>
      <c r="Y9">
        <v>1</v>
      </c>
      <c r="Z9">
        <v>2012</v>
      </c>
      <c r="AA9">
        <v>36.886548315258203</v>
      </c>
      <c r="AB9">
        <f t="shared" si="5"/>
        <v>0.99997211297608957</v>
      </c>
      <c r="AD9">
        <v>2012</v>
      </c>
      <c r="AE9">
        <v>1</v>
      </c>
      <c r="AF9">
        <v>844</v>
      </c>
      <c r="AG9">
        <v>36.887318721882501</v>
      </c>
    </row>
    <row r="10" spans="1:33" x14ac:dyDescent="0.25">
      <c r="A10">
        <v>2014</v>
      </c>
      <c r="B10">
        <v>463539.72069400002</v>
      </c>
      <c r="C10">
        <v>0</v>
      </c>
      <c r="D10">
        <f t="shared" si="0"/>
        <v>36.88731893394332</v>
      </c>
      <c r="F10" s="1">
        <v>2014</v>
      </c>
      <c r="G10" s="2">
        <v>36.887211000000001</v>
      </c>
      <c r="I10">
        <v>2014</v>
      </c>
      <c r="J10">
        <v>36.887318721887901</v>
      </c>
      <c r="L10">
        <f t="shared" si="1"/>
        <v>1.0000029260532415</v>
      </c>
      <c r="M10">
        <f t="shared" si="2"/>
        <v>-2.9260532414809859E-6</v>
      </c>
      <c r="N10">
        <f t="shared" si="3"/>
        <v>1.0000029203044898</v>
      </c>
      <c r="O10">
        <f t="shared" si="4"/>
        <v>-2.9203044897840869E-6</v>
      </c>
      <c r="Y10">
        <v>1</v>
      </c>
      <c r="Z10">
        <v>2014</v>
      </c>
      <c r="AA10">
        <v>36.886724661113703</v>
      </c>
      <c r="AB10">
        <f t="shared" si="5"/>
        <v>0.99998681551483259</v>
      </c>
      <c r="AD10">
        <v>2014</v>
      </c>
      <c r="AE10">
        <v>1</v>
      </c>
      <c r="AF10">
        <v>844</v>
      </c>
      <c r="AG10">
        <v>36.8873187218826</v>
      </c>
    </row>
    <row r="11" spans="1:33" x14ac:dyDescent="0.25">
      <c r="A11">
        <v>2016</v>
      </c>
      <c r="B11">
        <v>463539.72069400002</v>
      </c>
      <c r="C11">
        <v>0</v>
      </c>
      <c r="D11">
        <f t="shared" si="0"/>
        <v>36.88731893394332</v>
      </c>
      <c r="F11" s="1">
        <v>2016</v>
      </c>
      <c r="G11" s="2">
        <v>36.887287000000001</v>
      </c>
      <c r="I11">
        <v>2016</v>
      </c>
      <c r="J11">
        <v>36.887318721887901</v>
      </c>
      <c r="L11">
        <f t="shared" si="1"/>
        <v>1.0000008657167798</v>
      </c>
      <c r="M11">
        <f t="shared" si="2"/>
        <v>-8.6571677981872597E-7</v>
      </c>
      <c r="N11">
        <f t="shared" si="3"/>
        <v>1.0000008599680399</v>
      </c>
      <c r="O11">
        <f t="shared" si="4"/>
        <v>-8.5996803989019099E-7</v>
      </c>
      <c r="Y11">
        <v>1</v>
      </c>
      <c r="Z11">
        <v>2016</v>
      </c>
      <c r="AA11">
        <v>36.886516499732203</v>
      </c>
      <c r="AB11">
        <f t="shared" si="5"/>
        <v>0.99997911203749412</v>
      </c>
      <c r="AD11">
        <v>2016</v>
      </c>
      <c r="AE11">
        <v>1</v>
      </c>
      <c r="AF11">
        <v>844</v>
      </c>
      <c r="AG11">
        <v>36.887318721882501</v>
      </c>
    </row>
    <row r="12" spans="1:33" x14ac:dyDescent="0.25">
      <c r="A12">
        <v>2018</v>
      </c>
      <c r="B12">
        <v>463539.72069400002</v>
      </c>
      <c r="C12">
        <v>0</v>
      </c>
      <c r="D12">
        <f t="shared" si="0"/>
        <v>36.88731893394332</v>
      </c>
      <c r="F12" s="1">
        <v>2018</v>
      </c>
      <c r="G12" s="2">
        <v>36.887276</v>
      </c>
      <c r="I12">
        <v>2018</v>
      </c>
      <c r="J12">
        <v>36.887318721887901</v>
      </c>
      <c r="L12">
        <f t="shared" si="1"/>
        <v>1.0000011639228474</v>
      </c>
      <c r="M12">
        <f t="shared" si="2"/>
        <v>-1.1639228474358276E-6</v>
      </c>
      <c r="N12">
        <f t="shared" si="3"/>
        <v>1.000001158174106</v>
      </c>
      <c r="O12">
        <f t="shared" si="4"/>
        <v>-1.1581741059529804E-6</v>
      </c>
      <c r="Y12">
        <v>1</v>
      </c>
      <c r="Z12">
        <v>2018</v>
      </c>
      <c r="AA12">
        <v>36.886543479021199</v>
      </c>
      <c r="AB12">
        <f t="shared" si="5"/>
        <v>0.99998014163532156</v>
      </c>
      <c r="AD12">
        <v>2018</v>
      </c>
      <c r="AE12">
        <v>1</v>
      </c>
      <c r="AF12">
        <v>844</v>
      </c>
      <c r="AG12">
        <v>36.887318721882501</v>
      </c>
    </row>
    <row r="13" spans="1:33" x14ac:dyDescent="0.25">
      <c r="A13">
        <v>2020</v>
      </c>
      <c r="B13">
        <v>463539.72069400002</v>
      </c>
      <c r="C13">
        <v>0</v>
      </c>
      <c r="D13">
        <f t="shared" si="0"/>
        <v>36.88731893394332</v>
      </c>
      <c r="F13" s="1">
        <v>2020</v>
      </c>
      <c r="G13" s="2">
        <v>36.887568999999999</v>
      </c>
      <c r="I13">
        <v>2020</v>
      </c>
      <c r="J13">
        <v>36.887318721887901</v>
      </c>
      <c r="L13">
        <f t="shared" si="1"/>
        <v>0.99999322085831466</v>
      </c>
      <c r="M13">
        <f t="shared" si="2"/>
        <v>6.779141685342438E-6</v>
      </c>
      <c r="N13">
        <f t="shared" si="3"/>
        <v>0.99999321510961869</v>
      </c>
      <c r="O13">
        <f t="shared" si="4"/>
        <v>6.7848903813061412E-6</v>
      </c>
      <c r="Y13">
        <v>1</v>
      </c>
      <c r="Z13">
        <v>2020</v>
      </c>
      <c r="AA13">
        <v>36.886721323332303</v>
      </c>
      <c r="AB13">
        <f t="shared" si="5"/>
        <v>0.99997701999099764</v>
      </c>
      <c r="AD13">
        <v>2020</v>
      </c>
      <c r="AE13">
        <v>1</v>
      </c>
      <c r="AF13">
        <v>844</v>
      </c>
      <c r="AG13">
        <v>36.8873187218826</v>
      </c>
    </row>
    <row r="14" spans="1:33" x14ac:dyDescent="0.25">
      <c r="A14">
        <v>2022</v>
      </c>
      <c r="B14">
        <v>463539.72069400002</v>
      </c>
      <c r="C14">
        <v>0</v>
      </c>
      <c r="D14">
        <f t="shared" si="0"/>
        <v>36.88731893394332</v>
      </c>
      <c r="F14" s="1">
        <v>2022</v>
      </c>
      <c r="G14" s="2">
        <v>36.88747</v>
      </c>
      <c r="I14">
        <v>2022</v>
      </c>
      <c r="J14">
        <v>36.887318721887901</v>
      </c>
      <c r="L14">
        <f t="shared" si="1"/>
        <v>0.99999590467829103</v>
      </c>
      <c r="M14">
        <f t="shared" si="2"/>
        <v>4.0953217089745308E-6</v>
      </c>
      <c r="N14">
        <f t="shared" si="3"/>
        <v>0.99999589892957963</v>
      </c>
      <c r="O14">
        <f t="shared" si="4"/>
        <v>4.1010704203703341E-6</v>
      </c>
      <c r="Y14">
        <v>1</v>
      </c>
      <c r="Z14">
        <v>2022</v>
      </c>
      <c r="AA14">
        <v>36.8863211431878</v>
      </c>
      <c r="AB14">
        <f t="shared" si="5"/>
        <v>0.99996885509328237</v>
      </c>
      <c r="AD14">
        <v>2022</v>
      </c>
      <c r="AE14">
        <v>1</v>
      </c>
      <c r="AF14">
        <v>844</v>
      </c>
      <c r="AG14">
        <v>36.887318721882501</v>
      </c>
    </row>
    <row r="15" spans="1:33" x14ac:dyDescent="0.25">
      <c r="A15">
        <v>2024</v>
      </c>
      <c r="B15">
        <v>463539.72069400002</v>
      </c>
      <c r="C15">
        <v>0</v>
      </c>
      <c r="D15">
        <f t="shared" si="0"/>
        <v>36.88731893394332</v>
      </c>
      <c r="F15" s="1">
        <v>2024</v>
      </c>
      <c r="G15" s="2">
        <v>36.887383</v>
      </c>
      <c r="I15">
        <v>2024</v>
      </c>
      <c r="J15">
        <v>36.887318721887901</v>
      </c>
      <c r="L15">
        <f t="shared" si="1"/>
        <v>0.9999982631986476</v>
      </c>
      <c r="M15">
        <f t="shared" si="2"/>
        <v>1.7368013524032833E-6</v>
      </c>
      <c r="N15">
        <f t="shared" si="3"/>
        <v>0.99999825744992266</v>
      </c>
      <c r="O15">
        <f t="shared" si="4"/>
        <v>1.7425500773438074E-6</v>
      </c>
      <c r="Y15">
        <v>1</v>
      </c>
      <c r="Z15">
        <v>2024</v>
      </c>
      <c r="AA15">
        <v>36.886716801880603</v>
      </c>
      <c r="AB15">
        <f t="shared" si="5"/>
        <v>0.99998193967516213</v>
      </c>
      <c r="AD15">
        <v>2024</v>
      </c>
      <c r="AE15">
        <v>1</v>
      </c>
      <c r="AF15">
        <v>844</v>
      </c>
      <c r="AG15">
        <v>36.887318721882501</v>
      </c>
    </row>
    <row r="16" spans="1:33" x14ac:dyDescent="0.25">
      <c r="A16">
        <v>2026</v>
      </c>
      <c r="B16">
        <v>463539.72069400002</v>
      </c>
      <c r="C16">
        <v>0</v>
      </c>
      <c r="D16">
        <f t="shared" si="0"/>
        <v>36.88731893394332</v>
      </c>
      <c r="F16" s="1">
        <v>2026</v>
      </c>
      <c r="G16" s="2">
        <v>36.887256999999998</v>
      </c>
      <c r="I16">
        <v>2026</v>
      </c>
      <c r="J16">
        <v>36.887318721887901</v>
      </c>
      <c r="L16">
        <f t="shared" si="1"/>
        <v>1.0000016790064743</v>
      </c>
      <c r="M16">
        <f t="shared" si="2"/>
        <v>-1.6790064742977506E-6</v>
      </c>
      <c r="N16">
        <f t="shared" si="3"/>
        <v>1.0000016732577297</v>
      </c>
      <c r="O16">
        <f t="shared" si="4"/>
        <v>-1.673257729706279E-6</v>
      </c>
      <c r="Y16">
        <v>1</v>
      </c>
      <c r="Z16">
        <v>2026</v>
      </c>
      <c r="AA16">
        <v>36.886434206546397</v>
      </c>
      <c r="AB16">
        <f t="shared" si="5"/>
        <v>0.99997769437143025</v>
      </c>
      <c r="AD16">
        <v>2026</v>
      </c>
      <c r="AE16">
        <v>1</v>
      </c>
      <c r="AF16">
        <v>844</v>
      </c>
      <c r="AG16">
        <v>36.887318721882501</v>
      </c>
    </row>
    <row r="17" spans="1:33" x14ac:dyDescent="0.25">
      <c r="A17">
        <v>2028</v>
      </c>
      <c r="B17">
        <v>463539.72069400002</v>
      </c>
      <c r="C17">
        <v>0</v>
      </c>
      <c r="D17">
        <f t="shared" si="0"/>
        <v>36.88731893394332</v>
      </c>
      <c r="F17" s="1">
        <v>2028</v>
      </c>
      <c r="G17" s="2">
        <v>36.887253000000001</v>
      </c>
      <c r="I17">
        <v>2028</v>
      </c>
      <c r="J17">
        <v>36.887318721887901</v>
      </c>
      <c r="L17">
        <f t="shared" si="1"/>
        <v>1.0000017874452001</v>
      </c>
      <c r="M17">
        <f t="shared" si="2"/>
        <v>-1.7874452000743446E-6</v>
      </c>
      <c r="N17">
        <f t="shared" si="3"/>
        <v>1.0000017816964548</v>
      </c>
      <c r="O17">
        <f t="shared" si="4"/>
        <v>-1.7816964548167391E-6</v>
      </c>
      <c r="Y17">
        <v>1</v>
      </c>
      <c r="Z17">
        <v>2028</v>
      </c>
      <c r="AA17">
        <v>36.886794573277399</v>
      </c>
      <c r="AB17">
        <f t="shared" si="5"/>
        <v>0.99998757221844081</v>
      </c>
      <c r="AD17">
        <v>2028</v>
      </c>
      <c r="AE17">
        <v>1</v>
      </c>
      <c r="AF17">
        <v>844</v>
      </c>
      <c r="AG17">
        <v>36.887318721882501</v>
      </c>
    </row>
    <row r="18" spans="1:33" x14ac:dyDescent="0.25">
      <c r="A18">
        <v>2030</v>
      </c>
      <c r="B18">
        <v>463539.72069400002</v>
      </c>
      <c r="C18">
        <v>0</v>
      </c>
      <c r="D18">
        <f t="shared" si="0"/>
        <v>36.88731893394332</v>
      </c>
      <c r="F18" s="1">
        <v>2030</v>
      </c>
      <c r="G18" s="2">
        <v>36.887562000000003</v>
      </c>
      <c r="I18">
        <v>2030</v>
      </c>
      <c r="J18">
        <v>36.887318721887901</v>
      </c>
      <c r="L18">
        <f t="shared" si="1"/>
        <v>0.99999341062289004</v>
      </c>
      <c r="M18">
        <f t="shared" si="2"/>
        <v>6.5893771099556631E-6</v>
      </c>
      <c r="N18">
        <f t="shared" si="3"/>
        <v>0.99999340487419308</v>
      </c>
      <c r="O18">
        <f t="shared" si="4"/>
        <v>6.595125806918567E-6</v>
      </c>
      <c r="Y18">
        <v>1</v>
      </c>
      <c r="Z18">
        <v>2030</v>
      </c>
      <c r="AA18">
        <v>36.886463364779203</v>
      </c>
      <c r="AB18">
        <f t="shared" si="5"/>
        <v>0.99997021664861452</v>
      </c>
      <c r="AD18">
        <v>2030</v>
      </c>
      <c r="AE18">
        <v>1</v>
      </c>
      <c r="AF18">
        <v>844</v>
      </c>
      <c r="AG18">
        <v>36.887318721882501</v>
      </c>
    </row>
    <row r="19" spans="1:33" x14ac:dyDescent="0.25">
      <c r="A19">
        <v>2032</v>
      </c>
      <c r="B19">
        <v>463539.72069400002</v>
      </c>
      <c r="C19">
        <v>0</v>
      </c>
      <c r="D19">
        <f t="shared" si="0"/>
        <v>36.88731893394332</v>
      </c>
      <c r="F19" s="1">
        <v>2032</v>
      </c>
      <c r="G19" s="2">
        <v>36.887298999999999</v>
      </c>
      <c r="I19">
        <v>2032</v>
      </c>
      <c r="J19">
        <v>36.887318721887901</v>
      </c>
      <c r="L19">
        <f t="shared" si="1"/>
        <v>1.0000005404012726</v>
      </c>
      <c r="M19">
        <f t="shared" si="2"/>
        <v>-5.4040127261956172E-7</v>
      </c>
      <c r="N19">
        <f t="shared" si="3"/>
        <v>1.0000005346525345</v>
      </c>
      <c r="O19">
        <f t="shared" si="4"/>
        <v>-5.3465253446738359E-7</v>
      </c>
      <c r="Y19">
        <v>1</v>
      </c>
      <c r="Z19">
        <v>2032</v>
      </c>
      <c r="AA19">
        <v>36.886728175558297</v>
      </c>
      <c r="AB19">
        <f t="shared" si="5"/>
        <v>0.99998452517649228</v>
      </c>
      <c r="AD19">
        <v>2032</v>
      </c>
      <c r="AE19">
        <v>1</v>
      </c>
      <c r="AF19">
        <v>844</v>
      </c>
      <c r="AG19">
        <v>36.887318721882501</v>
      </c>
    </row>
    <row r="20" spans="1:33" x14ac:dyDescent="0.25">
      <c r="A20">
        <v>2034</v>
      </c>
      <c r="B20">
        <v>463539.72069400002</v>
      </c>
      <c r="C20">
        <v>0</v>
      </c>
      <c r="D20">
        <f t="shared" si="0"/>
        <v>36.88731893394332</v>
      </c>
      <c r="F20" s="1">
        <v>2034</v>
      </c>
      <c r="G20" s="2">
        <v>36.887573000000003</v>
      </c>
      <c r="I20">
        <v>2034</v>
      </c>
      <c r="J20">
        <v>36.887318721887901</v>
      </c>
      <c r="L20">
        <f t="shared" si="1"/>
        <v>0.99999311242144651</v>
      </c>
      <c r="M20">
        <f t="shared" si="2"/>
        <v>6.8875785534938672E-6</v>
      </c>
      <c r="N20">
        <f t="shared" si="3"/>
        <v>0.99999310667275121</v>
      </c>
      <c r="O20">
        <f t="shared" si="4"/>
        <v>6.8933272487914365E-6</v>
      </c>
      <c r="Y20">
        <v>1</v>
      </c>
      <c r="Z20">
        <v>2034</v>
      </c>
      <c r="AA20">
        <v>36.886519407489899</v>
      </c>
      <c r="AB20">
        <f t="shared" si="5"/>
        <v>0.99997143773839214</v>
      </c>
      <c r="AD20">
        <v>2034</v>
      </c>
      <c r="AE20">
        <v>1</v>
      </c>
      <c r="AF20">
        <v>844</v>
      </c>
      <c r="AG20">
        <v>36.887318721882501</v>
      </c>
    </row>
    <row r="21" spans="1:33" x14ac:dyDescent="0.25">
      <c r="A21">
        <v>2036</v>
      </c>
      <c r="B21">
        <v>463539.72069400002</v>
      </c>
      <c r="C21">
        <v>0</v>
      </c>
      <c r="D21">
        <f t="shared" si="0"/>
        <v>36.88731893394332</v>
      </c>
      <c r="F21" s="1">
        <v>2036</v>
      </c>
      <c r="G21" s="2">
        <v>36.887301999999998</v>
      </c>
      <c r="I21">
        <v>2036</v>
      </c>
      <c r="J21">
        <v>36.887318721887901</v>
      </c>
      <c r="L21">
        <f t="shared" si="1"/>
        <v>1.0000004590724287</v>
      </c>
      <c r="M21">
        <f t="shared" si="2"/>
        <v>-4.5907242873788334E-7</v>
      </c>
      <c r="N21">
        <f t="shared" si="3"/>
        <v>1.0000004533236913</v>
      </c>
      <c r="O21">
        <f t="shared" si="4"/>
        <v>-4.5332369125183902E-7</v>
      </c>
      <c r="Y21">
        <v>1</v>
      </c>
      <c r="Z21">
        <v>2036</v>
      </c>
      <c r="AA21">
        <v>36.886710115420797</v>
      </c>
      <c r="AB21">
        <f t="shared" si="5"/>
        <v>0.99998395424584863</v>
      </c>
      <c r="AD21">
        <v>2036</v>
      </c>
      <c r="AE21">
        <v>1</v>
      </c>
      <c r="AF21">
        <v>844</v>
      </c>
      <c r="AG21">
        <v>36.887318721882501</v>
      </c>
    </row>
    <row r="22" spans="1:33" x14ac:dyDescent="0.25">
      <c r="A22">
        <v>2038</v>
      </c>
      <c r="B22">
        <v>463539.72069400002</v>
      </c>
      <c r="C22">
        <v>0</v>
      </c>
      <c r="D22">
        <f t="shared" si="0"/>
        <v>36.88731893394332</v>
      </c>
      <c r="F22" s="1">
        <v>2038</v>
      </c>
      <c r="G22" s="2">
        <v>36.887416999999999</v>
      </c>
      <c r="I22">
        <v>2038</v>
      </c>
      <c r="J22">
        <v>36.887318721887901</v>
      </c>
      <c r="L22">
        <f t="shared" si="1"/>
        <v>0.99999734147672414</v>
      </c>
      <c r="M22">
        <f t="shared" si="2"/>
        <v>2.6585232758558064E-6</v>
      </c>
      <c r="N22">
        <f t="shared" si="3"/>
        <v>0.99999733572800453</v>
      </c>
      <c r="O22">
        <f t="shared" si="4"/>
        <v>2.66427199546726E-6</v>
      </c>
      <c r="Y22">
        <v>1</v>
      </c>
      <c r="Z22">
        <v>2038</v>
      </c>
      <c r="AA22">
        <v>36.886689264473297</v>
      </c>
      <c r="AB22">
        <f t="shared" si="5"/>
        <v>0.99998027144251656</v>
      </c>
      <c r="AD22">
        <v>2038</v>
      </c>
      <c r="AE22">
        <v>1</v>
      </c>
      <c r="AF22">
        <v>844</v>
      </c>
      <c r="AG22">
        <v>36.887318721882501</v>
      </c>
    </row>
    <row r="23" spans="1:33" x14ac:dyDescent="0.25">
      <c r="A23">
        <v>2040</v>
      </c>
      <c r="B23">
        <v>463539.72069400002</v>
      </c>
      <c r="C23">
        <v>0</v>
      </c>
      <c r="D23">
        <f t="shared" si="0"/>
        <v>36.88731893394332</v>
      </c>
      <c r="F23" s="1">
        <v>2040</v>
      </c>
      <c r="G23" s="2">
        <v>36.887402000000002</v>
      </c>
      <c r="I23">
        <v>2040</v>
      </c>
      <c r="J23">
        <v>36.887318721887901</v>
      </c>
      <c r="L23">
        <f t="shared" si="1"/>
        <v>0.9999977481185397</v>
      </c>
      <c r="M23">
        <f t="shared" si="2"/>
        <v>2.2518814603023074E-6</v>
      </c>
      <c r="N23">
        <f t="shared" si="3"/>
        <v>0.99999774236981775</v>
      </c>
      <c r="O23">
        <f t="shared" si="4"/>
        <v>2.2576301822452294E-6</v>
      </c>
      <c r="Y23">
        <v>1</v>
      </c>
      <c r="Z23">
        <v>2040</v>
      </c>
      <c r="AA23">
        <v>36.886552159895402</v>
      </c>
      <c r="AB23">
        <f t="shared" si="5"/>
        <v>0.99997696123721047</v>
      </c>
      <c r="AD23">
        <v>2040</v>
      </c>
      <c r="AE23">
        <v>1</v>
      </c>
      <c r="AF23">
        <v>844</v>
      </c>
      <c r="AG23">
        <v>36.8873187218826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DC3BB-7F13-416A-8D5F-9294069A7B3D}">
  <dimension ref="A1:AE23"/>
  <sheetViews>
    <sheetView zoomScale="84" zoomScaleNormal="84" workbookViewId="0">
      <selection activeCell="I39" sqref="I39"/>
    </sheetView>
  </sheetViews>
  <sheetFormatPr defaultRowHeight="15.75" x14ac:dyDescent="0.25"/>
  <cols>
    <col min="1" max="1" width="12.75" customWidth="1"/>
    <col min="4" max="4" width="14.625" customWidth="1"/>
    <col min="6" max="6" width="12.875" style="1" customWidth="1"/>
    <col min="7" max="7" width="14.75" style="2" customWidth="1"/>
    <col min="9" max="9" width="14.375" customWidth="1"/>
    <col min="10" max="10" width="14.625" customWidth="1"/>
    <col min="13" max="13" width="11.875" bestFit="1" customWidth="1"/>
    <col min="15" max="15" width="11.875" bestFit="1" customWidth="1"/>
    <col min="24" max="24" width="12" customWidth="1"/>
    <col min="25" max="26" width="15.875" customWidth="1"/>
    <col min="28" max="28" width="26.625" customWidth="1"/>
  </cols>
  <sheetData>
    <row r="1" spans="1:31" x14ac:dyDescent="0.25">
      <c r="B1" t="s">
        <v>4</v>
      </c>
      <c r="G1" s="2" t="s">
        <v>5</v>
      </c>
      <c r="J1" t="s">
        <v>6</v>
      </c>
      <c r="L1" t="s">
        <v>7</v>
      </c>
      <c r="M1" t="s">
        <v>8</v>
      </c>
      <c r="N1" t="s">
        <v>9</v>
      </c>
      <c r="O1" t="s">
        <v>8</v>
      </c>
      <c r="Y1" t="s">
        <v>11</v>
      </c>
    </row>
    <row r="2" spans="1:31" x14ac:dyDescent="0.25">
      <c r="A2" t="s">
        <v>0</v>
      </c>
      <c r="B2" t="s">
        <v>1</v>
      </c>
      <c r="C2" t="s">
        <v>2</v>
      </c>
      <c r="D2" t="s">
        <v>3</v>
      </c>
      <c r="F2" t="s">
        <v>0</v>
      </c>
      <c r="G2" t="s">
        <v>3</v>
      </c>
      <c r="I2" t="s">
        <v>0</v>
      </c>
      <c r="J2" t="s">
        <v>3</v>
      </c>
    </row>
    <row r="3" spans="1:31" x14ac:dyDescent="0.25">
      <c r="A3">
        <v>2000</v>
      </c>
      <c r="B3">
        <v>463539.72069400002</v>
      </c>
      <c r="C3">
        <v>0</v>
      </c>
      <c r="D3">
        <f t="shared" ref="D3:D23" si="0">B3/(4000*PI())</f>
        <v>36.88731893394332</v>
      </c>
      <c r="F3" s="1">
        <v>2000</v>
      </c>
      <c r="G3" s="2">
        <v>36.887394</v>
      </c>
      <c r="I3">
        <v>2000</v>
      </c>
      <c r="J3">
        <v>36.887318721887901</v>
      </c>
      <c r="L3">
        <f>D3/G3</f>
        <v>0.99999796499430993</v>
      </c>
      <c r="M3">
        <f>1-L3</f>
        <v>2.035005690070868E-6</v>
      </c>
      <c r="N3">
        <f>J3/G3</f>
        <v>0.99999795924558676</v>
      </c>
      <c r="O3">
        <f>1-N3</f>
        <v>2.0407544132350353E-6</v>
      </c>
      <c r="X3">
        <v>2000</v>
      </c>
      <c r="Y3">
        <v>36.886573463573697</v>
      </c>
      <c r="Z3">
        <f>Y3/G3</f>
        <v>0.99997775564122793</v>
      </c>
      <c r="AB3">
        <v>2000</v>
      </c>
      <c r="AC3">
        <v>1</v>
      </c>
      <c r="AD3">
        <v>844</v>
      </c>
      <c r="AE3">
        <v>36.887318721882501</v>
      </c>
    </row>
    <row r="4" spans="1:31" x14ac:dyDescent="0.25">
      <c r="A4">
        <v>2002</v>
      </c>
      <c r="B4">
        <v>463539.72069400002</v>
      </c>
      <c r="C4">
        <v>0</v>
      </c>
      <c r="D4">
        <f t="shared" si="0"/>
        <v>36.88731893394332</v>
      </c>
      <c r="F4" s="1">
        <v>2002</v>
      </c>
      <c r="G4" s="2">
        <v>36.887188000000002</v>
      </c>
      <c r="I4">
        <v>2002</v>
      </c>
      <c r="J4">
        <v>36.887318721887901</v>
      </c>
      <c r="L4">
        <f t="shared" ref="L4:L23" si="1">D4/G4</f>
        <v>1.0000035495777915</v>
      </c>
      <c r="M4">
        <f t="shared" ref="M4:M23" si="2">1-L4</f>
        <v>-3.5495777914729132E-6</v>
      </c>
      <c r="N4">
        <f t="shared" ref="N4:N23" si="3">J4/G4</f>
        <v>1.0000035438290362</v>
      </c>
      <c r="O4">
        <f t="shared" ref="O4:O23" si="4">1-N4</f>
        <v>-3.5438290362233005E-6</v>
      </c>
      <c r="X4">
        <v>2002</v>
      </c>
      <c r="Y4">
        <v>36.886740430897099</v>
      </c>
      <c r="Z4">
        <f t="shared" ref="Z4:Z23" si="5">Y4/G4</f>
        <v>0.99998786654317751</v>
      </c>
      <c r="AB4">
        <v>2002</v>
      </c>
      <c r="AC4">
        <v>1</v>
      </c>
      <c r="AD4">
        <v>844</v>
      </c>
      <c r="AE4">
        <v>36.887318721882501</v>
      </c>
    </row>
    <row r="5" spans="1:31" x14ac:dyDescent="0.25">
      <c r="A5">
        <v>2004</v>
      </c>
      <c r="B5">
        <v>463539.72069400002</v>
      </c>
      <c r="C5">
        <v>0</v>
      </c>
      <c r="D5">
        <f t="shared" si="0"/>
        <v>36.88731893394332</v>
      </c>
      <c r="F5" s="1">
        <v>2004</v>
      </c>
      <c r="G5" s="2">
        <v>36.887241000000003</v>
      </c>
      <c r="I5">
        <v>2004</v>
      </c>
      <c r="J5">
        <v>36.887318721887901</v>
      </c>
      <c r="L5">
        <f t="shared" si="1"/>
        <v>1.0000021127615186</v>
      </c>
      <c r="M5">
        <f t="shared" si="2"/>
        <v>-2.1127615186244952E-6</v>
      </c>
      <c r="N5">
        <f t="shared" si="3"/>
        <v>1.0000021070127716</v>
      </c>
      <c r="O5">
        <f t="shared" si="4"/>
        <v>-2.1070127715905329E-6</v>
      </c>
      <c r="X5">
        <v>2004</v>
      </c>
      <c r="Y5">
        <v>36.8863098042318</v>
      </c>
      <c r="Z5">
        <f t="shared" si="5"/>
        <v>0.99997475561351412</v>
      </c>
      <c r="AB5">
        <v>2004</v>
      </c>
      <c r="AC5">
        <v>1</v>
      </c>
      <c r="AD5">
        <v>844</v>
      </c>
      <c r="AE5">
        <v>36.8873187218826</v>
      </c>
    </row>
    <row r="6" spans="1:31" x14ac:dyDescent="0.25">
      <c r="A6">
        <v>2006</v>
      </c>
      <c r="B6">
        <v>463539.72069400002</v>
      </c>
      <c r="C6">
        <v>0</v>
      </c>
      <c r="D6">
        <f t="shared" si="0"/>
        <v>36.88731893394332</v>
      </c>
      <c r="F6" s="1">
        <v>2006</v>
      </c>
      <c r="G6" s="2">
        <v>36.887371000000002</v>
      </c>
      <c r="I6">
        <v>2006</v>
      </c>
      <c r="J6">
        <v>36.887318721887901</v>
      </c>
      <c r="L6">
        <f t="shared" si="1"/>
        <v>0.99999858851267331</v>
      </c>
      <c r="M6">
        <f t="shared" si="2"/>
        <v>1.4114873266857231E-6</v>
      </c>
      <c r="N6">
        <f t="shared" si="3"/>
        <v>0.99999858276394649</v>
      </c>
      <c r="O6">
        <f t="shared" si="4"/>
        <v>1.4172360535136264E-6</v>
      </c>
      <c r="X6">
        <v>2006</v>
      </c>
      <c r="Y6">
        <v>36.8868000219518</v>
      </c>
      <c r="Z6">
        <f t="shared" si="5"/>
        <v>0.99998452104249436</v>
      </c>
      <c r="AB6">
        <v>2006</v>
      </c>
      <c r="AC6">
        <v>1</v>
      </c>
      <c r="AD6">
        <v>844</v>
      </c>
      <c r="AE6">
        <v>36.887318721882501</v>
      </c>
    </row>
    <row r="7" spans="1:31" x14ac:dyDescent="0.25">
      <c r="A7">
        <v>2008</v>
      </c>
      <c r="B7">
        <v>463539.72069400002</v>
      </c>
      <c r="C7">
        <v>0</v>
      </c>
      <c r="D7">
        <f t="shared" si="0"/>
        <v>36.88731893394332</v>
      </c>
      <c r="F7" s="1">
        <v>2008</v>
      </c>
      <c r="G7" s="2">
        <v>36.887337000000002</v>
      </c>
      <c r="I7">
        <v>2008</v>
      </c>
      <c r="J7">
        <v>36.887318721887901</v>
      </c>
      <c r="L7">
        <f t="shared" si="1"/>
        <v>0.99999951023689559</v>
      </c>
      <c r="M7">
        <f t="shared" si="2"/>
        <v>4.8976310440540516E-7</v>
      </c>
      <c r="N7">
        <f t="shared" si="3"/>
        <v>0.99999950448816344</v>
      </c>
      <c r="O7">
        <f t="shared" si="4"/>
        <v>4.9551183656237896E-7</v>
      </c>
      <c r="X7">
        <v>2008</v>
      </c>
      <c r="Y7">
        <v>36.886460387596699</v>
      </c>
      <c r="Z7">
        <f t="shared" si="5"/>
        <v>0.99997623541099478</v>
      </c>
      <c r="AB7">
        <v>2008</v>
      </c>
      <c r="AC7">
        <v>1</v>
      </c>
      <c r="AD7">
        <v>844</v>
      </c>
      <c r="AE7">
        <v>36.887318721882501</v>
      </c>
    </row>
    <row r="8" spans="1:31" x14ac:dyDescent="0.25">
      <c r="A8">
        <v>2010</v>
      </c>
      <c r="B8">
        <v>463539.72069400002</v>
      </c>
      <c r="C8">
        <v>0</v>
      </c>
      <c r="D8">
        <f t="shared" si="0"/>
        <v>36.88731893394332</v>
      </c>
      <c r="F8" s="1">
        <v>2010</v>
      </c>
      <c r="G8" s="2">
        <v>36.887135000000001</v>
      </c>
      <c r="I8">
        <v>2010</v>
      </c>
      <c r="J8">
        <v>36.887318721887901</v>
      </c>
      <c r="L8">
        <f t="shared" si="1"/>
        <v>1.0000049863981932</v>
      </c>
      <c r="M8">
        <f t="shared" si="2"/>
        <v>-4.9863981932407597E-6</v>
      </c>
      <c r="N8">
        <f t="shared" si="3"/>
        <v>1.0000049806494298</v>
      </c>
      <c r="O8">
        <f t="shared" si="4"/>
        <v>-4.9806494297754966E-6</v>
      </c>
      <c r="X8">
        <v>2010</v>
      </c>
      <c r="Y8">
        <v>36.886756797641503</v>
      </c>
      <c r="Z8">
        <f t="shared" si="5"/>
        <v>0.99998974703894739</v>
      </c>
      <c r="AB8">
        <v>2010</v>
      </c>
      <c r="AC8">
        <v>1</v>
      </c>
      <c r="AD8">
        <v>844</v>
      </c>
      <c r="AE8">
        <v>36.887318721882501</v>
      </c>
    </row>
    <row r="9" spans="1:31" x14ac:dyDescent="0.25">
      <c r="A9">
        <v>2012</v>
      </c>
      <c r="B9">
        <v>463539.72069400002</v>
      </c>
      <c r="C9">
        <v>0</v>
      </c>
      <c r="D9">
        <f t="shared" si="0"/>
        <v>36.88731893394332</v>
      </c>
      <c r="F9" s="1">
        <v>2012</v>
      </c>
      <c r="G9" s="2">
        <v>36.887196000000003</v>
      </c>
      <c r="I9">
        <v>2012</v>
      </c>
      <c r="J9">
        <v>36.887318721887901</v>
      </c>
      <c r="L9">
        <f t="shared" si="1"/>
        <v>1.000003332699599</v>
      </c>
      <c r="M9">
        <f t="shared" si="2"/>
        <v>-3.3326995989568786E-6</v>
      </c>
      <c r="N9">
        <f t="shared" si="3"/>
        <v>1.0000033269508448</v>
      </c>
      <c r="O9">
        <f t="shared" si="4"/>
        <v>-3.3269508448174889E-6</v>
      </c>
      <c r="X9">
        <v>2012</v>
      </c>
      <c r="Y9">
        <v>36.886552265544204</v>
      </c>
      <c r="Z9">
        <f t="shared" si="5"/>
        <v>0.99998254856628843</v>
      </c>
      <c r="AB9">
        <v>2012</v>
      </c>
      <c r="AC9">
        <v>1</v>
      </c>
      <c r="AD9">
        <v>844</v>
      </c>
      <c r="AE9">
        <v>36.887318721882501</v>
      </c>
    </row>
    <row r="10" spans="1:31" x14ac:dyDescent="0.25">
      <c r="A10">
        <v>2014</v>
      </c>
      <c r="B10">
        <v>463539.72069400002</v>
      </c>
      <c r="C10">
        <v>0</v>
      </c>
      <c r="D10">
        <f t="shared" si="0"/>
        <v>36.88731893394332</v>
      </c>
      <c r="F10" s="1">
        <v>2014</v>
      </c>
      <c r="G10" s="2">
        <v>36.887314000000003</v>
      </c>
      <c r="I10">
        <v>2014</v>
      </c>
      <c r="J10">
        <v>36.887318721887901</v>
      </c>
      <c r="L10">
        <f t="shared" si="1"/>
        <v>1.000000133757186</v>
      </c>
      <c r="M10">
        <f t="shared" si="2"/>
        <v>-1.3375718599384356E-7</v>
      </c>
      <c r="N10">
        <f t="shared" si="3"/>
        <v>1.0000001280084503</v>
      </c>
      <c r="O10">
        <f t="shared" si="4"/>
        <v>-1.2800845028415608E-7</v>
      </c>
      <c r="X10">
        <v>2014</v>
      </c>
      <c r="Y10">
        <v>36.886728755170303</v>
      </c>
      <c r="Z10">
        <f t="shared" si="5"/>
        <v>0.99998413425196264</v>
      </c>
      <c r="AB10">
        <v>2014</v>
      </c>
      <c r="AC10">
        <v>1</v>
      </c>
      <c r="AD10">
        <v>844</v>
      </c>
      <c r="AE10">
        <v>36.887318721882501</v>
      </c>
    </row>
    <row r="11" spans="1:31" x14ac:dyDescent="0.25">
      <c r="A11">
        <v>2016</v>
      </c>
      <c r="B11">
        <v>463539.72069400002</v>
      </c>
      <c r="C11">
        <v>0</v>
      </c>
      <c r="D11">
        <f t="shared" si="0"/>
        <v>36.88731893394332</v>
      </c>
      <c r="F11" s="1">
        <v>2016</v>
      </c>
      <c r="G11" s="2">
        <v>36.887332999999998</v>
      </c>
      <c r="I11">
        <v>2016</v>
      </c>
      <c r="J11">
        <v>36.887318721887901</v>
      </c>
      <c r="L11">
        <f t="shared" si="1"/>
        <v>0.99999961867515119</v>
      </c>
      <c r="M11">
        <f t="shared" si="2"/>
        <v>3.8132484880826212E-7</v>
      </c>
      <c r="N11">
        <f t="shared" si="3"/>
        <v>0.99999961292641848</v>
      </c>
      <c r="O11">
        <f t="shared" si="4"/>
        <v>3.8707358152034743E-7</v>
      </c>
      <c r="X11">
        <v>2016</v>
      </c>
      <c r="Y11">
        <v>36.886520295131703</v>
      </c>
      <c r="Z11">
        <f t="shared" si="5"/>
        <v>0.99997796791466886</v>
      </c>
      <c r="AB11">
        <v>2016</v>
      </c>
      <c r="AC11">
        <v>1</v>
      </c>
      <c r="AD11">
        <v>844</v>
      </c>
      <c r="AE11">
        <v>36.887318721882501</v>
      </c>
    </row>
    <row r="12" spans="1:31" x14ac:dyDescent="0.25">
      <c r="A12">
        <v>2018</v>
      </c>
      <c r="B12">
        <v>463539.72069400002</v>
      </c>
      <c r="C12">
        <v>0</v>
      </c>
      <c r="D12">
        <f t="shared" si="0"/>
        <v>36.88731893394332</v>
      </c>
      <c r="F12" s="1">
        <v>2018</v>
      </c>
      <c r="G12" s="2">
        <v>36.887379000000003</v>
      </c>
      <c r="I12">
        <v>2018</v>
      </c>
      <c r="J12">
        <v>36.887318721887901</v>
      </c>
      <c r="L12">
        <f t="shared" si="1"/>
        <v>0.99999837163663263</v>
      </c>
      <c r="M12">
        <f t="shared" si="2"/>
        <v>1.6283633673674913E-6</v>
      </c>
      <c r="N12">
        <f t="shared" si="3"/>
        <v>0.99999836588790703</v>
      </c>
      <c r="O12">
        <f t="shared" si="4"/>
        <v>1.6341120929741493E-6</v>
      </c>
      <c r="X12">
        <v>2018</v>
      </c>
      <c r="Y12">
        <v>36.886547339672099</v>
      </c>
      <c r="Z12">
        <f t="shared" si="5"/>
        <v>0.99997745406828975</v>
      </c>
      <c r="AB12">
        <v>2018</v>
      </c>
      <c r="AC12">
        <v>1</v>
      </c>
      <c r="AD12">
        <v>844</v>
      </c>
      <c r="AE12">
        <v>36.8873187218826</v>
      </c>
    </row>
    <row r="13" spans="1:31" x14ac:dyDescent="0.25">
      <c r="A13">
        <v>2020</v>
      </c>
      <c r="B13">
        <v>463539.72069400002</v>
      </c>
      <c r="C13">
        <v>0</v>
      </c>
      <c r="D13">
        <f t="shared" si="0"/>
        <v>36.88731893394332</v>
      </c>
      <c r="F13" s="1">
        <v>2020</v>
      </c>
      <c r="G13" s="2">
        <v>36.88747</v>
      </c>
      <c r="I13">
        <v>2020</v>
      </c>
      <c r="J13">
        <v>36.887318721887901</v>
      </c>
      <c r="L13">
        <f t="shared" si="1"/>
        <v>0.99999590467829103</v>
      </c>
      <c r="M13">
        <f t="shared" si="2"/>
        <v>4.0953217089745308E-6</v>
      </c>
      <c r="N13">
        <f t="shared" si="3"/>
        <v>0.99999589892957963</v>
      </c>
      <c r="O13">
        <f t="shared" si="4"/>
        <v>4.1010704203703341E-6</v>
      </c>
      <c r="X13">
        <v>2020</v>
      </c>
      <c r="Y13">
        <v>36.886725416847803</v>
      </c>
      <c r="Z13">
        <f t="shared" si="5"/>
        <v>0.99997981474055564</v>
      </c>
      <c r="AB13">
        <v>2020</v>
      </c>
      <c r="AC13">
        <v>1</v>
      </c>
      <c r="AD13">
        <v>844</v>
      </c>
      <c r="AE13">
        <v>36.8873187218826</v>
      </c>
    </row>
    <row r="14" spans="1:31" x14ac:dyDescent="0.25">
      <c r="A14">
        <v>2022</v>
      </c>
      <c r="B14">
        <v>463539.72069400002</v>
      </c>
      <c r="C14">
        <v>0</v>
      </c>
      <c r="D14">
        <f t="shared" si="0"/>
        <v>36.88731893394332</v>
      </c>
      <c r="F14" s="1">
        <v>2022</v>
      </c>
      <c r="G14" s="2">
        <v>36.887096</v>
      </c>
      <c r="I14">
        <v>2022</v>
      </c>
      <c r="J14">
        <v>36.887318721887901</v>
      </c>
      <c r="L14">
        <f t="shared" si="1"/>
        <v>1.0000060436837674</v>
      </c>
      <c r="M14">
        <f t="shared" si="2"/>
        <v>-6.0436837674426869E-6</v>
      </c>
      <c r="N14">
        <f t="shared" si="3"/>
        <v>1.0000060379349978</v>
      </c>
      <c r="O14">
        <f t="shared" si="4"/>
        <v>-6.0379349977601748E-6</v>
      </c>
      <c r="X14">
        <v>2022</v>
      </c>
      <c r="Y14">
        <v>36.886324532868301</v>
      </c>
      <c r="Z14">
        <f t="shared" si="5"/>
        <v>0.99997908571789718</v>
      </c>
      <c r="AB14">
        <v>2022</v>
      </c>
      <c r="AC14">
        <v>1</v>
      </c>
      <c r="AD14">
        <v>844</v>
      </c>
      <c r="AE14">
        <v>36.887318721882501</v>
      </c>
    </row>
    <row r="15" spans="1:31" x14ac:dyDescent="0.25">
      <c r="A15">
        <v>2024</v>
      </c>
      <c r="B15">
        <v>463539.72069400002</v>
      </c>
      <c r="C15">
        <v>0</v>
      </c>
      <c r="D15">
        <f t="shared" si="0"/>
        <v>36.88731893394332</v>
      </c>
      <c r="F15" s="1">
        <v>2024</v>
      </c>
      <c r="G15" s="2">
        <v>36.887127</v>
      </c>
      <c r="I15">
        <v>2024</v>
      </c>
      <c r="J15">
        <v>36.887318721887901</v>
      </c>
      <c r="L15">
        <f t="shared" si="1"/>
        <v>1.0000052032771032</v>
      </c>
      <c r="M15">
        <f t="shared" si="2"/>
        <v>-5.2032771031829128E-6</v>
      </c>
      <c r="N15">
        <f t="shared" si="3"/>
        <v>1.0000051975283384</v>
      </c>
      <c r="O15">
        <f t="shared" si="4"/>
        <v>-5.1975283383853821E-6</v>
      </c>
      <c r="X15">
        <v>2024</v>
      </c>
      <c r="Y15">
        <v>36.886720937145803</v>
      </c>
      <c r="Z15">
        <f t="shared" si="5"/>
        <v>0.999988991746248</v>
      </c>
      <c r="AB15">
        <v>2024</v>
      </c>
      <c r="AC15">
        <v>1</v>
      </c>
      <c r="AD15">
        <v>844</v>
      </c>
      <c r="AE15">
        <v>36.887318721882501</v>
      </c>
    </row>
    <row r="16" spans="1:31" x14ac:dyDescent="0.25">
      <c r="A16">
        <v>2026</v>
      </c>
      <c r="B16">
        <v>463539.72069400002</v>
      </c>
      <c r="C16">
        <v>0</v>
      </c>
      <c r="D16">
        <f t="shared" si="0"/>
        <v>36.88731893394332</v>
      </c>
      <c r="F16" s="1">
        <v>2026</v>
      </c>
      <c r="G16" s="2">
        <v>36.887301999999998</v>
      </c>
      <c r="I16">
        <v>2026</v>
      </c>
      <c r="J16">
        <v>36.887318721887901</v>
      </c>
      <c r="L16">
        <f t="shared" si="1"/>
        <v>1.0000004590724287</v>
      </c>
      <c r="M16">
        <f t="shared" si="2"/>
        <v>-4.5907242873788334E-7</v>
      </c>
      <c r="N16">
        <f t="shared" si="3"/>
        <v>1.0000004533236913</v>
      </c>
      <c r="O16">
        <f t="shared" si="4"/>
        <v>-4.5332369125183902E-7</v>
      </c>
      <c r="X16">
        <v>2026</v>
      </c>
      <c r="Y16">
        <v>36.886438034793599</v>
      </c>
      <c r="Z16">
        <f t="shared" si="5"/>
        <v>0.99997657824889441</v>
      </c>
      <c r="AB16">
        <v>2026</v>
      </c>
      <c r="AC16">
        <v>1</v>
      </c>
      <c r="AD16">
        <v>844</v>
      </c>
      <c r="AE16">
        <v>36.887318721882501</v>
      </c>
    </row>
    <row r="17" spans="1:31" x14ac:dyDescent="0.25">
      <c r="A17">
        <v>2028</v>
      </c>
      <c r="B17">
        <v>463539.72069400002</v>
      </c>
      <c r="C17">
        <v>0</v>
      </c>
      <c r="D17">
        <f t="shared" si="0"/>
        <v>36.88731893394332</v>
      </c>
      <c r="F17" s="1">
        <v>2028</v>
      </c>
      <c r="G17" s="2">
        <v>36.887348000000003</v>
      </c>
      <c r="I17">
        <v>2028</v>
      </c>
      <c r="J17">
        <v>36.887318721887901</v>
      </c>
      <c r="L17">
        <f t="shared" si="1"/>
        <v>0.99999921203181419</v>
      </c>
      <c r="M17">
        <f t="shared" si="2"/>
        <v>7.8796818581139405E-7</v>
      </c>
      <c r="N17">
        <f t="shared" si="3"/>
        <v>0.99999920628308381</v>
      </c>
      <c r="O17">
        <f t="shared" si="4"/>
        <v>7.9371691619201101E-7</v>
      </c>
      <c r="X17">
        <v>2028</v>
      </c>
      <c r="Y17">
        <v>36.886799026688898</v>
      </c>
      <c r="Z17">
        <f t="shared" si="5"/>
        <v>0.99998511757171848</v>
      </c>
      <c r="AB17">
        <v>2028</v>
      </c>
      <c r="AC17">
        <v>1</v>
      </c>
      <c r="AD17">
        <v>844</v>
      </c>
      <c r="AE17">
        <v>36.8873187218826</v>
      </c>
    </row>
    <row r="18" spans="1:31" x14ac:dyDescent="0.25">
      <c r="A18">
        <v>2030</v>
      </c>
      <c r="B18">
        <v>463539.72069400002</v>
      </c>
      <c r="C18">
        <v>0</v>
      </c>
      <c r="D18">
        <f t="shared" si="0"/>
        <v>36.88731893394332</v>
      </c>
      <c r="F18" s="1">
        <v>2030</v>
      </c>
      <c r="G18" s="2">
        <v>36.887272000000003</v>
      </c>
      <c r="I18">
        <v>2030</v>
      </c>
      <c r="J18">
        <v>36.887318721887901</v>
      </c>
      <c r="L18">
        <f t="shared" si="1"/>
        <v>1.0000012723614615</v>
      </c>
      <c r="M18">
        <f t="shared" si="2"/>
        <v>-1.2723614615239853E-6</v>
      </c>
      <c r="N18">
        <f t="shared" si="3"/>
        <v>1.0000012666127194</v>
      </c>
      <c r="O18">
        <f t="shared" si="4"/>
        <v>-1.2666127193750043E-6</v>
      </c>
      <c r="X18">
        <v>2030</v>
      </c>
      <c r="Y18">
        <v>36.886467182918103</v>
      </c>
      <c r="Z18">
        <f t="shared" si="5"/>
        <v>0.99997818171314212</v>
      </c>
      <c r="AB18">
        <v>2030</v>
      </c>
      <c r="AC18">
        <v>1</v>
      </c>
      <c r="AD18">
        <v>844</v>
      </c>
      <c r="AE18">
        <v>36.887318721882501</v>
      </c>
    </row>
    <row r="19" spans="1:31" x14ac:dyDescent="0.25">
      <c r="A19">
        <v>2032</v>
      </c>
      <c r="B19">
        <v>463539.72069400002</v>
      </c>
      <c r="C19">
        <v>0</v>
      </c>
      <c r="D19">
        <f t="shared" si="0"/>
        <v>36.88731893394332</v>
      </c>
      <c r="F19" s="1">
        <v>2032</v>
      </c>
      <c r="G19" s="2">
        <v>36.887390000000003</v>
      </c>
      <c r="I19">
        <v>2032</v>
      </c>
      <c r="J19">
        <v>36.887318721887901</v>
      </c>
      <c r="L19">
        <f t="shared" si="1"/>
        <v>0.99999807343223024</v>
      </c>
      <c r="M19">
        <f t="shared" si="2"/>
        <v>1.9265677697610784E-6</v>
      </c>
      <c r="N19">
        <f t="shared" si="3"/>
        <v>0.99999806768350641</v>
      </c>
      <c r="O19">
        <f t="shared" si="4"/>
        <v>1.9323164935913795E-6</v>
      </c>
      <c r="X19">
        <v>2032</v>
      </c>
      <c r="Y19">
        <v>36.886732235130303</v>
      </c>
      <c r="Z19">
        <f t="shared" si="5"/>
        <v>0.99998216830006947</v>
      </c>
      <c r="AB19">
        <v>2032</v>
      </c>
      <c r="AC19">
        <v>1</v>
      </c>
      <c r="AD19">
        <v>844</v>
      </c>
      <c r="AE19">
        <v>36.887318721882501</v>
      </c>
    </row>
    <row r="20" spans="1:31" x14ac:dyDescent="0.25">
      <c r="A20">
        <v>2034</v>
      </c>
      <c r="B20">
        <v>463539.72069400002</v>
      </c>
      <c r="C20">
        <v>0</v>
      </c>
      <c r="D20">
        <f t="shared" si="0"/>
        <v>36.88731893394332</v>
      </c>
      <c r="F20" s="1">
        <v>2034</v>
      </c>
      <c r="G20" s="2">
        <v>36.887282999999996</v>
      </c>
      <c r="I20">
        <v>2034</v>
      </c>
      <c r="J20">
        <v>36.887318721887901</v>
      </c>
      <c r="L20">
        <f t="shared" si="1"/>
        <v>1.0000009741553295</v>
      </c>
      <c r="M20">
        <f t="shared" si="2"/>
        <v>-9.7415532951394823E-7</v>
      </c>
      <c r="N20">
        <f t="shared" si="3"/>
        <v>1.0000009684065889</v>
      </c>
      <c r="O20">
        <f t="shared" si="4"/>
        <v>-9.6840658891927944E-7</v>
      </c>
      <c r="X20">
        <v>2034</v>
      </c>
      <c r="Y20">
        <v>36.886522957123702</v>
      </c>
      <c r="Z20">
        <f t="shared" si="5"/>
        <v>0.99997939553107518</v>
      </c>
      <c r="AB20">
        <v>2034</v>
      </c>
      <c r="AC20">
        <v>1</v>
      </c>
      <c r="AD20">
        <v>844</v>
      </c>
      <c r="AE20">
        <v>36.8873187218826</v>
      </c>
    </row>
    <row r="21" spans="1:31" x14ac:dyDescent="0.25">
      <c r="A21">
        <v>2036</v>
      </c>
      <c r="B21">
        <v>463539.72069400002</v>
      </c>
      <c r="C21">
        <v>0</v>
      </c>
      <c r="D21">
        <f t="shared" si="0"/>
        <v>36.88731893394332</v>
      </c>
      <c r="F21" s="1">
        <v>2036</v>
      </c>
      <c r="G21" s="2">
        <v>36.887462999999997</v>
      </c>
      <c r="I21">
        <v>2036</v>
      </c>
      <c r="J21">
        <v>36.887318721887901</v>
      </c>
      <c r="L21">
        <f t="shared" si="1"/>
        <v>0.99999609444388526</v>
      </c>
      <c r="M21">
        <f t="shared" si="2"/>
        <v>3.9055561147360862E-6</v>
      </c>
      <c r="N21">
        <f t="shared" si="3"/>
        <v>0.99999608869517276</v>
      </c>
      <c r="O21">
        <f t="shared" si="4"/>
        <v>3.9113048272421125E-6</v>
      </c>
      <c r="X21">
        <v>2036</v>
      </c>
      <c r="Y21">
        <v>36.8867141080528</v>
      </c>
      <c r="Z21">
        <f t="shared" si="5"/>
        <v>0.99997969792752628</v>
      </c>
      <c r="AB21">
        <v>2036</v>
      </c>
      <c r="AC21">
        <v>1</v>
      </c>
      <c r="AD21">
        <v>844</v>
      </c>
      <c r="AE21">
        <v>36.8873187218826</v>
      </c>
    </row>
    <row r="22" spans="1:31" x14ac:dyDescent="0.25">
      <c r="A22">
        <v>2038</v>
      </c>
      <c r="B22">
        <v>463539.72069400002</v>
      </c>
      <c r="C22">
        <v>0</v>
      </c>
      <c r="D22">
        <f t="shared" si="0"/>
        <v>36.88731893394332</v>
      </c>
      <c r="F22" s="1">
        <v>2038</v>
      </c>
      <c r="G22" s="2">
        <v>36.887287000000001</v>
      </c>
      <c r="I22">
        <v>2038</v>
      </c>
      <c r="J22">
        <v>36.887318721887901</v>
      </c>
      <c r="L22">
        <f t="shared" si="1"/>
        <v>1.0000008657167798</v>
      </c>
      <c r="M22">
        <f t="shared" si="2"/>
        <v>-8.6571677981872597E-7</v>
      </c>
      <c r="N22">
        <f t="shared" si="3"/>
        <v>1.0000008599680399</v>
      </c>
      <c r="O22">
        <f t="shared" si="4"/>
        <v>-8.5996803989019099E-7</v>
      </c>
      <c r="X22">
        <v>2038</v>
      </c>
      <c r="Y22">
        <v>36.886693519238399</v>
      </c>
      <c r="Z22">
        <f t="shared" si="5"/>
        <v>0.99998391096743977</v>
      </c>
      <c r="AB22">
        <v>2038</v>
      </c>
      <c r="AC22">
        <v>1</v>
      </c>
      <c r="AD22">
        <v>844</v>
      </c>
      <c r="AE22">
        <v>36.887318721882501</v>
      </c>
    </row>
    <row r="23" spans="1:31" x14ac:dyDescent="0.25">
      <c r="A23">
        <v>2040</v>
      </c>
      <c r="B23">
        <v>463539.72069400002</v>
      </c>
      <c r="C23">
        <v>0</v>
      </c>
      <c r="D23">
        <f t="shared" si="0"/>
        <v>36.88731893394332</v>
      </c>
      <c r="F23" s="1">
        <v>2040</v>
      </c>
      <c r="G23" s="2">
        <v>36.887058000000003</v>
      </c>
      <c r="I23">
        <v>2040</v>
      </c>
      <c r="J23">
        <v>36.887318721887901</v>
      </c>
      <c r="L23">
        <f t="shared" si="1"/>
        <v>1.0000070738616051</v>
      </c>
      <c r="M23">
        <f t="shared" si="2"/>
        <v>-7.0738616051446712E-6</v>
      </c>
      <c r="N23">
        <f t="shared" si="3"/>
        <v>1.0000070681128297</v>
      </c>
      <c r="O23">
        <f t="shared" si="4"/>
        <v>-7.0681128296889995E-6</v>
      </c>
      <c r="X23">
        <v>2040</v>
      </c>
      <c r="Y23">
        <v>36.886556057561698</v>
      </c>
      <c r="Z23">
        <f t="shared" si="5"/>
        <v>0.99998639245129539</v>
      </c>
      <c r="AB23">
        <v>2040</v>
      </c>
      <c r="AC23">
        <v>1</v>
      </c>
      <c r="AD23">
        <v>844</v>
      </c>
      <c r="AE23">
        <v>36.8873187218826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 5 Full 0</vt:lpstr>
      <vt:lpstr>Ex 5 Full 1</vt:lpstr>
      <vt:lpstr>Ex 5 Gauss 0</vt:lpstr>
      <vt:lpstr>Ex 5 Gauss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ERYA-Profiling</dc:creator>
  <dc:description/>
  <cp:lastModifiedBy>DIMITRIOU, Paraskevi</cp:lastModifiedBy>
  <cp:revision>1</cp:revision>
  <dcterms:created xsi:type="dcterms:W3CDTF">2024-01-10T20:54:23Z</dcterms:created>
  <dcterms:modified xsi:type="dcterms:W3CDTF">2024-04-22T14:20:00Z</dcterms:modified>
  <dc:language>pt-PT</dc:language>
</cp:coreProperties>
</file>