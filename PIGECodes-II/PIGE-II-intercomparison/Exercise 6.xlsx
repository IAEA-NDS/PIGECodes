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eacloud-my.sharepoint.com/personal/p_dimitriou_iaea_org/Documents/Desktop/PIGE_codes-II/Exercises/Results/PIGEcodes-II-round2/"/>
    </mc:Choice>
  </mc:AlternateContent>
  <xr:revisionPtr revIDLastSave="794" documentId="8_{D47AEB0D-A363-440A-80D8-0A4CEE9E4C5A}" xr6:coauthVersionLast="47" xr6:coauthVersionMax="47" xr10:uidLastSave="{9ED712B0-3F1E-4B61-B364-F063AE407360}"/>
  <bookViews>
    <workbookView xWindow="28680" yWindow="-120" windowWidth="29040" windowHeight="17520" tabRatio="500" firstSheet="2" xr2:uid="{00000000-000D-0000-FFFF-FFFF00000000}"/>
  </bookViews>
  <sheets>
    <sheet name="Ex 6 Full 0" sheetId="1" r:id="rId1"/>
    <sheet name="Ex 6 Full 1" sheetId="2" r:id="rId2"/>
    <sheet name="Ex 6 Gauss 0-NEW" sheetId="3" r:id="rId3"/>
    <sheet name="Ex 6 Gauss 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3" l="1"/>
  <c r="U5" i="3"/>
  <c r="U6" i="3"/>
  <c r="U7" i="3"/>
  <c r="U8" i="3"/>
  <c r="U9" i="3"/>
  <c r="U3" i="3"/>
  <c r="W4" i="3"/>
  <c r="W5" i="3"/>
  <c r="W6" i="3"/>
  <c r="W7" i="3"/>
  <c r="W8" i="3"/>
  <c r="W9" i="3"/>
  <c r="W3" i="3"/>
  <c r="V4" i="3"/>
  <c r="V5" i="3"/>
  <c r="V6" i="3"/>
  <c r="V7" i="3"/>
  <c r="V8" i="3"/>
  <c r="V9" i="3"/>
  <c r="V3" i="3"/>
  <c r="S4" i="4"/>
  <c r="S5" i="4"/>
  <c r="S6" i="4"/>
  <c r="S7" i="4"/>
  <c r="S8" i="4"/>
  <c r="S9" i="4"/>
  <c r="S3" i="4"/>
  <c r="T4" i="2"/>
  <c r="T5" i="2"/>
  <c r="T6" i="2"/>
  <c r="T7" i="2"/>
  <c r="T8" i="2"/>
  <c r="T9" i="2"/>
  <c r="T3" i="2"/>
  <c r="S4" i="1"/>
  <c r="S5" i="1"/>
  <c r="S6" i="1"/>
  <c r="S7" i="1"/>
  <c r="S8" i="1"/>
  <c r="S9" i="1"/>
  <c r="S3" i="1"/>
  <c r="R4" i="1"/>
  <c r="R5" i="1"/>
  <c r="R6" i="1"/>
  <c r="R7" i="1"/>
  <c r="R8" i="1"/>
  <c r="R9" i="1"/>
  <c r="R3" i="1"/>
  <c r="R4" i="2"/>
  <c r="R5" i="2"/>
  <c r="R6" i="2"/>
  <c r="R7" i="2"/>
  <c r="R8" i="2"/>
  <c r="R9" i="2"/>
  <c r="R3" i="2"/>
  <c r="C9" i="2"/>
  <c r="C8" i="2"/>
  <c r="C7" i="2"/>
  <c r="C6" i="2"/>
  <c r="C5" i="2"/>
  <c r="N5" i="2" s="1"/>
  <c r="O5" i="2" s="1"/>
  <c r="C4" i="2"/>
  <c r="N4" i="2" s="1"/>
  <c r="O4" i="2" s="1"/>
  <c r="C3" i="2"/>
  <c r="C9" i="1"/>
  <c r="N9" i="1" s="1"/>
  <c r="O9" i="1" s="1"/>
  <c r="C8" i="1"/>
  <c r="N8" i="1" s="1"/>
  <c r="O8" i="1" s="1"/>
  <c r="C7" i="1"/>
  <c r="N7" i="1" s="1"/>
  <c r="O7" i="1" s="1"/>
  <c r="C6" i="1"/>
  <c r="N6" i="1" s="1"/>
  <c r="O6" i="1" s="1"/>
  <c r="C5" i="1"/>
  <c r="N5" i="1" s="1"/>
  <c r="O5" i="1" s="1"/>
  <c r="C4" i="1"/>
  <c r="N4" i="1" s="1"/>
  <c r="O4" i="1" s="1"/>
  <c r="C3" i="1"/>
  <c r="N3" i="1" s="1"/>
  <c r="O3" i="1" s="1"/>
  <c r="P4" i="4"/>
  <c r="Q4" i="4" s="1"/>
  <c r="P5" i="4"/>
  <c r="Q5" i="4" s="1"/>
  <c r="P6" i="4"/>
  <c r="Q6" i="4" s="1"/>
  <c r="P7" i="4"/>
  <c r="Q7" i="4" s="1"/>
  <c r="P8" i="4"/>
  <c r="Q8" i="4" s="1"/>
  <c r="P9" i="4"/>
  <c r="Q9" i="4" s="1"/>
  <c r="P3" i="4"/>
  <c r="Q3" i="4" s="1"/>
  <c r="R4" i="3"/>
  <c r="S4" i="3" s="1"/>
  <c r="R5" i="3"/>
  <c r="S5" i="3" s="1"/>
  <c r="R6" i="3"/>
  <c r="S6" i="3" s="1"/>
  <c r="R7" i="3"/>
  <c r="R8" i="3"/>
  <c r="S8" i="3" s="1"/>
  <c r="R9" i="3"/>
  <c r="S9" i="3" s="1"/>
  <c r="R3" i="3"/>
  <c r="S3" i="3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3" i="1"/>
  <c r="Q3" i="1" s="1"/>
  <c r="N5" i="4"/>
  <c r="O5" i="4" s="1"/>
  <c r="N3" i="4"/>
  <c r="O3" i="4" s="1"/>
  <c r="D9" i="4"/>
  <c r="N9" i="4" s="1"/>
  <c r="O9" i="4" s="1"/>
  <c r="D8" i="4"/>
  <c r="N8" i="4" s="1"/>
  <c r="O8" i="4" s="1"/>
  <c r="D7" i="4"/>
  <c r="N7" i="4" s="1"/>
  <c r="O7" i="4" s="1"/>
  <c r="D6" i="4"/>
  <c r="N6" i="4" s="1"/>
  <c r="O6" i="4" s="1"/>
  <c r="D5" i="4"/>
  <c r="D4" i="4"/>
  <c r="N4" i="4" s="1"/>
  <c r="O4" i="4" s="1"/>
  <c r="D3" i="4"/>
  <c r="S7" i="3"/>
  <c r="D9" i="3"/>
  <c r="E9" i="3" s="1"/>
  <c r="P9" i="3" s="1"/>
  <c r="Q9" i="3" s="1"/>
  <c r="D8" i="3"/>
  <c r="E8" i="3" s="1"/>
  <c r="P8" i="3" s="1"/>
  <c r="Q8" i="3" s="1"/>
  <c r="D7" i="3"/>
  <c r="E7" i="3" s="1"/>
  <c r="P7" i="3" s="1"/>
  <c r="Q7" i="3" s="1"/>
  <c r="D6" i="3"/>
  <c r="E6" i="3" s="1"/>
  <c r="P6" i="3" s="1"/>
  <c r="Q6" i="3" s="1"/>
  <c r="D5" i="3"/>
  <c r="E5" i="3" s="1"/>
  <c r="P5" i="3" s="1"/>
  <c r="Q5" i="3" s="1"/>
  <c r="D4" i="3"/>
  <c r="E4" i="3" s="1"/>
  <c r="P4" i="3" s="1"/>
  <c r="Q4" i="3" s="1"/>
  <c r="D3" i="3"/>
  <c r="E3" i="3" s="1"/>
  <c r="P3" i="3" s="1"/>
  <c r="Q3" i="3" s="1"/>
  <c r="P4" i="2"/>
  <c r="Q4" i="2" s="1"/>
  <c r="P5" i="2"/>
  <c r="Q5" i="2" s="1"/>
  <c r="P6" i="2"/>
  <c r="Q6" i="2" s="1"/>
  <c r="P7" i="2"/>
  <c r="Q7" i="2" s="1"/>
  <c r="P8" i="2"/>
  <c r="Q8" i="2" s="1"/>
  <c r="P9" i="2"/>
  <c r="Q9" i="2" s="1"/>
  <c r="P3" i="2"/>
  <c r="Q3" i="2" s="1"/>
  <c r="N3" i="2"/>
  <c r="O3" i="2" s="1"/>
  <c r="N9" i="2"/>
  <c r="O9" i="2" s="1"/>
  <c r="N8" i="2"/>
  <c r="O8" i="2" s="1"/>
  <c r="N7" i="2"/>
  <c r="O7" i="2" s="1"/>
  <c r="N6" i="2"/>
  <c r="O6" i="2" s="1"/>
</calcChain>
</file>

<file path=xl/sharedStrings.xml><?xml version="1.0" encoding="utf-8"?>
<sst xmlns="http://schemas.openxmlformats.org/spreadsheetml/2006/main" count="82" uniqueCount="22">
  <si>
    <t>ERYA</t>
  </si>
  <si>
    <t>NDF</t>
  </si>
  <si>
    <t>NDF Yang param</t>
  </si>
  <si>
    <t>SMNRA</t>
  </si>
  <si>
    <t>VAVILOV</t>
  </si>
  <si>
    <t>YANG</t>
  </si>
  <si>
    <t>ERYA/NDF</t>
  </si>
  <si>
    <t>REL</t>
  </si>
  <si>
    <t>SMNRA/NDF</t>
  </si>
  <si>
    <t>SIMNRA-Y/NDF-Y</t>
  </si>
  <si>
    <t>Energy (keV)</t>
  </si>
  <si>
    <t>Count/msr/uC</t>
  </si>
  <si>
    <t>round 3</t>
  </si>
  <si>
    <t>FINAL</t>
  </si>
  <si>
    <t>Yang  param</t>
  </si>
  <si>
    <t>Yang param</t>
  </si>
  <si>
    <t>ERYA/NDF YANG</t>
  </si>
  <si>
    <t>SIMNRA/NDF YANG</t>
  </si>
  <si>
    <t>27Al (844 keV)</t>
  </si>
  <si>
    <t>28Si (1779 keV)</t>
  </si>
  <si>
    <t>Renormalization</t>
  </si>
  <si>
    <t>SMNRA-asym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</si>
</sst>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"/>
    <numFmt numFmtId="165" formatCode="0.000000000"/>
    <numFmt numFmtId="166" formatCode="0.0000000000000000"/>
    <numFmt numFmtId="167" formatCode="0.00000000000"/>
    <numFmt numFmtId="168" formatCode="0.0000000000"/>
  </numFmts>
  <fonts count="4">
    <font>
      <sz val="12"/>
      <name val="Calibri"/>
      <family val="2"/>
      <charset val="1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1" fillId="0" borderId="0"/>
  </cellStyleXfs>
  <cellXfs count="15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1" fontId="0" fillId="0" borderId="0" xfId="0" applyNumberFormat="1"/>
    <xf numFmtId="168" fontId="0" fillId="0" borderId="0" xfId="0" applyNumberFormat="1"/>
    <xf numFmtId="0" fontId="3" fillId="2" borderId="0" xfId="2"/>
    <xf numFmtId="164" fontId="3" fillId="2" borderId="0" xfId="2" applyNumberFormat="1"/>
    <xf numFmtId="166" fontId="3" fillId="2" borderId="0" xfId="2" applyNumberFormat="1"/>
    <xf numFmtId="11" fontId="3" fillId="2" borderId="0" xfId="2" applyNumberFormat="1"/>
    <xf numFmtId="0" fontId="2" fillId="0" borderId="0" xfId="1"/>
    <xf numFmtId="2" fontId="3" fillId="2" borderId="0" xfId="2" applyNumberFormat="1"/>
    <xf numFmtId="164" fontId="1" fillId="0" borderId="0" xfId="3" applyNumberFormat="1"/>
  </cellXfs>
  <cellStyles count="4">
    <cellStyle name="Good" xfId="2" builtinId="26"/>
    <cellStyle name="Normal" xfId="0" builtinId="0"/>
    <cellStyle name="Normal 2" xfId="1" xr:uid="{F3215AC1-4DB7-4526-A8F6-1411C1369AD5}"/>
    <cellStyle name="Normal 3" xfId="3" xr:uid="{AFE61349-7576-40BF-8C95-745FB1C9BF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Ex 6 Full </a:t>
            </a:r>
            <a:r>
              <a:rPr lang="el-GR" sz="2000"/>
              <a:t>Δ</a:t>
            </a:r>
            <a:r>
              <a:rPr lang="en-GB" sz="20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6 Full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0'!$C$3:$C$9</c:f>
              <c:numCache>
                <c:formatCode>General</c:formatCode>
                <c:ptCount val="7"/>
                <c:pt idx="0">
                  <c:v>8.3930789333304917E-2</c:v>
                </c:pt>
                <c:pt idx="1">
                  <c:v>8.6255567896961358E-2</c:v>
                </c:pt>
                <c:pt idx="2">
                  <c:v>8.8429550013245498E-2</c:v>
                </c:pt>
                <c:pt idx="3">
                  <c:v>9.084229317120246E-2</c:v>
                </c:pt>
                <c:pt idx="4">
                  <c:v>9.2815213357656856E-2</c:v>
                </c:pt>
                <c:pt idx="5">
                  <c:v>9.5165124662542011E-2</c:v>
                </c:pt>
                <c:pt idx="6">
                  <c:v>9.6999814772238457E-2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4F-4614-BD28-84C6F3C53782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6 Full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0'!$G$3:$G$9</c:f>
              <c:numCache>
                <c:formatCode>0.00000000</c:formatCode>
                <c:ptCount val="7"/>
                <c:pt idx="0">
                  <c:v>9.2199519999999993E-2</c:v>
                </c:pt>
                <c:pt idx="1">
                  <c:v>9.4337980000000002E-2</c:v>
                </c:pt>
                <c:pt idx="2">
                  <c:v>9.6418760000000006E-2</c:v>
                </c:pt>
                <c:pt idx="3">
                  <c:v>9.8401719999999998E-2</c:v>
                </c:pt>
                <c:pt idx="4">
                  <c:v>0.10059653</c:v>
                </c:pt>
                <c:pt idx="5">
                  <c:v>0.10253898</c:v>
                </c:pt>
                <c:pt idx="6">
                  <c:v>0.10440437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4F-4614-BD28-84C6F3C53782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6 Full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0'!$K$3:$K$9</c:f>
              <c:numCache>
                <c:formatCode>0.0000000000</c:formatCode>
                <c:ptCount val="7"/>
                <c:pt idx="0">
                  <c:v>9.6020711687992796E-2</c:v>
                </c:pt>
                <c:pt idx="1">
                  <c:v>9.84111301426807E-2</c:v>
                </c:pt>
                <c:pt idx="2">
                  <c:v>0.10074989943926101</c:v>
                </c:pt>
                <c:pt idx="3">
                  <c:v>0.10303133834346</c:v>
                </c:pt>
                <c:pt idx="4">
                  <c:v>0.10525052512564</c:v>
                </c:pt>
                <c:pt idx="5">
                  <c:v>0.107402190647197</c:v>
                </c:pt>
                <c:pt idx="6">
                  <c:v>0.109481291532596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4F-4614-BD28-84C6F3C53782}"/>
            </c:ext>
          </c:extLst>
        </c:ser>
        <c:ser>
          <c:idx val="3"/>
          <c:order val="3"/>
          <c:tx>
            <c:v>NDF-Y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6 Full 0'!$F$3:$F$9</c:f>
              <c:numCache>
                <c:formatCode>0.00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0'!$H$3:$H$9</c:f>
              <c:numCache>
                <c:formatCode>0.00000000</c:formatCode>
                <c:ptCount val="7"/>
                <c:pt idx="0">
                  <c:v>9.3442839999999999E-2</c:v>
                </c:pt>
                <c:pt idx="1">
                  <c:v>9.5675780000000002E-2</c:v>
                </c:pt>
                <c:pt idx="2">
                  <c:v>9.7626749999999998E-2</c:v>
                </c:pt>
                <c:pt idx="3">
                  <c:v>9.9868940000000003E-2</c:v>
                </c:pt>
                <c:pt idx="4">
                  <c:v>0.10193865000000001</c:v>
                </c:pt>
                <c:pt idx="5">
                  <c:v>0.10393543</c:v>
                </c:pt>
                <c:pt idx="6">
                  <c:v>0.10611253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A8-44CD-95CA-F93568CC95A4}"/>
            </c:ext>
          </c:extLst>
        </c:ser>
        <c:ser>
          <c:idx val="4"/>
          <c:order val="4"/>
          <c:tx>
            <c:v>SIMNRA-Y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 6 Full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0'!$L$3:$L$9</c:f>
              <c:numCache>
                <c:formatCode>0.0000000000</c:formatCode>
                <c:ptCount val="7"/>
                <c:pt idx="0">
                  <c:v>9.6499057928231893E-2</c:v>
                </c:pt>
                <c:pt idx="1">
                  <c:v>9.8964595831064706E-2</c:v>
                </c:pt>
                <c:pt idx="2">
                  <c:v>0.101378048178832</c:v>
                </c:pt>
                <c:pt idx="3">
                  <c:v>0.103733744588885</c:v>
                </c:pt>
                <c:pt idx="4">
                  <c:v>0.106025969426034</c:v>
                </c:pt>
                <c:pt idx="5">
                  <c:v>0.108249352369214</c:v>
                </c:pt>
                <c:pt idx="6">
                  <c:v>0.11039846905346699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A8-44CD-95CA-F93568CC95A4}"/>
            </c:ext>
          </c:extLst>
        </c:ser>
        <c:ser>
          <c:idx val="5"/>
          <c:order val="5"/>
          <c:tx>
            <c:v>ERYA 3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 6 Full 0'!$A$3:$A$9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0'!$D$3:$D$9</c:f>
              <c:numCache>
                <c:formatCode>General</c:formatCode>
                <c:ptCount val="7"/>
                <c:pt idx="0">
                  <c:v>8.8315000000000005E-2</c:v>
                </c:pt>
                <c:pt idx="1">
                  <c:v>9.7195000000000004E-2</c:v>
                </c:pt>
                <c:pt idx="2">
                  <c:v>9.7507999999999997E-2</c:v>
                </c:pt>
                <c:pt idx="3">
                  <c:v>9.8204E-2</c:v>
                </c:pt>
                <c:pt idx="4">
                  <c:v>9.8803000000000002E-2</c:v>
                </c:pt>
                <c:pt idx="5">
                  <c:v>0.105957</c:v>
                </c:pt>
                <c:pt idx="6">
                  <c:v>0.10782799999999999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BD-4918-8A4F-575ECC6AB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639216"/>
        <c:axId val="820636696"/>
      </c:scatterChart>
      <c:valAx>
        <c:axId val="82063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36696"/>
        <c:crosses val="autoZero"/>
        <c:crossBetween val="midCat"/>
      </c:valAx>
      <c:valAx>
        <c:axId val="820636696"/>
        <c:scaling>
          <c:orientation val="minMax"/>
          <c:min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39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6 Full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0'!$N$3:$N$9</c:f>
              <c:numCache>
                <c:formatCode>General</c:formatCode>
                <c:ptCount val="7"/>
                <c:pt idx="0">
                  <c:v>0.91031698791170412</c:v>
                </c:pt>
                <c:pt idx="1">
                  <c:v>0.9143249399336445</c:v>
                </c:pt>
                <c:pt idx="2">
                  <c:v>0.91714050267028424</c:v>
                </c:pt>
                <c:pt idx="3">
                  <c:v>0.92317789944324613</c:v>
                </c:pt>
                <c:pt idx="4">
                  <c:v>0.92264825991171717</c:v>
                </c:pt>
                <c:pt idx="5">
                  <c:v>0.92808729580245497</c:v>
                </c:pt>
                <c:pt idx="6">
                  <c:v>0.92907811016184916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AE-40DD-ACB5-4438C644EE43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6 Full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0'!$P$3:$P$9</c:f>
              <c:numCache>
                <c:formatCode>General</c:formatCode>
                <c:ptCount val="7"/>
                <c:pt idx="0">
                  <c:v>1.0414448110791987</c:v>
                </c:pt>
                <c:pt idx="1">
                  <c:v>1.0431761432954225</c:v>
                </c:pt>
                <c:pt idx="2">
                  <c:v>1.0449200906468927</c:v>
                </c:pt>
                <c:pt idx="3">
                  <c:v>1.0470481445188153</c:v>
                </c:pt>
                <c:pt idx="4">
                  <c:v>1.0462639727795779</c:v>
                </c:pt>
                <c:pt idx="5">
                  <c:v>1.0474279210422903</c:v>
                </c:pt>
                <c:pt idx="6">
                  <c:v>1.0486274811350904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AE-40DD-ACB5-4438C644EE43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6 Full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0'!$U$3:$U$9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DA-4EC9-AD42-C6E74735B838}"/>
            </c:ext>
          </c:extLst>
        </c:ser>
        <c:ser>
          <c:idx val="3"/>
          <c:order val="3"/>
          <c:tx>
            <c:v>SIMNRA-Y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6 Full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0'!$R$3:$R$9</c:f>
              <c:numCache>
                <c:formatCode>General</c:formatCode>
                <c:ptCount val="7"/>
                <c:pt idx="0">
                  <c:v>1.0327068176462948</c:v>
                </c:pt>
                <c:pt idx="1">
                  <c:v>1.0343745912608677</c:v>
                </c:pt>
                <c:pt idx="2">
                  <c:v>1.0384249007452568</c:v>
                </c:pt>
                <c:pt idx="3">
                  <c:v>1.03869876448959</c:v>
                </c:pt>
                <c:pt idx="4">
                  <c:v>1.0400958755686287</c:v>
                </c:pt>
                <c:pt idx="5">
                  <c:v>1.0415057922905981</c:v>
                </c:pt>
                <c:pt idx="6">
                  <c:v>1.0403905085805323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CC-41C9-9A02-AFA095EEA6D2}"/>
            </c:ext>
          </c:extLst>
        </c:ser>
        <c:ser>
          <c:idx val="4"/>
          <c:order val="4"/>
          <c:tx>
            <c:v>ERYA 3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'Ex 6 Full 0'!$A$3:$A$9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0'!$S$3:$S$9</c:f>
              <c:numCache>
                <c:formatCode>General</c:formatCode>
                <c:ptCount val="7"/>
                <c:pt idx="0">
                  <c:v>0.95786832729714877</c:v>
                </c:pt>
                <c:pt idx="1">
                  <c:v>1.0302849393213636</c:v>
                </c:pt>
                <c:pt idx="2">
                  <c:v>1.011296971668169</c:v>
                </c:pt>
                <c:pt idx="3">
                  <c:v>0.99799068552866765</c:v>
                </c:pt>
                <c:pt idx="4">
                  <c:v>0.98217105500557522</c:v>
                </c:pt>
                <c:pt idx="5">
                  <c:v>1.0333338599623285</c:v>
                </c:pt>
                <c:pt idx="6">
                  <c:v>1.0327920181885106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04-463F-BAFF-B687C5CEF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423392"/>
        <c:axId val="648920992"/>
      </c:scatterChart>
      <c:valAx>
        <c:axId val="648423392"/>
        <c:scaling>
          <c:orientation val="minMax"/>
          <c:max val="2003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920992"/>
        <c:crosses val="autoZero"/>
        <c:crossBetween val="midCat"/>
      </c:valAx>
      <c:valAx>
        <c:axId val="64892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423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6 Full Straggling </a:t>
            </a:r>
            <a:r>
              <a:rPr lang="el-GR" sz="1800"/>
              <a:t>Δ</a:t>
            </a:r>
            <a:r>
              <a:rPr lang="en-GB" sz="1800"/>
              <a:t>E=1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6 Full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1'!$C$3:$C$9</c:f>
              <c:numCache>
                <c:formatCode>General</c:formatCode>
                <c:ptCount val="7"/>
                <c:pt idx="0">
                  <c:v>8.3792559256546967E-2</c:v>
                </c:pt>
                <c:pt idx="1">
                  <c:v>8.64314970855624E-2</c:v>
                </c:pt>
                <c:pt idx="2">
                  <c:v>8.8467249125088576E-2</c:v>
                </c:pt>
                <c:pt idx="3">
                  <c:v>9.0590965758915273E-2</c:v>
                </c:pt>
                <c:pt idx="4">
                  <c:v>9.2928310693186078E-2</c:v>
                </c:pt>
                <c:pt idx="5">
                  <c:v>9.5052027327012789E-2</c:v>
                </c:pt>
                <c:pt idx="6">
                  <c:v>9.7276274925754344E-2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4-49B2-B2A3-B928D371E7D8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6 Full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1'!$G$3:$G$9</c:f>
              <c:numCache>
                <c:formatCode>0.000000000</c:formatCode>
                <c:ptCount val="7"/>
                <c:pt idx="0">
                  <c:v>9.2172729999999994E-2</c:v>
                </c:pt>
                <c:pt idx="1">
                  <c:v>9.4322539999999996E-2</c:v>
                </c:pt>
                <c:pt idx="2">
                  <c:v>9.640398E-2</c:v>
                </c:pt>
                <c:pt idx="3">
                  <c:v>9.8408170000000003E-2</c:v>
                </c:pt>
                <c:pt idx="4">
                  <c:v>0.10060482</c:v>
                </c:pt>
                <c:pt idx="5">
                  <c:v>0.10251502</c:v>
                </c:pt>
                <c:pt idx="6">
                  <c:v>0.10437936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94-49B2-B2A3-B928D371E7D8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6 Full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1'!$K$3:$K$9</c:f>
              <c:numCache>
                <c:formatCode>0.00000000</c:formatCode>
                <c:ptCount val="7"/>
                <c:pt idx="0">
                  <c:v>9.6003056397138103E-2</c:v>
                </c:pt>
                <c:pt idx="1">
                  <c:v>9.8391076748976403E-2</c:v>
                </c:pt>
                <c:pt idx="2">
                  <c:v>0.100727584922453</c:v>
                </c:pt>
                <c:pt idx="3">
                  <c:v>0.10300722073731899</c:v>
                </c:pt>
                <c:pt idx="4">
                  <c:v>0.105224656725321</c:v>
                </c:pt>
                <c:pt idx="5">
                  <c:v>0.107374701507159</c:v>
                </c:pt>
                <c:pt idx="6">
                  <c:v>0.10945227203916499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94-49B2-B2A3-B928D371E7D8}"/>
            </c:ext>
          </c:extLst>
        </c:ser>
        <c:ser>
          <c:idx val="3"/>
          <c:order val="3"/>
          <c:tx>
            <c:v>NDF-Y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6 Full 1'!$F$3:$F$9</c:f>
              <c:numCache>
                <c:formatCode>0.00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1'!$H$3:$H$9</c:f>
              <c:numCache>
                <c:formatCode>0.00000000</c:formatCode>
                <c:ptCount val="7"/>
                <c:pt idx="0">
                  <c:v>9.3411949999999994E-2</c:v>
                </c:pt>
                <c:pt idx="1">
                  <c:v>9.5645359999999999E-2</c:v>
                </c:pt>
                <c:pt idx="2">
                  <c:v>9.759545E-2</c:v>
                </c:pt>
                <c:pt idx="3">
                  <c:v>9.9844370000000002E-2</c:v>
                </c:pt>
                <c:pt idx="4">
                  <c:v>0.10191409999999999</c:v>
                </c:pt>
                <c:pt idx="5">
                  <c:v>0.10394166000000001</c:v>
                </c:pt>
                <c:pt idx="6">
                  <c:v>0.1061097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0C-44F3-B58D-299337D55F81}"/>
            </c:ext>
          </c:extLst>
        </c:ser>
        <c:ser>
          <c:idx val="4"/>
          <c:order val="4"/>
          <c:tx>
            <c:v>SIMNRA-Y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 6 Full 1'!$J$3:$J$9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1'!$L$3:$L$9</c:f>
              <c:numCache>
                <c:formatCode>0.0000000000</c:formatCode>
                <c:ptCount val="7"/>
                <c:pt idx="0">
                  <c:v>9.64830374878691E-2</c:v>
                </c:pt>
                <c:pt idx="1">
                  <c:v>9.89463300680163E-2</c:v>
                </c:pt>
                <c:pt idx="2">
                  <c:v>0.101357652352072</c:v>
                </c:pt>
                <c:pt idx="3">
                  <c:v>0.103711130622108</c:v>
                </c:pt>
                <c:pt idx="4">
                  <c:v>0.106001229558399</c:v>
                </c:pt>
                <c:pt idx="5">
                  <c:v>0.10822247732238</c:v>
                </c:pt>
                <c:pt idx="6">
                  <c:v>0.110369384766847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0C-44F3-B58D-299337D55F81}"/>
            </c:ext>
          </c:extLst>
        </c:ser>
        <c:ser>
          <c:idx val="5"/>
          <c:order val="5"/>
          <c:tx>
            <c:v>ERYA 3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 6 Full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1'!$D$3:$D$9</c:f>
              <c:numCache>
                <c:formatCode>General</c:formatCode>
                <c:ptCount val="7"/>
                <c:pt idx="0">
                  <c:v>8.7442000000000006E-2</c:v>
                </c:pt>
                <c:pt idx="1">
                  <c:v>9.8862000000000005E-2</c:v>
                </c:pt>
                <c:pt idx="2">
                  <c:v>9.9447999999999995E-2</c:v>
                </c:pt>
                <c:pt idx="3">
                  <c:v>9.8872000000000002E-2</c:v>
                </c:pt>
                <c:pt idx="4">
                  <c:v>9.8830000000000001E-2</c:v>
                </c:pt>
                <c:pt idx="5">
                  <c:v>0.100229</c:v>
                </c:pt>
                <c:pt idx="6">
                  <c:v>0.108289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02-4F89-9820-4257807DD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820424"/>
        <c:axId val="820821144"/>
      </c:scatterChart>
      <c:valAx>
        <c:axId val="820820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821144"/>
        <c:crosses val="autoZero"/>
        <c:crossBetween val="midCat"/>
      </c:valAx>
      <c:valAx>
        <c:axId val="820821144"/>
        <c:scaling>
          <c:orientation val="minMax"/>
          <c:min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820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6 Full 1'!$J$3:$J$9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1'!$N$3:$N$9</c:f>
              <c:numCache>
                <c:formatCode>General</c:formatCode>
                <c:ptCount val="7"/>
                <c:pt idx="0">
                  <c:v>0.90908188632957898</c:v>
                </c:pt>
                <c:pt idx="1">
                  <c:v>0.91633979625190753</c:v>
                </c:pt>
                <c:pt idx="2">
                  <c:v>0.91767216587000433</c:v>
                </c:pt>
                <c:pt idx="3">
                  <c:v>0.92056346296161462</c:v>
                </c:pt>
                <c:pt idx="4">
                  <c:v>0.92369640632711314</c:v>
                </c:pt>
                <c:pt idx="5">
                  <c:v>0.92720098310484445</c:v>
                </c:pt>
                <c:pt idx="6">
                  <c:v>0.93194933295006155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ED-4D9C-9419-6E29A86696AC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6 Full 1'!$J$3:$J$9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1'!$P$3:$P$9</c:f>
              <c:numCache>
                <c:formatCode>General</c:formatCode>
                <c:ptCount val="7"/>
                <c:pt idx="0">
                  <c:v>1.0415559612603218</c:v>
                </c:pt>
                <c:pt idx="1">
                  <c:v>1.0431343001256794</c:v>
                </c:pt>
                <c:pt idx="2">
                  <c:v>1.0448488218272005</c:v>
                </c:pt>
                <c:pt idx="3">
                  <c:v>1.0467344402128298</c:v>
                </c:pt>
                <c:pt idx="4">
                  <c:v>1.0459206300982498</c:v>
                </c:pt>
                <c:pt idx="5">
                  <c:v>1.0474045803937706</c:v>
                </c:pt>
                <c:pt idx="6">
                  <c:v>1.0486007199044427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ED-4D9C-9419-6E29A86696AC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6 Full 1'!$J$3:$J$9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1'!$AA$3:$AA$9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D4-4FD1-855C-84F4619D45BA}"/>
            </c:ext>
          </c:extLst>
        </c:ser>
        <c:ser>
          <c:idx val="3"/>
          <c:order val="3"/>
          <c:tx>
            <c:v>SIMNRA-Y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6 Full 1'!$J$3:$J$9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1'!$R$3:$R$9</c:f>
              <c:numCache>
                <c:formatCode>General</c:formatCode>
                <c:ptCount val="7"/>
                <c:pt idx="0">
                  <c:v>1.0328768159520181</c:v>
                </c:pt>
                <c:pt idx="1">
                  <c:v>1.0345126001723064</c:v>
                </c:pt>
                <c:pt idx="2">
                  <c:v>1.0385489523545617</c:v>
                </c:pt>
                <c:pt idx="3">
                  <c:v>1.0387278784182623</c:v>
                </c:pt>
                <c:pt idx="4">
                  <c:v>1.0401036712132963</c:v>
                </c:pt>
                <c:pt idx="5">
                  <c:v>1.0411848081162067</c:v>
                </c:pt>
                <c:pt idx="6">
                  <c:v>1.0401441599292713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D0-4AD0-B3BD-0B1EA52AE334}"/>
            </c:ext>
          </c:extLst>
        </c:ser>
        <c:ser>
          <c:idx val="4"/>
          <c:order val="4"/>
          <c:tx>
            <c:v>ERYA 3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'Ex 6 Full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1'!$T$3:$T$9</c:f>
              <c:numCache>
                <c:formatCode>General</c:formatCode>
                <c:ptCount val="7"/>
                <c:pt idx="0">
                  <c:v>0.94867538370622218</c:v>
                </c:pt>
                <c:pt idx="1">
                  <c:v>1.0481269906429578</c:v>
                </c:pt>
                <c:pt idx="2">
                  <c:v>1.0315756673116607</c:v>
                </c:pt>
                <c:pt idx="3">
                  <c:v>1.0047133281718377</c:v>
                </c:pt>
                <c:pt idx="4">
                  <c:v>0.98235849932438624</c:v>
                </c:pt>
                <c:pt idx="5">
                  <c:v>0.97770063352667735</c:v>
                </c:pt>
                <c:pt idx="6">
                  <c:v>1.0374560641107591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78-4053-872E-6C1143A8B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938152"/>
        <c:axId val="831936712"/>
      </c:scatterChart>
      <c:valAx>
        <c:axId val="831938152"/>
        <c:scaling>
          <c:orientation val="minMax"/>
          <c:max val="2003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layout>
            <c:manualLayout>
              <c:xMode val="edge"/>
              <c:yMode val="edge"/>
              <c:x val="0.40942239240642864"/>
              <c:y val="0.776155438539188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936712"/>
        <c:crosses val="autoZero"/>
        <c:crossBetween val="midCat"/>
      </c:valAx>
      <c:valAx>
        <c:axId val="83193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938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6 Gauss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6 Gauss 0-NEW'!$L$3:$L$9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0-NEW'!$J$3:$J$9</c:f>
              <c:numCache>
                <c:formatCode>0.00000000</c:formatCode>
                <c:ptCount val="7"/>
                <c:pt idx="0">
                  <c:v>9.3411949999999994E-2</c:v>
                </c:pt>
                <c:pt idx="1">
                  <c:v>9.5645359999999999E-2</c:v>
                </c:pt>
                <c:pt idx="2">
                  <c:v>9.759545E-2</c:v>
                </c:pt>
                <c:pt idx="3">
                  <c:v>9.9844370000000002E-2</c:v>
                </c:pt>
                <c:pt idx="4">
                  <c:v>0.10191409999999999</c:v>
                </c:pt>
                <c:pt idx="5">
                  <c:v>0.10394166000000001</c:v>
                </c:pt>
                <c:pt idx="6">
                  <c:v>0.1061097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DE-4AB2-A75B-6A6A96A09ECB}"/>
            </c:ext>
          </c:extLst>
        </c:ser>
        <c:ser>
          <c:idx val="2"/>
          <c:order val="1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6 Gauss 0-NEW'!$L$3:$L$9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0-NEW'!$N$3:$N$9</c:f>
              <c:numCache>
                <c:formatCode>0.00000000</c:formatCode>
                <c:ptCount val="7"/>
                <c:pt idx="0">
                  <c:v>9.2985440000000003E-2</c:v>
                </c:pt>
                <c:pt idx="1">
                  <c:v>9.518691E-2</c:v>
                </c:pt>
                <c:pt idx="2">
                  <c:v>9.7343940000000004E-2</c:v>
                </c:pt>
                <c:pt idx="3">
                  <c:v>9.9451999999999999E-2</c:v>
                </c:pt>
                <c:pt idx="4">
                  <c:v>0.10150634</c:v>
                </c:pt>
                <c:pt idx="5">
                  <c:v>0.10350226999999999</c:v>
                </c:pt>
                <c:pt idx="6">
                  <c:v>0.1054354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DE-4AB2-A75B-6A6A96A09ECB}"/>
            </c:ext>
          </c:extLst>
        </c:ser>
        <c:ser>
          <c:idx val="3"/>
          <c:order val="2"/>
          <c:tx>
            <c:v>ERYA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6 Gauss 0-NEW'!$L$3:$L$9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0-NEW'!$F$3:$F$9</c:f>
              <c:numCache>
                <c:formatCode>General</c:formatCode>
                <c:ptCount val="7"/>
                <c:pt idx="0">
                  <c:v>9.3981999999999996E-2</c:v>
                </c:pt>
                <c:pt idx="1">
                  <c:v>9.5857999999999999E-2</c:v>
                </c:pt>
                <c:pt idx="2">
                  <c:v>9.5739000000000005E-2</c:v>
                </c:pt>
                <c:pt idx="3">
                  <c:v>0.100989</c:v>
                </c:pt>
                <c:pt idx="4">
                  <c:v>0.101442</c:v>
                </c:pt>
                <c:pt idx="5">
                  <c:v>0.102394</c:v>
                </c:pt>
                <c:pt idx="6">
                  <c:v>0.106406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39-449C-8C9B-713C146DF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537016"/>
        <c:axId val="448537736"/>
      </c:scatterChart>
      <c:valAx>
        <c:axId val="448537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37736"/>
        <c:crosses val="autoZero"/>
        <c:crossBetween val="midCat"/>
      </c:valAx>
      <c:valAx>
        <c:axId val="448537736"/>
        <c:scaling>
          <c:orientation val="minMax"/>
          <c:min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37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75714191244545"/>
          <c:y val="3.2531419482990286E-2"/>
          <c:w val="0.82623895097650224"/>
          <c:h val="0.71465963100009078"/>
        </c:manualLayout>
      </c:layout>
      <c:scatterChart>
        <c:scatterStyle val="lineMarker"/>
        <c:varyColors val="0"/>
        <c:ser>
          <c:idx val="1"/>
          <c:order val="0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6 Gauss 0-NEW'!$L$3:$L$9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0-NEW'!$V$3:$V$9</c:f>
              <c:numCache>
                <c:formatCode>General</c:formatCode>
                <c:ptCount val="7"/>
                <c:pt idx="0">
                  <c:v>0.99543409595881482</c:v>
                </c:pt>
                <c:pt idx="1">
                  <c:v>0.99520677218424392</c:v>
                </c:pt>
                <c:pt idx="2">
                  <c:v>0.99742293313878883</c:v>
                </c:pt>
                <c:pt idx="3">
                  <c:v>0.99607018402740177</c:v>
                </c:pt>
                <c:pt idx="4">
                  <c:v>0.99599898345763738</c:v>
                </c:pt>
                <c:pt idx="5">
                  <c:v>0.99577272481505474</c:v>
                </c:pt>
                <c:pt idx="6">
                  <c:v>0.99364525580601959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BB-4B01-9AB5-3C122BF9D4E4}"/>
            </c:ext>
          </c:extLst>
        </c:ser>
        <c:ser>
          <c:idx val="2"/>
          <c:order val="1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6 Gauss 0-NEW'!$L$3:$L$9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0-NEW'!$AB$3:$AB$9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69-4517-A871-6135A23B9241}"/>
            </c:ext>
          </c:extLst>
        </c:ser>
        <c:ser>
          <c:idx val="3"/>
          <c:order val="2"/>
          <c:tx>
            <c:v>ERYA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6 Gauss 0-NEW'!$A$3:$A$9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0-NEW'!$U$3:$U$9</c:f>
              <c:numCache>
                <c:formatCode>General</c:formatCode>
                <c:ptCount val="7"/>
                <c:pt idx="0">
                  <c:v>1.0061025382726729</c:v>
                </c:pt>
                <c:pt idx="1">
                  <c:v>1.0022232129190585</c:v>
                </c:pt>
                <c:pt idx="2">
                  <c:v>0.98097810912291505</c:v>
                </c:pt>
                <c:pt idx="3">
                  <c:v>1.0114641416436398</c:v>
                </c:pt>
                <c:pt idx="4">
                  <c:v>0.99536766747682615</c:v>
                </c:pt>
                <c:pt idx="5">
                  <c:v>0.98511030129786259</c:v>
                </c:pt>
                <c:pt idx="6">
                  <c:v>1.0027923931553855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01-4DAA-BDA8-9D9F7DE9A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520512"/>
        <c:axId val="804520872"/>
      </c:scatterChart>
      <c:valAx>
        <c:axId val="804520512"/>
        <c:scaling>
          <c:orientation val="minMax"/>
          <c:max val="2003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520872"/>
        <c:crosses val="autoZero"/>
        <c:crossBetween val="midCat"/>
      </c:valAx>
      <c:valAx>
        <c:axId val="80452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267017351997666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520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Ex 6 Gauss Straggling </a:t>
            </a:r>
            <a:r>
              <a:rPr lang="el-GR" sz="2000"/>
              <a:t>Δ</a:t>
            </a:r>
            <a:r>
              <a:rPr lang="en-GB" sz="2000"/>
              <a:t>E=1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6 Gauss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1'!$E$3:$E$9</c:f>
              <c:numCache>
                <c:formatCode>General</c:formatCode>
                <c:ptCount val="7"/>
                <c:pt idx="0">
                  <c:v>9.2248999999999998E-2</c:v>
                </c:pt>
                <c:pt idx="1">
                  <c:v>9.6073000000000006E-2</c:v>
                </c:pt>
                <c:pt idx="2">
                  <c:v>9.5781000000000005E-2</c:v>
                </c:pt>
                <c:pt idx="3">
                  <c:v>0.10187400000000001</c:v>
                </c:pt>
                <c:pt idx="4">
                  <c:v>0.101869</c:v>
                </c:pt>
                <c:pt idx="5">
                  <c:v>0.10244</c:v>
                </c:pt>
                <c:pt idx="6">
                  <c:v>0.108435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57-42B0-9E1C-DC5CB9C41204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6 Gauss 1'!$K$3:$K$9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1'!$I$3:$I$9</c:f>
              <c:numCache>
                <c:formatCode>0.000000000</c:formatCode>
                <c:ptCount val="7"/>
                <c:pt idx="0">
                  <c:v>9.3019821000000003E-2</c:v>
                </c:pt>
                <c:pt idx="1">
                  <c:v>9.5041573000000004E-2</c:v>
                </c:pt>
                <c:pt idx="2">
                  <c:v>9.7103811999999998E-2</c:v>
                </c:pt>
                <c:pt idx="3">
                  <c:v>9.9045812999999996E-2</c:v>
                </c:pt>
                <c:pt idx="4">
                  <c:v>0.10097966</c:v>
                </c:pt>
                <c:pt idx="5">
                  <c:v>0.10286385000000001</c:v>
                </c:pt>
                <c:pt idx="6">
                  <c:v>0.10482555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57-42B0-9E1C-DC5CB9C41204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6 Gauss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1'!$L$3:$L$9</c:f>
              <c:numCache>
                <c:formatCode>0.00000000</c:formatCode>
                <c:ptCount val="7"/>
                <c:pt idx="0">
                  <c:v>9.2390637037240694E-2</c:v>
                </c:pt>
                <c:pt idx="1">
                  <c:v>9.4518649465258106E-2</c:v>
                </c:pt>
                <c:pt idx="2">
                  <c:v>9.66032803812443E-2</c:v>
                </c:pt>
                <c:pt idx="3">
                  <c:v>9.8640034911431196E-2</c:v>
                </c:pt>
                <c:pt idx="4">
                  <c:v>0.10062448752703899</c:v>
                </c:pt>
                <c:pt idx="5">
                  <c:v>0.102552024392673</c:v>
                </c:pt>
                <c:pt idx="6">
                  <c:v>0.104418287736135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57-42B0-9E1C-DC5CB9C41204}"/>
            </c:ext>
          </c:extLst>
        </c:ser>
        <c:ser>
          <c:idx val="3"/>
          <c:order val="3"/>
          <c:tx>
            <c:v>ERYA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6 Gauss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1'!$F$3:$F$9</c:f>
              <c:numCache>
                <c:formatCode>General</c:formatCode>
                <c:ptCount val="7"/>
                <c:pt idx="0">
                  <c:v>9.2148999999999995E-2</c:v>
                </c:pt>
                <c:pt idx="1">
                  <c:v>9.5866999999999994E-2</c:v>
                </c:pt>
                <c:pt idx="2">
                  <c:v>9.5022999999999996E-2</c:v>
                </c:pt>
                <c:pt idx="3">
                  <c:v>0.101606</c:v>
                </c:pt>
                <c:pt idx="4">
                  <c:v>0.10169599999999999</c:v>
                </c:pt>
                <c:pt idx="5">
                  <c:v>0.101854</c:v>
                </c:pt>
                <c:pt idx="6">
                  <c:v>0.10809100000000001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1B-402E-8BCC-56EF1939A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306632"/>
        <c:axId val="829309872"/>
      </c:scatterChart>
      <c:valAx>
        <c:axId val="829306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09872"/>
        <c:crosses val="autoZero"/>
        <c:crossBetween val="midCat"/>
      </c:valAx>
      <c:valAx>
        <c:axId val="829309872"/>
        <c:scaling>
          <c:orientation val="minMax"/>
          <c:min val="9.000000000000002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06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6 Gauss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1'!$N$3:$N$9</c:f>
              <c:numCache>
                <c:formatCode>General</c:formatCode>
                <c:ptCount val="7"/>
                <c:pt idx="0">
                  <c:v>0.99171336827233836</c:v>
                </c:pt>
                <c:pt idx="1">
                  <c:v>1.0108523772012907</c:v>
                </c:pt>
                <c:pt idx="2">
                  <c:v>0.98637734222009743</c:v>
                </c:pt>
                <c:pt idx="3">
                  <c:v>1.0285543317212209</c:v>
                </c:pt>
                <c:pt idx="4">
                  <c:v>1.0088071201665763</c:v>
                </c:pt>
                <c:pt idx="5">
                  <c:v>0.99587950480173548</c:v>
                </c:pt>
                <c:pt idx="6">
                  <c:v>1.0344329221263326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97-48F1-8028-510F46E11AE0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6 Gauss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1'!$P$3:$P$9</c:f>
              <c:numCache>
                <c:formatCode>General</c:formatCode>
                <c:ptCount val="7"/>
                <c:pt idx="0">
                  <c:v>0.99323602264554656</c:v>
                </c:pt>
                <c:pt idx="1">
                  <c:v>0.99449794949477632</c:v>
                </c:pt>
                <c:pt idx="2">
                  <c:v>0.99484539681350825</c:v>
                </c:pt>
                <c:pt idx="3">
                  <c:v>0.99590312728748265</c:v>
                </c:pt>
                <c:pt idx="4">
                  <c:v>0.99648273253285857</c:v>
                </c:pt>
                <c:pt idx="5">
                  <c:v>0.99696855982614874</c:v>
                </c:pt>
                <c:pt idx="6">
                  <c:v>0.99611485688493884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97-48F1-8028-510F46E11AE0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6 Gauss 1'!$K$3:$K$9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1'!$Y$3:$Y$9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A9-425B-8128-B9F925B9651D}"/>
            </c:ext>
          </c:extLst>
        </c:ser>
        <c:ser>
          <c:idx val="3"/>
          <c:order val="3"/>
          <c:tx>
            <c:v>ERYA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6 Gauss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1'!$S$3:$S$9</c:f>
              <c:numCache>
                <c:formatCode>General</c:formatCode>
                <c:ptCount val="7"/>
                <c:pt idx="0">
                  <c:v>0.99063832857730394</c:v>
                </c:pt>
                <c:pt idx="1">
                  <c:v>1.0086849046574595</c:v>
                </c:pt>
                <c:pt idx="2">
                  <c:v>0.97857126350508261</c:v>
                </c:pt>
                <c:pt idx="3">
                  <c:v>1.0258485131521915</c:v>
                </c:pt>
                <c:pt idx="4">
                  <c:v>1.0070939038614311</c:v>
                </c:pt>
                <c:pt idx="5">
                  <c:v>0.99018265406165518</c:v>
                </c:pt>
                <c:pt idx="6">
                  <c:v>1.031151279435214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D6-49E1-9DB5-7F26E45B7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165576"/>
        <c:axId val="796168456"/>
      </c:scatterChart>
      <c:valAx>
        <c:axId val="796165576"/>
        <c:scaling>
          <c:orientation val="minMax"/>
          <c:max val="2003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68456"/>
        <c:crosses val="autoZero"/>
        <c:crossBetween val="midCat"/>
      </c:valAx>
      <c:valAx>
        <c:axId val="79616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71646981627296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65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12</xdr:row>
      <xdr:rowOff>9524</xdr:rowOff>
    </xdr:from>
    <xdr:to>
      <xdr:col>10</xdr:col>
      <xdr:colOff>1247775</xdr:colOff>
      <xdr:row>42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51028-5E25-E162-A7C8-B5A5227AF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595310</xdr:colOff>
      <xdr:row>11</xdr:row>
      <xdr:rowOff>161923</xdr:rowOff>
    </xdr:from>
    <xdr:to>
      <xdr:col>17</xdr:col>
      <xdr:colOff>400049</xdr:colOff>
      <xdr:row>42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67E42B-C8AD-8A95-588F-2B0232910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12</xdr:row>
      <xdr:rowOff>104775</xdr:rowOff>
    </xdr:from>
    <xdr:to>
      <xdr:col>9</xdr:col>
      <xdr:colOff>123824</xdr:colOff>
      <xdr:row>37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D4C4BD-2D14-3151-62F6-1E70C3E46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247648</xdr:colOff>
      <xdr:row>12</xdr:row>
      <xdr:rowOff>85725</xdr:rowOff>
    </xdr:from>
    <xdr:to>
      <xdr:col>16</xdr:col>
      <xdr:colOff>285749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97FB6D-1C3F-18BA-5AC0-826D797A4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186939</xdr:colOff>
      <xdr:row>13</xdr:row>
      <xdr:rowOff>11513</xdr:rowOff>
    </xdr:from>
    <xdr:to>
      <xdr:col>12</xdr:col>
      <xdr:colOff>1276978</xdr:colOff>
      <xdr:row>38</xdr:row>
      <xdr:rowOff>20934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C31296-AEA6-5CA5-B565-7D790D717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127957</xdr:colOff>
      <xdr:row>12</xdr:row>
      <xdr:rowOff>185578</xdr:rowOff>
    </xdr:from>
    <xdr:to>
      <xdr:col>21</xdr:col>
      <xdr:colOff>1224643</xdr:colOff>
      <xdr:row>37</xdr:row>
      <xdr:rowOff>41867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238DC4-B74E-8AC2-17A0-8F5180CB5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700086</xdr:colOff>
      <xdr:row>12</xdr:row>
      <xdr:rowOff>190498</xdr:rowOff>
    </xdr:from>
    <xdr:to>
      <xdr:col>8</xdr:col>
      <xdr:colOff>876300</xdr:colOff>
      <xdr:row>40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2DC856-C1C8-626A-B90B-B79692544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903286</xdr:colOff>
      <xdr:row>12</xdr:row>
      <xdr:rowOff>190498</xdr:rowOff>
    </xdr:from>
    <xdr:to>
      <xdr:col>18</xdr:col>
      <xdr:colOff>139700</xdr:colOff>
      <xdr:row>40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266FE4-054C-46D9-3234-C0DCBC815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topLeftCell="E14" zoomScale="80" zoomScaleNormal="80" workbookViewId="0">
      <selection activeCell="P45" sqref="P45"/>
    </sheetView>
  </sheetViews>
  <sheetFormatPr defaultColWidth="20.625" defaultRowHeight="15.75"/>
  <cols>
    <col min="1" max="1" width="12.75" customWidth="1"/>
    <col min="2" max="2" width="16.125" customWidth="1"/>
    <col min="3" max="4" width="10.375" customWidth="1"/>
    <col min="5" max="5" width="6.625" style="8" customWidth="1"/>
    <col min="6" max="6" width="16.375" style="1" customWidth="1"/>
    <col min="7" max="7" width="16.125" style="2" customWidth="1"/>
    <col min="8" max="8" width="14.875" customWidth="1"/>
    <col min="9" max="9" width="6.5" style="8" customWidth="1"/>
    <col min="10" max="10" width="15.5" customWidth="1"/>
    <col min="11" max="11" width="21.75" style="4" bestFit="1" customWidth="1"/>
    <col min="12" max="12" width="17.5" style="4" customWidth="1"/>
    <col min="13" max="13" width="7.125" style="10" customWidth="1"/>
    <col min="14" max="14" width="17.875" customWidth="1"/>
    <col min="15" max="15" width="14.625" customWidth="1"/>
    <col min="16" max="16" width="18.25" customWidth="1"/>
    <col min="17" max="17" width="14.25" customWidth="1"/>
  </cols>
  <sheetData>
    <row r="1" spans="1:21">
      <c r="A1" t="s">
        <v>0</v>
      </c>
      <c r="G1" s="2" t="s">
        <v>1</v>
      </c>
      <c r="H1" t="s">
        <v>2</v>
      </c>
      <c r="J1" s="4" t="s">
        <v>3</v>
      </c>
      <c r="K1" s="4" t="s">
        <v>4</v>
      </c>
      <c r="L1" s="4" t="s">
        <v>5</v>
      </c>
      <c r="N1" t="s">
        <v>6</v>
      </c>
      <c r="O1" t="s">
        <v>7</v>
      </c>
      <c r="P1" t="s">
        <v>8</v>
      </c>
      <c r="Q1" t="s">
        <v>7</v>
      </c>
      <c r="R1" t="s">
        <v>9</v>
      </c>
      <c r="S1" t="s">
        <v>6</v>
      </c>
    </row>
    <row r="2" spans="1:21">
      <c r="A2" t="s">
        <v>10</v>
      </c>
      <c r="B2" t="s">
        <v>11</v>
      </c>
      <c r="D2" t="s">
        <v>12</v>
      </c>
      <c r="F2" t="s">
        <v>10</v>
      </c>
      <c r="G2" t="s">
        <v>11</v>
      </c>
      <c r="J2" t="s">
        <v>10</v>
      </c>
      <c r="K2" t="s">
        <v>11</v>
      </c>
      <c r="S2" t="s">
        <v>12</v>
      </c>
    </row>
    <row r="3" spans="1:21">
      <c r="A3">
        <v>2000</v>
      </c>
      <c r="B3">
        <v>6.679E-3</v>
      </c>
      <c r="C3">
        <f t="shared" ref="C3:C9" si="0">B3*4*PI()</f>
        <v>8.3930789333304917E-2</v>
      </c>
      <c r="D3" s="12">
        <v>8.8315000000000005E-2</v>
      </c>
      <c r="F3" s="1">
        <v>2000</v>
      </c>
      <c r="G3" s="2">
        <v>9.2199519999999993E-2</v>
      </c>
      <c r="H3" s="2">
        <v>9.3442839999999999E-2</v>
      </c>
      <c r="I3" s="9"/>
      <c r="J3">
        <v>2000</v>
      </c>
      <c r="K3" s="7">
        <v>9.6020711687992796E-2</v>
      </c>
      <c r="L3" s="7">
        <v>9.6499057928231893E-2</v>
      </c>
      <c r="M3" s="11"/>
      <c r="N3">
        <f>C3/G3</f>
        <v>0.91031698791170412</v>
      </c>
      <c r="O3">
        <f>1-N3</f>
        <v>8.9683012088295877E-2</v>
      </c>
      <c r="P3">
        <f>K3/G3</f>
        <v>1.0414448110791987</v>
      </c>
      <c r="Q3">
        <f>1-P3</f>
        <v>-4.1444811079198729E-2</v>
      </c>
      <c r="R3">
        <f>L3/H3</f>
        <v>1.0327068176462948</v>
      </c>
      <c r="S3">
        <f>D3/G3</f>
        <v>0.95786832729714877</v>
      </c>
      <c r="U3">
        <v>1</v>
      </c>
    </row>
    <row r="4" spans="1:21">
      <c r="A4">
        <v>2000.5</v>
      </c>
      <c r="B4">
        <v>6.8640000000000003E-3</v>
      </c>
      <c r="C4">
        <f t="shared" si="0"/>
        <v>8.6255567896961358E-2</v>
      </c>
      <c r="D4" s="12">
        <v>9.7195000000000004E-2</v>
      </c>
      <c r="F4" s="1">
        <v>2000.5</v>
      </c>
      <c r="G4" s="2">
        <v>9.4337980000000002E-2</v>
      </c>
      <c r="H4" s="2">
        <v>9.5675780000000002E-2</v>
      </c>
      <c r="I4" s="9"/>
      <c r="J4">
        <v>2000.5</v>
      </c>
      <c r="K4" s="7">
        <v>9.84111301426807E-2</v>
      </c>
      <c r="L4" s="7">
        <v>9.8964595831064706E-2</v>
      </c>
      <c r="M4" s="11"/>
      <c r="N4">
        <f t="shared" ref="N4:N9" si="1">C4/G4</f>
        <v>0.9143249399336445</v>
      </c>
      <c r="O4">
        <f t="shared" ref="O4:O9" si="2">1-N4</f>
        <v>8.5675060066355502E-2</v>
      </c>
      <c r="P4">
        <f t="shared" ref="P4:P9" si="3">K4/G4</f>
        <v>1.0431761432954225</v>
      </c>
      <c r="Q4">
        <f t="shared" ref="Q4:Q9" si="4">1-P4</f>
        <v>-4.317614329542252E-2</v>
      </c>
      <c r="R4">
        <f t="shared" ref="R4:R9" si="5">L4/H4</f>
        <v>1.0343745912608677</v>
      </c>
      <c r="S4">
        <f t="shared" ref="S4:S9" si="6">D4/G4</f>
        <v>1.0302849393213636</v>
      </c>
      <c r="U4">
        <v>1</v>
      </c>
    </row>
    <row r="5" spans="1:21">
      <c r="A5">
        <v>2001</v>
      </c>
      <c r="B5">
        <v>7.0369999999999999E-3</v>
      </c>
      <c r="C5">
        <f t="shared" si="0"/>
        <v>8.8429550013245498E-2</v>
      </c>
      <c r="D5" s="12">
        <v>9.7507999999999997E-2</v>
      </c>
      <c r="F5" s="1">
        <v>2001</v>
      </c>
      <c r="G5" s="2">
        <v>9.6418760000000006E-2</v>
      </c>
      <c r="H5" s="2">
        <v>9.7626749999999998E-2</v>
      </c>
      <c r="I5" s="9"/>
      <c r="J5">
        <v>2001</v>
      </c>
      <c r="K5" s="7">
        <v>0.10074989943926101</v>
      </c>
      <c r="L5" s="7">
        <v>0.101378048178832</v>
      </c>
      <c r="M5" s="8"/>
      <c r="N5">
        <f t="shared" si="1"/>
        <v>0.91714050267028424</v>
      </c>
      <c r="O5">
        <f t="shared" si="2"/>
        <v>8.2859497329715759E-2</v>
      </c>
      <c r="P5">
        <f t="shared" si="3"/>
        <v>1.0449200906468927</v>
      </c>
      <c r="Q5">
        <f t="shared" si="4"/>
        <v>-4.492009064689273E-2</v>
      </c>
      <c r="R5">
        <f t="shared" si="5"/>
        <v>1.0384249007452568</v>
      </c>
      <c r="S5">
        <f t="shared" si="6"/>
        <v>1.011296971668169</v>
      </c>
      <c r="U5">
        <v>1</v>
      </c>
    </row>
    <row r="6" spans="1:21">
      <c r="A6">
        <v>2001.5</v>
      </c>
      <c r="B6">
        <v>7.2290000000000002E-3</v>
      </c>
      <c r="C6">
        <f t="shared" si="0"/>
        <v>9.084229317120246E-2</v>
      </c>
      <c r="D6" s="12">
        <v>9.8204E-2</v>
      </c>
      <c r="F6" s="1">
        <v>2001.5</v>
      </c>
      <c r="G6" s="2">
        <v>9.8401719999999998E-2</v>
      </c>
      <c r="H6" s="2">
        <v>9.9868940000000003E-2</v>
      </c>
      <c r="I6" s="9"/>
      <c r="J6">
        <v>2001.5</v>
      </c>
      <c r="K6" s="7">
        <v>0.10303133834346</v>
      </c>
      <c r="L6" s="7">
        <v>0.103733744588885</v>
      </c>
      <c r="M6" s="8"/>
      <c r="N6">
        <f t="shared" si="1"/>
        <v>0.92317789944324613</v>
      </c>
      <c r="O6">
        <f t="shared" si="2"/>
        <v>7.682210055675387E-2</v>
      </c>
      <c r="P6">
        <f t="shared" si="3"/>
        <v>1.0470481445188153</v>
      </c>
      <c r="Q6">
        <f t="shared" si="4"/>
        <v>-4.7048144518815338E-2</v>
      </c>
      <c r="R6">
        <f t="shared" si="5"/>
        <v>1.03869876448959</v>
      </c>
      <c r="S6">
        <f t="shared" si="6"/>
        <v>0.99799068552866765</v>
      </c>
      <c r="U6">
        <v>1</v>
      </c>
    </row>
    <row r="7" spans="1:21">
      <c r="A7">
        <v>2002</v>
      </c>
      <c r="B7">
        <v>7.3860000000000002E-3</v>
      </c>
      <c r="C7">
        <f t="shared" si="0"/>
        <v>9.2815213357656856E-2</v>
      </c>
      <c r="D7" s="12">
        <v>9.8803000000000002E-2</v>
      </c>
      <c r="F7" s="1">
        <v>2002</v>
      </c>
      <c r="G7" s="2">
        <v>0.10059653</v>
      </c>
      <c r="H7" s="2">
        <v>0.10193865000000001</v>
      </c>
      <c r="I7" s="9"/>
      <c r="J7">
        <v>2002</v>
      </c>
      <c r="K7" s="7">
        <v>0.10525052512564</v>
      </c>
      <c r="L7" s="7">
        <v>0.106025969426034</v>
      </c>
      <c r="M7" s="8"/>
      <c r="N7">
        <f t="shared" si="1"/>
        <v>0.92264825991171717</v>
      </c>
      <c r="O7">
        <f t="shared" si="2"/>
        <v>7.7351740088282828E-2</v>
      </c>
      <c r="P7">
        <f t="shared" si="3"/>
        <v>1.0462639727795779</v>
      </c>
      <c r="Q7">
        <f t="shared" si="4"/>
        <v>-4.6263972779577944E-2</v>
      </c>
      <c r="R7">
        <f t="shared" si="5"/>
        <v>1.0400958755686287</v>
      </c>
      <c r="S7">
        <f t="shared" si="6"/>
        <v>0.98217105500557522</v>
      </c>
      <c r="U7">
        <v>1</v>
      </c>
    </row>
    <row r="8" spans="1:21">
      <c r="A8">
        <v>2002.5</v>
      </c>
      <c r="B8">
        <v>7.5729999999999999E-3</v>
      </c>
      <c r="C8">
        <f t="shared" si="0"/>
        <v>9.5165124662542011E-2</v>
      </c>
      <c r="D8" s="12">
        <v>0.105957</v>
      </c>
      <c r="F8" s="1">
        <v>2002.5</v>
      </c>
      <c r="G8" s="2">
        <v>0.10253898</v>
      </c>
      <c r="H8" s="2">
        <v>0.10393543</v>
      </c>
      <c r="I8" s="9"/>
      <c r="J8">
        <v>2002.5</v>
      </c>
      <c r="K8" s="7">
        <v>0.107402190647197</v>
      </c>
      <c r="L8" s="7">
        <v>0.108249352369214</v>
      </c>
      <c r="M8" s="8"/>
      <c r="N8">
        <f t="shared" si="1"/>
        <v>0.92808729580245497</v>
      </c>
      <c r="O8">
        <f t="shared" si="2"/>
        <v>7.191270419754503E-2</v>
      </c>
      <c r="P8">
        <f t="shared" si="3"/>
        <v>1.0474279210422903</v>
      </c>
      <c r="Q8">
        <f t="shared" si="4"/>
        <v>-4.7427921042290322E-2</v>
      </c>
      <c r="R8">
        <f t="shared" si="5"/>
        <v>1.0415057922905981</v>
      </c>
      <c r="S8">
        <f t="shared" si="6"/>
        <v>1.0333338599623285</v>
      </c>
      <c r="U8">
        <v>1</v>
      </c>
    </row>
    <row r="9" spans="1:21">
      <c r="A9">
        <v>2003</v>
      </c>
      <c r="B9">
        <v>7.7190000000000002E-3</v>
      </c>
      <c r="C9">
        <f t="shared" si="0"/>
        <v>9.6999814772238457E-2</v>
      </c>
      <c r="D9" s="12">
        <v>0.10782799999999999</v>
      </c>
      <c r="F9" s="1">
        <v>2003</v>
      </c>
      <c r="G9" s="2">
        <v>0.10440437</v>
      </c>
      <c r="H9" s="2">
        <v>0.10611253</v>
      </c>
      <c r="I9" s="9"/>
      <c r="J9">
        <v>2003</v>
      </c>
      <c r="K9" s="7">
        <v>0.109481291532596</v>
      </c>
      <c r="L9" s="7">
        <v>0.11039846905346699</v>
      </c>
      <c r="M9" s="8"/>
      <c r="N9">
        <f t="shared" si="1"/>
        <v>0.92907811016184916</v>
      </c>
      <c r="O9">
        <f t="shared" si="2"/>
        <v>7.0921889838150842E-2</v>
      </c>
      <c r="P9">
        <f t="shared" si="3"/>
        <v>1.0486274811350904</v>
      </c>
      <c r="Q9">
        <f t="shared" si="4"/>
        <v>-4.8627481135090411E-2</v>
      </c>
      <c r="R9">
        <f t="shared" si="5"/>
        <v>1.0403905085805323</v>
      </c>
      <c r="S9">
        <f t="shared" si="6"/>
        <v>1.0327920181885106</v>
      </c>
      <c r="U9">
        <v>1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5B5F-BACA-44C5-8AB1-F9CDB3E11641}">
  <dimension ref="A1:AE9"/>
  <sheetViews>
    <sheetView zoomScale="93" zoomScaleNormal="93" workbookViewId="0">
      <selection activeCell="Q31" sqref="Q31"/>
    </sheetView>
  </sheetViews>
  <sheetFormatPr defaultRowHeight="15.75"/>
  <cols>
    <col min="1" max="2" width="15" customWidth="1"/>
    <col min="3" max="3" width="13.75" customWidth="1"/>
    <col min="4" max="4" width="14.375" customWidth="1"/>
    <col min="5" max="5" width="6.5" style="8" customWidth="1"/>
    <col min="6" max="6" width="13.5" style="1" customWidth="1"/>
    <col min="7" max="7" width="14" style="3" customWidth="1"/>
    <col min="8" max="8" width="16.625" customWidth="1"/>
    <col min="9" max="9" width="6.125" style="8" customWidth="1"/>
    <col min="10" max="10" width="12.75" customWidth="1"/>
    <col min="11" max="11" width="18.875" style="4" customWidth="1"/>
    <col min="12" max="12" width="12.375" bestFit="1" customWidth="1"/>
    <col min="13" max="13" width="6" style="8" customWidth="1"/>
    <col min="14" max="14" width="12" customWidth="1"/>
    <col min="16" max="16" width="11.5" customWidth="1"/>
    <col min="18" max="18" width="10.875" customWidth="1"/>
    <col min="19" max="19" width="6.375" style="8" customWidth="1"/>
    <col min="20" max="20" width="14.375" customWidth="1"/>
  </cols>
  <sheetData>
    <row r="1" spans="1:31">
      <c r="A1" t="s">
        <v>0</v>
      </c>
      <c r="F1" s="1" t="s">
        <v>1</v>
      </c>
      <c r="H1" t="s">
        <v>2</v>
      </c>
      <c r="J1" s="4" t="s">
        <v>3</v>
      </c>
      <c r="K1" s="4" t="s">
        <v>4</v>
      </c>
      <c r="L1" t="s">
        <v>5</v>
      </c>
      <c r="N1" t="s">
        <v>6</v>
      </c>
      <c r="O1" t="s">
        <v>7</v>
      </c>
      <c r="P1" t="s">
        <v>8</v>
      </c>
      <c r="Q1" t="s">
        <v>7</v>
      </c>
      <c r="R1" t="s">
        <v>9</v>
      </c>
      <c r="T1" t="s">
        <v>6</v>
      </c>
    </row>
    <row r="2" spans="1:31">
      <c r="A2" t="s">
        <v>10</v>
      </c>
      <c r="C2" t="s">
        <v>11</v>
      </c>
      <c r="D2" t="s">
        <v>12</v>
      </c>
      <c r="F2" t="s">
        <v>10</v>
      </c>
      <c r="G2" t="s">
        <v>11</v>
      </c>
      <c r="J2" t="s">
        <v>10</v>
      </c>
      <c r="K2" t="s">
        <v>11</v>
      </c>
      <c r="T2" t="s">
        <v>12</v>
      </c>
    </row>
    <row r="3" spans="1:31">
      <c r="A3">
        <v>2000</v>
      </c>
      <c r="B3">
        <v>6.6680000000000003E-3</v>
      </c>
      <c r="C3">
        <f t="shared" ref="C3:C9" si="0">B3*4*PI()</f>
        <v>8.3792559256546967E-2</v>
      </c>
      <c r="D3" s="12">
        <v>8.7442000000000006E-2</v>
      </c>
      <c r="F3" s="1">
        <v>2000</v>
      </c>
      <c r="G3" s="3">
        <v>9.2172729999999994E-2</v>
      </c>
      <c r="H3" s="2">
        <v>9.3411949999999994E-2</v>
      </c>
      <c r="I3" s="9"/>
      <c r="J3">
        <v>2000</v>
      </c>
      <c r="K3" s="2">
        <v>9.6003056397138103E-2</v>
      </c>
      <c r="L3" s="7">
        <v>9.64830374878691E-2</v>
      </c>
      <c r="M3" s="11"/>
      <c r="N3">
        <f>C3/G3</f>
        <v>0.90908188632957898</v>
      </c>
      <c r="O3">
        <f>1-N3</f>
        <v>9.0918113670421019E-2</v>
      </c>
      <c r="P3">
        <f>K3/G3</f>
        <v>1.0415559612603218</v>
      </c>
      <c r="Q3">
        <f>1-P3</f>
        <v>-4.1555961260321794E-2</v>
      </c>
      <c r="R3">
        <f>L3/H3</f>
        <v>1.0328768159520181</v>
      </c>
      <c r="T3">
        <f>D3/G3</f>
        <v>0.94867538370622218</v>
      </c>
      <c r="AA3">
        <v>1</v>
      </c>
      <c r="AE3" s="6"/>
    </row>
    <row r="4" spans="1:31">
      <c r="A4">
        <v>2000.5</v>
      </c>
      <c r="B4">
        <v>6.8780000000000004E-3</v>
      </c>
      <c r="C4">
        <f t="shared" si="0"/>
        <v>8.64314970855624E-2</v>
      </c>
      <c r="D4" s="12">
        <v>9.8862000000000005E-2</v>
      </c>
      <c r="F4" s="1">
        <v>2000.5</v>
      </c>
      <c r="G4" s="3">
        <v>9.4322539999999996E-2</v>
      </c>
      <c r="H4" s="2">
        <v>9.5645359999999999E-2</v>
      </c>
      <c r="I4" s="9"/>
      <c r="J4">
        <v>2000.5</v>
      </c>
      <c r="K4" s="2">
        <v>9.8391076748976403E-2</v>
      </c>
      <c r="L4" s="7">
        <v>9.89463300680163E-2</v>
      </c>
      <c r="M4" s="11"/>
      <c r="N4">
        <f t="shared" ref="N4:N9" si="1">C4/G4</f>
        <v>0.91633979625190753</v>
      </c>
      <c r="O4">
        <f t="shared" ref="O4:O9" si="2">1-N4</f>
        <v>8.3660203748092465E-2</v>
      </c>
      <c r="P4">
        <f t="shared" ref="P4:P9" si="3">K4/G4</f>
        <v>1.0431343001256794</v>
      </c>
      <c r="Q4">
        <f t="shared" ref="Q4:Q9" si="4">1-P4</f>
        <v>-4.3134300125679426E-2</v>
      </c>
      <c r="R4">
        <f t="shared" ref="R4:R9" si="5">L4/H4</f>
        <v>1.0345126001723064</v>
      </c>
      <c r="T4">
        <f t="shared" ref="T4:T9" si="6">D4/G4</f>
        <v>1.0481269906429578</v>
      </c>
      <c r="AA4">
        <v>1</v>
      </c>
      <c r="AE4" s="6"/>
    </row>
    <row r="5" spans="1:31">
      <c r="A5">
        <v>2001</v>
      </c>
      <c r="B5">
        <v>7.0400000000000003E-3</v>
      </c>
      <c r="C5">
        <f t="shared" si="0"/>
        <v>8.8467249125088576E-2</v>
      </c>
      <c r="D5" s="12">
        <v>9.9447999999999995E-2</v>
      </c>
      <c r="F5" s="1">
        <v>2001</v>
      </c>
      <c r="G5" s="3">
        <v>9.640398E-2</v>
      </c>
      <c r="H5" s="2">
        <v>9.759545E-2</v>
      </c>
      <c r="I5" s="9"/>
      <c r="J5">
        <v>2001</v>
      </c>
      <c r="K5" s="2">
        <v>0.100727584922453</v>
      </c>
      <c r="L5" s="7">
        <v>0.101357652352072</v>
      </c>
      <c r="N5">
        <f t="shared" si="1"/>
        <v>0.91767216587000433</v>
      </c>
      <c r="O5">
        <f t="shared" si="2"/>
        <v>8.232783412999567E-2</v>
      </c>
      <c r="P5">
        <f t="shared" si="3"/>
        <v>1.0448488218272005</v>
      </c>
      <c r="Q5">
        <f t="shared" si="4"/>
        <v>-4.4848821827200513E-2</v>
      </c>
      <c r="R5">
        <f t="shared" si="5"/>
        <v>1.0385489523545617</v>
      </c>
      <c r="T5">
        <f t="shared" si="6"/>
        <v>1.0315756673116607</v>
      </c>
      <c r="AA5">
        <v>1</v>
      </c>
    </row>
    <row r="6" spans="1:31">
      <c r="A6">
        <v>2001.5</v>
      </c>
      <c r="B6">
        <v>7.2090000000000001E-3</v>
      </c>
      <c r="C6">
        <f t="shared" si="0"/>
        <v>9.0590965758915273E-2</v>
      </c>
      <c r="D6" s="12">
        <v>9.8872000000000002E-2</v>
      </c>
      <c r="F6" s="1">
        <v>2001.5</v>
      </c>
      <c r="G6" s="3">
        <v>9.8408170000000003E-2</v>
      </c>
      <c r="H6" s="2">
        <v>9.9844370000000002E-2</v>
      </c>
      <c r="I6" s="9"/>
      <c r="J6">
        <v>2001.5</v>
      </c>
      <c r="K6" s="2">
        <v>0.10300722073731899</v>
      </c>
      <c r="L6" s="7">
        <v>0.103711130622108</v>
      </c>
      <c r="N6">
        <f t="shared" si="1"/>
        <v>0.92056346296161462</v>
      </c>
      <c r="O6">
        <f t="shared" si="2"/>
        <v>7.943653703838538E-2</v>
      </c>
      <c r="P6">
        <f t="shared" si="3"/>
        <v>1.0467344402128298</v>
      </c>
      <c r="Q6">
        <f t="shared" si="4"/>
        <v>-4.6734440212829798E-2</v>
      </c>
      <c r="R6">
        <f t="shared" si="5"/>
        <v>1.0387278784182623</v>
      </c>
      <c r="T6">
        <f t="shared" si="6"/>
        <v>1.0047133281718377</v>
      </c>
      <c r="AA6">
        <v>1</v>
      </c>
    </row>
    <row r="7" spans="1:31">
      <c r="A7">
        <v>2002</v>
      </c>
      <c r="B7">
        <v>7.3949999999999997E-3</v>
      </c>
      <c r="C7">
        <f t="shared" si="0"/>
        <v>9.2928310693186078E-2</v>
      </c>
      <c r="D7" s="12">
        <v>9.8830000000000001E-2</v>
      </c>
      <c r="F7" s="1">
        <v>2002</v>
      </c>
      <c r="G7" s="3">
        <v>0.10060482</v>
      </c>
      <c r="H7" s="2">
        <v>0.10191409999999999</v>
      </c>
      <c r="I7" s="9"/>
      <c r="J7">
        <v>2002</v>
      </c>
      <c r="K7" s="2">
        <v>0.105224656725321</v>
      </c>
      <c r="L7" s="7">
        <v>0.106001229558399</v>
      </c>
      <c r="N7">
        <f t="shared" si="1"/>
        <v>0.92369640632711314</v>
      </c>
      <c r="O7">
        <f t="shared" si="2"/>
        <v>7.630359367288686E-2</v>
      </c>
      <c r="P7">
        <f t="shared" si="3"/>
        <v>1.0459206300982498</v>
      </c>
      <c r="Q7">
        <f t="shared" si="4"/>
        <v>-4.5920630098249759E-2</v>
      </c>
      <c r="R7">
        <f t="shared" si="5"/>
        <v>1.0401036712132963</v>
      </c>
      <c r="T7">
        <f t="shared" si="6"/>
        <v>0.98235849932438624</v>
      </c>
      <c r="AA7">
        <v>1</v>
      </c>
    </row>
    <row r="8" spans="1:31">
      <c r="A8">
        <v>2002.5</v>
      </c>
      <c r="B8">
        <v>7.5640000000000004E-3</v>
      </c>
      <c r="C8">
        <f t="shared" si="0"/>
        <v>9.5052027327012789E-2</v>
      </c>
      <c r="D8" s="12">
        <v>0.100229</v>
      </c>
      <c r="F8" s="1">
        <v>2002.5</v>
      </c>
      <c r="G8" s="3">
        <v>0.10251502</v>
      </c>
      <c r="H8" s="2">
        <v>0.10394166000000001</v>
      </c>
      <c r="I8" s="9"/>
      <c r="J8">
        <v>2002.5</v>
      </c>
      <c r="K8" s="2">
        <v>0.107374701507159</v>
      </c>
      <c r="L8" s="7">
        <v>0.10822247732238</v>
      </c>
      <c r="N8">
        <f t="shared" si="1"/>
        <v>0.92720098310484445</v>
      </c>
      <c r="O8">
        <f t="shared" si="2"/>
        <v>7.2799016895155555E-2</v>
      </c>
      <c r="P8">
        <f t="shared" si="3"/>
        <v>1.0474045803937706</v>
      </c>
      <c r="Q8">
        <f t="shared" si="4"/>
        <v>-4.7404580393770601E-2</v>
      </c>
      <c r="R8">
        <f t="shared" si="5"/>
        <v>1.0411848081162067</v>
      </c>
      <c r="T8">
        <f t="shared" si="6"/>
        <v>0.97770063352667735</v>
      </c>
      <c r="AA8">
        <v>1</v>
      </c>
    </row>
    <row r="9" spans="1:31">
      <c r="A9">
        <v>2003</v>
      </c>
      <c r="B9">
        <v>7.7409999999999996E-3</v>
      </c>
      <c r="C9">
        <f t="shared" si="0"/>
        <v>9.7276274925754344E-2</v>
      </c>
      <c r="D9" s="12">
        <v>0.108289</v>
      </c>
      <c r="F9" s="1">
        <v>2003</v>
      </c>
      <c r="G9" s="3">
        <v>0.10437936</v>
      </c>
      <c r="H9" s="2">
        <v>0.1061097</v>
      </c>
      <c r="I9" s="9"/>
      <c r="J9">
        <v>2003</v>
      </c>
      <c r="K9" s="2">
        <v>0.10945227203916499</v>
      </c>
      <c r="L9" s="7">
        <v>0.110369384766847</v>
      </c>
      <c r="N9">
        <f t="shared" si="1"/>
        <v>0.93194933295006155</v>
      </c>
      <c r="O9">
        <f t="shared" si="2"/>
        <v>6.8050667049938451E-2</v>
      </c>
      <c r="P9">
        <f t="shared" si="3"/>
        <v>1.0486007199044427</v>
      </c>
      <c r="Q9">
        <f t="shared" si="4"/>
        <v>-4.8600719904442702E-2</v>
      </c>
      <c r="R9">
        <f t="shared" si="5"/>
        <v>1.0401441599292713</v>
      </c>
      <c r="T9">
        <f t="shared" si="6"/>
        <v>1.0374560641107591</v>
      </c>
      <c r="AA9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EF21-3C23-45AC-BF4F-240BB846BF9C}">
  <dimension ref="A1:AD9"/>
  <sheetViews>
    <sheetView topLeftCell="F1" zoomScale="91" zoomScaleNormal="91" workbookViewId="0">
      <selection activeCell="F3" sqref="F3"/>
    </sheetView>
  </sheetViews>
  <sheetFormatPr defaultRowHeight="15.75"/>
  <cols>
    <col min="1" max="1" width="14.125" customWidth="1"/>
    <col min="5" max="6" width="17.25" customWidth="1"/>
    <col min="7" max="7" width="6.75" style="8" customWidth="1"/>
    <col min="8" max="8" width="15.75" style="1" customWidth="1"/>
    <col min="9" max="10" width="17.375" style="3" customWidth="1"/>
    <col min="11" max="11" width="6.75" style="8" customWidth="1"/>
    <col min="12" max="12" width="15.125" customWidth="1"/>
    <col min="13" max="13" width="19.625" style="4" bestFit="1" customWidth="1"/>
    <col min="14" max="14" width="19.625" style="4" customWidth="1"/>
    <col min="15" max="15" width="7" style="8" customWidth="1"/>
    <col min="16" max="16" width="11.25" customWidth="1"/>
    <col min="18" max="18" width="11.625" customWidth="1"/>
    <col min="20" max="20" width="6.75" style="8" customWidth="1"/>
    <col min="21" max="21" width="15" customWidth="1"/>
    <col min="22" max="22" width="18.125" customWidth="1"/>
    <col min="29" max="29" width="10.875" customWidth="1"/>
    <col min="30" max="30" width="12.875" style="5" customWidth="1"/>
    <col min="31" max="31" width="12.875" customWidth="1"/>
  </cols>
  <sheetData>
    <row r="1" spans="1:23">
      <c r="B1" t="s">
        <v>0</v>
      </c>
      <c r="F1" t="s">
        <v>13</v>
      </c>
      <c r="I1" s="3" t="s">
        <v>1</v>
      </c>
      <c r="J1" s="3" t="s">
        <v>14</v>
      </c>
      <c r="M1" s="4" t="s">
        <v>3</v>
      </c>
      <c r="N1" s="4" t="s">
        <v>15</v>
      </c>
      <c r="P1" t="s">
        <v>6</v>
      </c>
      <c r="Q1" t="s">
        <v>7</v>
      </c>
      <c r="R1" t="s">
        <v>8</v>
      </c>
      <c r="S1" t="s">
        <v>7</v>
      </c>
      <c r="U1" t="s">
        <v>16</v>
      </c>
      <c r="V1" t="s">
        <v>17</v>
      </c>
    </row>
    <row r="2" spans="1:23">
      <c r="A2" t="s">
        <v>10</v>
      </c>
      <c r="B2" t="s">
        <v>18</v>
      </c>
      <c r="C2" t="s">
        <v>19</v>
      </c>
      <c r="D2" t="s">
        <v>20</v>
      </c>
      <c r="E2" t="s">
        <v>11</v>
      </c>
      <c r="H2" t="s">
        <v>10</v>
      </c>
      <c r="I2" t="s">
        <v>11</v>
      </c>
      <c r="J2"/>
      <c r="L2" t="s">
        <v>10</v>
      </c>
      <c r="M2" t="s">
        <v>11</v>
      </c>
      <c r="N2"/>
      <c r="U2" t="s">
        <v>13</v>
      </c>
    </row>
    <row r="3" spans="1:23">
      <c r="A3">
        <v>2000</v>
      </c>
      <c r="B3">
        <v>0.56797200000000003</v>
      </c>
      <c r="C3">
        <v>0</v>
      </c>
      <c r="D3">
        <f t="shared" ref="D3:D9" si="0">B3*4*PI()/(0.0064886478302)</f>
        <v>1099.9744226153839</v>
      </c>
      <c r="E3">
        <f t="shared" ref="E3:E9" si="1">D3/(4000*PI())</f>
        <v>8.7533183316945942E-2</v>
      </c>
      <c r="F3" s="12">
        <v>9.3981999999999996E-2</v>
      </c>
      <c r="H3" s="1">
        <v>2000</v>
      </c>
      <c r="I3" s="3">
        <v>9.3032420000000005E-2</v>
      </c>
      <c r="J3" s="14">
        <v>9.3411949999999994E-2</v>
      </c>
      <c r="L3">
        <v>2000</v>
      </c>
      <c r="M3" s="2">
        <v>9.2403712368362895E-2</v>
      </c>
      <c r="N3" s="14">
        <v>9.2985440000000003E-2</v>
      </c>
      <c r="P3">
        <f>E3/I3</f>
        <v>0.94088902897447946</v>
      </c>
      <c r="Q3">
        <f>1-P3</f>
        <v>5.9110971025520542E-2</v>
      </c>
      <c r="R3">
        <f>M3/I3</f>
        <v>0.99324205871848636</v>
      </c>
      <c r="S3">
        <f>1-R3</f>
        <v>6.7579412815136353E-3</v>
      </c>
      <c r="U3">
        <f>F3/J3</f>
        <v>1.0061025382726729</v>
      </c>
      <c r="V3">
        <f>N3/J3</f>
        <v>0.99543409595881482</v>
      </c>
      <c r="W3">
        <f>1/V3</f>
        <v>1.0045868471451014</v>
      </c>
    </row>
    <row r="4" spans="1:23">
      <c r="A4">
        <v>2000.5</v>
      </c>
      <c r="B4">
        <v>0.58288399999999996</v>
      </c>
      <c r="C4">
        <v>0</v>
      </c>
      <c r="D4">
        <f t="shared" si="0"/>
        <v>1128.8540480019178</v>
      </c>
      <c r="E4">
        <f t="shared" si="1"/>
        <v>8.9831350884400474E-2</v>
      </c>
      <c r="F4" s="12">
        <v>9.5857999999999999E-2</v>
      </c>
      <c r="H4" s="1">
        <v>2000.5</v>
      </c>
      <c r="I4" s="3">
        <v>9.5072076000000005E-2</v>
      </c>
      <c r="J4" s="14">
        <v>9.5645359999999999E-2</v>
      </c>
      <c r="L4">
        <v>2000.5</v>
      </c>
      <c r="M4" s="2">
        <v>9.4533645018460399E-2</v>
      </c>
      <c r="N4" s="14">
        <v>9.518691E-2</v>
      </c>
      <c r="P4">
        <f t="shared" ref="P4:P9" si="2">E4/I4</f>
        <v>0.9448762945325867</v>
      </c>
      <c r="Q4">
        <f t="shared" ref="Q4:Q9" si="3">1-P4</f>
        <v>5.5123705467413298E-2</v>
      </c>
      <c r="R4">
        <f t="shared" ref="R4:R9" si="4">M4/I4</f>
        <v>0.99433660224754528</v>
      </c>
      <c r="S4">
        <f t="shared" ref="S4:S9" si="5">1-R4</f>
        <v>5.6633977524547241E-3</v>
      </c>
      <c r="U4">
        <f t="shared" ref="U4:U9" si="6">F4/J4</f>
        <v>1.0022232129190585</v>
      </c>
      <c r="V4">
        <f t="shared" ref="V4:V9" si="7">N4/J4</f>
        <v>0.99520677218424392</v>
      </c>
      <c r="W4">
        <f t="shared" ref="W4:W9" si="8">1/V4</f>
        <v>1.004816313503611</v>
      </c>
    </row>
    <row r="5" spans="1:23">
      <c r="A5">
        <v>2001</v>
      </c>
      <c r="B5">
        <v>0.58311000000000002</v>
      </c>
      <c r="C5">
        <v>0</v>
      </c>
      <c r="D5">
        <f t="shared" si="0"/>
        <v>1129.2917354574811</v>
      </c>
      <c r="E5">
        <f t="shared" si="1"/>
        <v>8.9866180945441576E-2</v>
      </c>
      <c r="F5" s="12">
        <v>9.5739000000000005E-2</v>
      </c>
      <c r="H5" s="1">
        <v>2001</v>
      </c>
      <c r="I5" s="3">
        <v>9.7137362000000005E-2</v>
      </c>
      <c r="J5" s="14">
        <v>9.759545E-2</v>
      </c>
      <c r="L5">
        <v>2001</v>
      </c>
      <c r="M5" s="2">
        <v>9.66201675444672E-2</v>
      </c>
      <c r="N5" s="14">
        <v>9.7343940000000004E-2</v>
      </c>
      <c r="P5">
        <f t="shared" si="2"/>
        <v>0.9251453724411578</v>
      </c>
      <c r="Q5">
        <f t="shared" si="3"/>
        <v>7.4854627558842202E-2</v>
      </c>
      <c r="R5">
        <f t="shared" si="4"/>
        <v>0.994675638241722</v>
      </c>
      <c r="S5">
        <f t="shared" si="5"/>
        <v>5.3243617582779956E-3</v>
      </c>
      <c r="U5">
        <f t="shared" si="6"/>
        <v>0.98097810912291505</v>
      </c>
      <c r="V5">
        <f t="shared" si="7"/>
        <v>0.99742293313878883</v>
      </c>
      <c r="W5">
        <f t="shared" si="8"/>
        <v>1.0025837252940448</v>
      </c>
    </row>
    <row r="6" spans="1:23">
      <c r="A6">
        <v>2001.5</v>
      </c>
      <c r="B6">
        <v>0.61715399999999998</v>
      </c>
      <c r="C6">
        <v>0</v>
      </c>
      <c r="D6">
        <f t="shared" si="0"/>
        <v>1195.2237342946034</v>
      </c>
      <c r="E6">
        <f t="shared" si="1"/>
        <v>9.5112882706870128E-2</v>
      </c>
      <c r="F6" s="12">
        <v>0.100989</v>
      </c>
      <c r="H6" s="1">
        <v>2001.5</v>
      </c>
      <c r="I6" s="3">
        <v>9.9083415999999994E-2</v>
      </c>
      <c r="J6" s="14">
        <v>9.9844370000000002E-2</v>
      </c>
      <c r="L6">
        <v>2001.5</v>
      </c>
      <c r="M6" s="2">
        <v>9.8658781809192103E-2</v>
      </c>
      <c r="N6" s="14">
        <v>9.9451999999999999E-2</v>
      </c>
      <c r="P6">
        <f t="shared" si="2"/>
        <v>0.95992736773296283</v>
      </c>
      <c r="Q6">
        <f t="shared" si="3"/>
        <v>4.0072632267037167E-2</v>
      </c>
      <c r="R6">
        <f t="shared" si="4"/>
        <v>0.99571437675495678</v>
      </c>
      <c r="S6">
        <f t="shared" si="5"/>
        <v>4.2856232450432241E-3</v>
      </c>
      <c r="U6">
        <f t="shared" si="6"/>
        <v>1.0114641416436398</v>
      </c>
      <c r="V6">
        <f t="shared" si="7"/>
        <v>0.99607018402740177</v>
      </c>
      <c r="W6">
        <f t="shared" si="8"/>
        <v>1.0039453203555484</v>
      </c>
    </row>
    <row r="7" spans="1:23">
      <c r="A7">
        <v>2002</v>
      </c>
      <c r="B7">
        <v>0.61820200000000003</v>
      </c>
      <c r="C7">
        <v>0</v>
      </c>
      <c r="D7">
        <f t="shared" si="0"/>
        <v>1197.2533646195157</v>
      </c>
      <c r="E7">
        <f t="shared" si="1"/>
        <v>9.5274395556299629E-2</v>
      </c>
      <c r="F7" s="12">
        <v>0.101442</v>
      </c>
      <c r="H7" s="1">
        <v>2002</v>
      </c>
      <c r="I7" s="3">
        <v>0.10101673999999999</v>
      </c>
      <c r="J7" s="14">
        <v>0.10191409999999999</v>
      </c>
      <c r="L7">
        <v>2002</v>
      </c>
      <c r="M7" s="2">
        <v>0.100644882702862</v>
      </c>
      <c r="N7" s="14">
        <v>0.10150634</v>
      </c>
      <c r="P7">
        <f t="shared" si="2"/>
        <v>0.94315452623297524</v>
      </c>
      <c r="Q7">
        <f t="shared" si="3"/>
        <v>5.6845473767024757E-2</v>
      </c>
      <c r="R7">
        <f t="shared" si="4"/>
        <v>0.99631885470528947</v>
      </c>
      <c r="S7">
        <f t="shared" si="5"/>
        <v>3.6811452947105305E-3</v>
      </c>
      <c r="U7">
        <f t="shared" si="6"/>
        <v>0.99536766747682615</v>
      </c>
      <c r="V7">
        <f t="shared" si="7"/>
        <v>0.99599898345763738</v>
      </c>
      <c r="W7">
        <f t="shared" si="8"/>
        <v>1.0040170889818312</v>
      </c>
    </row>
    <row r="8" spans="1:23">
      <c r="A8">
        <v>2002.5</v>
      </c>
      <c r="B8">
        <v>0.62065400000000004</v>
      </c>
      <c r="C8">
        <v>0</v>
      </c>
      <c r="D8">
        <f t="shared" si="0"/>
        <v>1202.0020798453593</v>
      </c>
      <c r="E8">
        <f t="shared" si="1"/>
        <v>9.5652286307064002E-2</v>
      </c>
      <c r="F8" s="12">
        <v>0.102394</v>
      </c>
      <c r="H8" s="1">
        <v>2002.5</v>
      </c>
      <c r="I8" s="3">
        <v>0.10289668</v>
      </c>
      <c r="J8" s="14">
        <v>0.10394166000000001</v>
      </c>
      <c r="L8">
        <v>2002.5</v>
      </c>
      <c r="M8" s="2">
        <v>0.102573991183969</v>
      </c>
      <c r="N8" s="14">
        <v>0.10350226999999999</v>
      </c>
      <c r="P8">
        <f t="shared" si="2"/>
        <v>0.92959545737592308</v>
      </c>
      <c r="Q8">
        <f t="shared" si="3"/>
        <v>7.0404542624076916E-2</v>
      </c>
      <c r="R8">
        <f t="shared" si="4"/>
        <v>0.9968639530835105</v>
      </c>
      <c r="S8">
        <f t="shared" si="5"/>
        <v>3.1360469164894988E-3</v>
      </c>
      <c r="U8">
        <f t="shared" si="6"/>
        <v>0.98511030129786259</v>
      </c>
      <c r="V8">
        <f t="shared" si="7"/>
        <v>0.99577272481505474</v>
      </c>
      <c r="W8">
        <f t="shared" si="8"/>
        <v>1.0042452209019186</v>
      </c>
    </row>
    <row r="9" spans="1:23">
      <c r="A9">
        <v>2003</v>
      </c>
      <c r="B9">
        <v>0.65365099999999998</v>
      </c>
      <c r="C9">
        <v>0</v>
      </c>
      <c r="D9">
        <f t="shared" si="0"/>
        <v>1265.9063850277271</v>
      </c>
      <c r="E9">
        <f t="shared" si="1"/>
        <v>0.10073762933437744</v>
      </c>
      <c r="F9" s="12">
        <v>0.106406</v>
      </c>
      <c r="H9" s="1">
        <v>2003</v>
      </c>
      <c r="I9" s="3">
        <v>0.10483894000000001</v>
      </c>
      <c r="J9" s="14">
        <v>0.1061097</v>
      </c>
      <c r="L9">
        <v>2003</v>
      </c>
      <c r="M9" s="2">
        <v>0.10444190807987</v>
      </c>
      <c r="N9" s="14">
        <v>0.1054354</v>
      </c>
      <c r="P9">
        <f t="shared" si="2"/>
        <v>0.9608798919025453</v>
      </c>
      <c r="Q9">
        <f t="shared" si="3"/>
        <v>3.9120108097454698E-2</v>
      </c>
      <c r="R9">
        <f t="shared" si="4"/>
        <v>0.99621293462018978</v>
      </c>
      <c r="S9">
        <f t="shared" si="5"/>
        <v>3.7870653798102172E-3</v>
      </c>
      <c r="U9">
        <f t="shared" si="6"/>
        <v>1.0027923931553855</v>
      </c>
      <c r="V9">
        <f t="shared" si="7"/>
        <v>0.99364525580601959</v>
      </c>
      <c r="W9">
        <f t="shared" si="8"/>
        <v>1.0063953852311462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3A55-0585-4CE7-8801-50819D5799AF}">
  <dimension ref="A1:AA9"/>
  <sheetViews>
    <sheetView zoomScale="75" zoomScaleNormal="75" workbookViewId="0">
      <selection activeCell="M46" sqref="M46"/>
    </sheetView>
  </sheetViews>
  <sheetFormatPr defaultRowHeight="15.75"/>
  <cols>
    <col min="1" max="1" width="16.125" customWidth="1"/>
    <col min="5" max="6" width="17.875" customWidth="1"/>
    <col min="7" max="7" width="7.5" style="8" customWidth="1"/>
    <col min="8" max="8" width="16.5" style="1" customWidth="1"/>
    <col min="9" max="9" width="17.625" style="3" customWidth="1"/>
    <col min="10" max="10" width="7.5" style="8" customWidth="1"/>
    <col min="11" max="11" width="16.875" customWidth="1"/>
    <col min="12" max="12" width="19.125" style="2" customWidth="1"/>
    <col min="13" max="13" width="7.625" style="13" customWidth="1"/>
    <col min="14" max="14" width="11.5" customWidth="1"/>
    <col min="16" max="16" width="12.5" customWidth="1"/>
    <col min="18" max="18" width="6.125" style="8" customWidth="1"/>
    <col min="19" max="19" width="17.625" customWidth="1"/>
    <col min="27" max="27" width="14.5" style="3" bestFit="1" customWidth="1"/>
  </cols>
  <sheetData>
    <row r="1" spans="1:27">
      <c r="B1" t="s">
        <v>0</v>
      </c>
      <c r="I1" s="3" t="s">
        <v>1</v>
      </c>
      <c r="L1" s="2" t="s">
        <v>3</v>
      </c>
      <c r="N1" t="s">
        <v>6</v>
      </c>
      <c r="O1" t="s">
        <v>7</v>
      </c>
      <c r="P1" t="s">
        <v>8</v>
      </c>
      <c r="Q1" t="s">
        <v>7</v>
      </c>
      <c r="S1" t="s">
        <v>6</v>
      </c>
      <c r="AA1" s="3" t="s">
        <v>21</v>
      </c>
    </row>
    <row r="2" spans="1:27">
      <c r="A2" t="s">
        <v>10</v>
      </c>
      <c r="B2" t="s">
        <v>18</v>
      </c>
      <c r="C2" t="s">
        <v>19</v>
      </c>
      <c r="D2" t="s">
        <v>20</v>
      </c>
      <c r="E2" t="s">
        <v>11</v>
      </c>
      <c r="F2" t="s">
        <v>12</v>
      </c>
      <c r="H2" t="s">
        <v>10</v>
      </c>
      <c r="I2" t="s">
        <v>11</v>
      </c>
      <c r="K2" t="s">
        <v>10</v>
      </c>
      <c r="L2" s="2" t="s">
        <v>11</v>
      </c>
      <c r="S2" t="s">
        <v>12</v>
      </c>
    </row>
    <row r="3" spans="1:27">
      <c r="A3">
        <v>2000</v>
      </c>
      <c r="B3">
        <v>0.54924799999999996</v>
      </c>
      <c r="C3">
        <v>0</v>
      </c>
      <c r="D3">
        <f t="shared" ref="D3:D9" si="0">B3*4*PI()/(0.0064886478302)</f>
        <v>1063.7122105889978</v>
      </c>
      <c r="E3">
        <v>9.2248999999999998E-2</v>
      </c>
      <c r="F3" s="12">
        <v>9.2148999999999995E-2</v>
      </c>
      <c r="H3" s="1">
        <v>2000</v>
      </c>
      <c r="I3" s="3">
        <v>9.3019821000000003E-2</v>
      </c>
      <c r="K3">
        <v>2000</v>
      </c>
      <c r="L3" s="2">
        <v>9.2390637037240694E-2</v>
      </c>
      <c r="N3">
        <f>E3/I3</f>
        <v>0.99171336827233836</v>
      </c>
      <c r="O3">
        <f>1-N3</f>
        <v>8.2866317276616419E-3</v>
      </c>
      <c r="P3">
        <f>L3/I3</f>
        <v>0.99323602264554656</v>
      </c>
      <c r="Q3">
        <f>1-P3</f>
        <v>6.7639773544534432E-3</v>
      </c>
      <c r="S3">
        <f>F3/I3</f>
        <v>0.99063832857730394</v>
      </c>
      <c r="Y3">
        <v>1</v>
      </c>
    </row>
    <row r="4" spans="1:27">
      <c r="A4">
        <v>2000.5</v>
      </c>
      <c r="B4">
        <v>0.58621999999999996</v>
      </c>
      <c r="C4">
        <v>0</v>
      </c>
      <c r="D4">
        <f t="shared" si="0"/>
        <v>1135.3147796468668</v>
      </c>
      <c r="E4">
        <v>9.6073000000000006E-2</v>
      </c>
      <c r="F4" s="12">
        <v>9.5866999999999994E-2</v>
      </c>
      <c r="H4" s="1">
        <v>2000.5</v>
      </c>
      <c r="I4" s="3">
        <v>9.5041573000000004E-2</v>
      </c>
      <c r="K4">
        <v>2000.5</v>
      </c>
      <c r="L4" s="2">
        <v>9.4518649465258106E-2</v>
      </c>
      <c r="N4">
        <f t="shared" ref="N4:N9" si="1">E4/I4</f>
        <v>1.0108523772012907</v>
      </c>
      <c r="O4">
        <f t="shared" ref="O4:O9" si="2">1-N4</f>
        <v>-1.085237720129073E-2</v>
      </c>
      <c r="P4">
        <f t="shared" ref="P4:P9" si="3">L4/I4</f>
        <v>0.99449794949477632</v>
      </c>
      <c r="Q4">
        <f t="shared" ref="Q4:Q9" si="4">1-P4</f>
        <v>5.5020505052236768E-3</v>
      </c>
      <c r="S4">
        <f t="shared" ref="S4:S9" si="5">F4/I4</f>
        <v>1.0086849046574595</v>
      </c>
      <c r="Y4">
        <v>1</v>
      </c>
    </row>
    <row r="5" spans="1:27">
      <c r="A5">
        <v>2001</v>
      </c>
      <c r="B5">
        <v>0.58409100000000003</v>
      </c>
      <c r="C5">
        <v>0</v>
      </c>
      <c r="D5">
        <f t="shared" si="0"/>
        <v>1131.19160888185</v>
      </c>
      <c r="E5">
        <v>9.5781000000000005E-2</v>
      </c>
      <c r="F5" s="12">
        <v>9.5022999999999996E-2</v>
      </c>
      <c r="H5" s="1">
        <v>2001</v>
      </c>
      <c r="I5" s="3">
        <v>9.7103811999999998E-2</v>
      </c>
      <c r="K5">
        <v>2001</v>
      </c>
      <c r="L5" s="2">
        <v>9.66032803812443E-2</v>
      </c>
      <c r="N5">
        <f t="shared" si="1"/>
        <v>0.98637734222009743</v>
      </c>
      <c r="O5">
        <f t="shared" si="2"/>
        <v>1.3622657779902569E-2</v>
      </c>
      <c r="P5">
        <f t="shared" si="3"/>
        <v>0.99484539681350825</v>
      </c>
      <c r="Q5">
        <f t="shared" si="4"/>
        <v>5.1546031864917463E-3</v>
      </c>
      <c r="S5">
        <f t="shared" si="5"/>
        <v>0.97857126350508261</v>
      </c>
      <c r="Y5">
        <v>1</v>
      </c>
    </row>
    <row r="6" spans="1:27">
      <c r="A6">
        <v>2001.5</v>
      </c>
      <c r="B6">
        <v>0.61823899999999998</v>
      </c>
      <c r="C6">
        <v>0</v>
      </c>
      <c r="D6">
        <f t="shared" si="0"/>
        <v>1197.3250214153377</v>
      </c>
      <c r="E6">
        <v>0.10187400000000001</v>
      </c>
      <c r="F6" s="12">
        <v>0.101606</v>
      </c>
      <c r="H6" s="1">
        <v>2001.5</v>
      </c>
      <c r="I6" s="3">
        <v>9.9045812999999996E-2</v>
      </c>
      <c r="K6">
        <v>2001.5</v>
      </c>
      <c r="L6" s="2">
        <v>9.8640034911431196E-2</v>
      </c>
      <c r="N6">
        <f t="shared" si="1"/>
        <v>1.0285543317212209</v>
      </c>
      <c r="O6">
        <f t="shared" si="2"/>
        <v>-2.8554331721220905E-2</v>
      </c>
      <c r="P6">
        <f t="shared" si="3"/>
        <v>0.99590312728748265</v>
      </c>
      <c r="Q6">
        <f t="shared" si="4"/>
        <v>4.0968727125173521E-3</v>
      </c>
      <c r="S6">
        <f t="shared" si="5"/>
        <v>1.0258485131521915</v>
      </c>
      <c r="Y6">
        <v>1</v>
      </c>
    </row>
    <row r="7" spans="1:27">
      <c r="A7">
        <v>2002</v>
      </c>
      <c r="B7">
        <v>0.62658700000000001</v>
      </c>
      <c r="C7">
        <v>0</v>
      </c>
      <c r="D7">
        <f t="shared" si="0"/>
        <v>1213.4923438889689</v>
      </c>
      <c r="E7">
        <v>0.101869</v>
      </c>
      <c r="F7" s="12">
        <v>0.10169599999999999</v>
      </c>
      <c r="H7" s="1">
        <v>2002</v>
      </c>
      <c r="I7" s="3">
        <v>0.10097966</v>
      </c>
      <c r="K7">
        <v>2002</v>
      </c>
      <c r="L7" s="2">
        <v>0.10062448752703899</v>
      </c>
      <c r="N7">
        <f t="shared" si="1"/>
        <v>1.0088071201665763</v>
      </c>
      <c r="O7">
        <f t="shared" si="2"/>
        <v>-8.8071201665762544E-3</v>
      </c>
      <c r="P7">
        <f t="shared" si="3"/>
        <v>0.99648273253285857</v>
      </c>
      <c r="Q7">
        <f t="shared" si="4"/>
        <v>3.5172674671414272E-3</v>
      </c>
      <c r="S7">
        <f t="shared" si="5"/>
        <v>1.0070939038614311</v>
      </c>
      <c r="Y7">
        <v>1</v>
      </c>
    </row>
    <row r="8" spans="1:27">
      <c r="A8">
        <v>2002.5</v>
      </c>
      <c r="B8">
        <v>0.62072700000000003</v>
      </c>
      <c r="C8">
        <v>0</v>
      </c>
      <c r="D8">
        <f t="shared" si="0"/>
        <v>1202.1434567668464</v>
      </c>
      <c r="E8">
        <v>0.10244</v>
      </c>
      <c r="F8" s="12">
        <v>0.101854</v>
      </c>
      <c r="H8" s="1">
        <v>2002.5</v>
      </c>
      <c r="I8" s="3">
        <v>0.10286385000000001</v>
      </c>
      <c r="K8">
        <v>2002.5</v>
      </c>
      <c r="L8" s="2">
        <v>0.102552024392673</v>
      </c>
      <c r="N8">
        <f t="shared" si="1"/>
        <v>0.99587950480173548</v>
      </c>
      <c r="O8">
        <f t="shared" si="2"/>
        <v>4.1204951982645177E-3</v>
      </c>
      <c r="P8">
        <f t="shared" si="3"/>
        <v>0.99696855982614874</v>
      </c>
      <c r="Q8">
        <f t="shared" si="4"/>
        <v>3.0314401738512631E-3</v>
      </c>
      <c r="S8">
        <f t="shared" si="5"/>
        <v>0.99018265406165518</v>
      </c>
      <c r="Y8">
        <v>1</v>
      </c>
    </row>
    <row r="9" spans="1:27">
      <c r="A9">
        <v>2003</v>
      </c>
      <c r="B9">
        <v>0.65940399999999999</v>
      </c>
      <c r="C9">
        <v>0</v>
      </c>
      <c r="D9">
        <f t="shared" si="0"/>
        <v>1277.048048443012</v>
      </c>
      <c r="E9">
        <v>0.108435</v>
      </c>
      <c r="F9" s="12">
        <v>0.10809100000000001</v>
      </c>
      <c r="H9" s="1">
        <v>2003</v>
      </c>
      <c r="I9" s="3">
        <v>0.10482555</v>
      </c>
      <c r="K9">
        <v>2003</v>
      </c>
      <c r="L9" s="2">
        <v>0.104418287736135</v>
      </c>
      <c r="N9">
        <f t="shared" si="1"/>
        <v>1.0344329221263326</v>
      </c>
      <c r="O9">
        <f t="shared" si="2"/>
        <v>-3.4432922126332643E-2</v>
      </c>
      <c r="P9">
        <f t="shared" si="3"/>
        <v>0.99611485688493884</v>
      </c>
      <c r="Q9">
        <f t="shared" si="4"/>
        <v>3.8851431150611626E-3</v>
      </c>
      <c r="S9">
        <f t="shared" si="5"/>
        <v>1.031151279435214</v>
      </c>
      <c r="Y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ERYA-Profiling</dc:creator>
  <cp:keywords/>
  <dc:description/>
  <cp:lastModifiedBy>Nuno Pessoa Barradas</cp:lastModifiedBy>
  <cp:revision>5</cp:revision>
  <dcterms:created xsi:type="dcterms:W3CDTF">2023-12-07T16:54:54Z</dcterms:created>
  <dcterms:modified xsi:type="dcterms:W3CDTF">2025-09-17T09:27:39Z</dcterms:modified>
  <cp:category/>
  <cp:contentStatus/>
</cp:coreProperties>
</file>