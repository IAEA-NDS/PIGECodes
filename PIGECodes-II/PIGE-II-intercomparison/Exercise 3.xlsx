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eacloud-my.sharepoint.com/personal/p_dimitriou_iaea_org/Documents/Desktop/PIGE_codes-II/Exercises/Results/PIGEcodes-II-round2/"/>
    </mc:Choice>
  </mc:AlternateContent>
  <xr:revisionPtr revIDLastSave="684" documentId="8_{7D7B7715-44B5-4124-B1D7-C1D32DFD444C}" xr6:coauthVersionLast="47" xr6:coauthVersionMax="47" xr10:uidLastSave="{2399ED80-A055-4E39-9C16-4B22760C9EB5}"/>
  <bookViews>
    <workbookView xWindow="-120" yWindow="-120" windowWidth="29040" windowHeight="17520" activeTab="3" xr2:uid="{D52B9A8D-E4D8-4D04-A2B3-E6FEACFFDF1D}"/>
  </bookViews>
  <sheets>
    <sheet name="Ex 3 full 0" sheetId="1" r:id="rId1"/>
    <sheet name="Ex 3 full 1" sheetId="2" r:id="rId2"/>
    <sheet name="Ex 3 Gauss 0" sheetId="3" r:id="rId3"/>
    <sheet name="Ex 3 Gauss 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D3" i="3" s="1"/>
  <c r="C4" i="3"/>
  <c r="D4" i="3" s="1"/>
  <c r="C5" i="3"/>
  <c r="D5" i="3" s="1"/>
  <c r="C6" i="3"/>
  <c r="D6" i="3" s="1"/>
  <c r="C7" i="3"/>
  <c r="D7" i="3" s="1"/>
  <c r="C8" i="3"/>
  <c r="D8" i="3" s="1"/>
  <c r="C9" i="3"/>
  <c r="D9" i="3" s="1"/>
  <c r="C10" i="3"/>
  <c r="D10" i="3" s="1"/>
  <c r="C11" i="3"/>
  <c r="D11" i="3" s="1"/>
  <c r="C12" i="3"/>
  <c r="D12" i="3" s="1"/>
  <c r="C13" i="3"/>
  <c r="D13" i="3" s="1"/>
  <c r="C14" i="3"/>
  <c r="D14" i="3" s="1"/>
  <c r="C15" i="3"/>
  <c r="D15" i="3" s="1"/>
  <c r="C16" i="3"/>
  <c r="D16" i="3" s="1"/>
  <c r="C17" i="3"/>
  <c r="D17" i="3" s="1"/>
  <c r="C18" i="3"/>
  <c r="D18" i="3" s="1"/>
  <c r="C19" i="3"/>
  <c r="D19" i="3" s="1"/>
  <c r="C20" i="3"/>
  <c r="D20" i="3" s="1"/>
  <c r="C21" i="3"/>
  <c r="D21" i="3" s="1"/>
  <c r="C22" i="3"/>
  <c r="D22" i="3" s="1"/>
  <c r="C23" i="3"/>
  <c r="D23" i="3" s="1"/>
  <c r="C24" i="3"/>
  <c r="D24" i="3" s="1"/>
  <c r="C25" i="3"/>
  <c r="D25" i="3" s="1"/>
  <c r="C26" i="3"/>
  <c r="D26" i="3" s="1"/>
  <c r="C27" i="3"/>
  <c r="D27" i="3" s="1"/>
  <c r="AC4" i="4" l="1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3" i="4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3" i="3"/>
  <c r="AB3" i="2"/>
  <c r="L6" i="3"/>
  <c r="L12" i="3"/>
  <c r="L14" i="3"/>
  <c r="D18" i="4"/>
  <c r="L18" i="4" s="1"/>
  <c r="N4" i="4"/>
  <c r="O4" i="4" s="1"/>
  <c r="N5" i="4"/>
  <c r="O5" i="4" s="1"/>
  <c r="N6" i="4"/>
  <c r="O6" i="4" s="1"/>
  <c r="N7" i="4"/>
  <c r="O7" i="4" s="1"/>
  <c r="N8" i="4"/>
  <c r="O8" i="4" s="1"/>
  <c r="N9" i="4"/>
  <c r="O9" i="4" s="1"/>
  <c r="N10" i="4"/>
  <c r="O10" i="4" s="1"/>
  <c r="N11" i="4"/>
  <c r="O11" i="4" s="1"/>
  <c r="N12" i="4"/>
  <c r="O12" i="4" s="1"/>
  <c r="N13" i="4"/>
  <c r="O13" i="4" s="1"/>
  <c r="N14" i="4"/>
  <c r="O14" i="4" s="1"/>
  <c r="N15" i="4"/>
  <c r="O15" i="4" s="1"/>
  <c r="N16" i="4"/>
  <c r="O16" i="4" s="1"/>
  <c r="N17" i="4"/>
  <c r="O17" i="4" s="1"/>
  <c r="N18" i="4"/>
  <c r="O18" i="4" s="1"/>
  <c r="N19" i="4"/>
  <c r="O19" i="4" s="1"/>
  <c r="N20" i="4"/>
  <c r="O20" i="4" s="1"/>
  <c r="N21" i="4"/>
  <c r="O21" i="4" s="1"/>
  <c r="N22" i="4"/>
  <c r="O22" i="4" s="1"/>
  <c r="N23" i="4"/>
  <c r="O23" i="4" s="1"/>
  <c r="N24" i="4"/>
  <c r="O24" i="4" s="1"/>
  <c r="N25" i="4"/>
  <c r="O25" i="4" s="1"/>
  <c r="N26" i="4"/>
  <c r="O26" i="4" s="1"/>
  <c r="N27" i="4"/>
  <c r="O27" i="4" s="1"/>
  <c r="N3" i="4"/>
  <c r="O3" i="4" s="1"/>
  <c r="C27" i="4"/>
  <c r="D27" i="4" s="1"/>
  <c r="L27" i="4" s="1"/>
  <c r="C26" i="4"/>
  <c r="D26" i="4" s="1"/>
  <c r="L26" i="4" s="1"/>
  <c r="C25" i="4"/>
  <c r="D25" i="4" s="1"/>
  <c r="L25" i="4" s="1"/>
  <c r="C24" i="4"/>
  <c r="D24" i="4" s="1"/>
  <c r="L24" i="4" s="1"/>
  <c r="C23" i="4"/>
  <c r="C22" i="4"/>
  <c r="D22" i="4" s="1"/>
  <c r="L22" i="4" s="1"/>
  <c r="C21" i="4"/>
  <c r="C20" i="4"/>
  <c r="D20" i="4" s="1"/>
  <c r="L20" i="4" s="1"/>
  <c r="C19" i="4"/>
  <c r="D19" i="4" s="1"/>
  <c r="L19" i="4" s="1"/>
  <c r="C18" i="4"/>
  <c r="C17" i="4"/>
  <c r="D17" i="4" s="1"/>
  <c r="L17" i="4" s="1"/>
  <c r="C16" i="4"/>
  <c r="D16" i="4" s="1"/>
  <c r="L16" i="4" s="1"/>
  <c r="C15" i="4"/>
  <c r="C14" i="4"/>
  <c r="D14" i="4" s="1"/>
  <c r="L14" i="4" s="1"/>
  <c r="C13" i="4"/>
  <c r="C12" i="4"/>
  <c r="D12" i="4" s="1"/>
  <c r="L12" i="4" s="1"/>
  <c r="C11" i="4"/>
  <c r="D11" i="4" s="1"/>
  <c r="L11" i="4" s="1"/>
  <c r="C10" i="4"/>
  <c r="D10" i="4" s="1"/>
  <c r="L10" i="4" s="1"/>
  <c r="C9" i="4"/>
  <c r="D9" i="4" s="1"/>
  <c r="L9" i="4" s="1"/>
  <c r="C8" i="4"/>
  <c r="D8" i="4" s="1"/>
  <c r="L8" i="4" s="1"/>
  <c r="C7" i="4"/>
  <c r="C6" i="4"/>
  <c r="D6" i="4" s="1"/>
  <c r="L6" i="4" s="1"/>
  <c r="C5" i="4"/>
  <c r="C4" i="4"/>
  <c r="D4" i="4" s="1"/>
  <c r="L4" i="4" s="1"/>
  <c r="C3" i="4"/>
  <c r="D3" i="4" s="1"/>
  <c r="L3" i="4" s="1"/>
  <c r="N4" i="3"/>
  <c r="O4" i="3" s="1"/>
  <c r="N5" i="3"/>
  <c r="O5" i="3" s="1"/>
  <c r="N6" i="3"/>
  <c r="O6" i="3" s="1"/>
  <c r="N7" i="3"/>
  <c r="O7" i="3" s="1"/>
  <c r="N8" i="3"/>
  <c r="O8" i="3" s="1"/>
  <c r="N9" i="3"/>
  <c r="O9" i="3" s="1"/>
  <c r="N10" i="3"/>
  <c r="O10" i="3" s="1"/>
  <c r="N11" i="3"/>
  <c r="O11" i="3" s="1"/>
  <c r="N12" i="3"/>
  <c r="O12" i="3" s="1"/>
  <c r="N13" i="3"/>
  <c r="O13" i="3" s="1"/>
  <c r="N14" i="3"/>
  <c r="O14" i="3" s="1"/>
  <c r="N15" i="3"/>
  <c r="O15" i="3" s="1"/>
  <c r="N16" i="3"/>
  <c r="O16" i="3" s="1"/>
  <c r="N17" i="3"/>
  <c r="O17" i="3" s="1"/>
  <c r="N18" i="3"/>
  <c r="N19" i="3"/>
  <c r="O19" i="3" s="1"/>
  <c r="N20" i="3"/>
  <c r="N21" i="3"/>
  <c r="O21" i="3" s="1"/>
  <c r="N22" i="3"/>
  <c r="O22" i="3" s="1"/>
  <c r="N23" i="3"/>
  <c r="O23" i="3" s="1"/>
  <c r="N24" i="3"/>
  <c r="O24" i="3" s="1"/>
  <c r="N25" i="3"/>
  <c r="N26" i="3"/>
  <c r="O26" i="3" s="1"/>
  <c r="N27" i="3"/>
  <c r="O27" i="3" s="1"/>
  <c r="N3" i="3"/>
  <c r="O3" i="3" s="1"/>
  <c r="L27" i="3"/>
  <c r="M27" i="3" s="1"/>
  <c r="L26" i="3"/>
  <c r="L25" i="3"/>
  <c r="L24" i="3"/>
  <c r="L23" i="3"/>
  <c r="L22" i="3"/>
  <c r="L20" i="3"/>
  <c r="L19" i="3"/>
  <c r="M19" i="3" s="1"/>
  <c r="L18" i="3"/>
  <c r="L17" i="3"/>
  <c r="L16" i="3"/>
  <c r="L15" i="3"/>
  <c r="M15" i="3" s="1"/>
  <c r="L13" i="3"/>
  <c r="L11" i="3"/>
  <c r="L10" i="3"/>
  <c r="L9" i="3"/>
  <c r="L8" i="3"/>
  <c r="L7" i="3"/>
  <c r="L5" i="3"/>
  <c r="L4" i="3"/>
  <c r="L3" i="3"/>
  <c r="N4" i="2"/>
  <c r="O4" i="2" s="1"/>
  <c r="N5" i="2"/>
  <c r="O5" i="2" s="1"/>
  <c r="N6" i="2"/>
  <c r="O6" i="2" s="1"/>
  <c r="N7" i="2"/>
  <c r="O7" i="2" s="1"/>
  <c r="N8" i="2"/>
  <c r="O8" i="2" s="1"/>
  <c r="N9" i="2"/>
  <c r="O9" i="2" s="1"/>
  <c r="N10" i="2"/>
  <c r="O10" i="2" s="1"/>
  <c r="N11" i="2"/>
  <c r="O11" i="2" s="1"/>
  <c r="N12" i="2"/>
  <c r="O12" i="2" s="1"/>
  <c r="N13" i="2"/>
  <c r="O13" i="2" s="1"/>
  <c r="N14" i="2"/>
  <c r="O14" i="2" s="1"/>
  <c r="N15" i="2"/>
  <c r="O15" i="2" s="1"/>
  <c r="N16" i="2"/>
  <c r="O16" i="2" s="1"/>
  <c r="N17" i="2"/>
  <c r="O17" i="2" s="1"/>
  <c r="N18" i="2"/>
  <c r="O18" i="2" s="1"/>
  <c r="N19" i="2"/>
  <c r="O19" i="2" s="1"/>
  <c r="N20" i="2"/>
  <c r="O20" i="2" s="1"/>
  <c r="N21" i="2"/>
  <c r="O21" i="2" s="1"/>
  <c r="N22" i="2"/>
  <c r="O22" i="2" s="1"/>
  <c r="N23" i="2"/>
  <c r="O23" i="2" s="1"/>
  <c r="N24" i="2"/>
  <c r="O24" i="2" s="1"/>
  <c r="N25" i="2"/>
  <c r="O25" i="2" s="1"/>
  <c r="N26" i="2"/>
  <c r="O26" i="2" s="1"/>
  <c r="N27" i="2"/>
  <c r="O27" i="2" s="1"/>
  <c r="N3" i="2"/>
  <c r="O3" i="2" s="1"/>
  <c r="L27" i="2"/>
  <c r="M27" i="2" s="1"/>
  <c r="L26" i="2"/>
  <c r="M26" i="2" s="1"/>
  <c r="L25" i="2"/>
  <c r="M25" i="2" s="1"/>
  <c r="L24" i="2"/>
  <c r="M24" i="2" s="1"/>
  <c r="L23" i="2"/>
  <c r="M23" i="2" s="1"/>
  <c r="L22" i="2"/>
  <c r="M22" i="2" s="1"/>
  <c r="L21" i="2"/>
  <c r="M21" i="2" s="1"/>
  <c r="L20" i="2"/>
  <c r="M20" i="2" s="1"/>
  <c r="L19" i="2"/>
  <c r="M19" i="2" s="1"/>
  <c r="L18" i="2"/>
  <c r="M18" i="2" s="1"/>
  <c r="L17" i="2"/>
  <c r="M17" i="2" s="1"/>
  <c r="L16" i="2"/>
  <c r="M16" i="2" s="1"/>
  <c r="L15" i="2"/>
  <c r="M15" i="2" s="1"/>
  <c r="L14" i="2"/>
  <c r="M14" i="2" s="1"/>
  <c r="L13" i="2"/>
  <c r="M13" i="2" s="1"/>
  <c r="L12" i="2"/>
  <c r="M12" i="2" s="1"/>
  <c r="L11" i="2"/>
  <c r="M11" i="2" s="1"/>
  <c r="L10" i="2"/>
  <c r="M10" i="2" s="1"/>
  <c r="L9" i="2"/>
  <c r="M9" i="2" s="1"/>
  <c r="L8" i="2"/>
  <c r="M8" i="2" s="1"/>
  <c r="L7" i="2"/>
  <c r="M7" i="2" s="1"/>
  <c r="L6" i="2"/>
  <c r="M6" i="2" s="1"/>
  <c r="L5" i="2"/>
  <c r="M5" i="2" s="1"/>
  <c r="L4" i="2"/>
  <c r="M4" i="2" s="1"/>
  <c r="L3" i="2"/>
  <c r="M3" i="2" s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3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O18" i="3"/>
  <c r="O20" i="3"/>
  <c r="O25" i="3"/>
  <c r="M4" i="4" l="1"/>
  <c r="M12" i="4"/>
  <c r="M20" i="4"/>
  <c r="D23" i="4"/>
  <c r="L23" i="4" s="1"/>
  <c r="M23" i="4" s="1"/>
  <c r="D15" i="4"/>
  <c r="L15" i="4" s="1"/>
  <c r="M15" i="4" s="1"/>
  <c r="D7" i="4"/>
  <c r="L7" i="4" s="1"/>
  <c r="M7" i="4" s="1"/>
  <c r="D21" i="4"/>
  <c r="L21" i="4" s="1"/>
  <c r="M21" i="4" s="1"/>
  <c r="D13" i="4"/>
  <c r="L13" i="4" s="1"/>
  <c r="M13" i="4" s="1"/>
  <c r="D5" i="4"/>
  <c r="L5" i="4" s="1"/>
  <c r="M5" i="4" s="1"/>
  <c r="M6" i="3"/>
  <c r="M14" i="3"/>
  <c r="M22" i="3"/>
  <c r="M12" i="3"/>
  <c r="M8" i="3"/>
  <c r="M9" i="3"/>
  <c r="M17" i="3"/>
  <c r="M25" i="3"/>
  <c r="L21" i="3"/>
  <c r="M21" i="3" s="1"/>
  <c r="M16" i="3"/>
  <c r="M10" i="3"/>
  <c r="M18" i="3"/>
  <c r="M26" i="3"/>
  <c r="M8" i="4"/>
  <c r="M16" i="4"/>
  <c r="M24" i="4"/>
  <c r="M10" i="4"/>
  <c r="M18" i="4"/>
  <c r="M26" i="4"/>
  <c r="M3" i="4"/>
  <c r="M6" i="4"/>
  <c r="M14" i="4"/>
  <c r="M22" i="4"/>
  <c r="M9" i="4"/>
  <c r="M17" i="4"/>
  <c r="M25" i="4"/>
  <c r="M11" i="4"/>
  <c r="M19" i="4"/>
  <c r="M27" i="4"/>
  <c r="M4" i="3"/>
  <c r="M23" i="3"/>
  <c r="M5" i="3"/>
  <c r="M11" i="3"/>
  <c r="M24" i="3"/>
  <c r="M13" i="3"/>
  <c r="M7" i="3"/>
  <c r="M20" i="3"/>
  <c r="M3" i="3"/>
</calcChain>
</file>

<file path=xl/sharedStrings.xml><?xml version="1.0" encoding="utf-8"?>
<sst xmlns="http://schemas.openxmlformats.org/spreadsheetml/2006/main" count="60" uniqueCount="13">
  <si>
    <t>Energy (keV)</t>
  </si>
  <si>
    <t>27Al (844 keV)</t>
  </si>
  <si>
    <t>Renormalization</t>
  </si>
  <si>
    <t>ERYA</t>
  </si>
  <si>
    <t>NDF</t>
  </si>
  <si>
    <t>SMNRA</t>
  </si>
  <si>
    <t>REL</t>
  </si>
  <si>
    <t>Count/msr/uC</t>
  </si>
  <si>
    <t>ERYA/NDF</t>
  </si>
  <si>
    <t>SMNRA/NDF</t>
  </si>
  <si>
    <t>SMNRA-asym</t>
  </si>
  <si>
    <t>VAVILOV</t>
  </si>
  <si>
    <t>YANG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</si>
</sst>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"/>
    <numFmt numFmtId="165" formatCode="0.00000000"/>
    <numFmt numFmtId="166" formatCode="0.000000000"/>
    <numFmt numFmtId="167" formatCode="0.0000000000000"/>
    <numFmt numFmtId="168" formatCode="0.0000000000"/>
  </numFmts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1" fontId="0" fillId="0" borderId="0" xfId="0" applyNumberFormat="1"/>
    <xf numFmtId="168" fontId="0" fillId="0" borderId="0" xfId="0" applyNumberFormat="1"/>
    <xf numFmtId="0" fontId="1" fillId="0" borderId="0" xfId="1" applyAlignment="1">
      <alignment horizontal="center"/>
    </xf>
    <xf numFmtId="0" fontId="1" fillId="0" borderId="0" xfId="1"/>
  </cellXfs>
  <cellStyles count="2">
    <cellStyle name="Normal" xfId="0" builtinId="0"/>
    <cellStyle name="Normal 2" xfId="1" xr:uid="{E324EB11-2682-4C5B-B687-2D5C87C2DA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</a:t>
            </a:r>
            <a:r>
              <a:rPr lang="en-GB" sz="1800" baseline="0"/>
              <a:t> 3 Full straggling </a:t>
            </a:r>
            <a:r>
              <a:rPr lang="el-GR" sz="1800" baseline="0"/>
              <a:t>Δ</a:t>
            </a:r>
            <a:r>
              <a:rPr lang="en-GB" sz="1800" baseline="0"/>
              <a:t>E=0</a:t>
            </a:r>
            <a:endParaRPr lang="en-GB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3 full 0'!$A$3:$A$27</c:f>
              <c:numCache>
                <c:formatCode>General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full 0'!$B$3:$B$27</c:f>
              <c:numCache>
                <c:formatCode>General</c:formatCode>
                <c:ptCount val="25"/>
                <c:pt idx="0">
                  <c:v>9.7709510000000002</c:v>
                </c:pt>
                <c:pt idx="1">
                  <c:v>9.0721550000000004</c:v>
                </c:pt>
                <c:pt idx="2">
                  <c:v>8.3792190000000009</c:v>
                </c:pt>
                <c:pt idx="3">
                  <c:v>7.8105029999999998</c:v>
                </c:pt>
                <c:pt idx="4">
                  <c:v>7.4149200000000004</c:v>
                </c:pt>
                <c:pt idx="5">
                  <c:v>7.1583740000000002</c:v>
                </c:pt>
                <c:pt idx="6">
                  <c:v>7.0065720000000002</c:v>
                </c:pt>
                <c:pt idx="7">
                  <c:v>6.8671490000000004</c:v>
                </c:pt>
                <c:pt idx="8">
                  <c:v>6.6341099999999997</c:v>
                </c:pt>
                <c:pt idx="9">
                  <c:v>6.2457250000000002</c:v>
                </c:pt>
                <c:pt idx="10">
                  <c:v>5.6911829999999997</c:v>
                </c:pt>
                <c:pt idx="11">
                  <c:v>4.9508720000000004</c:v>
                </c:pt>
                <c:pt idx="12">
                  <c:v>4.1264510000000003</c:v>
                </c:pt>
                <c:pt idx="13">
                  <c:v>3.3964470000000002</c:v>
                </c:pt>
                <c:pt idx="14">
                  <c:v>2.872061</c:v>
                </c:pt>
                <c:pt idx="15">
                  <c:v>2.554627</c:v>
                </c:pt>
                <c:pt idx="16">
                  <c:v>2.3924729999999998</c:v>
                </c:pt>
                <c:pt idx="17">
                  <c:v>2.331661</c:v>
                </c:pt>
                <c:pt idx="18">
                  <c:v>2.355604</c:v>
                </c:pt>
                <c:pt idx="19">
                  <c:v>2.464925</c:v>
                </c:pt>
                <c:pt idx="20">
                  <c:v>2.7063410000000001</c:v>
                </c:pt>
                <c:pt idx="21">
                  <c:v>2.9541780000000002</c:v>
                </c:pt>
                <c:pt idx="22">
                  <c:v>3.1087790000000002</c:v>
                </c:pt>
                <c:pt idx="23">
                  <c:v>3.188739</c:v>
                </c:pt>
                <c:pt idx="24">
                  <c:v>3.2225630000000001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1-46D0-B586-E152BF8F77B6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3 full 0'!$E$3:$E$27</c:f>
              <c:numCache>
                <c:formatCode>0.00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full 0'!$F$3:$F$27</c:f>
              <c:numCache>
                <c:formatCode>0.0000000</c:formatCode>
                <c:ptCount val="25"/>
                <c:pt idx="0">
                  <c:v>9.7386006999999992</c:v>
                </c:pt>
                <c:pt idx="1">
                  <c:v>9.0975885000000005</c:v>
                </c:pt>
                <c:pt idx="2">
                  <c:v>8.4864826000000004</c:v>
                </c:pt>
                <c:pt idx="3">
                  <c:v>7.9635467999999996</c:v>
                </c:pt>
                <c:pt idx="4">
                  <c:v>7.5491419000000004</c:v>
                </c:pt>
                <c:pt idx="5">
                  <c:v>7.2402816000000003</c:v>
                </c:pt>
                <c:pt idx="6">
                  <c:v>7.0394635000000001</c:v>
                </c:pt>
                <c:pt idx="7">
                  <c:v>6.8600253999999996</c:v>
                </c:pt>
                <c:pt idx="8">
                  <c:v>6.5914593000000004</c:v>
                </c:pt>
                <c:pt idx="9">
                  <c:v>6.1714143999999997</c:v>
                </c:pt>
                <c:pt idx="10">
                  <c:v>5.5928725999999997</c:v>
                </c:pt>
                <c:pt idx="11">
                  <c:v>4.8460169000000004</c:v>
                </c:pt>
                <c:pt idx="12">
                  <c:v>4.0356592999999998</c:v>
                </c:pt>
                <c:pt idx="13">
                  <c:v>3.3322867999999999</c:v>
                </c:pt>
                <c:pt idx="14">
                  <c:v>2.8368220000000002</c:v>
                </c:pt>
                <c:pt idx="15">
                  <c:v>2.5455625</c:v>
                </c:pt>
                <c:pt idx="16">
                  <c:v>2.4044175000000001</c:v>
                </c:pt>
                <c:pt idx="17">
                  <c:v>2.3557693999999998</c:v>
                </c:pt>
                <c:pt idx="18">
                  <c:v>2.3804702999999998</c:v>
                </c:pt>
                <c:pt idx="19">
                  <c:v>2.4845052000000001</c:v>
                </c:pt>
                <c:pt idx="20">
                  <c:v>2.7174925999999999</c:v>
                </c:pt>
                <c:pt idx="21">
                  <c:v>2.9518445</c:v>
                </c:pt>
                <c:pt idx="22">
                  <c:v>3.0986612</c:v>
                </c:pt>
                <c:pt idx="23">
                  <c:v>3.1753464</c:v>
                </c:pt>
                <c:pt idx="24">
                  <c:v>3.2087142000000002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C1-46D0-B586-E152BF8F77B6}"/>
            </c:ext>
          </c:extLst>
        </c:ser>
        <c:ser>
          <c:idx val="2"/>
          <c:order val="2"/>
          <c:tx>
            <c:v>SIMNRA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3 full 0'!$E$3:$E$27</c:f>
              <c:numCache>
                <c:formatCode>0.00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full 0'!$J$3:$J$27</c:f>
              <c:numCache>
                <c:formatCode>0.000000000</c:formatCode>
                <c:ptCount val="25"/>
                <c:pt idx="0">
                  <c:v>9.7447606864628291</c:v>
                </c:pt>
                <c:pt idx="1">
                  <c:v>9.0942077014282798</c:v>
                </c:pt>
                <c:pt idx="2">
                  <c:v>8.4787824597951893</c:v>
                </c:pt>
                <c:pt idx="3">
                  <c:v>7.95698506491423</c:v>
                </c:pt>
                <c:pt idx="4">
                  <c:v>7.5454466186875102</c:v>
                </c:pt>
                <c:pt idx="5">
                  <c:v>7.2384542685397504</c:v>
                </c:pt>
                <c:pt idx="6">
                  <c:v>7.0396004808385504</c:v>
                </c:pt>
                <c:pt idx="7">
                  <c:v>6.8651676832230697</c:v>
                </c:pt>
                <c:pt idx="8">
                  <c:v>6.6065707612932698</c:v>
                </c:pt>
                <c:pt idx="9">
                  <c:v>6.1964393459022196</c:v>
                </c:pt>
                <c:pt idx="10">
                  <c:v>5.6162977193674299</c:v>
                </c:pt>
                <c:pt idx="11">
                  <c:v>4.8518631033669397</c:v>
                </c:pt>
                <c:pt idx="12">
                  <c:v>4.0231981345160603</c:v>
                </c:pt>
                <c:pt idx="13">
                  <c:v>3.3123827704307698</c:v>
                </c:pt>
                <c:pt idx="14">
                  <c:v>2.8191996870161899</c:v>
                </c:pt>
                <c:pt idx="15">
                  <c:v>2.5335162473588899</c:v>
                </c:pt>
                <c:pt idx="16">
                  <c:v>2.3973523319175398</c:v>
                </c:pt>
                <c:pt idx="17">
                  <c:v>2.3521241507075299</c:v>
                </c:pt>
                <c:pt idx="18">
                  <c:v>2.3789429711939598</c:v>
                </c:pt>
                <c:pt idx="19">
                  <c:v>2.48325820784981</c:v>
                </c:pt>
                <c:pt idx="20">
                  <c:v>2.7166491432387501</c:v>
                </c:pt>
                <c:pt idx="21">
                  <c:v>2.9534435989109999</c:v>
                </c:pt>
                <c:pt idx="22">
                  <c:v>3.1015290314483499</c:v>
                </c:pt>
                <c:pt idx="23">
                  <c:v>3.1787630034413499</c:v>
                </c:pt>
                <c:pt idx="24">
                  <c:v>3.2098248602880202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C1-46D0-B586-E152BF8F7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135328"/>
        <c:axId val="843131728"/>
      </c:scatterChart>
      <c:valAx>
        <c:axId val="84313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131728"/>
        <c:crossesAt val="1"/>
        <c:crossBetween val="midCat"/>
      </c:valAx>
      <c:valAx>
        <c:axId val="84313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layout>
            <c:manualLayout>
              <c:xMode val="edge"/>
              <c:yMode val="edge"/>
              <c:x val="3.6111111111111108E-2"/>
              <c:y val="0.345929571303587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135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3 full 0'!$A$3:$A$27</c:f>
              <c:numCache>
                <c:formatCode>General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full 0'!$M$3:$M$27</c:f>
              <c:numCache>
                <c:formatCode>General</c:formatCode>
                <c:ptCount val="25"/>
                <c:pt idx="0">
                  <c:v>1.0033218632734373</c:v>
                </c:pt>
                <c:pt idx="1">
                  <c:v>0.99720436904790755</c:v>
                </c:pt>
                <c:pt idx="2">
                  <c:v>0.98736065281038821</c:v>
                </c:pt>
                <c:pt idx="3">
                  <c:v>0.98078195509568677</c:v>
                </c:pt>
                <c:pt idx="4">
                  <c:v>0.98222024413132303</c:v>
                </c:pt>
                <c:pt idx="5">
                  <c:v>0.98868723559039473</c:v>
                </c:pt>
                <c:pt idx="6">
                  <c:v>0.99532755585706212</c:v>
                </c:pt>
                <c:pt idx="7">
                  <c:v>1.0010384218110913</c:v>
                </c:pt>
                <c:pt idx="8">
                  <c:v>1.0064706005239232</c:v>
                </c:pt>
                <c:pt idx="9">
                  <c:v>1.0120410970943712</c:v>
                </c:pt>
                <c:pt idx="10">
                  <c:v>1.0175778007172915</c:v>
                </c:pt>
                <c:pt idx="11">
                  <c:v>1.021637378111496</c:v>
                </c:pt>
                <c:pt idx="12">
                  <c:v>1.0224973649286997</c:v>
                </c:pt>
                <c:pt idx="13">
                  <c:v>1.0192541050188118</c:v>
                </c:pt>
                <c:pt idx="14">
                  <c:v>1.0124219989833694</c:v>
                </c:pt>
                <c:pt idx="15">
                  <c:v>1.0035609025510079</c:v>
                </c:pt>
                <c:pt idx="16">
                  <c:v>0.9950322687303681</c:v>
                </c:pt>
                <c:pt idx="17">
                  <c:v>0.98976623093924232</c:v>
                </c:pt>
                <c:pt idx="18">
                  <c:v>0.98955403896448535</c:v>
                </c:pt>
                <c:pt idx="19">
                  <c:v>0.99211907465518689</c:v>
                </c:pt>
                <c:pt idx="20">
                  <c:v>0.99589636417041216</c:v>
                </c:pt>
                <c:pt idx="21">
                  <c:v>1.0007905226715026</c:v>
                </c:pt>
                <c:pt idx="22">
                  <c:v>1.0032652166038676</c:v>
                </c:pt>
                <c:pt idx="23">
                  <c:v>1.0042176815732609</c:v>
                </c:pt>
                <c:pt idx="24">
                  <c:v>1.0043159967316504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20-401A-936E-0D071EA23457}"/>
            </c:ext>
          </c:extLst>
        </c:ser>
        <c:ser>
          <c:idx val="1"/>
          <c:order val="1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3 full 0'!$I$3:$I$27</c:f>
              <c:numCache>
                <c:formatCode>General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full 0'!$N$3:$N$27</c:f>
              <c:numCache>
                <c:formatCode>General</c:formatCode>
                <c:ptCount val="25"/>
                <c:pt idx="0">
                  <c:v>1.0006325330150183</c:v>
                </c:pt>
                <c:pt idx="1">
                  <c:v>0.99962838519551411</c:v>
                </c:pt>
                <c:pt idx="2">
                  <c:v>0.99909265822275872</c:v>
                </c:pt>
                <c:pt idx="3">
                  <c:v>0.99917602856483878</c:v>
                </c:pt>
                <c:pt idx="4">
                  <c:v>0.99951050313248313</c:v>
                </c:pt>
                <c:pt idx="5">
                  <c:v>0.99974761596838302</c:v>
                </c:pt>
                <c:pt idx="6">
                  <c:v>1.0000194589883946</c:v>
                </c:pt>
                <c:pt idx="7">
                  <c:v>1.0007496011928863</c:v>
                </c:pt>
                <c:pt idx="8">
                  <c:v>1.0022925820528497</c:v>
                </c:pt>
                <c:pt idx="9">
                  <c:v>1.0040549773974374</c:v>
                </c:pt>
                <c:pt idx="10">
                  <c:v>1.0041883878004714</c:v>
                </c:pt>
                <c:pt idx="11">
                  <c:v>1.0012063935160729</c:v>
                </c:pt>
                <c:pt idx="12">
                  <c:v>0.9969122355090928</c:v>
                </c:pt>
                <c:pt idx="13">
                  <c:v>0.99402691581972169</c:v>
                </c:pt>
                <c:pt idx="14">
                  <c:v>0.99378800891144725</c:v>
                </c:pt>
                <c:pt idx="15">
                  <c:v>0.99526774430362241</c:v>
                </c:pt>
                <c:pt idx="16">
                  <c:v>0.99706158847934678</c:v>
                </c:pt>
                <c:pt idx="17">
                  <c:v>0.99845262898292597</c:v>
                </c:pt>
                <c:pt idx="18">
                  <c:v>0.99935839199252352</c:v>
                </c:pt>
                <c:pt idx="19">
                  <c:v>0.99949809235650222</c:v>
                </c:pt>
                <c:pt idx="20">
                  <c:v>0.99968961948185253</c:v>
                </c:pt>
                <c:pt idx="21">
                  <c:v>1.0005417287092866</c:v>
                </c:pt>
                <c:pt idx="22">
                  <c:v>1.0009255066182614</c:v>
                </c:pt>
                <c:pt idx="23">
                  <c:v>1.0010759781803176</c:v>
                </c:pt>
                <c:pt idx="24">
                  <c:v>1.000346138739318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9E-46EA-919D-7C5F96E9CDCA}"/>
            </c:ext>
          </c:extLst>
        </c:ser>
        <c:ser>
          <c:idx val="2"/>
          <c:order val="2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'Ex 3 full 0'!$E$3:$E$27</c:f>
              <c:numCache>
                <c:formatCode>0.00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full 0'!$Z$3:$Z$27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BF-40E4-A40D-D52E20348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983376"/>
        <c:axId val="626981576"/>
      </c:scatterChart>
      <c:valAx>
        <c:axId val="626983376"/>
        <c:scaling>
          <c:orientation val="minMax"/>
          <c:max val="212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981576"/>
        <c:crossesAt val="0.1"/>
        <c:crossBetween val="midCat"/>
      </c:valAx>
      <c:valAx>
        <c:axId val="6269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over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983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 3 Full straggling </a:t>
            </a:r>
            <a:r>
              <a:rPr lang="el-GR" sz="1800"/>
              <a:t>Δ</a:t>
            </a:r>
            <a:r>
              <a:rPr lang="en-GB" sz="1800"/>
              <a:t>E=1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3 full 1'!$A$3:$A$27</c:f>
              <c:numCache>
                <c:formatCode>General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full 1'!$B$3:$B$27</c:f>
              <c:numCache>
                <c:formatCode>General</c:formatCode>
                <c:ptCount val="25"/>
                <c:pt idx="0">
                  <c:v>9.7542770000000001</c:v>
                </c:pt>
                <c:pt idx="1">
                  <c:v>9.1072780000000009</c:v>
                </c:pt>
                <c:pt idx="2">
                  <c:v>8.4826879999999996</c:v>
                </c:pt>
                <c:pt idx="3">
                  <c:v>7.9458130000000002</c:v>
                </c:pt>
                <c:pt idx="4">
                  <c:v>7.5210340000000002</c:v>
                </c:pt>
                <c:pt idx="5">
                  <c:v>7.207052</c:v>
                </c:pt>
                <c:pt idx="6">
                  <c:v>7.0072580000000002</c:v>
                </c:pt>
                <c:pt idx="7">
                  <c:v>6.838679</c:v>
                </c:pt>
                <c:pt idx="8">
                  <c:v>6.590643</c:v>
                </c:pt>
                <c:pt idx="9">
                  <c:v>6.1968670000000001</c:v>
                </c:pt>
                <c:pt idx="10">
                  <c:v>5.6435890000000004</c:v>
                </c:pt>
                <c:pt idx="11">
                  <c:v>4.9100590000000004</c:v>
                </c:pt>
                <c:pt idx="12">
                  <c:v>4.0950839999999999</c:v>
                </c:pt>
                <c:pt idx="13">
                  <c:v>3.3753899999999999</c:v>
                </c:pt>
                <c:pt idx="14">
                  <c:v>2.8612250000000001</c:v>
                </c:pt>
                <c:pt idx="15">
                  <c:v>2.554503</c:v>
                </c:pt>
                <c:pt idx="16">
                  <c:v>2.402847</c:v>
                </c:pt>
                <c:pt idx="17">
                  <c:v>2.3485619999999998</c:v>
                </c:pt>
                <c:pt idx="18">
                  <c:v>2.3712970000000002</c:v>
                </c:pt>
                <c:pt idx="19">
                  <c:v>2.4743140000000001</c:v>
                </c:pt>
                <c:pt idx="20">
                  <c:v>2.7073209999999999</c:v>
                </c:pt>
                <c:pt idx="21">
                  <c:v>2.9493960000000001</c:v>
                </c:pt>
                <c:pt idx="22">
                  <c:v>3.1001569999999998</c:v>
                </c:pt>
                <c:pt idx="23">
                  <c:v>3.1774300000000002</c:v>
                </c:pt>
                <c:pt idx="24">
                  <c:v>3.2113369999999999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4A-409A-9DC7-5FB9E2A358D0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3 full 1'!$E$3:$E$27</c:f>
              <c:numCache>
                <c:formatCode>0.00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full 1'!$F$3:$F$27</c:f>
              <c:numCache>
                <c:formatCode>0.00000000</c:formatCode>
                <c:ptCount val="25"/>
                <c:pt idx="0">
                  <c:v>9.7383384999999993</c:v>
                </c:pt>
                <c:pt idx="1">
                  <c:v>9.0976809999999997</c:v>
                </c:pt>
                <c:pt idx="2">
                  <c:v>8.4868135000000002</c:v>
                </c:pt>
                <c:pt idx="3">
                  <c:v>7.9639034000000004</c:v>
                </c:pt>
                <c:pt idx="4">
                  <c:v>7.5495143000000002</c:v>
                </c:pt>
                <c:pt idx="5">
                  <c:v>7.2407532000000003</c:v>
                </c:pt>
                <c:pt idx="6">
                  <c:v>7.0395383999999996</c:v>
                </c:pt>
                <c:pt idx="7">
                  <c:v>6.8597473999999998</c:v>
                </c:pt>
                <c:pt idx="8">
                  <c:v>6.5907011000000004</c:v>
                </c:pt>
                <c:pt idx="9">
                  <c:v>6.1708373999999999</c:v>
                </c:pt>
                <c:pt idx="10">
                  <c:v>5.5922159999999996</c:v>
                </c:pt>
                <c:pt idx="11">
                  <c:v>4.8457575000000004</c:v>
                </c:pt>
                <c:pt idx="12">
                  <c:v>4.0360541000000003</c:v>
                </c:pt>
                <c:pt idx="13">
                  <c:v>3.3331024999999999</c:v>
                </c:pt>
                <c:pt idx="14">
                  <c:v>2.8375463000000001</c:v>
                </c:pt>
                <c:pt idx="15">
                  <c:v>2.5461018000000002</c:v>
                </c:pt>
                <c:pt idx="16">
                  <c:v>2.4047326999999998</c:v>
                </c:pt>
                <c:pt idx="17">
                  <c:v>2.3560468999999999</c:v>
                </c:pt>
                <c:pt idx="18">
                  <c:v>2.3806419000000001</c:v>
                </c:pt>
                <c:pt idx="19">
                  <c:v>2.4849806000000001</c:v>
                </c:pt>
                <c:pt idx="20">
                  <c:v>2.7171121</c:v>
                </c:pt>
                <c:pt idx="21">
                  <c:v>2.9515278</c:v>
                </c:pt>
                <c:pt idx="22">
                  <c:v>3.0984324999999999</c:v>
                </c:pt>
                <c:pt idx="23">
                  <c:v>3.1750984</c:v>
                </c:pt>
                <c:pt idx="24">
                  <c:v>3.2088971000000002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4A-409A-9DC7-5FB9E2A358D0}"/>
            </c:ext>
          </c:extLst>
        </c:ser>
        <c:ser>
          <c:idx val="2"/>
          <c:order val="2"/>
          <c:tx>
            <c:v>SIMNRA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3 full 1'!$E$3:$E$27</c:f>
              <c:numCache>
                <c:formatCode>0.00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full 1'!$I$3:$I$27</c:f>
              <c:numCache>
                <c:formatCode>General</c:formatCode>
                <c:ptCount val="25"/>
                <c:pt idx="0">
                  <c:v>9.74437450096414</c:v>
                </c:pt>
                <c:pt idx="1">
                  <c:v>9.0941728291478707</c:v>
                </c:pt>
                <c:pt idx="2">
                  <c:v>8.4790855357310395</c:v>
                </c:pt>
                <c:pt idx="3">
                  <c:v>7.9572389941725596</c:v>
                </c:pt>
                <c:pt idx="4">
                  <c:v>7.54571001418328</c:v>
                </c:pt>
                <c:pt idx="5">
                  <c:v>7.2388158590943199</c:v>
                </c:pt>
                <c:pt idx="6">
                  <c:v>7.0396346486469001</c:v>
                </c:pt>
                <c:pt idx="7">
                  <c:v>6.8648779416643997</c:v>
                </c:pt>
                <c:pt idx="8">
                  <c:v>6.6059644665730701</c:v>
                </c:pt>
                <c:pt idx="9">
                  <c:v>6.1960570427117503</c:v>
                </c:pt>
                <c:pt idx="10">
                  <c:v>5.6157239085271504</c:v>
                </c:pt>
                <c:pt idx="11">
                  <c:v>4.8515386730752903</c:v>
                </c:pt>
                <c:pt idx="12">
                  <c:v>4.0235007720274698</c:v>
                </c:pt>
                <c:pt idx="13">
                  <c:v>3.3130439940674501</c:v>
                </c:pt>
                <c:pt idx="14">
                  <c:v>2.8197992202227899</c:v>
                </c:pt>
                <c:pt idx="15">
                  <c:v>2.5339470321103499</c:v>
                </c:pt>
                <c:pt idx="16">
                  <c:v>2.3976089692912801</c:v>
                </c:pt>
                <c:pt idx="17">
                  <c:v>2.3523822090652899</c:v>
                </c:pt>
                <c:pt idx="18">
                  <c:v>2.3791009746410801</c:v>
                </c:pt>
                <c:pt idx="19">
                  <c:v>2.4837402801402302</c:v>
                </c:pt>
                <c:pt idx="20">
                  <c:v>2.7165530584353199</c:v>
                </c:pt>
                <c:pt idx="21">
                  <c:v>2.95300375873475</c:v>
                </c:pt>
                <c:pt idx="22">
                  <c:v>3.10133320223526</c:v>
                </c:pt>
                <c:pt idx="23">
                  <c:v>3.1785216738476798</c:v>
                </c:pt>
                <c:pt idx="24">
                  <c:v>3.2100399993684099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4A-409A-9DC7-5FB9E2A35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044648"/>
        <c:axId val="976045008"/>
      </c:scatterChart>
      <c:valAx>
        <c:axId val="976044648"/>
        <c:scaling>
          <c:orientation val="minMax"/>
          <c:max val="2130"/>
          <c:min val="19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layout>
            <c:manualLayout>
              <c:xMode val="edge"/>
              <c:yMode val="edge"/>
              <c:x val="0.42204973032076221"/>
              <c:y val="0.844870179435517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045008"/>
        <c:crossesAt val="1"/>
        <c:crossBetween val="midCat"/>
      </c:valAx>
      <c:valAx>
        <c:axId val="976045008"/>
        <c:scaling>
          <c:orientation val="minMax"/>
          <c:max val="10.1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044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3 full 1'!$A$3:$A$27</c:f>
              <c:numCache>
                <c:formatCode>General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full 1'!$L$3:$L$27</c:f>
              <c:numCache>
                <c:formatCode>General</c:formatCode>
                <c:ptCount val="25"/>
                <c:pt idx="0">
                  <c:v>1.001636675496544</c:v>
                </c:pt>
                <c:pt idx="1">
                  <c:v>1.0010548842062061</c:v>
                </c:pt>
                <c:pt idx="2">
                  <c:v>0.99951389293519877</c:v>
                </c:pt>
                <c:pt idx="3">
                  <c:v>0.99772845059873527</c:v>
                </c:pt>
                <c:pt idx="4">
                  <c:v>0.99622753214733295</c:v>
                </c:pt>
                <c:pt idx="5">
                  <c:v>0.99534562233111323</c:v>
                </c:pt>
                <c:pt idx="6">
                  <c:v>0.99541441524063579</c:v>
                </c:pt>
                <c:pt idx="7">
                  <c:v>0.99692869157252062</c:v>
                </c:pt>
                <c:pt idx="8">
                  <c:v>0.99999118454939484</c:v>
                </c:pt>
                <c:pt idx="9">
                  <c:v>1.0042181633241545</c:v>
                </c:pt>
                <c:pt idx="10">
                  <c:v>1.0091865192617739</c:v>
                </c:pt>
                <c:pt idx="11">
                  <c:v>1.0132696487597657</c:v>
                </c:pt>
                <c:pt idx="12">
                  <c:v>1.0146256463707957</c:v>
                </c:pt>
                <c:pt idx="13">
                  <c:v>1.0126871285836545</c:v>
                </c:pt>
                <c:pt idx="14">
                  <c:v>1.0083447801362748</c:v>
                </c:pt>
                <c:pt idx="15">
                  <c:v>1.0032996324027577</c:v>
                </c:pt>
                <c:pt idx="16">
                  <c:v>0.99921583800145442</c:v>
                </c:pt>
                <c:pt idx="17">
                  <c:v>0.99682311077933117</c:v>
                </c:pt>
                <c:pt idx="18">
                  <c:v>0.9960746301239175</c:v>
                </c:pt>
                <c:pt idx="19">
                  <c:v>0.99570757212350069</c:v>
                </c:pt>
                <c:pt idx="20">
                  <c:v>0.99639650495097343</c:v>
                </c:pt>
                <c:pt idx="21">
                  <c:v>0.99927772999461506</c:v>
                </c:pt>
                <c:pt idx="22">
                  <c:v>1.000556571750393</c:v>
                </c:pt>
                <c:pt idx="23">
                  <c:v>1.0007343394459838</c:v>
                </c:pt>
                <c:pt idx="24">
                  <c:v>1.000760354702555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2AB-4C11-910F-CDB2FE9FE19A}"/>
            </c:ext>
          </c:extLst>
        </c:ser>
        <c:ser>
          <c:idx val="1"/>
          <c:order val="1"/>
          <c:tx>
            <c:v>SIMNRA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3 full 1'!$H$3:$H$27</c:f>
              <c:numCache>
                <c:formatCode>General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full 1'!$N$3:$N$27</c:f>
              <c:numCache>
                <c:formatCode>General</c:formatCode>
                <c:ptCount val="25"/>
                <c:pt idx="0">
                  <c:v>1.0006198183565032</c:v>
                </c:pt>
                <c:pt idx="1">
                  <c:v>0.99961438845216388</c:v>
                </c:pt>
                <c:pt idx="2">
                  <c:v>0.99908941509449212</c:v>
                </c:pt>
                <c:pt idx="3">
                  <c:v>0.99916317344740258</c:v>
                </c:pt>
                <c:pt idx="4">
                  <c:v>0.9994960886666947</c:v>
                </c:pt>
                <c:pt idx="5">
                  <c:v>0.99973243931229694</c:v>
                </c:pt>
                <c:pt idx="6">
                  <c:v>1.0000136725792845</c:v>
                </c:pt>
                <c:pt idx="7">
                  <c:v>1.0007479199109284</c:v>
                </c:pt>
                <c:pt idx="8">
                  <c:v>1.0023158942184571</c:v>
                </c:pt>
                <c:pt idx="9">
                  <c:v>1.0040869076718422</c:v>
                </c:pt>
                <c:pt idx="10">
                  <c:v>1.0042036839290811</c:v>
                </c:pt>
                <c:pt idx="11">
                  <c:v>1.0011930380493226</c:v>
                </c:pt>
                <c:pt idx="12">
                  <c:v>0.99688970274889765</c:v>
                </c:pt>
                <c:pt idx="13">
                  <c:v>0.9939820314759148</c:v>
                </c:pt>
                <c:pt idx="14">
                  <c:v>0.99374562459924964</c:v>
                </c:pt>
                <c:pt idx="15">
                  <c:v>0.99522612650851183</c:v>
                </c:pt>
                <c:pt idx="16">
                  <c:v>0.99703762056018963</c:v>
                </c:pt>
                <c:pt idx="17">
                  <c:v>0.99844455942930932</c:v>
                </c:pt>
                <c:pt idx="18">
                  <c:v>0.99935272694355248</c:v>
                </c:pt>
                <c:pt idx="19">
                  <c:v>0.99950087342341021</c:v>
                </c:pt>
                <c:pt idx="20">
                  <c:v>0.99979425156412205</c:v>
                </c:pt>
                <c:pt idx="21">
                  <c:v>1.0005000660114907</c:v>
                </c:pt>
                <c:pt idx="22">
                  <c:v>1.0009361837752671</c:v>
                </c:pt>
                <c:pt idx="23">
                  <c:v>1.0010781630728924</c:v>
                </c:pt>
                <c:pt idx="24">
                  <c:v>1.0003561657893019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ED-42FF-812C-0C006EA35C4E}"/>
            </c:ext>
          </c:extLst>
        </c:ser>
        <c:ser>
          <c:idx val="2"/>
          <c:order val="2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'Ex 3 full 1'!$Z$3:$Z$27</c:f>
              <c:numCache>
                <c:formatCode>General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full 1'!$AC$3:$AC$27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EF-49FA-80A7-EC49AFB84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738880"/>
        <c:axId val="1216732760"/>
      </c:scatterChart>
      <c:valAx>
        <c:axId val="1216738880"/>
        <c:scaling>
          <c:orientation val="minMax"/>
          <c:max val="212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732760"/>
        <c:crossesAt val="0.1"/>
        <c:crossBetween val="midCat"/>
      </c:valAx>
      <c:valAx>
        <c:axId val="1216732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over NDF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67017351997666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738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 3 Gauss Straggling </a:t>
            </a:r>
            <a:r>
              <a:rPr lang="el-GR" sz="1800"/>
              <a:t>Δ</a:t>
            </a:r>
            <a:r>
              <a:rPr lang="en-GB" sz="1800"/>
              <a:t>E=0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3 Gauss 0'!$F$3:$F$27</c:f>
              <c:numCache>
                <c:formatCode>0.00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Gauss 0'!$D$3:$D$27</c:f>
              <c:numCache>
                <c:formatCode>General</c:formatCode>
                <c:ptCount val="25"/>
                <c:pt idx="0">
                  <c:v>9.7724668525668648</c:v>
                </c:pt>
                <c:pt idx="1">
                  <c:v>9.1236100233821862</c:v>
                </c:pt>
                <c:pt idx="2">
                  <c:v>8.4969238544562042</c:v>
                </c:pt>
                <c:pt idx="3">
                  <c:v>7.9622156675989055</c:v>
                </c:pt>
                <c:pt idx="4">
                  <c:v>7.5445778258177629</c:v>
                </c:pt>
                <c:pt idx="5">
                  <c:v>7.2381750792464068</c:v>
                </c:pt>
                <c:pt idx="6">
                  <c:v>7.0394820612592506</c:v>
                </c:pt>
                <c:pt idx="7">
                  <c:v>6.862000576775479</c:v>
                </c:pt>
                <c:pt idx="8">
                  <c:v>6.5978210045302204</c:v>
                </c:pt>
                <c:pt idx="9">
                  <c:v>6.1908732207084674</c:v>
                </c:pt>
                <c:pt idx="10">
                  <c:v>5.6327626034735205</c:v>
                </c:pt>
                <c:pt idx="11">
                  <c:v>4.898370655005805</c:v>
                </c:pt>
                <c:pt idx="12">
                  <c:v>4.0755239203480418</c:v>
                </c:pt>
                <c:pt idx="13">
                  <c:v>3.3423445486717602</c:v>
                </c:pt>
                <c:pt idx="14">
                  <c:v>2.8239912230805557</c:v>
                </c:pt>
                <c:pt idx="15">
                  <c:v>2.5263889789684502</c:v>
                </c:pt>
                <c:pt idx="16">
                  <c:v>2.3880740854127542</c:v>
                </c:pt>
                <c:pt idx="17">
                  <c:v>2.3445597213690861</c:v>
                </c:pt>
                <c:pt idx="18">
                  <c:v>2.3736015315595393</c:v>
                </c:pt>
                <c:pt idx="19">
                  <c:v>2.4801687481958345</c:v>
                </c:pt>
                <c:pt idx="20">
                  <c:v>2.7123067219323316</c:v>
                </c:pt>
                <c:pt idx="21">
                  <c:v>2.9477738856381737</c:v>
                </c:pt>
                <c:pt idx="22">
                  <c:v>3.0962650937092806</c:v>
                </c:pt>
                <c:pt idx="23">
                  <c:v>3.1755124788966436</c:v>
                </c:pt>
                <c:pt idx="24">
                  <c:v>3.2117156936402145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B5-4639-8BA5-CED442EDDFA8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3 Gauss 0'!$F$3:$F$27</c:f>
              <c:numCache>
                <c:formatCode>0.00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Gauss 0'!$G$3:$G$27</c:f>
              <c:numCache>
                <c:formatCode>0.0000000</c:formatCode>
                <c:ptCount val="25"/>
                <c:pt idx="0">
                  <c:v>9.7562245999999995</c:v>
                </c:pt>
                <c:pt idx="1">
                  <c:v>9.1099663</c:v>
                </c:pt>
                <c:pt idx="2">
                  <c:v>8.4885712000000009</c:v>
                </c:pt>
                <c:pt idx="3">
                  <c:v>7.9582233000000002</c:v>
                </c:pt>
                <c:pt idx="4">
                  <c:v>7.5426159000000004</c:v>
                </c:pt>
                <c:pt idx="5">
                  <c:v>7.2362976000000003</c:v>
                </c:pt>
                <c:pt idx="6">
                  <c:v>7.0365890999999996</c:v>
                </c:pt>
                <c:pt idx="7">
                  <c:v>6.8560410000000003</c:v>
                </c:pt>
                <c:pt idx="8">
                  <c:v>6.5867867000000002</c:v>
                </c:pt>
                <c:pt idx="9">
                  <c:v>6.1725491999999997</c:v>
                </c:pt>
                <c:pt idx="10">
                  <c:v>5.6071657999999998</c:v>
                </c:pt>
                <c:pt idx="11">
                  <c:v>4.8713230999999997</c:v>
                </c:pt>
                <c:pt idx="12">
                  <c:v>4.0551572</c:v>
                </c:pt>
                <c:pt idx="13">
                  <c:v>3.3325288</c:v>
                </c:pt>
                <c:pt idx="14">
                  <c:v>2.8224005999999999</c:v>
                </c:pt>
                <c:pt idx="15">
                  <c:v>2.528899</c:v>
                </c:pt>
                <c:pt idx="16">
                  <c:v>2.3920264000000002</c:v>
                </c:pt>
                <c:pt idx="17">
                  <c:v>2.3482826000000001</c:v>
                </c:pt>
                <c:pt idx="18">
                  <c:v>2.3764875000000001</c:v>
                </c:pt>
                <c:pt idx="19">
                  <c:v>2.4830613000000001</c:v>
                </c:pt>
                <c:pt idx="20">
                  <c:v>2.7155912</c:v>
                </c:pt>
                <c:pt idx="21">
                  <c:v>2.9503973000000001</c:v>
                </c:pt>
                <c:pt idx="22">
                  <c:v>3.0981084999999999</c:v>
                </c:pt>
                <c:pt idx="23">
                  <c:v>3.1762492999999998</c:v>
                </c:pt>
                <c:pt idx="24">
                  <c:v>3.2118793000000001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B5-4639-8BA5-CED442EDDFA8}"/>
            </c:ext>
          </c:extLst>
        </c:ser>
        <c:ser>
          <c:idx val="2"/>
          <c:order val="2"/>
          <c:tx>
            <c:v>SIMNRA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3 Gauss 0'!$F$3:$F$27</c:f>
              <c:numCache>
                <c:formatCode>0.00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Gauss 0'!$J$3:$J$27</c:f>
              <c:numCache>
                <c:formatCode>General</c:formatCode>
                <c:ptCount val="25"/>
                <c:pt idx="0">
                  <c:v>9.7557956192882092</c:v>
                </c:pt>
                <c:pt idx="1">
                  <c:v>9.1098311965109406</c:v>
                </c:pt>
                <c:pt idx="2">
                  <c:v>8.4887035044750192</c:v>
                </c:pt>
                <c:pt idx="3">
                  <c:v>7.9583188960661797</c:v>
                </c:pt>
                <c:pt idx="4">
                  <c:v>7.5427763835317698</c:v>
                </c:pt>
                <c:pt idx="5">
                  <c:v>7.2365120415294202</c:v>
                </c:pt>
                <c:pt idx="6">
                  <c:v>7.0367876075728502</c:v>
                </c:pt>
                <c:pt idx="7">
                  <c:v>6.8563423058827704</c:v>
                </c:pt>
                <c:pt idx="8">
                  <c:v>6.58690981619998</c:v>
                </c:pt>
                <c:pt idx="9">
                  <c:v>6.1726438555640204</c:v>
                </c:pt>
                <c:pt idx="10">
                  <c:v>5.6075079893008901</c:v>
                </c:pt>
                <c:pt idx="11">
                  <c:v>4.8718071625258803</c:v>
                </c:pt>
                <c:pt idx="12">
                  <c:v>4.0558231082047396</c:v>
                </c:pt>
                <c:pt idx="13">
                  <c:v>3.3331965210668502</c:v>
                </c:pt>
                <c:pt idx="14">
                  <c:v>2.8228636581759701</c:v>
                </c:pt>
                <c:pt idx="15">
                  <c:v>2.52927907777369</c:v>
                </c:pt>
                <c:pt idx="16">
                  <c:v>2.3922182206841001</c:v>
                </c:pt>
                <c:pt idx="17">
                  <c:v>2.3483567473177498</c:v>
                </c:pt>
                <c:pt idx="18">
                  <c:v>2.3765209455215901</c:v>
                </c:pt>
                <c:pt idx="19">
                  <c:v>2.48306069808068</c:v>
                </c:pt>
                <c:pt idx="20">
                  <c:v>2.7155991828285999</c:v>
                </c:pt>
                <c:pt idx="21">
                  <c:v>2.9504593006850599</c:v>
                </c:pt>
                <c:pt idx="22">
                  <c:v>3.0981053299857599</c:v>
                </c:pt>
                <c:pt idx="23">
                  <c:v>3.1762176622715601</c:v>
                </c:pt>
                <c:pt idx="24">
                  <c:v>3.2118410187636002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7B5-4639-8BA5-CED442EDD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550664"/>
        <c:axId val="459551744"/>
      </c:scatterChart>
      <c:valAx>
        <c:axId val="459550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551744"/>
        <c:crosses val="autoZero"/>
        <c:crossBetween val="midCat"/>
      </c:valAx>
      <c:valAx>
        <c:axId val="459551744"/>
        <c:scaling>
          <c:orientation val="minMax"/>
          <c:max val="10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550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3 Gauss 0'!$F$3:$F$27</c:f>
              <c:numCache>
                <c:formatCode>0.00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Gauss 0'!$L$3:$L$27</c:f>
              <c:numCache>
                <c:formatCode>General</c:formatCode>
                <c:ptCount val="25"/>
                <c:pt idx="0">
                  <c:v>1.0016648092097906</c:v>
                </c:pt>
                <c:pt idx="1">
                  <c:v>1.0014976700168678</c:v>
                </c:pt>
                <c:pt idx="2">
                  <c:v>1.0009839882660352</c:v>
                </c:pt>
                <c:pt idx="3">
                  <c:v>1.0005016656920025</c:v>
                </c:pt>
                <c:pt idx="4">
                  <c:v>1.0002601121207515</c:v>
                </c:pt>
                <c:pt idx="5">
                  <c:v>1.0002594530173008</c:v>
                </c:pt>
                <c:pt idx="6">
                  <c:v>1.0004111311912829</c:v>
                </c:pt>
                <c:pt idx="7">
                  <c:v>1.0008692446231693</c:v>
                </c:pt>
                <c:pt idx="8">
                  <c:v>1.0016752181348487</c:v>
                </c:pt>
                <c:pt idx="9">
                  <c:v>1.0029686309682988</c:v>
                </c:pt>
                <c:pt idx="10">
                  <c:v>1.0045650163356183</c:v>
                </c:pt>
                <c:pt idx="11">
                  <c:v>1.0055524042340376</c:v>
                </c:pt>
                <c:pt idx="12">
                  <c:v>1.0050224243706365</c:v>
                </c:pt>
                <c:pt idx="13">
                  <c:v>1.0029454355118432</c:v>
                </c:pt>
                <c:pt idx="14">
                  <c:v>1.0005635709829979</c:v>
                </c:pt>
                <c:pt idx="15">
                  <c:v>0.99900746489616632</c:v>
                </c:pt>
                <c:pt idx="16">
                  <c:v>0.99834771280649492</c:v>
                </c:pt>
                <c:pt idx="17">
                  <c:v>0.99841463773103201</c:v>
                </c:pt>
                <c:pt idx="18">
                  <c:v>0.99878561598137561</c:v>
                </c:pt>
                <c:pt idx="19">
                  <c:v>0.99883508642973673</c:v>
                </c:pt>
                <c:pt idx="20">
                  <c:v>0.99879051085904669</c:v>
                </c:pt>
                <c:pt idx="21">
                  <c:v>0.99911082674803608</c:v>
                </c:pt>
                <c:pt idx="22">
                  <c:v>0.99940498975722791</c:v>
                </c:pt>
                <c:pt idx="23">
                  <c:v>0.99976802164006573</c:v>
                </c:pt>
                <c:pt idx="24">
                  <c:v>0.99994906210834711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B0-44F4-BE7B-0C15C71070CE}"/>
            </c:ext>
          </c:extLst>
        </c:ser>
        <c:ser>
          <c:idx val="1"/>
          <c:order val="1"/>
          <c:tx>
            <c:v>SIMNRA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3 Gauss 0'!$I$3:$I$27</c:f>
              <c:numCache>
                <c:formatCode>General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Gauss 0'!$N$3:$N$27</c:f>
              <c:numCache>
                <c:formatCode>General</c:formatCode>
                <c:ptCount val="25"/>
                <c:pt idx="0">
                  <c:v>0.99995603004959621</c:v>
                </c:pt>
                <c:pt idx="1">
                  <c:v>0.99998516970484741</c:v>
                </c:pt>
                <c:pt idx="2">
                  <c:v>1.0000155861889948</c:v>
                </c:pt>
                <c:pt idx="3">
                  <c:v>1.0000120122372262</c:v>
                </c:pt>
                <c:pt idx="4">
                  <c:v>1.000021276906301</c:v>
                </c:pt>
                <c:pt idx="5">
                  <c:v>1.000029634150124</c:v>
                </c:pt>
                <c:pt idx="6">
                  <c:v>1.0000282107666127</c:v>
                </c:pt>
                <c:pt idx="7">
                  <c:v>1.0000439475030518</c:v>
                </c:pt>
                <c:pt idx="8">
                  <c:v>1.0000186913901401</c:v>
                </c:pt>
                <c:pt idx="9">
                  <c:v>1.0000153349225667</c:v>
                </c:pt>
                <c:pt idx="10">
                  <c:v>1.0000610271415356</c:v>
                </c:pt>
                <c:pt idx="11">
                  <c:v>1.000099369825393</c:v>
                </c:pt>
                <c:pt idx="12">
                  <c:v>1.0001642126733681</c:v>
                </c:pt>
                <c:pt idx="13">
                  <c:v>1.0002003646800743</c:v>
                </c:pt>
                <c:pt idx="14">
                  <c:v>1.000164065361937</c:v>
                </c:pt>
                <c:pt idx="15">
                  <c:v>1.0001502937735711</c:v>
                </c:pt>
                <c:pt idx="16">
                  <c:v>1.0000801917086282</c:v>
                </c:pt>
                <c:pt idx="17">
                  <c:v>1.0000315751254767</c:v>
                </c:pt>
                <c:pt idx="18">
                  <c:v>1.0000140735104182</c:v>
                </c:pt>
                <c:pt idx="19">
                  <c:v>0.99999975758982662</c:v>
                </c:pt>
                <c:pt idx="20">
                  <c:v>1.0000029396282475</c:v>
                </c:pt>
                <c:pt idx="21">
                  <c:v>1.0000210143512061</c:v>
                </c:pt>
                <c:pt idx="22">
                  <c:v>0.99999897679043848</c:v>
                </c:pt>
                <c:pt idx="23">
                  <c:v>0.99999003928046837</c:v>
                </c:pt>
                <c:pt idx="24">
                  <c:v>0.99998808135897266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13-490A-A9EC-1C5C68C05836}"/>
            </c:ext>
          </c:extLst>
        </c:ser>
        <c:ser>
          <c:idx val="2"/>
          <c:order val="2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'Ex 3 Gauss 0'!$AA$3:$AA$27</c:f>
              <c:numCache>
                <c:formatCode>General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Gauss 0'!$Z$3:$Z$27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40-4B9D-8801-152ADF71A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725888"/>
        <c:axId val="818726608"/>
      </c:scatterChart>
      <c:valAx>
        <c:axId val="818725888"/>
        <c:scaling>
          <c:orientation val="minMax"/>
          <c:max val="212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layout>
            <c:manualLayout>
              <c:xMode val="edge"/>
              <c:yMode val="edge"/>
              <c:x val="0.40207441311779524"/>
              <c:y val="0.778264482543966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726608"/>
        <c:crosses val="autoZero"/>
        <c:crossBetween val="midCat"/>
      </c:valAx>
      <c:valAx>
        <c:axId val="81872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over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725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Gauss Straggling </a:t>
            </a:r>
            <a:r>
              <a:rPr lang="el-GR" sz="1800"/>
              <a:t>Δ</a:t>
            </a:r>
            <a:r>
              <a:rPr lang="en-GB" sz="1800"/>
              <a:t>E=1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3 Gauss 1'!$F$3:$F$27</c:f>
              <c:numCache>
                <c:formatCode>0.00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Gauss 1'!$D$3:$D$27</c:f>
              <c:numCache>
                <c:formatCode>General</c:formatCode>
                <c:ptCount val="25"/>
                <c:pt idx="0">
                  <c:v>9.7782508875222263</c:v>
                </c:pt>
                <c:pt idx="1">
                  <c:v>9.1290740877848293</c:v>
                </c:pt>
                <c:pt idx="2">
                  <c:v>8.5019617288750382</c:v>
                </c:pt>
                <c:pt idx="3">
                  <c:v>7.9662756634427643</c:v>
                </c:pt>
                <c:pt idx="4">
                  <c:v>7.5473865516124699</c:v>
                </c:pt>
                <c:pt idx="5">
                  <c:v>7.239474767990159</c:v>
                </c:pt>
                <c:pt idx="6">
                  <c:v>7.0386967169007235</c:v>
                </c:pt>
                <c:pt idx="7">
                  <c:v>6.8610497037642091</c:v>
                </c:pt>
                <c:pt idx="8">
                  <c:v>6.5983554252586716</c:v>
                </c:pt>
                <c:pt idx="9">
                  <c:v>6.1928164807333435</c:v>
                </c:pt>
                <c:pt idx="10">
                  <c:v>5.6360506718919572</c:v>
                </c:pt>
                <c:pt idx="11">
                  <c:v>4.9032013518643831</c:v>
                </c:pt>
                <c:pt idx="12">
                  <c:v>4.0811956283470101</c:v>
                </c:pt>
                <c:pt idx="13">
                  <c:v>3.3475486140051176</c:v>
                </c:pt>
                <c:pt idx="14">
                  <c:v>2.8278159565590317</c:v>
                </c:pt>
                <c:pt idx="15">
                  <c:v>2.528945665099342</c:v>
                </c:pt>
                <c:pt idx="16">
                  <c:v>2.389590566776683</c:v>
                </c:pt>
                <c:pt idx="17">
                  <c:v>2.3451460437985392</c:v>
                </c:pt>
                <c:pt idx="18">
                  <c:v>2.3730366713174091</c:v>
                </c:pt>
                <c:pt idx="19">
                  <c:v>2.4778745752761724</c:v>
                </c:pt>
                <c:pt idx="20">
                  <c:v>2.7075950850249155</c:v>
                </c:pt>
                <c:pt idx="21">
                  <c:v>2.9441752041806915</c:v>
                </c:pt>
                <c:pt idx="22">
                  <c:v>3.0945162320451232</c:v>
                </c:pt>
                <c:pt idx="23">
                  <c:v>3.1750330749523807</c:v>
                </c:pt>
                <c:pt idx="24">
                  <c:v>3.211524017911259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33-49A4-96B0-ECE44E9CB250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3 Gauss 1'!$F$3:$F$27</c:f>
              <c:numCache>
                <c:formatCode>0.00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Gauss 1'!$G$3:$G$27</c:f>
              <c:numCache>
                <c:formatCode>0.0000000</c:formatCode>
                <c:ptCount val="25"/>
                <c:pt idx="0">
                  <c:v>9.7558936999999997</c:v>
                </c:pt>
                <c:pt idx="1">
                  <c:v>9.1100253999999996</c:v>
                </c:pt>
                <c:pt idx="2">
                  <c:v>8.4890108000000009</c:v>
                </c:pt>
                <c:pt idx="3">
                  <c:v>7.9587088000000001</c:v>
                </c:pt>
                <c:pt idx="4">
                  <c:v>7.5429955</c:v>
                </c:pt>
                <c:pt idx="5">
                  <c:v>7.2367438999999996</c:v>
                </c:pt>
                <c:pt idx="6">
                  <c:v>7.0366939999999998</c:v>
                </c:pt>
                <c:pt idx="7">
                  <c:v>6.8557962999999997</c:v>
                </c:pt>
                <c:pt idx="8">
                  <c:v>6.5860824999999998</c:v>
                </c:pt>
                <c:pt idx="9">
                  <c:v>6.1719603999999997</c:v>
                </c:pt>
                <c:pt idx="10">
                  <c:v>5.606503</c:v>
                </c:pt>
                <c:pt idx="11">
                  <c:v>4.8710680000000002</c:v>
                </c:pt>
                <c:pt idx="12">
                  <c:v>4.0555472000000004</c:v>
                </c:pt>
                <c:pt idx="13">
                  <c:v>3.3333507</c:v>
                </c:pt>
                <c:pt idx="14">
                  <c:v>2.8231432000000001</c:v>
                </c:pt>
                <c:pt idx="15">
                  <c:v>2.5294544999999999</c:v>
                </c:pt>
                <c:pt idx="16">
                  <c:v>2.3923326</c:v>
                </c:pt>
                <c:pt idx="17">
                  <c:v>2.3485567999999999</c:v>
                </c:pt>
                <c:pt idx="18">
                  <c:v>2.3766663000000001</c:v>
                </c:pt>
                <c:pt idx="19">
                  <c:v>2.4835289</c:v>
                </c:pt>
                <c:pt idx="20">
                  <c:v>2.7153944999999999</c:v>
                </c:pt>
                <c:pt idx="21">
                  <c:v>2.9500720999999999</c:v>
                </c:pt>
                <c:pt idx="22">
                  <c:v>3.0978734000000001</c:v>
                </c:pt>
                <c:pt idx="23">
                  <c:v>3.1759970000000002</c:v>
                </c:pt>
                <c:pt idx="24">
                  <c:v>3.2120565999999999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33-49A4-96B0-ECE44E9CB250}"/>
            </c:ext>
          </c:extLst>
        </c:ser>
        <c:ser>
          <c:idx val="2"/>
          <c:order val="2"/>
          <c:tx>
            <c:v>SIMNRA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3 Gauss 1'!$F$3:$F$27</c:f>
              <c:numCache>
                <c:formatCode>0.00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Gauss 1'!$J$3:$J$27</c:f>
              <c:numCache>
                <c:formatCode>General</c:formatCode>
                <c:ptCount val="25"/>
                <c:pt idx="0">
                  <c:v>9.7555476057854005</c:v>
                </c:pt>
                <c:pt idx="1">
                  <c:v>9.1100191705932598</c:v>
                </c:pt>
                <c:pt idx="2">
                  <c:v>8.4891689477023196</c:v>
                </c:pt>
                <c:pt idx="3">
                  <c:v>7.95878949002498</c:v>
                </c:pt>
                <c:pt idx="4">
                  <c:v>7.5431975711405697</c:v>
                </c:pt>
                <c:pt idx="5">
                  <c:v>7.2370165082202202</c:v>
                </c:pt>
                <c:pt idx="6">
                  <c:v>7.0368365818513601</c:v>
                </c:pt>
                <c:pt idx="7">
                  <c:v>6.8560270373519998</c:v>
                </c:pt>
                <c:pt idx="8">
                  <c:v>6.5862153594268298</c:v>
                </c:pt>
                <c:pt idx="9">
                  <c:v>6.1719188472287296</c:v>
                </c:pt>
                <c:pt idx="10">
                  <c:v>5.6066205507287696</c:v>
                </c:pt>
                <c:pt idx="11">
                  <c:v>4.8713477105901699</c:v>
                </c:pt>
                <c:pt idx="12">
                  <c:v>4.0561778108891398</c:v>
                </c:pt>
                <c:pt idx="13">
                  <c:v>3.33406514145699</c:v>
                </c:pt>
                <c:pt idx="14">
                  <c:v>2.8236917646284501</c:v>
                </c:pt>
                <c:pt idx="15">
                  <c:v>2.5298397117578402</c:v>
                </c:pt>
                <c:pt idx="16">
                  <c:v>2.3925279382608502</c:v>
                </c:pt>
                <c:pt idx="17">
                  <c:v>2.3486272549749301</c:v>
                </c:pt>
                <c:pt idx="18">
                  <c:v>2.3767006912906199</c:v>
                </c:pt>
                <c:pt idx="19">
                  <c:v>2.4835381481915402</c:v>
                </c:pt>
                <c:pt idx="20">
                  <c:v>2.7154172266417098</c:v>
                </c:pt>
                <c:pt idx="21">
                  <c:v>2.9501639133532098</c:v>
                </c:pt>
                <c:pt idx="22">
                  <c:v>3.0979158814995098</c:v>
                </c:pt>
                <c:pt idx="23">
                  <c:v>3.1760011616022501</c:v>
                </c:pt>
                <c:pt idx="24">
                  <c:v>3.2120215453563201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33-49A4-96B0-ECE44E9CB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576528"/>
        <c:axId val="581370176"/>
      </c:scatterChart>
      <c:valAx>
        <c:axId val="82857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370176"/>
        <c:crosses val="autoZero"/>
        <c:crossBetween val="midCat"/>
      </c:valAx>
      <c:valAx>
        <c:axId val="581370176"/>
        <c:scaling>
          <c:orientation val="minMax"/>
          <c:max val="10.5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576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3 Gauss 1'!$F$3:$F$27</c:f>
              <c:numCache>
                <c:formatCode>0.00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Gauss 1'!$L$3:$L$27</c:f>
              <c:numCache>
                <c:formatCode>General</c:formatCode>
                <c:ptCount val="25"/>
                <c:pt idx="0">
                  <c:v>1.0022916596069744</c:v>
                </c:pt>
                <c:pt idx="1">
                  <c:v>1.002090958800711</c:v>
                </c:pt>
                <c:pt idx="2">
                  <c:v>1.0015256110729696</c:v>
                </c:pt>
                <c:pt idx="3">
                  <c:v>1.0009507652098999</c:v>
                </c:pt>
                <c:pt idx="4">
                  <c:v>1.0005821363160656</c:v>
                </c:pt>
                <c:pt idx="5">
                  <c:v>1.0003773614249578</c:v>
                </c:pt>
                <c:pt idx="6">
                  <c:v>1.0002846104862204</c:v>
                </c:pt>
                <c:pt idx="7">
                  <c:v>1.00076627185732</c:v>
                </c:pt>
                <c:pt idx="8">
                  <c:v>1.0018634636384636</c:v>
                </c:pt>
                <c:pt idx="9">
                  <c:v>1.0033791663234495</c:v>
                </c:pt>
                <c:pt idx="10">
                  <c:v>1.0052702499030068</c:v>
                </c:pt>
                <c:pt idx="11">
                  <c:v>1.0065967775166313</c:v>
                </c:pt>
                <c:pt idx="12">
                  <c:v>1.006324283033128</c:v>
                </c:pt>
                <c:pt idx="13">
                  <c:v>1.0042593520103114</c:v>
                </c:pt>
                <c:pt idx="14">
                  <c:v>1.0016551610130977</c:v>
                </c:pt>
                <c:pt idx="15">
                  <c:v>0.99979883611242748</c:v>
                </c:pt>
                <c:pt idx="16">
                  <c:v>0.99885382441249304</c:v>
                </c:pt>
                <c:pt idx="17">
                  <c:v>0.99854772249857415</c:v>
                </c:pt>
                <c:pt idx="18">
                  <c:v>0.99847280677031058</c:v>
                </c:pt>
                <c:pt idx="19">
                  <c:v>0.99772327001154382</c:v>
                </c:pt>
                <c:pt idx="20">
                  <c:v>0.99712770465761624</c:v>
                </c:pt>
                <c:pt idx="21">
                  <c:v>0.99800110111908502</c:v>
                </c:pt>
                <c:pt idx="22">
                  <c:v>0.99891629917643598</c:v>
                </c:pt>
                <c:pt idx="23">
                  <c:v>0.99969649686456896</c:v>
                </c:pt>
                <c:pt idx="24">
                  <c:v>0.99983419280695707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1C-45BA-A003-E7847D5924FC}"/>
            </c:ext>
          </c:extLst>
        </c:ser>
        <c:ser>
          <c:idx val="1"/>
          <c:order val="1"/>
          <c:tx>
            <c:v>SIMNRA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3 Gauss 1'!$A$3:$A$27</c:f>
              <c:numCache>
                <c:formatCode>General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Gauss 1'!$N$3:$N$27</c:f>
              <c:numCache>
                <c:formatCode>General</c:formatCode>
                <c:ptCount val="25"/>
                <c:pt idx="0">
                  <c:v>0.99996452460171847</c:v>
                </c:pt>
                <c:pt idx="1">
                  <c:v>0.99999931620314253</c:v>
                </c:pt>
                <c:pt idx="2">
                  <c:v>1.000018629697387</c:v>
                </c:pt>
                <c:pt idx="3">
                  <c:v>1.0000101385824016</c:v>
                </c:pt>
                <c:pt idx="4">
                  <c:v>1.0000267892431554</c:v>
                </c:pt>
                <c:pt idx="5">
                  <c:v>1.0000376700107103</c:v>
                </c:pt>
                <c:pt idx="6">
                  <c:v>1.0000202626192585</c:v>
                </c:pt>
                <c:pt idx="7">
                  <c:v>1.0000336558062555</c:v>
                </c:pt>
                <c:pt idx="8">
                  <c:v>1.0000201727547187</c:v>
                </c:pt>
                <c:pt idx="9">
                  <c:v>0.99999326749224282</c:v>
                </c:pt>
                <c:pt idx="10">
                  <c:v>1.0000209668538069</c:v>
                </c:pt>
                <c:pt idx="11">
                  <c:v>1.0000574228465235</c:v>
                </c:pt>
                <c:pt idx="12">
                  <c:v>1.0001554934163113</c:v>
                </c:pt>
                <c:pt idx="13">
                  <c:v>1.0002143313204308</c:v>
                </c:pt>
                <c:pt idx="14">
                  <c:v>1.0001943098842629</c:v>
                </c:pt>
                <c:pt idx="15">
                  <c:v>1.0001522904475413</c:v>
                </c:pt>
                <c:pt idx="16">
                  <c:v>1.000081651799106</c:v>
                </c:pt>
                <c:pt idx="17">
                  <c:v>1.0000299992637736</c:v>
                </c:pt>
                <c:pt idx="18">
                  <c:v>1.0000144703909926</c:v>
                </c:pt>
                <c:pt idx="19">
                  <c:v>1.0000037238107196</c:v>
                </c:pt>
                <c:pt idx="20">
                  <c:v>1.0000083695542985</c:v>
                </c:pt>
                <c:pt idx="21">
                  <c:v>1.0000311224099268</c:v>
                </c:pt>
                <c:pt idx="22">
                  <c:v>1.0000137131167173</c:v>
                </c:pt>
                <c:pt idx="23">
                  <c:v>1.0000013103294021</c:v>
                </c:pt>
                <c:pt idx="24">
                  <c:v>0.99998908654234808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4B-4AAF-A225-289CE701D32C}"/>
            </c:ext>
          </c:extLst>
        </c:ser>
        <c:ser>
          <c:idx val="2"/>
          <c:order val="2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'Ex 3 Gauss 1'!$A$3:$A$27</c:f>
              <c:numCache>
                <c:formatCode>General</c:formatCode>
                <c:ptCount val="25"/>
                <c:pt idx="0">
                  <c:v>2000</c:v>
                </c:pt>
                <c:pt idx="1">
                  <c:v>2005</c:v>
                </c:pt>
                <c:pt idx="2">
                  <c:v>2010</c:v>
                </c:pt>
                <c:pt idx="3">
                  <c:v>2015</c:v>
                </c:pt>
                <c:pt idx="4">
                  <c:v>2020</c:v>
                </c:pt>
                <c:pt idx="5">
                  <c:v>2025</c:v>
                </c:pt>
                <c:pt idx="6">
                  <c:v>2030</c:v>
                </c:pt>
                <c:pt idx="7">
                  <c:v>2035</c:v>
                </c:pt>
                <c:pt idx="8">
                  <c:v>2040</c:v>
                </c:pt>
                <c:pt idx="9">
                  <c:v>2045</c:v>
                </c:pt>
                <c:pt idx="10">
                  <c:v>2050</c:v>
                </c:pt>
                <c:pt idx="11">
                  <c:v>2055</c:v>
                </c:pt>
                <c:pt idx="12">
                  <c:v>2060</c:v>
                </c:pt>
                <c:pt idx="13">
                  <c:v>2065</c:v>
                </c:pt>
                <c:pt idx="14">
                  <c:v>2070</c:v>
                </c:pt>
                <c:pt idx="15">
                  <c:v>2075</c:v>
                </c:pt>
                <c:pt idx="16">
                  <c:v>2080</c:v>
                </c:pt>
                <c:pt idx="17">
                  <c:v>2085</c:v>
                </c:pt>
                <c:pt idx="18">
                  <c:v>2090</c:v>
                </c:pt>
                <c:pt idx="19">
                  <c:v>2095</c:v>
                </c:pt>
                <c:pt idx="20">
                  <c:v>2100</c:v>
                </c:pt>
                <c:pt idx="21">
                  <c:v>2105</c:v>
                </c:pt>
                <c:pt idx="22">
                  <c:v>2110</c:v>
                </c:pt>
                <c:pt idx="23">
                  <c:v>2115</c:v>
                </c:pt>
                <c:pt idx="24">
                  <c:v>2120</c:v>
                </c:pt>
              </c:numCache>
            </c:numRef>
          </c:xVal>
          <c:yVal>
            <c:numRef>
              <c:f>'Ex 3 Gauss 1'!$Z$3:$Z$27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99-44C4-AA2F-1511997B0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499896"/>
        <c:axId val="672500616"/>
      </c:scatterChart>
      <c:valAx>
        <c:axId val="672499896"/>
        <c:scaling>
          <c:orientation val="minMax"/>
          <c:max val="212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layout>
            <c:manualLayout>
              <c:xMode val="edge"/>
              <c:yMode val="edge"/>
              <c:x val="0.37195372061735016"/>
              <c:y val="0.796198237327216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500616"/>
        <c:crosses val="autoZero"/>
        <c:crossBetween val="midCat"/>
      </c:valAx>
      <c:valAx>
        <c:axId val="672500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499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179860</xdr:colOff>
      <xdr:row>29</xdr:row>
      <xdr:rowOff>8596</xdr:rowOff>
    </xdr:from>
    <xdr:to>
      <xdr:col>8</xdr:col>
      <xdr:colOff>445324</xdr:colOff>
      <xdr:row>58</xdr:row>
      <xdr:rowOff>123702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593E6F-6432-3692-EAF1-85E126A00A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543356</xdr:colOff>
      <xdr:row>29</xdr:row>
      <xdr:rowOff>29501</xdr:rowOff>
    </xdr:from>
    <xdr:to>
      <xdr:col>16</xdr:col>
      <xdr:colOff>235032</xdr:colOff>
      <xdr:row>58</xdr:row>
      <xdr:rowOff>173182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BDE85D-7E03-2511-628E-CFCC3EA0C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138331</xdr:colOff>
      <xdr:row>28</xdr:row>
      <xdr:rowOff>128365</xdr:rowOff>
    </xdr:from>
    <xdr:to>
      <xdr:col>7</xdr:col>
      <xdr:colOff>88603</xdr:colOff>
      <xdr:row>55</xdr:row>
      <xdr:rowOff>33227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919975-D904-793C-0121-74CB10CF2F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304467</xdr:colOff>
      <xdr:row>28</xdr:row>
      <xdr:rowOff>175769</xdr:rowOff>
    </xdr:from>
    <xdr:to>
      <xdr:col>14</xdr:col>
      <xdr:colOff>1</xdr:colOff>
      <xdr:row>55</xdr:row>
      <xdr:rowOff>66455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70E121-6069-EB44-6A58-A7102BF52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514349</xdr:colOff>
      <xdr:row>0</xdr:row>
      <xdr:rowOff>57150</xdr:rowOff>
    </xdr:from>
    <xdr:to>
      <xdr:col>24</xdr:col>
      <xdr:colOff>371475</xdr:colOff>
      <xdr:row>22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42E7C3-C41D-0943-494C-229A40A71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519111</xdr:colOff>
      <xdr:row>23</xdr:row>
      <xdr:rowOff>23811</xdr:rowOff>
    </xdr:from>
    <xdr:to>
      <xdr:col>24</xdr:col>
      <xdr:colOff>371474</xdr:colOff>
      <xdr:row>43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5335C5-7BA9-4171-6E1A-AF515C9507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61911</xdr:rowOff>
    </xdr:from>
    <xdr:to>
      <xdr:col>24</xdr:col>
      <xdr:colOff>283482</xdr:colOff>
      <xdr:row>22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6544C1-7431-12FB-8224-7DC2069CA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14287</xdr:colOff>
      <xdr:row>23</xdr:row>
      <xdr:rowOff>14286</xdr:rowOff>
    </xdr:from>
    <xdr:to>
      <xdr:col>24</xdr:col>
      <xdr:colOff>283482</xdr:colOff>
      <xdr:row>42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DBC884-E6E5-8F72-988F-5E43F7DED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FF551-163C-406B-9205-CA782022A5BE}">
  <dimension ref="A1:AA27"/>
  <sheetViews>
    <sheetView topLeftCell="A28" zoomScale="77" zoomScaleNormal="77" workbookViewId="0">
      <selection activeCell="S56" sqref="S56"/>
    </sheetView>
  </sheetViews>
  <sheetFormatPr defaultRowHeight="15" x14ac:dyDescent="0.25"/>
  <cols>
    <col min="1" max="1" width="13.140625" customWidth="1"/>
    <col min="2" max="2" width="17.42578125" customWidth="1"/>
    <col min="5" max="5" width="12.85546875" style="1" customWidth="1"/>
    <col min="6" max="6" width="17.140625" style="2" customWidth="1"/>
    <col min="9" max="9" width="12.85546875" customWidth="1"/>
    <col min="10" max="10" width="17.5703125" style="4" customWidth="1"/>
    <col min="11" max="12" width="20.7109375" customWidth="1"/>
    <col min="13" max="13" width="13.42578125" customWidth="1"/>
    <col min="14" max="14" width="12.5703125" customWidth="1"/>
    <col min="26" max="26" width="16.42578125" customWidth="1"/>
    <col min="27" max="27" width="17.42578125" style="5" bestFit="1" customWidth="1"/>
  </cols>
  <sheetData>
    <row r="1" spans="1:26" x14ac:dyDescent="0.25">
      <c r="A1" t="s">
        <v>3</v>
      </c>
      <c r="F1" s="2" t="s">
        <v>4</v>
      </c>
      <c r="I1" s="4" t="s">
        <v>5</v>
      </c>
      <c r="J1" s="4" t="s">
        <v>11</v>
      </c>
      <c r="K1" t="s">
        <v>12</v>
      </c>
      <c r="M1" t="s">
        <v>8</v>
      </c>
      <c r="N1" t="s">
        <v>9</v>
      </c>
    </row>
    <row r="2" spans="1:26" x14ac:dyDescent="0.25">
      <c r="A2" t="s">
        <v>0</v>
      </c>
      <c r="B2" t="s">
        <v>7</v>
      </c>
      <c r="E2" t="s">
        <v>0</v>
      </c>
      <c r="F2" t="s">
        <v>7</v>
      </c>
      <c r="I2" t="s">
        <v>0</v>
      </c>
      <c r="J2" t="s">
        <v>7</v>
      </c>
    </row>
    <row r="3" spans="1:26" ht="15.75" x14ac:dyDescent="0.25">
      <c r="A3">
        <v>2000</v>
      </c>
      <c r="B3" s="8">
        <v>9.7709510000000002</v>
      </c>
      <c r="E3" s="1">
        <v>2000</v>
      </c>
      <c r="F3" s="2">
        <v>9.7386006999999992</v>
      </c>
      <c r="I3">
        <v>2000</v>
      </c>
      <c r="J3" s="4">
        <v>9.7447606864628291</v>
      </c>
      <c r="K3">
        <v>9.7458497796178598</v>
      </c>
      <c r="M3">
        <f>B3/F3</f>
        <v>1.0033218632734373</v>
      </c>
      <c r="N3">
        <f>J3/F3</f>
        <v>1.0006325330150183</v>
      </c>
      <c r="Z3">
        <v>1</v>
      </c>
    </row>
    <row r="4" spans="1:26" ht="15.75" x14ac:dyDescent="0.25">
      <c r="A4">
        <v>2005</v>
      </c>
      <c r="B4" s="8">
        <v>9.0721550000000004</v>
      </c>
      <c r="E4" s="1">
        <v>2005</v>
      </c>
      <c r="F4" s="2">
        <v>9.0975885000000005</v>
      </c>
      <c r="I4">
        <v>2005</v>
      </c>
      <c r="J4" s="4">
        <v>9.0942077014282798</v>
      </c>
      <c r="K4">
        <v>9.0944656468488994</v>
      </c>
      <c r="M4">
        <f t="shared" ref="M4:M27" si="0">B4/F4</f>
        <v>0.99720436904790755</v>
      </c>
      <c r="N4">
        <f t="shared" ref="N4:N27" si="1">J4/F4</f>
        <v>0.99962838519551411</v>
      </c>
      <c r="Z4">
        <v>1</v>
      </c>
    </row>
    <row r="5" spans="1:26" ht="15.75" x14ac:dyDescent="0.25">
      <c r="A5">
        <v>2010</v>
      </c>
      <c r="B5" s="8">
        <v>8.3792190000000009</v>
      </c>
      <c r="E5" s="1">
        <v>2010</v>
      </c>
      <c r="F5" s="2">
        <v>8.4864826000000004</v>
      </c>
      <c r="I5">
        <v>2010</v>
      </c>
      <c r="J5" s="4">
        <v>8.4787824597951893</v>
      </c>
      <c r="K5">
        <v>8.47827417610395</v>
      </c>
      <c r="M5">
        <f t="shared" si="0"/>
        <v>0.98736065281038821</v>
      </c>
      <c r="N5">
        <f t="shared" si="1"/>
        <v>0.99909265822275872</v>
      </c>
      <c r="Z5">
        <v>1</v>
      </c>
    </row>
    <row r="6" spans="1:26" ht="15.75" x14ac:dyDescent="0.25">
      <c r="A6">
        <v>2015</v>
      </c>
      <c r="B6" s="8">
        <v>7.8105029999999998</v>
      </c>
      <c r="E6" s="1">
        <v>2015</v>
      </c>
      <c r="F6" s="2">
        <v>7.9635467999999996</v>
      </c>
      <c r="I6">
        <v>2015</v>
      </c>
      <c r="J6" s="4">
        <v>7.95698506491423</v>
      </c>
      <c r="K6">
        <v>7.9561430460636604</v>
      </c>
      <c r="M6">
        <f t="shared" si="0"/>
        <v>0.98078195509568677</v>
      </c>
      <c r="N6">
        <f t="shared" si="1"/>
        <v>0.99917602856483878</v>
      </c>
      <c r="Z6">
        <v>1</v>
      </c>
    </row>
    <row r="7" spans="1:26" ht="15.75" x14ac:dyDescent="0.25">
      <c r="A7">
        <v>2020</v>
      </c>
      <c r="B7" s="8">
        <v>7.4149200000000004</v>
      </c>
      <c r="E7" s="1">
        <v>2020</v>
      </c>
      <c r="F7" s="2">
        <v>7.5491419000000004</v>
      </c>
      <c r="I7">
        <v>2020</v>
      </c>
      <c r="J7" s="4">
        <v>7.5454466186875102</v>
      </c>
      <c r="K7">
        <v>7.5447101637264398</v>
      </c>
      <c r="M7">
        <f t="shared" si="0"/>
        <v>0.98222024413132303</v>
      </c>
      <c r="N7">
        <f t="shared" si="1"/>
        <v>0.99951050313248313</v>
      </c>
      <c r="Z7">
        <v>1</v>
      </c>
    </row>
    <row r="8" spans="1:26" ht="15.75" x14ac:dyDescent="0.25">
      <c r="A8">
        <v>2025</v>
      </c>
      <c r="B8" s="8">
        <v>7.1583740000000002</v>
      </c>
      <c r="E8" s="1">
        <v>2025</v>
      </c>
      <c r="F8" s="2">
        <v>7.2402816000000003</v>
      </c>
      <c r="I8">
        <v>2025</v>
      </c>
      <c r="J8" s="4">
        <v>7.2384542685397504</v>
      </c>
      <c r="K8">
        <v>7.2379533990225999</v>
      </c>
      <c r="M8">
        <f t="shared" si="0"/>
        <v>0.98868723559039473</v>
      </c>
      <c r="N8">
        <f t="shared" si="1"/>
        <v>0.99974761596838302</v>
      </c>
      <c r="Z8">
        <v>1</v>
      </c>
    </row>
    <row r="9" spans="1:26" ht="15.75" x14ac:dyDescent="0.25">
      <c r="A9">
        <v>2030</v>
      </c>
      <c r="B9" s="8">
        <v>7.0065720000000002</v>
      </c>
      <c r="E9" s="1">
        <v>2030</v>
      </c>
      <c r="F9" s="2">
        <v>7.0394635000000001</v>
      </c>
      <c r="I9">
        <v>2030</v>
      </c>
      <c r="J9" s="4">
        <v>7.0396004808385504</v>
      </c>
      <c r="K9">
        <v>7.0392451487346399</v>
      </c>
      <c r="M9">
        <f t="shared" si="0"/>
        <v>0.99532755585706212</v>
      </c>
      <c r="N9">
        <f t="shared" si="1"/>
        <v>1.0000194589883946</v>
      </c>
      <c r="Z9">
        <v>1</v>
      </c>
    </row>
    <row r="10" spans="1:26" ht="15.75" x14ac:dyDescent="0.25">
      <c r="A10">
        <v>2035</v>
      </c>
      <c r="B10" s="8">
        <v>6.8671490000000004</v>
      </c>
      <c r="E10" s="1">
        <v>2035</v>
      </c>
      <c r="F10" s="2">
        <v>6.8600253999999996</v>
      </c>
      <c r="I10">
        <v>2035</v>
      </c>
      <c r="J10" s="4">
        <v>6.8651676832230697</v>
      </c>
      <c r="K10">
        <v>6.8648836721478297</v>
      </c>
      <c r="M10">
        <f t="shared" si="0"/>
        <v>1.0010384218110913</v>
      </c>
      <c r="N10">
        <f t="shared" si="1"/>
        <v>1.0007496011928863</v>
      </c>
      <c r="Z10">
        <v>1</v>
      </c>
    </row>
    <row r="11" spans="1:26" ht="15.75" x14ac:dyDescent="0.25">
      <c r="A11">
        <v>2040</v>
      </c>
      <c r="B11" s="8">
        <v>6.6341099999999997</v>
      </c>
      <c r="E11" s="1">
        <v>2040</v>
      </c>
      <c r="F11" s="2">
        <v>6.5914593000000004</v>
      </c>
      <c r="I11">
        <v>2040</v>
      </c>
      <c r="J11" s="4">
        <v>6.6065707612932698</v>
      </c>
      <c r="K11">
        <v>6.6065394487315201</v>
      </c>
      <c r="M11">
        <f t="shared" si="0"/>
        <v>1.0064706005239232</v>
      </c>
      <c r="N11">
        <f t="shared" si="1"/>
        <v>1.0022925820528497</v>
      </c>
      <c r="Z11">
        <v>1</v>
      </c>
    </row>
    <row r="12" spans="1:26" ht="15.75" x14ac:dyDescent="0.25">
      <c r="A12">
        <v>2045</v>
      </c>
      <c r="B12" s="8">
        <v>6.2457250000000002</v>
      </c>
      <c r="E12" s="1">
        <v>2045</v>
      </c>
      <c r="F12" s="2">
        <v>6.1714143999999997</v>
      </c>
      <c r="I12">
        <v>2045</v>
      </c>
      <c r="J12" s="4">
        <v>6.1964393459022196</v>
      </c>
      <c r="K12">
        <v>6.1970952975824103</v>
      </c>
      <c r="M12">
        <f t="shared" si="0"/>
        <v>1.0120410970943712</v>
      </c>
      <c r="N12">
        <f t="shared" si="1"/>
        <v>1.0040549773974374</v>
      </c>
      <c r="Z12">
        <v>1</v>
      </c>
    </row>
    <row r="13" spans="1:26" ht="15.75" x14ac:dyDescent="0.25">
      <c r="A13">
        <v>2050</v>
      </c>
      <c r="B13" s="8">
        <v>5.6911829999999997</v>
      </c>
      <c r="E13" s="1">
        <v>2050</v>
      </c>
      <c r="F13" s="2">
        <v>5.5928725999999997</v>
      </c>
      <c r="I13">
        <v>2050</v>
      </c>
      <c r="J13" s="4">
        <v>5.6162977193674299</v>
      </c>
      <c r="K13">
        <v>5.6177956022627402</v>
      </c>
      <c r="M13">
        <f t="shared" si="0"/>
        <v>1.0175778007172915</v>
      </c>
      <c r="N13">
        <f t="shared" si="1"/>
        <v>1.0041883878004714</v>
      </c>
      <c r="Z13">
        <v>1</v>
      </c>
    </row>
    <row r="14" spans="1:26" ht="15.75" x14ac:dyDescent="0.25">
      <c r="A14">
        <v>2055</v>
      </c>
      <c r="B14" s="8">
        <v>4.9508720000000004</v>
      </c>
      <c r="E14" s="1">
        <v>2055</v>
      </c>
      <c r="F14" s="2">
        <v>4.8460169000000004</v>
      </c>
      <c r="I14">
        <v>2055</v>
      </c>
      <c r="J14" s="4">
        <v>4.8518631033669397</v>
      </c>
      <c r="K14">
        <v>4.85340918522426</v>
      </c>
      <c r="M14">
        <f t="shared" si="0"/>
        <v>1.021637378111496</v>
      </c>
      <c r="N14">
        <f t="shared" si="1"/>
        <v>1.0012063935160729</v>
      </c>
      <c r="Z14">
        <v>1</v>
      </c>
    </row>
    <row r="15" spans="1:26" ht="15.75" x14ac:dyDescent="0.25">
      <c r="A15">
        <v>2060</v>
      </c>
      <c r="B15" s="8">
        <v>4.1264510000000003</v>
      </c>
      <c r="E15" s="1">
        <v>2060</v>
      </c>
      <c r="F15" s="2">
        <v>4.0356592999999998</v>
      </c>
      <c r="I15">
        <v>2060</v>
      </c>
      <c r="J15" s="4">
        <v>4.0231981345160603</v>
      </c>
      <c r="K15">
        <v>4.0235612475244604</v>
      </c>
      <c r="M15">
        <f t="shared" si="0"/>
        <v>1.0224973649286997</v>
      </c>
      <c r="N15">
        <f t="shared" si="1"/>
        <v>0.9969122355090928</v>
      </c>
      <c r="Z15">
        <v>1</v>
      </c>
    </row>
    <row r="16" spans="1:26" ht="15.75" x14ac:dyDescent="0.25">
      <c r="A16">
        <v>2065</v>
      </c>
      <c r="B16" s="8">
        <v>3.3964470000000002</v>
      </c>
      <c r="E16" s="1">
        <v>2065</v>
      </c>
      <c r="F16" s="2">
        <v>3.3322867999999999</v>
      </c>
      <c r="I16">
        <v>2065</v>
      </c>
      <c r="J16" s="4">
        <v>3.3123827704307698</v>
      </c>
      <c r="K16">
        <v>3.3114302057257099</v>
      </c>
      <c r="M16">
        <f t="shared" si="0"/>
        <v>1.0192541050188118</v>
      </c>
      <c r="N16">
        <f t="shared" si="1"/>
        <v>0.99402691581972169</v>
      </c>
      <c r="Z16">
        <v>1</v>
      </c>
    </row>
    <row r="17" spans="1:26" ht="15.75" x14ac:dyDescent="0.25">
      <c r="A17">
        <v>2070</v>
      </c>
      <c r="B17" s="8">
        <v>2.872061</v>
      </c>
      <c r="E17" s="1">
        <v>2070</v>
      </c>
      <c r="F17" s="2">
        <v>2.8368220000000002</v>
      </c>
      <c r="I17">
        <v>2070</v>
      </c>
      <c r="J17" s="4">
        <v>2.8191996870161899</v>
      </c>
      <c r="K17">
        <v>2.8177295374292499</v>
      </c>
      <c r="M17">
        <f t="shared" si="0"/>
        <v>1.0124219989833694</v>
      </c>
      <c r="N17">
        <f t="shared" si="1"/>
        <v>0.99378800891144725</v>
      </c>
      <c r="Z17">
        <v>1</v>
      </c>
    </row>
    <row r="18" spans="1:26" ht="15.75" x14ac:dyDescent="0.25">
      <c r="A18">
        <v>2075</v>
      </c>
      <c r="B18" s="8">
        <v>2.554627</v>
      </c>
      <c r="E18" s="1">
        <v>2075</v>
      </c>
      <c r="F18" s="2">
        <v>2.5455625</v>
      </c>
      <c r="I18">
        <v>2075</v>
      </c>
      <c r="J18" s="4">
        <v>2.5335162473588899</v>
      </c>
      <c r="K18">
        <v>2.5322288279424301</v>
      </c>
      <c r="M18">
        <f t="shared" si="0"/>
        <v>1.0035609025510079</v>
      </c>
      <c r="N18">
        <f t="shared" si="1"/>
        <v>0.99526774430362241</v>
      </c>
      <c r="Z18">
        <v>1</v>
      </c>
    </row>
    <row r="19" spans="1:26" ht="15.75" x14ac:dyDescent="0.25">
      <c r="A19">
        <v>2080</v>
      </c>
      <c r="B19" s="8">
        <v>2.3924729999999998</v>
      </c>
      <c r="E19" s="1">
        <v>2080</v>
      </c>
      <c r="F19" s="2">
        <v>2.4044175000000001</v>
      </c>
      <c r="I19">
        <v>2080</v>
      </c>
      <c r="J19" s="4">
        <v>2.3973523319175398</v>
      </c>
      <c r="K19">
        <v>2.3964608781245902</v>
      </c>
      <c r="M19">
        <f t="shared" si="0"/>
        <v>0.9950322687303681</v>
      </c>
      <c r="N19">
        <f t="shared" si="1"/>
        <v>0.99706158847934678</v>
      </c>
      <c r="Z19">
        <v>1</v>
      </c>
    </row>
    <row r="20" spans="1:26" ht="15.75" x14ac:dyDescent="0.25">
      <c r="A20">
        <v>2085</v>
      </c>
      <c r="B20" s="8">
        <v>2.331661</v>
      </c>
      <c r="E20" s="1">
        <v>2085</v>
      </c>
      <c r="F20" s="2">
        <v>2.3557693999999998</v>
      </c>
      <c r="I20">
        <v>2085</v>
      </c>
      <c r="J20" s="4">
        <v>2.3521241507075299</v>
      </c>
      <c r="K20">
        <v>2.3515996012274298</v>
      </c>
      <c r="M20">
        <f t="shared" si="0"/>
        <v>0.98976623093924232</v>
      </c>
      <c r="N20">
        <f t="shared" si="1"/>
        <v>0.99845262898292597</v>
      </c>
      <c r="Z20">
        <v>1</v>
      </c>
    </row>
    <row r="21" spans="1:26" ht="15.75" x14ac:dyDescent="0.25">
      <c r="A21">
        <v>2090</v>
      </c>
      <c r="B21" s="8">
        <v>2.355604</v>
      </c>
      <c r="E21" s="1">
        <v>2090</v>
      </c>
      <c r="F21" s="2">
        <v>2.3804702999999998</v>
      </c>
      <c r="I21">
        <v>2090</v>
      </c>
      <c r="J21" s="4">
        <v>2.3789429711939598</v>
      </c>
      <c r="K21">
        <v>2.3786690012440501</v>
      </c>
      <c r="M21">
        <f t="shared" si="0"/>
        <v>0.98955403896448535</v>
      </c>
      <c r="N21">
        <f t="shared" si="1"/>
        <v>0.99935839199252352</v>
      </c>
      <c r="Z21">
        <v>1</v>
      </c>
    </row>
    <row r="22" spans="1:26" ht="15.75" x14ac:dyDescent="0.25">
      <c r="A22">
        <v>2095</v>
      </c>
      <c r="B22" s="8">
        <v>2.464925</v>
      </c>
      <c r="E22" s="1">
        <v>2095</v>
      </c>
      <c r="F22" s="2">
        <v>2.4845052000000001</v>
      </c>
      <c r="I22">
        <v>2095</v>
      </c>
      <c r="J22" s="4">
        <v>2.48325820784981</v>
      </c>
      <c r="K22">
        <v>2.48312210441253</v>
      </c>
      <c r="M22">
        <f t="shared" si="0"/>
        <v>0.99211907465518689</v>
      </c>
      <c r="N22">
        <f t="shared" si="1"/>
        <v>0.99949809235650222</v>
      </c>
      <c r="Z22">
        <v>1</v>
      </c>
    </row>
    <row r="23" spans="1:26" ht="15.75" x14ac:dyDescent="0.25">
      <c r="A23">
        <v>2100</v>
      </c>
      <c r="B23" s="8">
        <v>2.7063410000000001</v>
      </c>
      <c r="E23" s="1">
        <v>2100</v>
      </c>
      <c r="F23" s="2">
        <v>2.7174925999999999</v>
      </c>
      <c r="I23">
        <v>2100</v>
      </c>
      <c r="J23" s="4">
        <v>2.7166491432387501</v>
      </c>
      <c r="K23">
        <v>2.7164897774469798</v>
      </c>
      <c r="M23">
        <f t="shared" si="0"/>
        <v>0.99589636417041216</v>
      </c>
      <c r="N23">
        <f t="shared" si="1"/>
        <v>0.99968961948185253</v>
      </c>
      <c r="Z23">
        <v>1</v>
      </c>
    </row>
    <row r="24" spans="1:26" ht="15.75" x14ac:dyDescent="0.25">
      <c r="A24">
        <v>2105</v>
      </c>
      <c r="B24" s="8">
        <v>2.9541780000000002</v>
      </c>
      <c r="E24" s="1">
        <v>2105</v>
      </c>
      <c r="F24" s="2">
        <v>2.9518445</v>
      </c>
      <c r="I24">
        <v>2105</v>
      </c>
      <c r="J24" s="4">
        <v>2.9534435989109999</v>
      </c>
      <c r="K24">
        <v>2.9532949402012698</v>
      </c>
      <c r="M24">
        <f t="shared" si="0"/>
        <v>1.0007905226715026</v>
      </c>
      <c r="N24">
        <f t="shared" si="1"/>
        <v>1.0005417287092866</v>
      </c>
      <c r="Z24">
        <v>1</v>
      </c>
    </row>
    <row r="25" spans="1:26" ht="15.75" x14ac:dyDescent="0.25">
      <c r="A25">
        <v>2110</v>
      </c>
      <c r="B25" s="8">
        <v>3.1087790000000002</v>
      </c>
      <c r="E25" s="1">
        <v>2110</v>
      </c>
      <c r="F25" s="2">
        <v>3.0986612</v>
      </c>
      <c r="I25">
        <v>2110</v>
      </c>
      <c r="J25" s="4">
        <v>3.1015290314483499</v>
      </c>
      <c r="K25">
        <v>3.1015029475345099</v>
      </c>
      <c r="M25">
        <f t="shared" si="0"/>
        <v>1.0032652166038676</v>
      </c>
      <c r="N25">
        <f t="shared" si="1"/>
        <v>1.0009255066182614</v>
      </c>
      <c r="Z25">
        <v>1</v>
      </c>
    </row>
    <row r="26" spans="1:26" ht="15.75" x14ac:dyDescent="0.25">
      <c r="A26">
        <v>2115</v>
      </c>
      <c r="B26" s="8">
        <v>3.188739</v>
      </c>
      <c r="E26" s="1">
        <v>2115</v>
      </c>
      <c r="F26" s="2">
        <v>3.1753464</v>
      </c>
      <c r="I26">
        <v>2115</v>
      </c>
      <c r="J26" s="4">
        <v>3.1787630034413499</v>
      </c>
      <c r="K26">
        <v>3.1788597225814001</v>
      </c>
      <c r="M26">
        <f t="shared" si="0"/>
        <v>1.0042176815732609</v>
      </c>
      <c r="N26">
        <f t="shared" si="1"/>
        <v>1.0010759781803176</v>
      </c>
      <c r="Z26">
        <v>1</v>
      </c>
    </row>
    <row r="27" spans="1:26" ht="15.75" x14ac:dyDescent="0.25">
      <c r="A27">
        <v>2120</v>
      </c>
      <c r="B27" s="8">
        <v>3.2225630000000001</v>
      </c>
      <c r="E27" s="1">
        <v>2120</v>
      </c>
      <c r="F27" s="2">
        <v>3.2087142000000002</v>
      </c>
      <c r="I27">
        <v>2120</v>
      </c>
      <c r="J27" s="4">
        <v>3.2098248602880202</v>
      </c>
      <c r="K27">
        <v>3.2099789915285499</v>
      </c>
      <c r="M27">
        <f t="shared" si="0"/>
        <v>1.0043159967316504</v>
      </c>
      <c r="N27">
        <f t="shared" si="1"/>
        <v>1.000346138739318</v>
      </c>
      <c r="Z27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4F41E-3E40-4C79-ACD7-DA249F2B6EB3}">
  <dimension ref="A1:AC27"/>
  <sheetViews>
    <sheetView topLeftCell="A15" zoomScale="86" zoomScaleNormal="86" workbookViewId="0">
      <selection activeCell="R58" sqref="R58"/>
    </sheetView>
  </sheetViews>
  <sheetFormatPr defaultRowHeight="15" x14ac:dyDescent="0.25"/>
  <cols>
    <col min="1" max="1" width="13.7109375" customWidth="1"/>
    <col min="2" max="2" width="16.7109375" customWidth="1"/>
    <col min="5" max="5" width="14.5703125" customWidth="1"/>
    <col min="6" max="6" width="16.7109375" customWidth="1"/>
    <col min="8" max="8" width="13.5703125" customWidth="1"/>
    <col min="9" max="9" width="16.140625" customWidth="1"/>
    <col min="10" max="11" width="16.5703125" customWidth="1"/>
    <col min="12" max="12" width="13" customWidth="1"/>
    <col min="14" max="14" width="14.7109375" customWidth="1"/>
    <col min="26" max="26" width="11" customWidth="1"/>
  </cols>
  <sheetData>
    <row r="1" spans="1:29" x14ac:dyDescent="0.25">
      <c r="A1" t="s">
        <v>3</v>
      </c>
      <c r="F1" t="s">
        <v>4</v>
      </c>
      <c r="H1" t="s">
        <v>5</v>
      </c>
      <c r="I1" t="s">
        <v>11</v>
      </c>
      <c r="J1" t="s">
        <v>12</v>
      </c>
      <c r="L1" t="s">
        <v>8</v>
      </c>
      <c r="M1" t="s">
        <v>6</v>
      </c>
      <c r="N1" t="s">
        <v>9</v>
      </c>
      <c r="O1" t="s">
        <v>6</v>
      </c>
    </row>
    <row r="2" spans="1:29" x14ac:dyDescent="0.25">
      <c r="A2" t="s">
        <v>0</v>
      </c>
      <c r="B2" t="s">
        <v>7</v>
      </c>
      <c r="E2" t="s">
        <v>0</v>
      </c>
      <c r="F2" t="s">
        <v>7</v>
      </c>
      <c r="H2" t="s">
        <v>0</v>
      </c>
      <c r="I2" t="s">
        <v>7</v>
      </c>
    </row>
    <row r="3" spans="1:29" ht="15.75" x14ac:dyDescent="0.25">
      <c r="A3">
        <v>2000</v>
      </c>
      <c r="B3" s="9">
        <v>9.7542770000000001</v>
      </c>
      <c r="E3" s="1">
        <v>2000</v>
      </c>
      <c r="F3" s="3">
        <v>9.7383384999999993</v>
      </c>
      <c r="H3">
        <v>2000</v>
      </c>
      <c r="I3">
        <v>9.74437450096414</v>
      </c>
      <c r="J3">
        <v>9.7454682332532894</v>
      </c>
      <c r="L3">
        <f>B3/F3</f>
        <v>1.001636675496544</v>
      </c>
      <c r="M3">
        <f>1-L3</f>
        <v>-1.6366754965440045E-3</v>
      </c>
      <c r="N3">
        <f>I3/F3</f>
        <v>1.0006198183565032</v>
      </c>
      <c r="O3">
        <f>1-N3</f>
        <v>-6.1981835650315453E-4</v>
      </c>
      <c r="Z3">
        <v>2000</v>
      </c>
      <c r="AA3">
        <v>9.9948856493664504</v>
      </c>
      <c r="AB3">
        <f>AA3/F3</f>
        <v>1.0263440369593284</v>
      </c>
      <c r="AC3">
        <v>1</v>
      </c>
    </row>
    <row r="4" spans="1:29" ht="15.75" x14ac:dyDescent="0.25">
      <c r="A4">
        <v>2005</v>
      </c>
      <c r="B4" s="9">
        <v>9.1072780000000009</v>
      </c>
      <c r="E4" s="1">
        <v>2005</v>
      </c>
      <c r="F4" s="3">
        <v>9.0976809999999997</v>
      </c>
      <c r="H4">
        <v>2005</v>
      </c>
      <c r="I4">
        <v>9.0941728291478707</v>
      </c>
      <c r="J4">
        <v>9.0944475331268801</v>
      </c>
      <c r="L4">
        <f t="shared" ref="L4:L27" si="0">B4/F4</f>
        <v>1.0010548842062061</v>
      </c>
      <c r="M4">
        <f t="shared" ref="M4:M27" si="1">1-L4</f>
        <v>-1.0548842062061414E-3</v>
      </c>
      <c r="N4">
        <f t="shared" ref="N4:N27" si="2">I4/F4</f>
        <v>0.99961438845216388</v>
      </c>
      <c r="O4">
        <f t="shared" ref="O4:O27" si="3">1-N4</f>
        <v>3.8561154783611773E-4</v>
      </c>
      <c r="Z4">
        <v>2005</v>
      </c>
      <c r="AA4">
        <v>9.3620190587485403</v>
      </c>
      <c r="AC4">
        <v>1</v>
      </c>
    </row>
    <row r="5" spans="1:29" ht="15.75" x14ac:dyDescent="0.25">
      <c r="A5">
        <v>2010</v>
      </c>
      <c r="B5" s="9">
        <v>8.4826879999999996</v>
      </c>
      <c r="E5" s="1">
        <v>2010</v>
      </c>
      <c r="F5" s="3">
        <v>8.4868135000000002</v>
      </c>
      <c r="H5">
        <v>2010</v>
      </c>
      <c r="I5">
        <v>8.4790855357310395</v>
      </c>
      <c r="J5">
        <v>8.4785673659743406</v>
      </c>
      <c r="L5">
        <f t="shared" si="0"/>
        <v>0.99951389293519877</v>
      </c>
      <c r="M5">
        <f t="shared" si="1"/>
        <v>4.8610706480123334E-4</v>
      </c>
      <c r="N5">
        <f t="shared" si="2"/>
        <v>0.99908941509449212</v>
      </c>
      <c r="O5">
        <f t="shared" si="3"/>
        <v>9.1058490550788296E-4</v>
      </c>
      <c r="Z5">
        <v>2010</v>
      </c>
      <c r="AA5">
        <v>8.7288826132398398</v>
      </c>
      <c r="AC5">
        <v>1</v>
      </c>
    </row>
    <row r="6" spans="1:29" ht="15.75" x14ac:dyDescent="0.25">
      <c r="A6">
        <v>2015</v>
      </c>
      <c r="B6" s="9">
        <v>7.9458130000000002</v>
      </c>
      <c r="E6" s="1">
        <v>2015</v>
      </c>
      <c r="F6" s="3">
        <v>7.9639034000000004</v>
      </c>
      <c r="H6">
        <v>2015</v>
      </c>
      <c r="I6">
        <v>7.9572389941725596</v>
      </c>
      <c r="J6">
        <v>7.9563881033353097</v>
      </c>
      <c r="L6">
        <f t="shared" si="0"/>
        <v>0.99772845059873527</v>
      </c>
      <c r="M6">
        <f t="shared" si="1"/>
        <v>2.2715494012647275E-3</v>
      </c>
      <c r="N6">
        <f t="shared" si="2"/>
        <v>0.99916317344740258</v>
      </c>
      <c r="O6">
        <f t="shared" si="3"/>
        <v>8.36826552597425E-4</v>
      </c>
      <c r="Z6">
        <v>2015</v>
      </c>
      <c r="AA6">
        <v>8.1690720498836793</v>
      </c>
      <c r="AC6">
        <v>1</v>
      </c>
    </row>
    <row r="7" spans="1:29" ht="15.75" x14ac:dyDescent="0.25">
      <c r="A7">
        <v>2020</v>
      </c>
      <c r="B7" s="9">
        <v>7.5210340000000002</v>
      </c>
      <c r="E7" s="1">
        <v>2020</v>
      </c>
      <c r="F7" s="3">
        <v>7.5495143000000002</v>
      </c>
      <c r="H7">
        <v>2020</v>
      </c>
      <c r="I7">
        <v>7.54571001418328</v>
      </c>
      <c r="J7">
        <v>7.5449631355209101</v>
      </c>
      <c r="L7">
        <f t="shared" si="0"/>
        <v>0.99622753214733295</v>
      </c>
      <c r="M7">
        <f t="shared" si="1"/>
        <v>3.7724678526670496E-3</v>
      </c>
      <c r="N7">
        <f t="shared" si="2"/>
        <v>0.9994960886666947</v>
      </c>
      <c r="O7">
        <f t="shared" si="3"/>
        <v>5.0391133330529581E-4</v>
      </c>
      <c r="Z7">
        <v>2020</v>
      </c>
      <c r="AA7">
        <v>7.7139550573441902</v>
      </c>
      <c r="AC7">
        <v>1</v>
      </c>
    </row>
    <row r="8" spans="1:29" ht="15.75" x14ac:dyDescent="0.25">
      <c r="A8">
        <v>2025</v>
      </c>
      <c r="B8" s="9">
        <v>7.207052</v>
      </c>
      <c r="E8" s="1">
        <v>2025</v>
      </c>
      <c r="F8" s="3">
        <v>7.2407532000000003</v>
      </c>
      <c r="H8">
        <v>2025</v>
      </c>
      <c r="I8">
        <v>7.2388158590943199</v>
      </c>
      <c r="J8">
        <v>7.2383163365251697</v>
      </c>
      <c r="L8">
        <f t="shared" si="0"/>
        <v>0.99534562233111323</v>
      </c>
      <c r="M8">
        <f t="shared" si="1"/>
        <v>4.6543776688867666E-3</v>
      </c>
      <c r="N8">
        <f t="shared" si="2"/>
        <v>0.99973243931229694</v>
      </c>
      <c r="O8">
        <f t="shared" si="3"/>
        <v>2.6756068770306118E-4</v>
      </c>
      <c r="Z8">
        <v>2025</v>
      </c>
      <c r="AA8">
        <v>7.3670742331223504</v>
      </c>
      <c r="AC8">
        <v>1</v>
      </c>
    </row>
    <row r="9" spans="1:29" ht="15.75" x14ac:dyDescent="0.25">
      <c r="A9">
        <v>2030</v>
      </c>
      <c r="B9" s="9">
        <v>7.0072580000000002</v>
      </c>
      <c r="E9" s="1">
        <v>2030</v>
      </c>
      <c r="F9" s="3">
        <v>7.0395383999999996</v>
      </c>
      <c r="H9">
        <v>2030</v>
      </c>
      <c r="I9">
        <v>7.0396346486469001</v>
      </c>
      <c r="J9">
        <v>7.0392701183008102</v>
      </c>
      <c r="L9">
        <f t="shared" si="0"/>
        <v>0.99541441524063579</v>
      </c>
      <c r="M9">
        <f t="shared" si="1"/>
        <v>4.5855847593642141E-3</v>
      </c>
      <c r="N9">
        <f t="shared" si="2"/>
        <v>1.0000136725792845</v>
      </c>
      <c r="O9">
        <f t="shared" si="3"/>
        <v>-1.3672579284529363E-5</v>
      </c>
      <c r="Z9">
        <v>2030</v>
      </c>
      <c r="AA9">
        <v>7.1262645043818296</v>
      </c>
      <c r="AC9">
        <v>1</v>
      </c>
    </row>
    <row r="10" spans="1:29" ht="15.75" x14ac:dyDescent="0.25">
      <c r="A10">
        <v>2035</v>
      </c>
      <c r="B10" s="9">
        <v>6.838679</v>
      </c>
      <c r="E10" s="1">
        <v>2035</v>
      </c>
      <c r="F10" s="3">
        <v>6.8597473999999998</v>
      </c>
      <c r="H10">
        <v>2035</v>
      </c>
      <c r="I10">
        <v>6.8648779416643997</v>
      </c>
      <c r="J10">
        <v>6.8646035561945498</v>
      </c>
      <c r="L10">
        <f t="shared" si="0"/>
        <v>0.99692869157252062</v>
      </c>
      <c r="M10">
        <f t="shared" si="1"/>
        <v>3.07130842747938E-3</v>
      </c>
      <c r="N10">
        <f t="shared" si="2"/>
        <v>1.0007479199109284</v>
      </c>
      <c r="O10">
        <f t="shared" si="3"/>
        <v>-7.4791991092837407E-4</v>
      </c>
      <c r="Z10">
        <v>2035</v>
      </c>
      <c r="AA10">
        <v>6.9442433618745998</v>
      </c>
      <c r="AC10">
        <v>1</v>
      </c>
    </row>
    <row r="11" spans="1:29" ht="15.75" x14ac:dyDescent="0.25">
      <c r="A11">
        <v>2040</v>
      </c>
      <c r="B11" s="9">
        <v>6.590643</v>
      </c>
      <c r="E11" s="1">
        <v>2040</v>
      </c>
      <c r="F11" s="3">
        <v>6.5907011000000004</v>
      </c>
      <c r="H11">
        <v>2040</v>
      </c>
      <c r="I11">
        <v>6.6059644665730701</v>
      </c>
      <c r="J11">
        <v>6.6059576098162696</v>
      </c>
      <c r="L11">
        <f t="shared" si="0"/>
        <v>0.99999118454939484</v>
      </c>
      <c r="M11">
        <f t="shared" si="1"/>
        <v>8.8154506051596471E-6</v>
      </c>
      <c r="N11">
        <f t="shared" si="2"/>
        <v>1.0023158942184571</v>
      </c>
      <c r="O11">
        <f t="shared" si="3"/>
        <v>-2.3158942184571263E-3</v>
      </c>
      <c r="Z11">
        <v>2040</v>
      </c>
      <c r="AA11">
        <v>6.7232125440646104</v>
      </c>
      <c r="AC11">
        <v>1</v>
      </c>
    </row>
    <row r="12" spans="1:29" ht="15.75" x14ac:dyDescent="0.25">
      <c r="A12">
        <v>2045</v>
      </c>
      <c r="B12" s="9">
        <v>6.1968670000000001</v>
      </c>
      <c r="E12" s="1">
        <v>2045</v>
      </c>
      <c r="F12" s="3">
        <v>6.1708373999999999</v>
      </c>
      <c r="H12">
        <v>2045</v>
      </c>
      <c r="I12">
        <v>6.1960570427117503</v>
      </c>
      <c r="J12">
        <v>6.1967217797282501</v>
      </c>
      <c r="L12">
        <f t="shared" si="0"/>
        <v>1.0042181633241545</v>
      </c>
      <c r="M12">
        <f t="shared" si="1"/>
        <v>-4.218163324154478E-3</v>
      </c>
      <c r="N12">
        <f t="shared" si="2"/>
        <v>1.0040869076718422</v>
      </c>
      <c r="O12">
        <f t="shared" si="3"/>
        <v>-4.086907671842166E-3</v>
      </c>
      <c r="Z12">
        <v>2045</v>
      </c>
      <c r="AA12">
        <v>6.3778996859847696</v>
      </c>
      <c r="AC12">
        <v>1</v>
      </c>
    </row>
    <row r="13" spans="1:29" ht="15.75" x14ac:dyDescent="0.25">
      <c r="A13">
        <v>2050</v>
      </c>
      <c r="B13" s="9">
        <v>5.6435890000000004</v>
      </c>
      <c r="E13" s="1">
        <v>2050</v>
      </c>
      <c r="F13" s="3">
        <v>5.5922159999999996</v>
      </c>
      <c r="H13">
        <v>2050</v>
      </c>
      <c r="I13">
        <v>5.6157239085271504</v>
      </c>
      <c r="J13">
        <v>5.6172123649983403</v>
      </c>
      <c r="L13">
        <f t="shared" si="0"/>
        <v>1.0091865192617739</v>
      </c>
      <c r="M13">
        <f t="shared" si="1"/>
        <v>-9.18651926177394E-3</v>
      </c>
      <c r="N13">
        <f t="shared" si="2"/>
        <v>1.0042036839290811</v>
      </c>
      <c r="O13">
        <f t="shared" si="3"/>
        <v>-4.2036839290811034E-3</v>
      </c>
      <c r="Z13">
        <v>2050</v>
      </c>
      <c r="AA13">
        <v>5.8790901640007496</v>
      </c>
      <c r="AC13">
        <v>1</v>
      </c>
    </row>
    <row r="14" spans="1:29" ht="15.75" x14ac:dyDescent="0.25">
      <c r="A14">
        <v>2055</v>
      </c>
      <c r="B14" s="9">
        <v>4.9100590000000004</v>
      </c>
      <c r="E14" s="1">
        <v>2055</v>
      </c>
      <c r="F14" s="3">
        <v>4.8457575000000004</v>
      </c>
      <c r="H14">
        <v>2055</v>
      </c>
      <c r="I14">
        <v>4.8515386730752903</v>
      </c>
      <c r="J14">
        <v>4.8530513982223296</v>
      </c>
      <c r="L14">
        <f t="shared" si="0"/>
        <v>1.0132696487597657</v>
      </c>
      <c r="M14">
        <f t="shared" si="1"/>
        <v>-1.3269648759765662E-2</v>
      </c>
      <c r="N14">
        <f t="shared" si="2"/>
        <v>1.0011930380493226</v>
      </c>
      <c r="O14">
        <f t="shared" si="3"/>
        <v>-1.1930380493225812E-3</v>
      </c>
      <c r="Z14">
        <v>2055</v>
      </c>
      <c r="AA14">
        <v>5.1842031620691396</v>
      </c>
      <c r="AC14">
        <v>1</v>
      </c>
    </row>
    <row r="15" spans="1:29" ht="15.75" x14ac:dyDescent="0.25">
      <c r="A15">
        <v>2060</v>
      </c>
      <c r="B15" s="9">
        <v>4.0950839999999999</v>
      </c>
      <c r="E15" s="1">
        <v>2060</v>
      </c>
      <c r="F15" s="3">
        <v>4.0360541000000003</v>
      </c>
      <c r="H15">
        <v>2060</v>
      </c>
      <c r="I15">
        <v>4.0235007720274698</v>
      </c>
      <c r="J15">
        <v>4.0238436509515001</v>
      </c>
      <c r="L15">
        <f t="shared" si="0"/>
        <v>1.0146256463707957</v>
      </c>
      <c r="M15">
        <f t="shared" si="1"/>
        <v>-1.4625646370795664E-2</v>
      </c>
      <c r="N15">
        <f t="shared" si="2"/>
        <v>0.99688970274889765</v>
      </c>
      <c r="O15">
        <f t="shared" si="3"/>
        <v>3.1102972511023452E-3</v>
      </c>
      <c r="Z15">
        <v>2060</v>
      </c>
      <c r="AA15">
        <v>4.36358326062303</v>
      </c>
      <c r="AC15">
        <v>1</v>
      </c>
    </row>
    <row r="16" spans="1:29" ht="15.75" x14ac:dyDescent="0.25">
      <c r="A16">
        <v>2065</v>
      </c>
      <c r="B16" s="9">
        <v>3.3753899999999999</v>
      </c>
      <c r="E16" s="1">
        <v>2065</v>
      </c>
      <c r="F16" s="3">
        <v>3.3331024999999999</v>
      </c>
      <c r="H16">
        <v>2065</v>
      </c>
      <c r="I16">
        <v>3.3130439940674501</v>
      </c>
      <c r="J16">
        <v>3.3120793009602401</v>
      </c>
      <c r="L16">
        <f t="shared" si="0"/>
        <v>1.0126871285836545</v>
      </c>
      <c r="M16">
        <f t="shared" si="1"/>
        <v>-1.2687128583654506E-2</v>
      </c>
      <c r="N16">
        <f t="shared" si="2"/>
        <v>0.9939820314759148</v>
      </c>
      <c r="O16">
        <f t="shared" si="3"/>
        <v>6.0179685240852043E-3</v>
      </c>
      <c r="Z16">
        <v>2065</v>
      </c>
      <c r="AA16">
        <v>3.5957781620136902</v>
      </c>
      <c r="AC16">
        <v>1</v>
      </c>
    </row>
    <row r="17" spans="1:29" ht="15.75" x14ac:dyDescent="0.25">
      <c r="A17">
        <v>2070</v>
      </c>
      <c r="B17" s="9">
        <v>2.8612250000000001</v>
      </c>
      <c r="E17" s="1">
        <v>2070</v>
      </c>
      <c r="F17" s="3">
        <v>2.8375463000000001</v>
      </c>
      <c r="H17">
        <v>2070</v>
      </c>
      <c r="I17">
        <v>2.8197992202227899</v>
      </c>
      <c r="J17">
        <v>2.8183328446003899</v>
      </c>
      <c r="L17">
        <f t="shared" si="0"/>
        <v>1.0083447801362748</v>
      </c>
      <c r="M17">
        <f t="shared" si="1"/>
        <v>-8.3447801362748208E-3</v>
      </c>
      <c r="N17">
        <f t="shared" si="2"/>
        <v>0.99374562459924964</v>
      </c>
      <c r="O17">
        <f t="shared" si="3"/>
        <v>6.254375400750356E-3</v>
      </c>
      <c r="Z17">
        <v>2070</v>
      </c>
      <c r="AA17">
        <v>3.01324368767024</v>
      </c>
      <c r="AC17">
        <v>1</v>
      </c>
    </row>
    <row r="18" spans="1:29" ht="15.75" x14ac:dyDescent="0.25">
      <c r="A18">
        <v>2075</v>
      </c>
      <c r="B18" s="9">
        <v>2.554503</v>
      </c>
      <c r="E18" s="1">
        <v>2075</v>
      </c>
      <c r="F18" s="3">
        <v>2.5461018000000002</v>
      </c>
      <c r="H18">
        <v>2075</v>
      </c>
      <c r="I18">
        <v>2.5339470321103499</v>
      </c>
      <c r="J18">
        <v>2.5326513751012998</v>
      </c>
      <c r="L18">
        <f t="shared" si="0"/>
        <v>1.0032996324027577</v>
      </c>
      <c r="M18">
        <f t="shared" si="1"/>
        <v>-3.2996324027576573E-3</v>
      </c>
      <c r="N18">
        <f t="shared" si="2"/>
        <v>0.99522612650851183</v>
      </c>
      <c r="O18">
        <f t="shared" si="3"/>
        <v>4.7738734914881675E-3</v>
      </c>
      <c r="Z18">
        <v>2075</v>
      </c>
      <c r="AA18">
        <v>2.6424426649498098</v>
      </c>
      <c r="AC18">
        <v>1</v>
      </c>
    </row>
    <row r="19" spans="1:29" ht="15.75" x14ac:dyDescent="0.25">
      <c r="A19">
        <v>2080</v>
      </c>
      <c r="B19" s="9">
        <v>2.402847</v>
      </c>
      <c r="E19" s="1">
        <v>2080</v>
      </c>
      <c r="F19" s="3">
        <v>2.4047326999999998</v>
      </c>
      <c r="H19">
        <v>2080</v>
      </c>
      <c r="I19">
        <v>2.3976089692912801</v>
      </c>
      <c r="J19">
        <v>2.3967291034279001</v>
      </c>
      <c r="L19">
        <f t="shared" si="0"/>
        <v>0.99921583800145442</v>
      </c>
      <c r="M19">
        <f t="shared" si="1"/>
        <v>7.8416199854558499E-4</v>
      </c>
      <c r="N19">
        <f t="shared" si="2"/>
        <v>0.99703762056018963</v>
      </c>
      <c r="O19">
        <f t="shared" si="3"/>
        <v>2.9623794398103698E-3</v>
      </c>
      <c r="Z19">
        <v>2080</v>
      </c>
      <c r="AA19">
        <v>2.4467021318661701</v>
      </c>
      <c r="AC19">
        <v>1</v>
      </c>
    </row>
    <row r="20" spans="1:29" ht="15.75" x14ac:dyDescent="0.25">
      <c r="A20">
        <v>2085</v>
      </c>
      <c r="B20" s="9">
        <v>2.3485619999999998</v>
      </c>
      <c r="E20" s="1">
        <v>2085</v>
      </c>
      <c r="F20" s="3">
        <v>2.3560468999999999</v>
      </c>
      <c r="H20">
        <v>2085</v>
      </c>
      <c r="I20">
        <v>2.3523822090652899</v>
      </c>
      <c r="J20">
        <v>2.3518598371496902</v>
      </c>
      <c r="L20">
        <f t="shared" si="0"/>
        <v>0.99682311077933117</v>
      </c>
      <c r="M20">
        <f t="shared" si="1"/>
        <v>3.1768892206688326E-3</v>
      </c>
      <c r="N20">
        <f t="shared" si="2"/>
        <v>0.99844455942930932</v>
      </c>
      <c r="O20">
        <f t="shared" si="3"/>
        <v>1.5554405706906804E-3</v>
      </c>
      <c r="Z20">
        <v>2085</v>
      </c>
      <c r="AA20">
        <v>2.36573506942071</v>
      </c>
      <c r="AC20">
        <v>1</v>
      </c>
    </row>
    <row r="21" spans="1:29" ht="15.75" x14ac:dyDescent="0.25">
      <c r="A21">
        <v>2090</v>
      </c>
      <c r="B21" s="9">
        <v>2.3712970000000002</v>
      </c>
      <c r="E21" s="1">
        <v>2090</v>
      </c>
      <c r="F21" s="3">
        <v>2.3806419000000001</v>
      </c>
      <c r="H21">
        <v>2090</v>
      </c>
      <c r="I21">
        <v>2.3791009746410801</v>
      </c>
      <c r="J21">
        <v>2.37882450113521</v>
      </c>
      <c r="L21">
        <f t="shared" si="0"/>
        <v>0.9960746301239175</v>
      </c>
      <c r="M21">
        <f t="shared" si="1"/>
        <v>3.9253698760824962E-3</v>
      </c>
      <c r="N21">
        <f t="shared" si="2"/>
        <v>0.99935272694355248</v>
      </c>
      <c r="O21">
        <f t="shared" si="3"/>
        <v>6.4727305644751709E-4</v>
      </c>
      <c r="Z21">
        <v>2090</v>
      </c>
      <c r="AA21">
        <v>2.3654123913084901</v>
      </c>
      <c r="AC21">
        <v>1</v>
      </c>
    </row>
    <row r="22" spans="1:29" ht="15.75" x14ac:dyDescent="0.25">
      <c r="A22">
        <v>2095</v>
      </c>
      <c r="B22" s="9">
        <v>2.4743140000000001</v>
      </c>
      <c r="E22" s="1">
        <v>2095</v>
      </c>
      <c r="F22" s="3">
        <v>2.4849806000000001</v>
      </c>
      <c r="H22">
        <v>2095</v>
      </c>
      <c r="I22">
        <v>2.4837402801402302</v>
      </c>
      <c r="J22">
        <v>2.4836009156823402</v>
      </c>
      <c r="L22">
        <f t="shared" si="0"/>
        <v>0.99570757212350069</v>
      </c>
      <c r="M22">
        <f t="shared" si="1"/>
        <v>4.2924278764993051E-3</v>
      </c>
      <c r="N22">
        <f t="shared" si="2"/>
        <v>0.99950087342341021</v>
      </c>
      <c r="O22">
        <f t="shared" si="3"/>
        <v>4.9912657658979231E-4</v>
      </c>
      <c r="Z22">
        <v>2095</v>
      </c>
      <c r="AA22">
        <v>2.43594473696611</v>
      </c>
      <c r="AC22">
        <v>1</v>
      </c>
    </row>
    <row r="23" spans="1:29" ht="15.75" x14ac:dyDescent="0.25">
      <c r="A23">
        <v>2100</v>
      </c>
      <c r="B23" s="9">
        <v>2.7073209999999999</v>
      </c>
      <c r="E23" s="1">
        <v>2100</v>
      </c>
      <c r="F23" s="3">
        <v>2.7171121</v>
      </c>
      <c r="H23">
        <v>2100</v>
      </c>
      <c r="I23">
        <v>2.7165530584353199</v>
      </c>
      <c r="J23">
        <v>2.71643303346054</v>
      </c>
      <c r="L23">
        <f t="shared" si="0"/>
        <v>0.99639650495097343</v>
      </c>
      <c r="M23">
        <f t="shared" si="1"/>
        <v>3.6034950490265727E-3</v>
      </c>
      <c r="N23">
        <f t="shared" si="2"/>
        <v>0.99979425156412205</v>
      </c>
      <c r="O23">
        <f t="shared" si="3"/>
        <v>2.0574843587795044E-4</v>
      </c>
      <c r="Z23">
        <v>2100</v>
      </c>
      <c r="AA23">
        <v>2.6193046473037298</v>
      </c>
      <c r="AC23">
        <v>1</v>
      </c>
    </row>
    <row r="24" spans="1:29" ht="15.75" x14ac:dyDescent="0.25">
      <c r="A24">
        <v>2105</v>
      </c>
      <c r="B24" s="9">
        <v>2.9493960000000001</v>
      </c>
      <c r="E24" s="1">
        <v>2105</v>
      </c>
      <c r="F24" s="3">
        <v>2.9515278</v>
      </c>
      <c r="H24">
        <v>2105</v>
      </c>
      <c r="I24">
        <v>2.95300375873475</v>
      </c>
      <c r="J24">
        <v>2.9529273192207399</v>
      </c>
      <c r="L24">
        <f t="shared" si="0"/>
        <v>0.99927772999461506</v>
      </c>
      <c r="M24">
        <f t="shared" si="1"/>
        <v>7.2227000538493957E-4</v>
      </c>
      <c r="N24">
        <f t="shared" si="2"/>
        <v>1.0005000660114907</v>
      </c>
      <c r="O24">
        <f t="shared" si="3"/>
        <v>-5.0006601149066299E-4</v>
      </c>
      <c r="Z24">
        <v>2105</v>
      </c>
      <c r="AA24">
        <v>2.8581938154253002</v>
      </c>
      <c r="AC24">
        <v>1</v>
      </c>
    </row>
    <row r="25" spans="1:29" ht="15.75" x14ac:dyDescent="0.25">
      <c r="A25">
        <v>2110</v>
      </c>
      <c r="B25" s="9">
        <v>3.1001569999999998</v>
      </c>
      <c r="E25" s="1">
        <v>2110</v>
      </c>
      <c r="F25" s="3">
        <v>3.0984324999999999</v>
      </c>
      <c r="H25">
        <v>2110</v>
      </c>
      <c r="I25">
        <v>3.10133320223526</v>
      </c>
      <c r="J25">
        <v>3.1013165758928301</v>
      </c>
      <c r="L25">
        <f t="shared" si="0"/>
        <v>1.000556571750393</v>
      </c>
      <c r="M25">
        <f t="shared" si="1"/>
        <v>-5.5657175039303119E-4</v>
      </c>
      <c r="N25">
        <f t="shared" si="2"/>
        <v>1.0009361837752671</v>
      </c>
      <c r="O25">
        <f t="shared" si="3"/>
        <v>-9.361837752670521E-4</v>
      </c>
      <c r="Z25">
        <v>2110</v>
      </c>
      <c r="AA25">
        <v>3.03732810977719</v>
      </c>
      <c r="AC25">
        <v>1</v>
      </c>
    </row>
    <row r="26" spans="1:29" ht="15.75" x14ac:dyDescent="0.25">
      <c r="A26">
        <v>2115</v>
      </c>
      <c r="B26" s="9">
        <v>3.1774300000000002</v>
      </c>
      <c r="E26" s="1">
        <v>2115</v>
      </c>
      <c r="F26" s="3">
        <v>3.1750984</v>
      </c>
      <c r="H26">
        <v>2115</v>
      </c>
      <c r="I26">
        <v>3.1785216738476798</v>
      </c>
      <c r="J26">
        <v>3.1785883954779002</v>
      </c>
      <c r="L26">
        <f t="shared" si="0"/>
        <v>1.0007343394459838</v>
      </c>
      <c r="M26">
        <f t="shared" si="1"/>
        <v>-7.3433944598377821E-4</v>
      </c>
      <c r="N26">
        <f t="shared" si="2"/>
        <v>1.0010781630728924</v>
      </c>
      <c r="O26">
        <f t="shared" si="3"/>
        <v>-1.0781630728924352E-3</v>
      </c>
      <c r="Z26">
        <v>2115</v>
      </c>
      <c r="AA26">
        <v>3.14474103101404</v>
      </c>
      <c r="AC26">
        <v>1</v>
      </c>
    </row>
    <row r="27" spans="1:29" ht="15.75" x14ac:dyDescent="0.25">
      <c r="A27">
        <v>2120</v>
      </c>
      <c r="B27" s="9">
        <v>3.2113369999999999</v>
      </c>
      <c r="E27" s="1">
        <v>2120</v>
      </c>
      <c r="F27" s="3">
        <v>3.2088971000000002</v>
      </c>
      <c r="H27">
        <v>2120</v>
      </c>
      <c r="I27">
        <v>3.2100399993684099</v>
      </c>
      <c r="J27">
        <v>3.2101897305240401</v>
      </c>
      <c r="L27">
        <f t="shared" si="0"/>
        <v>1.000760354702555</v>
      </c>
      <c r="M27">
        <f t="shared" si="1"/>
        <v>-7.6035470255497728E-4</v>
      </c>
      <c r="N27">
        <f t="shared" si="2"/>
        <v>1.0003561657893019</v>
      </c>
      <c r="O27">
        <f t="shared" si="3"/>
        <v>-3.5616578930186549E-4</v>
      </c>
      <c r="Z27">
        <v>2120</v>
      </c>
      <c r="AA27">
        <v>3.19275890614994</v>
      </c>
      <c r="AC27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26F8-763C-45B0-A8A4-863201A1A181}">
  <dimension ref="A1:AG27"/>
  <sheetViews>
    <sheetView topLeftCell="I7" zoomScale="112" zoomScaleNormal="112" workbookViewId="0">
      <selection activeCell="J3" sqref="J3:J27"/>
    </sheetView>
  </sheetViews>
  <sheetFormatPr defaultRowHeight="15" x14ac:dyDescent="0.25"/>
  <cols>
    <col min="1" max="1" width="13.5703125" customWidth="1"/>
    <col min="4" max="4" width="16.7109375" customWidth="1"/>
    <col min="6" max="6" width="14.42578125" style="1" customWidth="1"/>
    <col min="7" max="7" width="17.42578125" customWidth="1"/>
    <col min="8" max="8" width="12.7109375" customWidth="1"/>
    <col min="9" max="9" width="15.140625" customWidth="1"/>
    <col min="10" max="10" width="17.5703125" customWidth="1"/>
    <col min="11" max="11" width="13.5703125" customWidth="1"/>
    <col min="12" max="13" width="13.140625" customWidth="1"/>
    <col min="14" max="14" width="13.42578125" customWidth="1"/>
    <col min="26" max="26" width="11.5703125" customWidth="1"/>
    <col min="27" max="27" width="14.5703125" customWidth="1"/>
    <col min="28" max="28" width="15" customWidth="1"/>
    <col min="31" max="31" width="45" customWidth="1"/>
    <col min="33" max="33" width="12.85546875" style="7" bestFit="1" customWidth="1"/>
  </cols>
  <sheetData>
    <row r="1" spans="1:33" x14ac:dyDescent="0.25">
      <c r="B1" t="s">
        <v>3</v>
      </c>
      <c r="G1" t="s">
        <v>4</v>
      </c>
      <c r="J1" t="s">
        <v>5</v>
      </c>
      <c r="L1" t="s">
        <v>8</v>
      </c>
      <c r="M1" t="s">
        <v>6</v>
      </c>
      <c r="N1" t="s">
        <v>9</v>
      </c>
      <c r="O1" t="s">
        <v>6</v>
      </c>
      <c r="AB1" t="s">
        <v>10</v>
      </c>
    </row>
    <row r="2" spans="1:33" x14ac:dyDescent="0.25">
      <c r="A2" t="s">
        <v>0</v>
      </c>
      <c r="B2" t="s">
        <v>1</v>
      </c>
      <c r="C2" t="s">
        <v>2</v>
      </c>
      <c r="D2" t="s">
        <v>7</v>
      </c>
      <c r="F2" t="s">
        <v>0</v>
      </c>
      <c r="G2" t="s">
        <v>7</v>
      </c>
      <c r="I2" t="s">
        <v>0</v>
      </c>
      <c r="J2" t="s">
        <v>7</v>
      </c>
    </row>
    <row r="3" spans="1:33" x14ac:dyDescent="0.25">
      <c r="A3">
        <v>2000</v>
      </c>
      <c r="B3">
        <v>796.83476499999995</v>
      </c>
      <c r="C3">
        <f t="shared" ref="C3:C27" si="0">B3*4*PI()/(0.0064886478302)</f>
        <v>1543206.1097215004</v>
      </c>
      <c r="D3">
        <f>C3/(4000*PI())/(4*PI())</f>
        <v>9.7724668525668648</v>
      </c>
      <c r="F3" s="1">
        <v>2000</v>
      </c>
      <c r="G3" s="2">
        <v>9.7562245999999995</v>
      </c>
      <c r="H3" s="2"/>
      <c r="I3">
        <v>2000</v>
      </c>
      <c r="J3">
        <v>9.7557956192882092</v>
      </c>
      <c r="L3">
        <f>D3/G3</f>
        <v>1.0016648092097906</v>
      </c>
      <c r="M3">
        <f>1-L3</f>
        <v>-1.6648092097906186E-3</v>
      </c>
      <c r="N3">
        <f>J3/G3</f>
        <v>0.99995603004959621</v>
      </c>
      <c r="O3">
        <f>1-N3</f>
        <v>4.396995040378826E-5</v>
      </c>
      <c r="Z3">
        <v>1</v>
      </c>
      <c r="AA3">
        <v>2000</v>
      </c>
      <c r="AB3">
        <v>9.9948856493664504</v>
      </c>
      <c r="AC3">
        <f>AB3/G3</f>
        <v>1.0244624390224115</v>
      </c>
      <c r="AE3" s="6">
        <v>2000</v>
      </c>
      <c r="AF3" s="6">
        <v>0</v>
      </c>
      <c r="AG3" s="7">
        <v>9.7559232999999992</v>
      </c>
    </row>
    <row r="4" spans="1:33" x14ac:dyDescent="0.25">
      <c r="A4">
        <v>2005</v>
      </c>
      <c r="B4">
        <v>743.92778799999996</v>
      </c>
      <c r="C4">
        <f t="shared" si="0"/>
        <v>1440742.7462495328</v>
      </c>
      <c r="D4">
        <f t="shared" ref="D4:D27" si="1">C4/(4000*PI())/(4*PI())</f>
        <v>9.1236100233821862</v>
      </c>
      <c r="F4" s="1">
        <v>2005</v>
      </c>
      <c r="G4" s="2">
        <v>9.1099663</v>
      </c>
      <c r="H4" s="2"/>
      <c r="I4">
        <v>2005</v>
      </c>
      <c r="J4">
        <v>9.1098311965109406</v>
      </c>
      <c r="L4">
        <f t="shared" ref="L4:L27" si="2">D4/G4</f>
        <v>1.0014976700168678</v>
      </c>
      <c r="M4">
        <f t="shared" ref="M4:M27" si="3">1-L4</f>
        <v>-1.497670016867847E-3</v>
      </c>
      <c r="N4">
        <f t="shared" ref="N4:N27" si="4">J4/G4</f>
        <v>0.99998516970484741</v>
      </c>
      <c r="O4">
        <f t="shared" ref="O4:O27" si="5">1-N4</f>
        <v>1.4830295152590267E-5</v>
      </c>
      <c r="Z4">
        <v>1</v>
      </c>
      <c r="AA4">
        <v>2005</v>
      </c>
      <c r="AB4">
        <v>9.3620190587485403</v>
      </c>
      <c r="AC4">
        <f t="shared" ref="AC4:AC27" si="6">AB4/G4</f>
        <v>1.027667803639245</v>
      </c>
      <c r="AE4" s="6">
        <v>2005</v>
      </c>
      <c r="AF4" s="6">
        <v>0</v>
      </c>
      <c r="AG4" s="7">
        <v>9.1099501000000007</v>
      </c>
    </row>
    <row r="5" spans="1:33" x14ac:dyDescent="0.25">
      <c r="A5">
        <v>2010</v>
      </c>
      <c r="B5">
        <v>692.82857899999999</v>
      </c>
      <c r="C5">
        <f t="shared" si="0"/>
        <v>1341780.4331145934</v>
      </c>
      <c r="D5">
        <f t="shared" si="1"/>
        <v>8.4969238544562042</v>
      </c>
      <c r="F5" s="1">
        <v>2010</v>
      </c>
      <c r="G5" s="2">
        <v>8.4885712000000009</v>
      </c>
      <c r="H5" s="2"/>
      <c r="I5">
        <v>2010</v>
      </c>
      <c r="J5">
        <v>8.4887035044750192</v>
      </c>
      <c r="L5">
        <f t="shared" si="2"/>
        <v>1.0009839882660352</v>
      </c>
      <c r="M5">
        <f t="shared" si="3"/>
        <v>-9.8398826603518508E-4</v>
      </c>
      <c r="N5">
        <f t="shared" si="4"/>
        <v>1.0000155861889948</v>
      </c>
      <c r="O5">
        <f t="shared" si="5"/>
        <v>-1.5586188994776151E-5</v>
      </c>
      <c r="Z5">
        <v>1</v>
      </c>
      <c r="AA5">
        <v>2010</v>
      </c>
      <c r="AB5">
        <v>8.7288826132398398</v>
      </c>
      <c r="AC5">
        <f t="shared" si="6"/>
        <v>1.0283099955902872</v>
      </c>
      <c r="AE5" s="6">
        <v>2010</v>
      </c>
      <c r="AF5" s="6">
        <v>0</v>
      </c>
      <c r="AG5" s="7">
        <v>8.4887142000000004</v>
      </c>
    </row>
    <row r="6" spans="1:33" x14ac:dyDescent="0.25">
      <c r="A6">
        <v>2015</v>
      </c>
      <c r="B6">
        <v>649.22914000000003</v>
      </c>
      <c r="C6">
        <f t="shared" si="0"/>
        <v>1257342.7007257086</v>
      </c>
      <c r="D6">
        <f t="shared" si="1"/>
        <v>7.9622156675989055</v>
      </c>
      <c r="F6" s="1">
        <v>2015</v>
      </c>
      <c r="G6" s="2">
        <v>7.9582233000000002</v>
      </c>
      <c r="H6" s="2"/>
      <c r="I6">
        <v>2015</v>
      </c>
      <c r="J6">
        <v>7.9583188960661797</v>
      </c>
      <c r="L6">
        <f t="shared" si="2"/>
        <v>1.0005016656920025</v>
      </c>
      <c r="M6">
        <f t="shared" si="3"/>
        <v>-5.0166569200249533E-4</v>
      </c>
      <c r="N6">
        <f t="shared" si="4"/>
        <v>1.0000120122372262</v>
      </c>
      <c r="O6">
        <f t="shared" si="5"/>
        <v>-1.2012237226244338E-5</v>
      </c>
      <c r="Z6">
        <v>1</v>
      </c>
      <c r="AA6">
        <v>2015</v>
      </c>
      <c r="AB6">
        <v>8.1690720498836793</v>
      </c>
      <c r="AC6">
        <f t="shared" si="6"/>
        <v>1.0264944500720004</v>
      </c>
      <c r="AE6" s="6">
        <v>2015</v>
      </c>
      <c r="AF6" s="6">
        <v>0</v>
      </c>
      <c r="AG6" s="7">
        <v>7.9582167000000004</v>
      </c>
    </row>
    <row r="7" spans="1:33" x14ac:dyDescent="0.25">
      <c r="A7">
        <v>2020</v>
      </c>
      <c r="B7">
        <v>615.17547100000002</v>
      </c>
      <c r="C7">
        <f t="shared" si="0"/>
        <v>1191391.9762248346</v>
      </c>
      <c r="D7">
        <f t="shared" si="1"/>
        <v>7.5445778258177629</v>
      </c>
      <c r="F7" s="1">
        <v>2020</v>
      </c>
      <c r="G7" s="2">
        <v>7.5426159000000004</v>
      </c>
      <c r="H7" s="2"/>
      <c r="I7">
        <v>2020</v>
      </c>
      <c r="J7">
        <v>7.5427763835317698</v>
      </c>
      <c r="L7">
        <f t="shared" si="2"/>
        <v>1.0002601121207515</v>
      </c>
      <c r="M7">
        <f t="shared" si="3"/>
        <v>-2.6011212075149892E-4</v>
      </c>
      <c r="N7">
        <f t="shared" si="4"/>
        <v>1.000021276906301</v>
      </c>
      <c r="O7">
        <f t="shared" si="5"/>
        <v>-2.1276906301048726E-5</v>
      </c>
      <c r="Z7">
        <v>1</v>
      </c>
      <c r="AA7">
        <v>2020</v>
      </c>
      <c r="AB7">
        <v>7.7139550573441902</v>
      </c>
      <c r="AC7">
        <f t="shared" si="6"/>
        <v>1.0227161451167346</v>
      </c>
      <c r="AE7" s="6">
        <v>2020</v>
      </c>
      <c r="AF7" s="6">
        <v>0</v>
      </c>
      <c r="AG7" s="7">
        <v>7.5425314999999999</v>
      </c>
    </row>
    <row r="8" spans="1:33" x14ac:dyDescent="0.25">
      <c r="A8">
        <v>2025</v>
      </c>
      <c r="B8">
        <v>590.19177300000001</v>
      </c>
      <c r="C8">
        <f t="shared" si="0"/>
        <v>1143006.7938877703</v>
      </c>
      <c r="D8">
        <f t="shared" si="1"/>
        <v>7.2381750792464068</v>
      </c>
      <c r="F8" s="1">
        <v>2025</v>
      </c>
      <c r="G8" s="2">
        <v>7.2362976000000003</v>
      </c>
      <c r="H8" s="2"/>
      <c r="I8">
        <v>2025</v>
      </c>
      <c r="J8">
        <v>7.2365120415294202</v>
      </c>
      <c r="L8">
        <f t="shared" si="2"/>
        <v>1.0002594530173008</v>
      </c>
      <c r="M8">
        <f t="shared" si="3"/>
        <v>-2.5945301730079251E-4</v>
      </c>
      <c r="N8">
        <f t="shared" si="4"/>
        <v>1.000029634150124</v>
      </c>
      <c r="O8">
        <f t="shared" si="5"/>
        <v>-2.9634150124024927E-5</v>
      </c>
      <c r="Z8">
        <v>1</v>
      </c>
      <c r="AA8">
        <v>2025</v>
      </c>
      <c r="AB8">
        <v>7.3670742331223504</v>
      </c>
      <c r="AC8">
        <f t="shared" si="6"/>
        <v>1.0180723127144951</v>
      </c>
      <c r="AE8" s="6">
        <v>2025</v>
      </c>
      <c r="AF8" s="6">
        <v>0</v>
      </c>
      <c r="AG8" s="7">
        <v>7.2363067000000001</v>
      </c>
    </row>
    <row r="9" spans="1:33" x14ac:dyDescent="0.25">
      <c r="A9">
        <v>2030</v>
      </c>
      <c r="B9">
        <v>573.99059199999999</v>
      </c>
      <c r="C9">
        <f t="shared" si="0"/>
        <v>1111630.450131102</v>
      </c>
      <c r="D9">
        <f t="shared" si="1"/>
        <v>7.0394820612592506</v>
      </c>
      <c r="F9" s="1">
        <v>2030</v>
      </c>
      <c r="G9" s="2">
        <v>7.0365890999999996</v>
      </c>
      <c r="H9" s="2"/>
      <c r="I9">
        <v>2030</v>
      </c>
      <c r="J9">
        <v>7.0367876075728502</v>
      </c>
      <c r="L9">
        <f t="shared" si="2"/>
        <v>1.0004111311912829</v>
      </c>
      <c r="M9">
        <f t="shared" si="3"/>
        <v>-4.1113119128288744E-4</v>
      </c>
      <c r="N9">
        <f t="shared" si="4"/>
        <v>1.0000282107666127</v>
      </c>
      <c r="O9">
        <f t="shared" si="5"/>
        <v>-2.8210766612746241E-5</v>
      </c>
      <c r="Z9">
        <v>1</v>
      </c>
      <c r="AA9">
        <v>2030</v>
      </c>
      <c r="AB9">
        <v>7.1262645043818296</v>
      </c>
      <c r="AC9">
        <f t="shared" si="6"/>
        <v>1.0127441581577969</v>
      </c>
      <c r="AE9" s="6">
        <v>2030</v>
      </c>
      <c r="AF9" s="6">
        <v>0</v>
      </c>
      <c r="AG9" s="7">
        <v>7.0365409999999997</v>
      </c>
    </row>
    <row r="10" spans="1:33" x14ac:dyDescent="0.25">
      <c r="A10">
        <v>2035</v>
      </c>
      <c r="B10">
        <v>559.51897299999996</v>
      </c>
      <c r="C10">
        <f t="shared" si="0"/>
        <v>1083603.6974851356</v>
      </c>
      <c r="D10">
        <f t="shared" si="1"/>
        <v>6.862000576775479</v>
      </c>
      <c r="F10" s="1">
        <v>2035</v>
      </c>
      <c r="G10" s="2">
        <v>6.8560410000000003</v>
      </c>
      <c r="H10" s="2"/>
      <c r="I10">
        <v>2035</v>
      </c>
      <c r="J10">
        <v>6.8563423058827704</v>
      </c>
      <c r="L10">
        <f t="shared" si="2"/>
        <v>1.0008692446231693</v>
      </c>
      <c r="M10">
        <f t="shared" si="3"/>
        <v>-8.6924462316928519E-4</v>
      </c>
      <c r="N10">
        <f t="shared" si="4"/>
        <v>1.0000439475030518</v>
      </c>
      <c r="O10">
        <f t="shared" si="5"/>
        <v>-4.3947503051811054E-5</v>
      </c>
      <c r="Z10">
        <v>1</v>
      </c>
      <c r="AA10">
        <v>2035</v>
      </c>
      <c r="AB10">
        <v>6.9442433618745998</v>
      </c>
      <c r="AC10">
        <f t="shared" si="6"/>
        <v>1.0128649116705397</v>
      </c>
      <c r="AE10" s="6">
        <v>2035</v>
      </c>
      <c r="AF10" s="6">
        <v>0</v>
      </c>
      <c r="AG10" s="7">
        <v>6.8561057999999999</v>
      </c>
    </row>
    <row r="11" spans="1:33" x14ac:dyDescent="0.25">
      <c r="A11">
        <v>2040</v>
      </c>
      <c r="B11">
        <v>537.97810000000004</v>
      </c>
      <c r="C11">
        <f t="shared" si="0"/>
        <v>1041886.1315825802</v>
      </c>
      <c r="D11">
        <f t="shared" si="1"/>
        <v>6.5978210045302204</v>
      </c>
      <c r="F11" s="1">
        <v>2040</v>
      </c>
      <c r="G11" s="2">
        <v>6.5867867000000002</v>
      </c>
      <c r="H11" s="2"/>
      <c r="I11">
        <v>2040</v>
      </c>
      <c r="J11">
        <v>6.58690981619998</v>
      </c>
      <c r="L11">
        <f t="shared" si="2"/>
        <v>1.0016752181348487</v>
      </c>
      <c r="M11">
        <f t="shared" si="3"/>
        <v>-1.6752181348487216E-3</v>
      </c>
      <c r="N11">
        <f t="shared" si="4"/>
        <v>1.0000186913901401</v>
      </c>
      <c r="O11">
        <f t="shared" si="5"/>
        <v>-1.8691390140102015E-5</v>
      </c>
      <c r="Z11">
        <v>1</v>
      </c>
      <c r="AA11">
        <v>2040</v>
      </c>
      <c r="AB11">
        <v>6.7232125440646104</v>
      </c>
      <c r="AC11">
        <f t="shared" si="6"/>
        <v>1.0207120482684842</v>
      </c>
      <c r="AE11" s="6">
        <v>2040</v>
      </c>
      <c r="AF11" s="6">
        <v>0</v>
      </c>
      <c r="AG11" s="7">
        <v>6.5866240999999999</v>
      </c>
    </row>
    <row r="12" spans="1:33" x14ac:dyDescent="0.25">
      <c r="A12">
        <v>2045</v>
      </c>
      <c r="B12">
        <v>504.79608500000001</v>
      </c>
      <c r="C12">
        <f t="shared" si="0"/>
        <v>977623.5133710485</v>
      </c>
      <c r="D12">
        <f t="shared" si="1"/>
        <v>6.1908732207084674</v>
      </c>
      <c r="F12" s="1">
        <v>2045</v>
      </c>
      <c r="G12" s="2">
        <v>6.1725491999999997</v>
      </c>
      <c r="H12" s="2"/>
      <c r="I12">
        <v>2045</v>
      </c>
      <c r="J12">
        <v>6.1726438555640204</v>
      </c>
      <c r="L12">
        <f t="shared" si="2"/>
        <v>1.0029686309682988</v>
      </c>
      <c r="M12">
        <f t="shared" si="3"/>
        <v>-2.9686309682988021E-3</v>
      </c>
      <c r="N12">
        <f t="shared" si="4"/>
        <v>1.0000153349225667</v>
      </c>
      <c r="O12">
        <f t="shared" si="5"/>
        <v>-1.5334922566667686E-5</v>
      </c>
      <c r="Z12">
        <v>1</v>
      </c>
      <c r="AA12">
        <v>2045</v>
      </c>
      <c r="AB12">
        <v>6.3778996859847696</v>
      </c>
      <c r="AC12">
        <f t="shared" si="6"/>
        <v>1.033268343326412</v>
      </c>
      <c r="AE12" s="6">
        <v>2045</v>
      </c>
      <c r="AF12" s="6">
        <v>0</v>
      </c>
      <c r="AG12" s="7">
        <v>6.1723394000000003</v>
      </c>
    </row>
    <row r="13" spans="1:33" x14ac:dyDescent="0.25">
      <c r="A13">
        <v>2050</v>
      </c>
      <c r="B13">
        <v>459.28844099999998</v>
      </c>
      <c r="C13">
        <f t="shared" si="0"/>
        <v>889490.21730454091</v>
      </c>
      <c r="D13">
        <f t="shared" si="1"/>
        <v>5.6327626034735205</v>
      </c>
      <c r="F13" s="1">
        <v>2050</v>
      </c>
      <c r="G13" s="2">
        <v>5.6071657999999998</v>
      </c>
      <c r="H13" s="2"/>
      <c r="I13">
        <v>2050</v>
      </c>
      <c r="J13">
        <v>5.6075079893008901</v>
      </c>
      <c r="L13">
        <f t="shared" si="2"/>
        <v>1.0045650163356183</v>
      </c>
      <c r="M13">
        <f t="shared" si="3"/>
        <v>-4.5650163356183437E-3</v>
      </c>
      <c r="N13">
        <f t="shared" si="4"/>
        <v>1.0000610271415356</v>
      </c>
      <c r="O13">
        <f t="shared" si="5"/>
        <v>-6.1027141535552332E-5</v>
      </c>
      <c r="Z13">
        <v>1</v>
      </c>
      <c r="AA13">
        <v>2050</v>
      </c>
      <c r="AB13">
        <v>5.8790901640007496</v>
      </c>
      <c r="AC13">
        <f t="shared" si="6"/>
        <v>1.0484958664858368</v>
      </c>
      <c r="AE13" s="6">
        <v>2050</v>
      </c>
      <c r="AF13" s="6">
        <v>0</v>
      </c>
      <c r="AG13" s="7">
        <v>5.6069155000000004</v>
      </c>
    </row>
    <row r="14" spans="1:33" x14ac:dyDescent="0.25">
      <c r="A14">
        <v>2055</v>
      </c>
      <c r="B14">
        <v>399.407037</v>
      </c>
      <c r="C14">
        <f t="shared" si="0"/>
        <v>773519.68919699604</v>
      </c>
      <c r="D14">
        <f t="shared" si="1"/>
        <v>4.898370655005805</v>
      </c>
      <c r="F14" s="1">
        <v>2055</v>
      </c>
      <c r="G14" s="2">
        <v>4.8713230999999997</v>
      </c>
      <c r="H14" s="2"/>
      <c r="I14">
        <v>2055</v>
      </c>
      <c r="J14">
        <v>4.8718071625258803</v>
      </c>
      <c r="L14">
        <f t="shared" si="2"/>
        <v>1.0055524042340376</v>
      </c>
      <c r="M14">
        <f t="shared" si="3"/>
        <v>-5.5524042340375779E-3</v>
      </c>
      <c r="N14">
        <f t="shared" si="4"/>
        <v>1.000099369825393</v>
      </c>
      <c r="O14">
        <f t="shared" si="5"/>
        <v>-9.9369825393047506E-5</v>
      </c>
      <c r="Z14">
        <v>1</v>
      </c>
      <c r="AA14">
        <v>2055</v>
      </c>
      <c r="AB14">
        <v>5.1842031620691396</v>
      </c>
      <c r="AC14">
        <f t="shared" si="6"/>
        <v>1.0642289693469809</v>
      </c>
      <c r="AE14" s="6">
        <v>2055</v>
      </c>
      <c r="AF14" s="6">
        <v>0</v>
      </c>
      <c r="AG14" s="7">
        <v>4.8710092999999999</v>
      </c>
    </row>
    <row r="15" spans="1:33" x14ac:dyDescent="0.25">
      <c r="A15">
        <v>2060</v>
      </c>
      <c r="B15">
        <v>332.31313999999998</v>
      </c>
      <c r="C15">
        <f t="shared" si="0"/>
        <v>643580.94113619183</v>
      </c>
      <c r="D15">
        <f t="shared" si="1"/>
        <v>4.0755239203480418</v>
      </c>
      <c r="F15" s="1">
        <v>2060</v>
      </c>
      <c r="G15" s="2">
        <v>4.0551572</v>
      </c>
      <c r="H15" s="2"/>
      <c r="I15">
        <v>2060</v>
      </c>
      <c r="J15">
        <v>4.0558231082047396</v>
      </c>
      <c r="L15">
        <f t="shared" si="2"/>
        <v>1.0050224243706365</v>
      </c>
      <c r="M15">
        <f t="shared" si="3"/>
        <v>-5.0224243706364913E-3</v>
      </c>
      <c r="N15">
        <f t="shared" si="4"/>
        <v>1.0001642126733681</v>
      </c>
      <c r="O15">
        <f t="shared" si="5"/>
        <v>-1.6421267336808043E-4</v>
      </c>
      <c r="Z15">
        <v>1</v>
      </c>
      <c r="AA15">
        <v>2060</v>
      </c>
      <c r="AB15">
        <v>4.36358326062303</v>
      </c>
      <c r="AC15">
        <f t="shared" si="6"/>
        <v>1.0760577322681917</v>
      </c>
      <c r="AE15" s="6">
        <v>2060</v>
      </c>
      <c r="AF15" s="6">
        <v>0</v>
      </c>
      <c r="AG15" s="7">
        <v>4.0552111000000002</v>
      </c>
    </row>
    <row r="16" spans="1:33" x14ac:dyDescent="0.25">
      <c r="A16">
        <v>2065</v>
      </c>
      <c r="B16">
        <v>272.53060799999997</v>
      </c>
      <c r="C16">
        <f t="shared" si="0"/>
        <v>527801.89548044524</v>
      </c>
      <c r="D16">
        <f t="shared" si="1"/>
        <v>3.3423445486717602</v>
      </c>
      <c r="F16" s="1">
        <v>2065</v>
      </c>
      <c r="G16" s="2">
        <v>3.3325288</v>
      </c>
      <c r="H16" s="2"/>
      <c r="I16">
        <v>2065</v>
      </c>
      <c r="J16">
        <v>3.3331965210668502</v>
      </c>
      <c r="L16">
        <f t="shared" si="2"/>
        <v>1.0029454355118432</v>
      </c>
      <c r="M16">
        <f t="shared" si="3"/>
        <v>-2.9454355118432307E-3</v>
      </c>
      <c r="N16">
        <f t="shared" si="4"/>
        <v>1.0002003646800743</v>
      </c>
      <c r="O16">
        <f t="shared" si="5"/>
        <v>-2.0036468007433861E-4</v>
      </c>
      <c r="Z16">
        <v>1</v>
      </c>
      <c r="AA16">
        <v>2065</v>
      </c>
      <c r="AB16">
        <v>3.5957781620136902</v>
      </c>
      <c r="AC16">
        <f t="shared" si="6"/>
        <v>1.0789938745656722</v>
      </c>
      <c r="AE16" s="6">
        <v>2065</v>
      </c>
      <c r="AF16" s="6">
        <v>0</v>
      </c>
      <c r="AG16" s="7">
        <v>3.3326983000000001</v>
      </c>
    </row>
    <row r="17" spans="1:33" x14ac:dyDescent="0.25">
      <c r="A17">
        <v>2070</v>
      </c>
      <c r="B17">
        <v>230.264724</v>
      </c>
      <c r="C17">
        <f t="shared" si="0"/>
        <v>445946.81926325714</v>
      </c>
      <c r="D17">
        <f t="shared" si="1"/>
        <v>2.8239912230805557</v>
      </c>
      <c r="F17" s="1">
        <v>2070</v>
      </c>
      <c r="G17" s="2">
        <v>2.8224005999999999</v>
      </c>
      <c r="H17" s="2"/>
      <c r="I17">
        <v>2070</v>
      </c>
      <c r="J17">
        <v>2.8228636581759701</v>
      </c>
      <c r="L17">
        <f t="shared" si="2"/>
        <v>1.0005635709829979</v>
      </c>
      <c r="M17">
        <f t="shared" si="3"/>
        <v>-5.6357098299786301E-4</v>
      </c>
      <c r="N17">
        <f t="shared" si="4"/>
        <v>1.000164065361937</v>
      </c>
      <c r="O17">
        <f t="shared" si="5"/>
        <v>-1.6406536193702692E-4</v>
      </c>
      <c r="Z17">
        <v>1</v>
      </c>
      <c r="AA17">
        <v>2070</v>
      </c>
      <c r="AB17">
        <v>3.01324368767024</v>
      </c>
      <c r="AC17">
        <f t="shared" si="6"/>
        <v>1.0676172927649745</v>
      </c>
      <c r="AE17" s="6">
        <v>2070</v>
      </c>
      <c r="AF17" s="6">
        <v>0</v>
      </c>
      <c r="AG17" s="7">
        <v>2.8225001999999999</v>
      </c>
    </row>
    <row r="18" spans="1:33" x14ac:dyDescent="0.25">
      <c r="A18">
        <v>2075</v>
      </c>
      <c r="B18">
        <v>205.99860799999999</v>
      </c>
      <c r="C18">
        <f t="shared" si="0"/>
        <v>398951.35657105059</v>
      </c>
      <c r="D18">
        <f t="shared" si="1"/>
        <v>2.5263889789684502</v>
      </c>
      <c r="F18" s="1">
        <v>2075</v>
      </c>
      <c r="G18" s="2">
        <v>2.528899</v>
      </c>
      <c r="H18" s="2"/>
      <c r="I18">
        <v>2075</v>
      </c>
      <c r="J18">
        <v>2.52927907777369</v>
      </c>
      <c r="L18">
        <f t="shared" si="2"/>
        <v>0.99900746489616632</v>
      </c>
      <c r="M18">
        <f t="shared" si="3"/>
        <v>9.9253510383368049E-4</v>
      </c>
      <c r="N18">
        <f t="shared" si="4"/>
        <v>1.0001502937735711</v>
      </c>
      <c r="O18">
        <f t="shared" si="5"/>
        <v>-1.5029377357111962E-4</v>
      </c>
      <c r="Z18">
        <v>1</v>
      </c>
      <c r="AA18">
        <v>2075</v>
      </c>
      <c r="AB18">
        <v>2.6424426649498098</v>
      </c>
      <c r="AC18">
        <f t="shared" si="6"/>
        <v>1.0448984577675147</v>
      </c>
      <c r="AE18" s="6">
        <v>2075</v>
      </c>
      <c r="AF18" s="6">
        <v>0</v>
      </c>
      <c r="AG18" s="7">
        <v>2.5290496</v>
      </c>
    </row>
    <row r="19" spans="1:33" x14ac:dyDescent="0.25">
      <c r="A19">
        <v>2080</v>
      </c>
      <c r="B19">
        <v>194.720584</v>
      </c>
      <c r="C19">
        <f t="shared" si="0"/>
        <v>377109.54405627452</v>
      </c>
      <c r="D19">
        <f t="shared" si="1"/>
        <v>2.3880740854127542</v>
      </c>
      <c r="F19" s="1">
        <v>2080</v>
      </c>
      <c r="G19" s="2">
        <v>2.3920264000000002</v>
      </c>
      <c r="H19" s="2"/>
      <c r="I19">
        <v>2080</v>
      </c>
      <c r="J19">
        <v>2.3922182206841001</v>
      </c>
      <c r="L19">
        <f t="shared" si="2"/>
        <v>0.99834771280649492</v>
      </c>
      <c r="M19">
        <f t="shared" si="3"/>
        <v>1.6522871935050754E-3</v>
      </c>
      <c r="N19">
        <f t="shared" si="4"/>
        <v>1.0000801917086282</v>
      </c>
      <c r="O19">
        <f t="shared" si="5"/>
        <v>-8.0191708628163383E-5</v>
      </c>
      <c r="Z19">
        <v>1</v>
      </c>
      <c r="AA19">
        <v>2080</v>
      </c>
      <c r="AB19">
        <v>2.4467021318661701</v>
      </c>
      <c r="AC19">
        <f t="shared" si="6"/>
        <v>1.0228574951623317</v>
      </c>
      <c r="AE19" s="6">
        <v>2080</v>
      </c>
      <c r="AF19" s="6">
        <v>0</v>
      </c>
      <c r="AG19" s="7">
        <v>2.3920971999999998</v>
      </c>
    </row>
    <row r="20" spans="1:33" x14ac:dyDescent="0.25">
      <c r="A20">
        <v>2085</v>
      </c>
      <c r="B20">
        <v>191.17247699999999</v>
      </c>
      <c r="C20">
        <f t="shared" si="0"/>
        <v>370238.03111425869</v>
      </c>
      <c r="D20">
        <f t="shared" si="1"/>
        <v>2.3445597213690861</v>
      </c>
      <c r="F20" s="1">
        <v>2085</v>
      </c>
      <c r="G20" s="2">
        <v>2.3482826000000001</v>
      </c>
      <c r="H20" s="2"/>
      <c r="I20">
        <v>2085</v>
      </c>
      <c r="J20">
        <v>2.3483567473177498</v>
      </c>
      <c r="L20">
        <f t="shared" si="2"/>
        <v>0.99841463773103201</v>
      </c>
      <c r="M20">
        <f t="shared" si="3"/>
        <v>1.5853622689679936E-3</v>
      </c>
      <c r="N20">
        <f t="shared" si="4"/>
        <v>1.0000315751254767</v>
      </c>
      <c r="O20">
        <f t="shared" si="5"/>
        <v>-3.1575125476690502E-5</v>
      </c>
      <c r="Z20">
        <v>1</v>
      </c>
      <c r="AA20">
        <v>2085</v>
      </c>
      <c r="AB20">
        <v>2.36573506942071</v>
      </c>
      <c r="AC20">
        <f t="shared" si="6"/>
        <v>1.0074320141113808</v>
      </c>
      <c r="AE20" s="6">
        <v>2085</v>
      </c>
      <c r="AF20" s="6">
        <v>0</v>
      </c>
      <c r="AG20" s="7">
        <v>2.348309</v>
      </c>
    </row>
    <row r="21" spans="1:33" x14ac:dyDescent="0.25">
      <c r="A21">
        <v>2090</v>
      </c>
      <c r="B21">
        <v>193.54051000000001</v>
      </c>
      <c r="C21">
        <f t="shared" si="0"/>
        <v>374824.1299569995</v>
      </c>
      <c r="D21">
        <f t="shared" si="1"/>
        <v>2.3736015315595393</v>
      </c>
      <c r="F21" s="1">
        <v>2090</v>
      </c>
      <c r="G21" s="2">
        <v>2.3764875000000001</v>
      </c>
      <c r="H21" s="2"/>
      <c r="I21">
        <v>2090</v>
      </c>
      <c r="J21">
        <v>2.3765209455215901</v>
      </c>
      <c r="L21">
        <f t="shared" si="2"/>
        <v>0.99878561598137561</v>
      </c>
      <c r="M21">
        <f t="shared" si="3"/>
        <v>1.2143840186243926E-3</v>
      </c>
      <c r="N21">
        <f t="shared" si="4"/>
        <v>1.0000140735104182</v>
      </c>
      <c r="O21">
        <f t="shared" si="5"/>
        <v>-1.4073510418155522E-5</v>
      </c>
      <c r="Z21">
        <v>1</v>
      </c>
      <c r="AA21">
        <v>2090</v>
      </c>
      <c r="AB21">
        <v>2.3654123913084901</v>
      </c>
      <c r="AC21">
        <f t="shared" si="6"/>
        <v>0.99533971515040165</v>
      </c>
      <c r="AE21" s="6">
        <v>2090</v>
      </c>
      <c r="AF21" s="6">
        <v>0</v>
      </c>
      <c r="AG21" s="7">
        <v>2.3765113000000002</v>
      </c>
    </row>
    <row r="22" spans="1:33" x14ac:dyDescent="0.25">
      <c r="A22">
        <v>2095</v>
      </c>
      <c r="B22">
        <v>202.22986800000001</v>
      </c>
      <c r="C22">
        <f t="shared" si="0"/>
        <v>391652.55028220627</v>
      </c>
      <c r="D22">
        <f t="shared" si="1"/>
        <v>2.4801687481958345</v>
      </c>
      <c r="F22" s="1">
        <v>2095</v>
      </c>
      <c r="G22" s="2">
        <v>2.4830613000000001</v>
      </c>
      <c r="H22" s="2"/>
      <c r="I22">
        <v>2095</v>
      </c>
      <c r="J22">
        <v>2.48306069808068</v>
      </c>
      <c r="L22">
        <f t="shared" si="2"/>
        <v>0.99883508642973673</v>
      </c>
      <c r="M22">
        <f t="shared" si="3"/>
        <v>1.1649135702632707E-3</v>
      </c>
      <c r="N22">
        <f t="shared" si="4"/>
        <v>0.99999975758982662</v>
      </c>
      <c r="O22">
        <f t="shared" si="5"/>
        <v>2.4241017337889303E-7</v>
      </c>
      <c r="Z22">
        <v>1</v>
      </c>
      <c r="AA22">
        <v>2095</v>
      </c>
      <c r="AB22">
        <v>2.43594473696611</v>
      </c>
      <c r="AC22">
        <f t="shared" si="6"/>
        <v>0.9810248087576855</v>
      </c>
      <c r="AE22" s="6">
        <v>2095</v>
      </c>
      <c r="AF22" s="6">
        <v>0</v>
      </c>
      <c r="AG22" s="7">
        <v>2.4830565</v>
      </c>
    </row>
    <row r="23" spans="1:33" x14ac:dyDescent="0.25">
      <c r="A23">
        <v>2100</v>
      </c>
      <c r="B23">
        <v>221.158109</v>
      </c>
      <c r="C23">
        <f t="shared" si="0"/>
        <v>428310.30975820136</v>
      </c>
      <c r="D23">
        <f t="shared" si="1"/>
        <v>2.7123067219323316</v>
      </c>
      <c r="F23" s="1">
        <v>2100</v>
      </c>
      <c r="G23" s="2">
        <v>2.7155912</v>
      </c>
      <c r="H23" s="2"/>
      <c r="I23">
        <v>2100</v>
      </c>
      <c r="J23">
        <v>2.7155991828285999</v>
      </c>
      <c r="L23">
        <f t="shared" si="2"/>
        <v>0.99879051085904669</v>
      </c>
      <c r="M23">
        <f t="shared" si="3"/>
        <v>1.2094891409533126E-3</v>
      </c>
      <c r="N23">
        <f t="shared" si="4"/>
        <v>1.0000029396282475</v>
      </c>
      <c r="O23">
        <f t="shared" si="5"/>
        <v>-2.9396282474891677E-6</v>
      </c>
      <c r="Z23">
        <v>1</v>
      </c>
      <c r="AA23">
        <v>2100</v>
      </c>
      <c r="AB23">
        <v>2.6193046473037298</v>
      </c>
      <c r="AC23">
        <f t="shared" si="6"/>
        <v>0.96454306056954742</v>
      </c>
      <c r="AE23" s="6">
        <v>2100</v>
      </c>
      <c r="AF23" s="6">
        <v>0</v>
      </c>
      <c r="AG23" s="7">
        <v>2.7155423000000001</v>
      </c>
    </row>
    <row r="24" spans="1:33" x14ac:dyDescent="0.25">
      <c r="A24">
        <v>2105</v>
      </c>
      <c r="B24">
        <v>240.35780800000001</v>
      </c>
      <c r="C24">
        <f t="shared" si="0"/>
        <v>465493.79384177265</v>
      </c>
      <c r="D24">
        <f t="shared" si="1"/>
        <v>2.9477738856381737</v>
      </c>
      <c r="F24" s="1">
        <v>2105</v>
      </c>
      <c r="G24" s="2">
        <v>2.9503973000000001</v>
      </c>
      <c r="H24" s="2"/>
      <c r="I24">
        <v>2105</v>
      </c>
      <c r="J24">
        <v>2.9504593006850599</v>
      </c>
      <c r="L24">
        <f t="shared" si="2"/>
        <v>0.99911082674803608</v>
      </c>
      <c r="M24">
        <f t="shared" si="3"/>
        <v>8.8917325196391506E-4</v>
      </c>
      <c r="N24">
        <f t="shared" si="4"/>
        <v>1.0000210143512061</v>
      </c>
      <c r="O24">
        <f t="shared" si="5"/>
        <v>-2.1014351206050108E-5</v>
      </c>
      <c r="Z24">
        <v>1</v>
      </c>
      <c r="AA24">
        <v>2105</v>
      </c>
      <c r="AB24">
        <v>2.8581938154253002</v>
      </c>
      <c r="AC24">
        <f t="shared" si="6"/>
        <v>0.96874879034945571</v>
      </c>
      <c r="AE24" s="6">
        <v>2105</v>
      </c>
      <c r="AF24" s="6">
        <v>0</v>
      </c>
      <c r="AG24" s="7">
        <v>2.9504144000000001</v>
      </c>
    </row>
    <row r="25" spans="1:33" x14ac:dyDescent="0.25">
      <c r="A25">
        <v>2110</v>
      </c>
      <c r="B25">
        <v>252.46559600000001</v>
      </c>
      <c r="C25">
        <f t="shared" si="0"/>
        <v>488942.58553299948</v>
      </c>
      <c r="D25">
        <f t="shared" si="1"/>
        <v>3.0962650937092806</v>
      </c>
      <c r="F25" s="1">
        <v>2110</v>
      </c>
      <c r="G25" s="2">
        <v>3.0981084999999999</v>
      </c>
      <c r="H25" s="2"/>
      <c r="I25">
        <v>2110</v>
      </c>
      <c r="J25">
        <v>3.0981053299857599</v>
      </c>
      <c r="L25">
        <f t="shared" si="2"/>
        <v>0.99940498975722791</v>
      </c>
      <c r="M25">
        <f t="shared" si="3"/>
        <v>5.9501024277208714E-4</v>
      </c>
      <c r="N25">
        <f t="shared" si="4"/>
        <v>0.99999897679043848</v>
      </c>
      <c r="O25">
        <f t="shared" si="5"/>
        <v>1.0232095615236858E-6</v>
      </c>
      <c r="Z25">
        <v>1</v>
      </c>
      <c r="AA25">
        <v>2110</v>
      </c>
      <c r="AB25">
        <v>3.03732810977719</v>
      </c>
      <c r="AC25">
        <f t="shared" si="6"/>
        <v>0.98038145203022753</v>
      </c>
      <c r="AE25" s="6">
        <v>2110</v>
      </c>
      <c r="AF25" s="6">
        <v>0</v>
      </c>
      <c r="AG25" s="7">
        <v>3.0980867999999999</v>
      </c>
    </row>
    <row r="26" spans="1:33" x14ac:dyDescent="0.25">
      <c r="A26">
        <v>2115</v>
      </c>
      <c r="B26">
        <v>258.92732899999999</v>
      </c>
      <c r="C26">
        <f t="shared" si="0"/>
        <v>501456.83099891985</v>
      </c>
      <c r="D26">
        <f t="shared" si="1"/>
        <v>3.1755124788966436</v>
      </c>
      <c r="F26" s="1">
        <v>2115</v>
      </c>
      <c r="G26" s="2">
        <v>3.1762492999999998</v>
      </c>
      <c r="H26" s="2"/>
      <c r="I26">
        <v>2115</v>
      </c>
      <c r="J26">
        <v>3.1762176622715601</v>
      </c>
      <c r="L26">
        <f t="shared" si="2"/>
        <v>0.99976802164006573</v>
      </c>
      <c r="M26">
        <f t="shared" si="3"/>
        <v>2.3197835993427063E-4</v>
      </c>
      <c r="N26">
        <f t="shared" si="4"/>
        <v>0.99999003928046837</v>
      </c>
      <c r="O26">
        <f t="shared" si="5"/>
        <v>9.9607195316320229E-6</v>
      </c>
      <c r="Z26">
        <v>1</v>
      </c>
      <c r="AA26">
        <v>2115</v>
      </c>
      <c r="AB26">
        <v>3.14474103101404</v>
      </c>
      <c r="AC26">
        <f t="shared" si="6"/>
        <v>0.99008003906180797</v>
      </c>
      <c r="AE26" s="6">
        <v>2115</v>
      </c>
      <c r="AF26" s="6">
        <v>0</v>
      </c>
      <c r="AG26" s="7">
        <v>3.1762096999999998</v>
      </c>
    </row>
    <row r="27" spans="1:33" x14ac:dyDescent="0.25">
      <c r="A27">
        <v>2120</v>
      </c>
      <c r="B27">
        <v>261.87929400000002</v>
      </c>
      <c r="C27">
        <f t="shared" si="0"/>
        <v>507173.81351998751</v>
      </c>
      <c r="D27">
        <f t="shared" si="1"/>
        <v>3.2117156936402145</v>
      </c>
      <c r="F27" s="1">
        <v>2120</v>
      </c>
      <c r="G27" s="2">
        <v>3.2118793000000001</v>
      </c>
      <c r="H27" s="2"/>
      <c r="I27">
        <v>2120</v>
      </c>
      <c r="J27">
        <v>3.2118410187636002</v>
      </c>
      <c r="L27">
        <f t="shared" si="2"/>
        <v>0.99994906210834711</v>
      </c>
      <c r="M27">
        <f t="shared" si="3"/>
        <v>5.0937891652891309E-5</v>
      </c>
      <c r="N27">
        <f t="shared" si="4"/>
        <v>0.99998808135897266</v>
      </c>
      <c r="O27">
        <f t="shared" si="5"/>
        <v>1.191864102734197E-5</v>
      </c>
      <c r="Z27">
        <v>1</v>
      </c>
      <c r="AA27">
        <v>2120</v>
      </c>
      <c r="AB27">
        <v>3.19275890614994</v>
      </c>
      <c r="AC27">
        <f t="shared" si="6"/>
        <v>0.99404697622041394</v>
      </c>
      <c r="AE27" s="6">
        <v>2120</v>
      </c>
      <c r="AF27" s="6">
        <v>0</v>
      </c>
      <c r="AG27" s="7">
        <v>3.2118826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46217-2FF2-4A90-9873-448EE87FF681}">
  <dimension ref="A1:AH27"/>
  <sheetViews>
    <sheetView tabSelected="1" topLeftCell="I7" zoomScale="112" zoomScaleNormal="112" workbookViewId="0">
      <selection activeCell="J3" sqref="J3:J27"/>
    </sheetView>
  </sheetViews>
  <sheetFormatPr defaultRowHeight="15" x14ac:dyDescent="0.25"/>
  <cols>
    <col min="1" max="1" width="15.42578125" customWidth="1"/>
    <col min="2" max="2" width="11.140625" customWidth="1"/>
    <col min="3" max="3" width="12.42578125" customWidth="1"/>
    <col min="4" max="4" width="15.5703125" customWidth="1"/>
    <col min="5" max="5" width="9.140625" customWidth="1"/>
    <col min="6" max="6" width="16.5703125" customWidth="1"/>
    <col min="7" max="7" width="16" style="2" customWidth="1"/>
    <col min="9" max="9" width="17.28515625" customWidth="1"/>
    <col min="10" max="10" width="16" customWidth="1"/>
    <col min="12" max="12" width="12.140625" customWidth="1"/>
    <col min="14" max="14" width="14.28515625" customWidth="1"/>
    <col min="27" max="27" width="11.5703125" customWidth="1"/>
    <col min="28" max="29" width="12.140625" customWidth="1"/>
    <col min="32" max="32" width="46.85546875" customWidth="1"/>
    <col min="34" max="34" width="11.85546875" bestFit="1" customWidth="1"/>
  </cols>
  <sheetData>
    <row r="1" spans="1:34" x14ac:dyDescent="0.25">
      <c r="B1" t="s">
        <v>3</v>
      </c>
      <c r="F1" s="1"/>
      <c r="G1" s="2" t="s">
        <v>4</v>
      </c>
      <c r="I1" t="s">
        <v>5</v>
      </c>
      <c r="L1" t="s">
        <v>8</v>
      </c>
      <c r="M1" t="s">
        <v>6</v>
      </c>
      <c r="N1" t="s">
        <v>9</v>
      </c>
      <c r="O1" t="s">
        <v>6</v>
      </c>
      <c r="AB1" t="s">
        <v>10</v>
      </c>
    </row>
    <row r="2" spans="1:34" x14ac:dyDescent="0.25">
      <c r="A2" t="s">
        <v>0</v>
      </c>
      <c r="B2" t="s">
        <v>1</v>
      </c>
      <c r="C2" t="s">
        <v>2</v>
      </c>
      <c r="D2" t="s">
        <v>7</v>
      </c>
      <c r="F2" t="s">
        <v>0</v>
      </c>
      <c r="G2" t="s">
        <v>7</v>
      </c>
      <c r="I2" t="s">
        <v>0</v>
      </c>
      <c r="J2" t="s">
        <v>7</v>
      </c>
    </row>
    <row r="3" spans="1:34" x14ac:dyDescent="0.25">
      <c r="A3">
        <v>2000</v>
      </c>
      <c r="B3">
        <v>797.30638799999997</v>
      </c>
      <c r="C3">
        <f t="shared" ref="C3:C27" si="0">B3*4*PI()/(0.0064886478302)</f>
        <v>1544119.4879111245</v>
      </c>
      <c r="D3">
        <f>C3/(4000*PI())/(4*PI())</f>
        <v>9.7782508875222263</v>
      </c>
      <c r="F3" s="1">
        <v>2000</v>
      </c>
      <c r="G3" s="2">
        <v>9.7558936999999997</v>
      </c>
      <c r="I3">
        <v>2000</v>
      </c>
      <c r="J3">
        <v>9.7555476057854005</v>
      </c>
      <c r="L3">
        <f>D3/G3</f>
        <v>1.0022916596069744</v>
      </c>
      <c r="M3">
        <f>1-L3</f>
        <v>-2.2916596069744166E-3</v>
      </c>
      <c r="N3">
        <f>J3/G3</f>
        <v>0.99996452460171847</v>
      </c>
      <c r="O3">
        <f>1-N3</f>
        <v>3.5475398281525905E-5</v>
      </c>
      <c r="Z3">
        <v>1</v>
      </c>
      <c r="AA3">
        <v>2000</v>
      </c>
      <c r="AB3">
        <v>9.9944768204129595</v>
      </c>
      <c r="AC3">
        <f>AB3/G3</f>
        <v>1.0244552808537633</v>
      </c>
      <c r="AF3" s="6">
        <v>2000</v>
      </c>
      <c r="AG3" s="6">
        <v>0</v>
      </c>
      <c r="AH3" s="4">
        <v>9.7556419000000005</v>
      </c>
    </row>
    <row r="4" spans="1:34" x14ac:dyDescent="0.25">
      <c r="A4">
        <v>2005</v>
      </c>
      <c r="B4">
        <v>744.37332100000003</v>
      </c>
      <c r="C4">
        <f t="shared" si="0"/>
        <v>1441605.5967147513</v>
      </c>
      <c r="D4">
        <f t="shared" ref="D4:D27" si="1">C4/(4000*PI())/(4*PI())</f>
        <v>9.1290740877848293</v>
      </c>
      <c r="F4" s="1">
        <v>2005</v>
      </c>
      <c r="G4" s="2">
        <v>9.1100253999999996</v>
      </c>
      <c r="I4">
        <v>2005</v>
      </c>
      <c r="J4">
        <v>9.1100191705932598</v>
      </c>
      <c r="L4">
        <f t="shared" ref="L4:L27" si="2">D4/G4</f>
        <v>1.002090958800711</v>
      </c>
      <c r="M4">
        <f t="shared" ref="M4:M27" si="3">1-L4</f>
        <v>-2.0909588007109736E-3</v>
      </c>
      <c r="N4">
        <f t="shared" ref="N4:N27" si="4">J4/G4</f>
        <v>0.99999931620314253</v>
      </c>
      <c r="O4">
        <f t="shared" ref="O4:O27" si="5">1-N4</f>
        <v>6.8379685747022023E-7</v>
      </c>
      <c r="Z4">
        <v>1</v>
      </c>
      <c r="AA4">
        <v>2005</v>
      </c>
      <c r="AB4">
        <v>9.3619116316960795</v>
      </c>
      <c r="AC4">
        <f t="shared" ref="AC4:AC27" si="6">AB4/G4</f>
        <v>1.0276493446106176</v>
      </c>
      <c r="AF4" s="6">
        <v>2005</v>
      </c>
      <c r="AG4" s="6">
        <v>0</v>
      </c>
      <c r="AH4" s="4">
        <v>9.1099557999999998</v>
      </c>
    </row>
    <row r="5" spans="1:34" x14ac:dyDescent="0.25">
      <c r="A5">
        <v>2010</v>
      </c>
      <c r="B5">
        <v>693.23936100000003</v>
      </c>
      <c r="C5">
        <f t="shared" si="0"/>
        <v>1342575.9823551737</v>
      </c>
      <c r="D5">
        <f t="shared" si="1"/>
        <v>8.5019617288750382</v>
      </c>
      <c r="F5" s="1">
        <v>2010</v>
      </c>
      <c r="G5" s="2">
        <v>8.4890108000000009</v>
      </c>
      <c r="I5">
        <v>2010</v>
      </c>
      <c r="J5">
        <v>8.4891689477023196</v>
      </c>
      <c r="L5">
        <f t="shared" si="2"/>
        <v>1.0015256110729696</v>
      </c>
      <c r="M5">
        <f t="shared" si="3"/>
        <v>-1.5256110729695571E-3</v>
      </c>
      <c r="N5">
        <f t="shared" si="4"/>
        <v>1.000018629697387</v>
      </c>
      <c r="O5">
        <f t="shared" si="5"/>
        <v>-1.8629697386973731E-5</v>
      </c>
      <c r="Z5">
        <v>1</v>
      </c>
      <c r="AA5">
        <v>2010</v>
      </c>
      <c r="AB5">
        <v>8.7290975301786293</v>
      </c>
      <c r="AC5">
        <f t="shared" si="6"/>
        <v>1.0282820620488111</v>
      </c>
      <c r="AF5" s="6">
        <v>2010</v>
      </c>
      <c r="AG5" s="6">
        <v>0</v>
      </c>
      <c r="AH5" s="4">
        <v>8.4890614000000006</v>
      </c>
    </row>
    <row r="6" spans="1:34" x14ac:dyDescent="0.25">
      <c r="A6">
        <v>2015</v>
      </c>
      <c r="B6">
        <v>649.56018700000004</v>
      </c>
      <c r="C6">
        <f t="shared" si="0"/>
        <v>1257983.8295712918</v>
      </c>
      <c r="D6">
        <f t="shared" si="1"/>
        <v>7.9662756634427643</v>
      </c>
      <c r="F6" s="1">
        <v>2015</v>
      </c>
      <c r="G6" s="2">
        <v>7.9587088000000001</v>
      </c>
      <c r="I6">
        <v>2015</v>
      </c>
      <c r="J6">
        <v>7.95878949002498</v>
      </c>
      <c r="L6">
        <f t="shared" si="2"/>
        <v>1.0009507652098999</v>
      </c>
      <c r="M6">
        <f t="shared" si="3"/>
        <v>-9.5076520989989532E-4</v>
      </c>
      <c r="N6">
        <f t="shared" si="4"/>
        <v>1.0000101385824016</v>
      </c>
      <c r="O6">
        <f t="shared" si="5"/>
        <v>-1.01385824016198E-5</v>
      </c>
      <c r="Z6">
        <v>1</v>
      </c>
      <c r="AA6">
        <v>2015</v>
      </c>
      <c r="AB6">
        <v>8.1694742842975003</v>
      </c>
      <c r="AC6">
        <f t="shared" si="6"/>
        <v>1.0264823716502229</v>
      </c>
      <c r="AF6" s="6">
        <v>2015</v>
      </c>
      <c r="AG6" s="6">
        <v>0</v>
      </c>
      <c r="AH6" s="4">
        <v>7.9585661999999999</v>
      </c>
    </row>
    <row r="7" spans="1:34" x14ac:dyDescent="0.25">
      <c r="A7">
        <v>2020</v>
      </c>
      <c r="B7">
        <v>615.40449100000001</v>
      </c>
      <c r="C7">
        <f t="shared" si="0"/>
        <v>1191835.512424273</v>
      </c>
      <c r="D7">
        <f t="shared" si="1"/>
        <v>7.5473865516124699</v>
      </c>
      <c r="F7" s="1">
        <v>2020</v>
      </c>
      <c r="G7" s="2">
        <v>7.5429955</v>
      </c>
      <c r="I7">
        <v>2020</v>
      </c>
      <c r="J7">
        <v>7.5431975711405697</v>
      </c>
      <c r="L7">
        <f t="shared" si="2"/>
        <v>1.0005821363160656</v>
      </c>
      <c r="M7">
        <f t="shared" si="3"/>
        <v>-5.8213631606562899E-4</v>
      </c>
      <c r="N7">
        <f t="shared" si="4"/>
        <v>1.0000267892431554</v>
      </c>
      <c r="O7">
        <f t="shared" si="5"/>
        <v>-2.6789243155356246E-5</v>
      </c>
      <c r="Z7">
        <v>1</v>
      </c>
      <c r="AA7">
        <v>2020</v>
      </c>
      <c r="AB7">
        <v>7.71431081051088</v>
      </c>
      <c r="AC7">
        <f t="shared" si="6"/>
        <v>1.0227118404764897</v>
      </c>
      <c r="AF7" s="6">
        <v>2020</v>
      </c>
      <c r="AG7" s="6">
        <v>0</v>
      </c>
      <c r="AH7" s="4">
        <v>7.5429354000000002</v>
      </c>
    </row>
    <row r="8" spans="1:34" x14ac:dyDescent="0.25">
      <c r="A8">
        <v>2025</v>
      </c>
      <c r="B8">
        <v>590.29774799999996</v>
      </c>
      <c r="C8">
        <f t="shared" si="0"/>
        <v>1143212.0325076964</v>
      </c>
      <c r="D8">
        <f t="shared" si="1"/>
        <v>7.239474767990159</v>
      </c>
      <c r="F8" s="1">
        <v>2025</v>
      </c>
      <c r="G8" s="2">
        <v>7.2367438999999996</v>
      </c>
      <c r="I8">
        <v>2025</v>
      </c>
      <c r="J8">
        <v>7.2370165082202202</v>
      </c>
      <c r="L8">
        <f t="shared" si="2"/>
        <v>1.0003773614249578</v>
      </c>
      <c r="M8">
        <f t="shared" si="3"/>
        <v>-3.7736142495781166E-4</v>
      </c>
      <c r="N8">
        <f t="shared" si="4"/>
        <v>1.0000376700107103</v>
      </c>
      <c r="O8">
        <f t="shared" si="5"/>
        <v>-3.7670010710311175E-5</v>
      </c>
      <c r="Z8">
        <v>1</v>
      </c>
      <c r="AA8">
        <v>2025</v>
      </c>
      <c r="AB8">
        <v>7.3673597594259004</v>
      </c>
      <c r="AC8">
        <f t="shared" si="6"/>
        <v>1.0180489818668172</v>
      </c>
      <c r="AF8" s="6">
        <v>2025</v>
      </c>
      <c r="AG8" s="6">
        <v>0</v>
      </c>
      <c r="AH8" s="4">
        <v>7.2367887</v>
      </c>
    </row>
    <row r="9" spans="1:34" x14ac:dyDescent="0.25">
      <c r="A9">
        <v>2030</v>
      </c>
      <c r="B9">
        <v>573.92655600000001</v>
      </c>
      <c r="C9">
        <f t="shared" si="0"/>
        <v>1111506.4335209054</v>
      </c>
      <c r="D9">
        <f t="shared" si="1"/>
        <v>7.0386967169007235</v>
      </c>
      <c r="F9" s="1">
        <v>2030</v>
      </c>
      <c r="G9" s="2">
        <v>7.0366939999999998</v>
      </c>
      <c r="I9">
        <v>2030</v>
      </c>
      <c r="J9">
        <v>7.0368365818513601</v>
      </c>
      <c r="L9">
        <f t="shared" si="2"/>
        <v>1.0002846104862204</v>
      </c>
      <c r="M9">
        <f t="shared" si="3"/>
        <v>-2.8461048622041574E-4</v>
      </c>
      <c r="N9">
        <f t="shared" si="4"/>
        <v>1.0000202626192585</v>
      </c>
      <c r="O9">
        <f t="shared" si="5"/>
        <v>-2.0262619258470949E-5</v>
      </c>
      <c r="Z9">
        <v>1</v>
      </c>
      <c r="AA9">
        <v>2030</v>
      </c>
      <c r="AB9">
        <v>7.1257844253902096</v>
      </c>
      <c r="AC9">
        <f t="shared" si="6"/>
        <v>1.0126608355273385</v>
      </c>
      <c r="AF9" s="6">
        <v>2030</v>
      </c>
      <c r="AG9" s="6">
        <v>0</v>
      </c>
      <c r="AH9" s="4">
        <v>7.0365820000000001</v>
      </c>
    </row>
    <row r="10" spans="1:34" x14ac:dyDescent="0.25">
      <c r="A10">
        <v>2035</v>
      </c>
      <c r="B10">
        <v>559.44143999999994</v>
      </c>
      <c r="C10">
        <f t="shared" si="0"/>
        <v>1083453.5416378251</v>
      </c>
      <c r="D10">
        <f t="shared" si="1"/>
        <v>6.8610497037642091</v>
      </c>
      <c r="F10" s="1">
        <v>2035</v>
      </c>
      <c r="G10" s="2">
        <v>6.8557962999999997</v>
      </c>
      <c r="I10">
        <v>2035</v>
      </c>
      <c r="J10">
        <v>6.8560270373519998</v>
      </c>
      <c r="L10">
        <f t="shared" si="2"/>
        <v>1.00076627185732</v>
      </c>
      <c r="M10">
        <f t="shared" si="3"/>
        <v>-7.6627185732003333E-4</v>
      </c>
      <c r="N10">
        <f t="shared" si="4"/>
        <v>1.0000336558062555</v>
      </c>
      <c r="O10">
        <f t="shared" si="5"/>
        <v>-3.3655806255472598E-5</v>
      </c>
      <c r="Z10">
        <v>1</v>
      </c>
      <c r="AA10">
        <v>2035</v>
      </c>
      <c r="AB10">
        <v>6.9438833160125402</v>
      </c>
      <c r="AC10">
        <f t="shared" si="6"/>
        <v>1.0128485462750025</v>
      </c>
      <c r="AF10" s="6">
        <v>2035</v>
      </c>
      <c r="AG10" s="6">
        <v>0</v>
      </c>
      <c r="AH10" s="4">
        <v>6.8557673000000001</v>
      </c>
    </row>
    <row r="11" spans="1:34" x14ac:dyDescent="0.25">
      <c r="A11">
        <v>2040</v>
      </c>
      <c r="B11">
        <v>538.02167599999996</v>
      </c>
      <c r="C11">
        <f t="shared" si="0"/>
        <v>1041970.5239213571</v>
      </c>
      <c r="D11">
        <f t="shared" si="1"/>
        <v>6.5983554252586716</v>
      </c>
      <c r="F11" s="1">
        <v>2040</v>
      </c>
      <c r="G11" s="2">
        <v>6.5860824999999998</v>
      </c>
      <c r="I11">
        <v>2040</v>
      </c>
      <c r="J11">
        <v>6.5862153594268298</v>
      </c>
      <c r="L11">
        <f t="shared" si="2"/>
        <v>1.0018634636384636</v>
      </c>
      <c r="M11">
        <f t="shared" si="3"/>
        <v>-1.8634636384635694E-3</v>
      </c>
      <c r="N11">
        <f t="shared" si="4"/>
        <v>1.0000201727547187</v>
      </c>
      <c r="O11">
        <f t="shared" si="5"/>
        <v>-2.0172754718661423E-5</v>
      </c>
      <c r="Z11">
        <v>1</v>
      </c>
      <c r="AA11">
        <v>2040</v>
      </c>
      <c r="AB11">
        <v>6.7228770032565999</v>
      </c>
      <c r="AC11">
        <f t="shared" si="6"/>
        <v>1.0207702383407131</v>
      </c>
      <c r="AF11" s="6">
        <v>2040</v>
      </c>
      <c r="AG11" s="6">
        <v>0</v>
      </c>
      <c r="AH11" s="4">
        <v>6.5859880000000004</v>
      </c>
    </row>
    <row r="12" spans="1:34" x14ac:dyDescent="0.25">
      <c r="A12">
        <v>2045</v>
      </c>
      <c r="B12">
        <v>504.95453600000002</v>
      </c>
      <c r="C12">
        <f t="shared" si="0"/>
        <v>977930.38069415221</v>
      </c>
      <c r="D12">
        <f t="shared" si="1"/>
        <v>6.1928164807333435</v>
      </c>
      <c r="F12" s="1">
        <v>2045</v>
      </c>
      <c r="G12" s="2">
        <v>6.1719603999999997</v>
      </c>
      <c r="I12">
        <v>2045</v>
      </c>
      <c r="J12">
        <v>6.1719188472287296</v>
      </c>
      <c r="L12">
        <f t="shared" si="2"/>
        <v>1.0033791663234495</v>
      </c>
      <c r="M12">
        <f t="shared" si="3"/>
        <v>-3.3791663234494784E-3</v>
      </c>
      <c r="N12">
        <f t="shared" si="4"/>
        <v>0.99999326749224282</v>
      </c>
      <c r="O12">
        <f t="shared" si="5"/>
        <v>6.7325077571789294E-6</v>
      </c>
      <c r="Z12">
        <v>1</v>
      </c>
      <c r="AA12">
        <v>2045</v>
      </c>
      <c r="AB12">
        <v>6.3778970694438302</v>
      </c>
      <c r="AC12">
        <f t="shared" si="6"/>
        <v>1.0333664923455812</v>
      </c>
      <c r="AF12" s="6">
        <v>2045</v>
      </c>
      <c r="AG12" s="6">
        <v>0</v>
      </c>
      <c r="AH12" s="4">
        <v>6.1718077999999998</v>
      </c>
    </row>
    <row r="13" spans="1:34" x14ac:dyDescent="0.25">
      <c r="A13">
        <v>2050</v>
      </c>
      <c r="B13">
        <v>459.55654600000003</v>
      </c>
      <c r="C13">
        <f t="shared" si="0"/>
        <v>890009.44825707981</v>
      </c>
      <c r="D13">
        <f t="shared" si="1"/>
        <v>5.6360506718919572</v>
      </c>
      <c r="F13" s="1">
        <v>2050</v>
      </c>
      <c r="G13" s="2">
        <v>5.606503</v>
      </c>
      <c r="I13">
        <v>2050</v>
      </c>
      <c r="J13">
        <v>5.6066205507287696</v>
      </c>
      <c r="L13">
        <f t="shared" si="2"/>
        <v>1.0052702499030068</v>
      </c>
      <c r="M13">
        <f t="shared" si="3"/>
        <v>-5.2702499030068406E-3</v>
      </c>
      <c r="N13">
        <f t="shared" si="4"/>
        <v>1.0000209668538069</v>
      </c>
      <c r="O13">
        <f t="shared" si="5"/>
        <v>-2.0966853806925201E-5</v>
      </c>
      <c r="Z13">
        <v>1</v>
      </c>
      <c r="AA13">
        <v>2050</v>
      </c>
      <c r="AB13">
        <v>5.8786677460066397</v>
      </c>
      <c r="AC13">
        <f t="shared" si="6"/>
        <v>1.0485444752293256</v>
      </c>
      <c r="AF13" s="6">
        <v>2050</v>
      </c>
      <c r="AG13" s="6">
        <v>0</v>
      </c>
      <c r="AH13" s="4">
        <v>5.6062960999999998</v>
      </c>
    </row>
    <row r="14" spans="1:34" x14ac:dyDescent="0.25">
      <c r="A14">
        <v>2055</v>
      </c>
      <c r="B14">
        <v>399.800926</v>
      </c>
      <c r="C14">
        <f t="shared" si="0"/>
        <v>774282.52226860798</v>
      </c>
      <c r="D14">
        <f t="shared" si="1"/>
        <v>4.9032013518643831</v>
      </c>
      <c r="F14" s="1">
        <v>2055</v>
      </c>
      <c r="G14" s="2">
        <v>4.8710680000000002</v>
      </c>
      <c r="I14">
        <v>2055</v>
      </c>
      <c r="J14">
        <v>4.8713477105901699</v>
      </c>
      <c r="L14">
        <f t="shared" si="2"/>
        <v>1.0065967775166313</v>
      </c>
      <c r="M14">
        <f t="shared" si="3"/>
        <v>-6.5967775166313469E-3</v>
      </c>
      <c r="N14">
        <f t="shared" si="4"/>
        <v>1.0000574228465235</v>
      </c>
      <c r="O14">
        <f t="shared" si="5"/>
        <v>-5.7422846523547122E-5</v>
      </c>
      <c r="Z14">
        <v>1</v>
      </c>
      <c r="AA14">
        <v>2055</v>
      </c>
      <c r="AB14">
        <v>5.18387502057878</v>
      </c>
      <c r="AC14">
        <f t="shared" si="6"/>
        <v>1.0642173380824862</v>
      </c>
      <c r="AF14" s="6">
        <v>2055</v>
      </c>
      <c r="AG14" s="6">
        <v>0</v>
      </c>
      <c r="AH14" s="4">
        <v>4.8707123000000001</v>
      </c>
    </row>
    <row r="15" spans="1:34" x14ac:dyDescent="0.25">
      <c r="A15">
        <v>2060</v>
      </c>
      <c r="B15">
        <v>332.77560399999999</v>
      </c>
      <c r="C15">
        <f t="shared" si="0"/>
        <v>644476.58136384469</v>
      </c>
      <c r="D15">
        <f t="shared" si="1"/>
        <v>4.0811956283470101</v>
      </c>
      <c r="F15" s="1">
        <v>2060</v>
      </c>
      <c r="G15" s="2">
        <v>4.0555472000000004</v>
      </c>
      <c r="I15">
        <v>2060</v>
      </c>
      <c r="J15">
        <v>4.0561778108891398</v>
      </c>
      <c r="L15">
        <f t="shared" si="2"/>
        <v>1.006324283033128</v>
      </c>
      <c r="M15">
        <f t="shared" si="3"/>
        <v>-6.324283033128042E-3</v>
      </c>
      <c r="N15">
        <f t="shared" si="4"/>
        <v>1.0001554934163113</v>
      </c>
      <c r="O15">
        <f t="shared" si="5"/>
        <v>-1.5549341631126978E-4</v>
      </c>
      <c r="Z15">
        <v>1</v>
      </c>
      <c r="AA15">
        <v>2060</v>
      </c>
      <c r="AB15">
        <v>4.3637974597878904</v>
      </c>
      <c r="AC15">
        <f t="shared" si="6"/>
        <v>1.0760070699677444</v>
      </c>
      <c r="AF15" s="6">
        <v>2060</v>
      </c>
      <c r="AG15" s="6">
        <v>0</v>
      </c>
      <c r="AH15" s="4">
        <v>4.0555529999999997</v>
      </c>
    </row>
    <row r="16" spans="1:34" x14ac:dyDescent="0.25">
      <c r="A16">
        <v>2065</v>
      </c>
      <c r="B16">
        <v>272.95494100000002</v>
      </c>
      <c r="C16">
        <f t="shared" si="0"/>
        <v>528623.68853832781</v>
      </c>
      <c r="D16">
        <f t="shared" si="1"/>
        <v>3.3475486140051176</v>
      </c>
      <c r="F16" s="1">
        <v>2065</v>
      </c>
      <c r="G16" s="2">
        <v>3.3333507</v>
      </c>
      <c r="I16">
        <v>2065</v>
      </c>
      <c r="J16">
        <v>3.33406514145699</v>
      </c>
      <c r="L16">
        <f t="shared" si="2"/>
        <v>1.0042593520103114</v>
      </c>
      <c r="M16">
        <f t="shared" si="3"/>
        <v>-4.2593520103113569E-3</v>
      </c>
      <c r="N16">
        <f t="shared" si="4"/>
        <v>1.0002143313204308</v>
      </c>
      <c r="O16">
        <f t="shared" si="5"/>
        <v>-2.1433132043080505E-4</v>
      </c>
      <c r="Z16">
        <v>1</v>
      </c>
      <c r="AA16">
        <v>2065</v>
      </c>
      <c r="AB16">
        <v>3.5964111975272401</v>
      </c>
      <c r="AC16">
        <f t="shared" si="6"/>
        <v>1.0789177380967565</v>
      </c>
      <c r="AF16" s="6">
        <v>2065</v>
      </c>
      <c r="AG16" s="6">
        <v>0</v>
      </c>
      <c r="AH16" s="4">
        <v>3.3334904000000001</v>
      </c>
    </row>
    <row r="17" spans="1:34" x14ac:dyDescent="0.25">
      <c r="A17">
        <v>2070</v>
      </c>
      <c r="B17">
        <v>230.57658799999999</v>
      </c>
      <c r="C17">
        <f t="shared" si="0"/>
        <v>446550.79696521169</v>
      </c>
      <c r="D17">
        <f t="shared" si="1"/>
        <v>2.8278159565590317</v>
      </c>
      <c r="F17" s="1">
        <v>2070</v>
      </c>
      <c r="G17" s="2">
        <v>2.8231432000000001</v>
      </c>
      <c r="I17">
        <v>2070</v>
      </c>
      <c r="J17">
        <v>2.8236917646284501</v>
      </c>
      <c r="L17">
        <f t="shared" si="2"/>
        <v>1.0016551610130977</v>
      </c>
      <c r="M17">
        <f t="shared" si="3"/>
        <v>-1.6551610130977057E-3</v>
      </c>
      <c r="N17">
        <f t="shared" si="4"/>
        <v>1.0001943098842629</v>
      </c>
      <c r="O17">
        <f t="shared" si="5"/>
        <v>-1.9430988426294427E-4</v>
      </c>
      <c r="Z17">
        <v>1</v>
      </c>
      <c r="AA17">
        <v>2070</v>
      </c>
      <c r="AB17">
        <v>3.0140048206439198</v>
      </c>
      <c r="AC17">
        <f t="shared" si="6"/>
        <v>1.0676060713618494</v>
      </c>
      <c r="AF17" s="6">
        <v>2070</v>
      </c>
      <c r="AG17" s="6">
        <v>0</v>
      </c>
      <c r="AH17" s="4">
        <v>2.8233290000000002</v>
      </c>
    </row>
    <row r="18" spans="1:34" x14ac:dyDescent="0.25">
      <c r="A18">
        <v>2075</v>
      </c>
      <c r="B18">
        <v>206.207077</v>
      </c>
      <c r="C18">
        <f t="shared" si="0"/>
        <v>399355.09226208506</v>
      </c>
      <c r="D18">
        <f t="shared" si="1"/>
        <v>2.528945665099342</v>
      </c>
      <c r="F18" s="1">
        <v>2075</v>
      </c>
      <c r="G18" s="2">
        <v>2.5294544999999999</v>
      </c>
      <c r="I18">
        <v>2075</v>
      </c>
      <c r="J18">
        <v>2.5298397117578402</v>
      </c>
      <c r="L18">
        <f t="shared" si="2"/>
        <v>0.99979883611242748</v>
      </c>
      <c r="M18">
        <f t="shared" si="3"/>
        <v>2.0116388757251968E-4</v>
      </c>
      <c r="N18">
        <f t="shared" si="4"/>
        <v>1.0001522904475413</v>
      </c>
      <c r="O18">
        <f t="shared" si="5"/>
        <v>-1.5229044754128118E-4</v>
      </c>
      <c r="Z18">
        <v>1</v>
      </c>
      <c r="AA18">
        <v>2075</v>
      </c>
      <c r="AB18">
        <v>2.6431190339628499</v>
      </c>
      <c r="AC18">
        <f t="shared" si="6"/>
        <v>1.0449363821182986</v>
      </c>
      <c r="AF18" s="6">
        <v>2075</v>
      </c>
      <c r="AG18" s="6">
        <v>0</v>
      </c>
      <c r="AH18" s="4">
        <v>2.5296104000000001</v>
      </c>
    </row>
    <row r="19" spans="1:34" x14ac:dyDescent="0.25">
      <c r="A19">
        <v>2080</v>
      </c>
      <c r="B19">
        <v>194.844236</v>
      </c>
      <c r="C19">
        <f t="shared" si="0"/>
        <v>377349.0171945722</v>
      </c>
      <c r="D19">
        <f t="shared" si="1"/>
        <v>2.389590566776683</v>
      </c>
      <c r="F19" s="1">
        <v>2080</v>
      </c>
      <c r="G19" s="2">
        <v>2.3923326</v>
      </c>
      <c r="I19">
        <v>2080</v>
      </c>
      <c r="J19">
        <v>2.3925279382608502</v>
      </c>
      <c r="L19">
        <f t="shared" si="2"/>
        <v>0.99885382441249304</v>
      </c>
      <c r="M19">
        <f t="shared" si="3"/>
        <v>1.146175587506959E-3</v>
      </c>
      <c r="N19">
        <f t="shared" si="4"/>
        <v>1.000081651799106</v>
      </c>
      <c r="O19">
        <f t="shared" si="5"/>
        <v>-8.1651799106019496E-5</v>
      </c>
      <c r="Z19">
        <v>1</v>
      </c>
      <c r="AA19">
        <v>2080</v>
      </c>
      <c r="AB19">
        <v>2.4471632907274201</v>
      </c>
      <c r="AC19">
        <f t="shared" si="6"/>
        <v>1.0229193427065368</v>
      </c>
      <c r="AF19" s="6">
        <v>2080</v>
      </c>
      <c r="AG19" s="6">
        <v>0</v>
      </c>
      <c r="AH19" s="4">
        <v>2.3924177000000002</v>
      </c>
    </row>
    <row r="20" spans="1:34" x14ac:dyDescent="0.25">
      <c r="A20">
        <v>2085</v>
      </c>
      <c r="B20">
        <v>191.22028499999999</v>
      </c>
      <c r="C20">
        <f t="shared" si="0"/>
        <v>370330.61944114167</v>
      </c>
      <c r="D20">
        <f t="shared" si="1"/>
        <v>2.3451460437985392</v>
      </c>
      <c r="F20" s="1">
        <v>2085</v>
      </c>
      <c r="G20" s="2">
        <v>2.3485567999999999</v>
      </c>
      <c r="I20">
        <v>2085</v>
      </c>
      <c r="J20">
        <v>2.3486272549749301</v>
      </c>
      <c r="L20">
        <f t="shared" si="2"/>
        <v>0.99854772249857415</v>
      </c>
      <c r="M20">
        <f t="shared" si="3"/>
        <v>1.4522775014258471E-3</v>
      </c>
      <c r="N20">
        <f t="shared" si="4"/>
        <v>1.0000299992637736</v>
      </c>
      <c r="O20">
        <f t="shared" si="5"/>
        <v>-2.9999263773561324E-5</v>
      </c>
      <c r="Z20">
        <v>1</v>
      </c>
      <c r="AA20">
        <v>2085</v>
      </c>
      <c r="AB20">
        <v>2.3661639983367801</v>
      </c>
      <c r="AC20">
        <f t="shared" si="6"/>
        <v>1.0074970289570089</v>
      </c>
      <c r="AF20" s="6">
        <v>2085</v>
      </c>
      <c r="AG20" s="6">
        <v>0</v>
      </c>
      <c r="AH20" s="4">
        <v>2.3485832000000002</v>
      </c>
    </row>
    <row r="21" spans="1:34" x14ac:dyDescent="0.25">
      <c r="A21">
        <v>2090</v>
      </c>
      <c r="B21">
        <v>193.494452</v>
      </c>
      <c r="C21">
        <f t="shared" si="0"/>
        <v>374734.93080289185</v>
      </c>
      <c r="D21">
        <f t="shared" si="1"/>
        <v>2.3730366713174091</v>
      </c>
      <c r="F21" s="1">
        <v>2090</v>
      </c>
      <c r="G21" s="2">
        <v>2.3766663000000001</v>
      </c>
      <c r="I21">
        <v>2090</v>
      </c>
      <c r="J21">
        <v>2.3767006912906199</v>
      </c>
      <c r="L21">
        <f t="shared" si="2"/>
        <v>0.99847280677031058</v>
      </c>
      <c r="M21">
        <f t="shared" si="3"/>
        <v>1.5271932296894164E-3</v>
      </c>
      <c r="N21">
        <f t="shared" si="4"/>
        <v>1.0000144703909926</v>
      </c>
      <c r="O21">
        <f t="shared" si="5"/>
        <v>-1.4470390992560311E-5</v>
      </c>
      <c r="Z21">
        <v>1</v>
      </c>
      <c r="AA21">
        <v>2090</v>
      </c>
      <c r="AB21">
        <v>2.36550957739149</v>
      </c>
      <c r="AC21">
        <f t="shared" si="6"/>
        <v>0.99530572608846679</v>
      </c>
      <c r="AF21" s="6">
        <v>2090</v>
      </c>
      <c r="AG21" s="6">
        <v>0</v>
      </c>
      <c r="AH21" s="4">
        <v>2.3766900999999998</v>
      </c>
    </row>
    <row r="22" spans="1:34" x14ac:dyDescent="0.25">
      <c r="A22">
        <v>2095</v>
      </c>
      <c r="B22">
        <v>202.04280399999999</v>
      </c>
      <c r="C22">
        <f t="shared" si="0"/>
        <v>391290.26901589014</v>
      </c>
      <c r="D22">
        <f t="shared" si="1"/>
        <v>2.4778745752761724</v>
      </c>
      <c r="F22" s="1">
        <v>2095</v>
      </c>
      <c r="G22" s="2">
        <v>2.4835289</v>
      </c>
      <c r="I22">
        <v>2095</v>
      </c>
      <c r="J22">
        <v>2.4835381481915402</v>
      </c>
      <c r="L22">
        <f t="shared" si="2"/>
        <v>0.99772327001154382</v>
      </c>
      <c r="M22">
        <f t="shared" si="3"/>
        <v>2.2767299884561831E-3</v>
      </c>
      <c r="N22">
        <f t="shared" si="4"/>
        <v>1.0000037238107196</v>
      </c>
      <c r="O22">
        <f t="shared" si="5"/>
        <v>-3.7238107195580739E-6</v>
      </c>
      <c r="Z22">
        <v>1</v>
      </c>
      <c r="AA22">
        <v>2095</v>
      </c>
      <c r="AB22">
        <v>2.43607319731057</v>
      </c>
      <c r="AC22">
        <f t="shared" si="6"/>
        <v>0.98089182586543289</v>
      </c>
      <c r="AF22" s="6">
        <v>2095</v>
      </c>
      <c r="AG22" s="6">
        <v>0</v>
      </c>
      <c r="AH22" s="4">
        <v>2.4835221999999999</v>
      </c>
    </row>
    <row r="23" spans="1:34" x14ac:dyDescent="0.25">
      <c r="A23">
        <v>2100</v>
      </c>
      <c r="B23">
        <v>220.77392800000001</v>
      </c>
      <c r="C23">
        <f t="shared" si="0"/>
        <v>427566.27788047708</v>
      </c>
      <c r="D23">
        <f t="shared" si="1"/>
        <v>2.7075950850249155</v>
      </c>
      <c r="F23" s="1">
        <v>2100</v>
      </c>
      <c r="G23" s="2">
        <v>2.7153944999999999</v>
      </c>
      <c r="I23">
        <v>2100</v>
      </c>
      <c r="J23">
        <v>2.7154172266417098</v>
      </c>
      <c r="L23">
        <f t="shared" si="2"/>
        <v>0.99712770465761624</v>
      </c>
      <c r="M23">
        <f t="shared" si="3"/>
        <v>2.8722953423837572E-3</v>
      </c>
      <c r="N23">
        <f t="shared" si="4"/>
        <v>1.0000083695542985</v>
      </c>
      <c r="O23">
        <f t="shared" si="5"/>
        <v>-8.3695542985040561E-6</v>
      </c>
      <c r="Z23">
        <v>1</v>
      </c>
      <c r="AA23">
        <v>2100</v>
      </c>
      <c r="AB23">
        <v>2.6186572899953702</v>
      </c>
      <c r="AC23">
        <f t="shared" si="6"/>
        <v>0.96437452826665526</v>
      </c>
      <c r="AF23" s="6">
        <v>2100</v>
      </c>
      <c r="AG23" s="6">
        <v>0</v>
      </c>
      <c r="AH23" s="4">
        <v>2.7153325000000001</v>
      </c>
    </row>
    <row r="24" spans="1:34" x14ac:dyDescent="0.25">
      <c r="A24">
        <v>2105</v>
      </c>
      <c r="B24">
        <v>240.06437600000001</v>
      </c>
      <c r="C24">
        <f t="shared" si="0"/>
        <v>464925.51284415851</v>
      </c>
      <c r="D24">
        <f t="shared" si="1"/>
        <v>2.9441752041806915</v>
      </c>
      <c r="F24" s="1">
        <v>2105</v>
      </c>
      <c r="G24" s="2">
        <v>2.9500720999999999</v>
      </c>
      <c r="I24">
        <v>2105</v>
      </c>
      <c r="J24">
        <v>2.9501639133532098</v>
      </c>
      <c r="L24">
        <f t="shared" si="2"/>
        <v>0.99800110111908502</v>
      </c>
      <c r="M24">
        <f t="shared" si="3"/>
        <v>1.9988988809149788E-3</v>
      </c>
      <c r="N24">
        <f t="shared" si="4"/>
        <v>1.0000311224099268</v>
      </c>
      <c r="O24">
        <f t="shared" si="5"/>
        <v>-3.1122409926753747E-5</v>
      </c>
      <c r="Z24">
        <v>1</v>
      </c>
      <c r="AA24">
        <v>2105</v>
      </c>
      <c r="AB24">
        <v>2.8576187488925999</v>
      </c>
      <c r="AC24">
        <f t="shared" si="6"/>
        <v>0.9686606469355783</v>
      </c>
      <c r="AF24" s="6">
        <v>2105</v>
      </c>
      <c r="AG24" s="6">
        <v>0</v>
      </c>
      <c r="AH24" s="4">
        <v>2.9500932999999998</v>
      </c>
    </row>
    <row r="25" spans="1:34" x14ac:dyDescent="0.25">
      <c r="A25">
        <v>2110</v>
      </c>
      <c r="B25">
        <v>252.32299599999999</v>
      </c>
      <c r="C25">
        <f t="shared" si="0"/>
        <v>488666.41636856005</v>
      </c>
      <c r="D25">
        <f t="shared" si="1"/>
        <v>3.0945162320451232</v>
      </c>
      <c r="F25" s="1">
        <v>2110</v>
      </c>
      <c r="G25" s="2">
        <v>3.0978734000000001</v>
      </c>
      <c r="I25">
        <v>2110</v>
      </c>
      <c r="J25">
        <v>3.0979158814995098</v>
      </c>
      <c r="L25">
        <f t="shared" si="2"/>
        <v>0.99891629917643598</v>
      </c>
      <c r="M25">
        <f t="shared" si="3"/>
        <v>1.0837008235640155E-3</v>
      </c>
      <c r="N25">
        <f t="shared" si="4"/>
        <v>1.0000137131167173</v>
      </c>
      <c r="O25">
        <f t="shared" si="5"/>
        <v>-1.3713116717273266E-5</v>
      </c>
      <c r="Z25">
        <v>1</v>
      </c>
      <c r="AA25">
        <v>2110</v>
      </c>
      <c r="AB25">
        <v>3.0374262796643401</v>
      </c>
      <c r="AC25">
        <f t="shared" si="6"/>
        <v>0.98048754337873845</v>
      </c>
      <c r="AF25" s="6">
        <v>2110</v>
      </c>
      <c r="AG25" s="6">
        <v>0</v>
      </c>
      <c r="AH25" s="4">
        <v>3.0978528999999999</v>
      </c>
    </row>
    <row r="26" spans="1:34" x14ac:dyDescent="0.25">
      <c r="A26">
        <v>2115</v>
      </c>
      <c r="B26">
        <v>258.888239</v>
      </c>
      <c r="C26">
        <f t="shared" si="0"/>
        <v>501381.12656246871</v>
      </c>
      <c r="D26">
        <f t="shared" si="1"/>
        <v>3.1750330749523807</v>
      </c>
      <c r="F26" s="1">
        <v>2115</v>
      </c>
      <c r="G26" s="2">
        <v>3.1759970000000002</v>
      </c>
      <c r="I26">
        <v>2115</v>
      </c>
      <c r="J26">
        <v>3.1760011616022501</v>
      </c>
      <c r="L26">
        <f t="shared" si="2"/>
        <v>0.99969649686456896</v>
      </c>
      <c r="M26">
        <f t="shared" si="3"/>
        <v>3.0350313543103802E-4</v>
      </c>
      <c r="N26">
        <f t="shared" si="4"/>
        <v>1.0000013103294021</v>
      </c>
      <c r="O26">
        <f t="shared" si="5"/>
        <v>-1.3103294020933021E-6</v>
      </c>
      <c r="Z26">
        <v>1</v>
      </c>
      <c r="AA26">
        <v>2115</v>
      </c>
      <c r="AB26">
        <v>3.1447673574053199</v>
      </c>
      <c r="AC26">
        <f t="shared" si="6"/>
        <v>0.99016697981935109</v>
      </c>
      <c r="AF26" s="6">
        <v>2115</v>
      </c>
      <c r="AG26" s="6">
        <v>0</v>
      </c>
      <c r="AH26" s="4">
        <v>3.1759681999999998</v>
      </c>
    </row>
    <row r="27" spans="1:34" x14ac:dyDescent="0.25">
      <c r="A27">
        <v>2120</v>
      </c>
      <c r="B27">
        <v>261.86366500000003</v>
      </c>
      <c r="C27">
        <f t="shared" si="0"/>
        <v>507143.54530209821</v>
      </c>
      <c r="D27">
        <f t="shared" si="1"/>
        <v>3.211524017911259</v>
      </c>
      <c r="F27" s="1">
        <v>2120</v>
      </c>
      <c r="G27" s="2">
        <v>3.2120565999999999</v>
      </c>
      <c r="I27">
        <v>2120</v>
      </c>
      <c r="J27">
        <v>3.2120215453563201</v>
      </c>
      <c r="L27">
        <f t="shared" si="2"/>
        <v>0.99983419280695707</v>
      </c>
      <c r="M27">
        <f t="shared" si="3"/>
        <v>1.6580719304293279E-4</v>
      </c>
      <c r="N27">
        <f t="shared" si="4"/>
        <v>0.99998908654234808</v>
      </c>
      <c r="O27">
        <f t="shared" si="5"/>
        <v>1.0913457651917646E-5</v>
      </c>
      <c r="Z27">
        <v>1</v>
      </c>
      <c r="AA27">
        <v>2120</v>
      </c>
      <c r="AB27">
        <v>3.19316931248781</v>
      </c>
      <c r="AC27">
        <f t="shared" si="6"/>
        <v>0.99411987711792194</v>
      </c>
      <c r="AF27" s="6">
        <v>2120</v>
      </c>
      <c r="AG27" s="6">
        <v>0</v>
      </c>
      <c r="AH27" s="4">
        <v>3.2120681000000002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 3 full 0</vt:lpstr>
      <vt:lpstr>Ex 3 full 1</vt:lpstr>
      <vt:lpstr>Ex 3 Gauss 0</vt:lpstr>
      <vt:lpstr>Ex 3 Gauss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DIMITRIOU, Paraskevi</dc:creator>
  <cp:lastModifiedBy>DIMITRIOU, Paraskevi</cp:lastModifiedBy>
  <dcterms:created xsi:type="dcterms:W3CDTF">2024-01-09T16:33:46Z</dcterms:created>
  <dcterms:modified xsi:type="dcterms:W3CDTF">2024-04-22T14:20:16Z</dcterms:modified>
</cp:coreProperties>
</file>