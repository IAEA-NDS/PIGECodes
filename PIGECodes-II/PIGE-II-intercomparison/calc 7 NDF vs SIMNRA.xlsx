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DF\Nuno\IAEA\PIGE_IAEA_2023\round_3\Matej 2025-03-18\"/>
    </mc:Choice>
  </mc:AlternateContent>
  <xr:revisionPtr revIDLastSave="0" documentId="8_{137B8AE4-DB7A-4019-835C-29A106AD6BA7}" xr6:coauthVersionLast="36" xr6:coauthVersionMax="36" xr10:uidLastSave="{00000000-0000-0000-0000-000000000000}"/>
  <bookViews>
    <workbookView xWindow="0" yWindow="0" windowWidth="23040" windowHeight="8940" xr2:uid="{A6F2172C-08FD-4897-88CD-BE220E5695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2" i="1" l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<sst xmlns="http://schemas.openxmlformats.org/spreadsheetml/2006/main" count="4" uniqueCount="4">
  <si>
    <t>Energy (keV)</t>
  </si>
  <si>
    <t>NDF Yang param</t>
  </si>
  <si>
    <t>SIMNRA</t>
  </si>
  <si>
    <t>NDF/SIMNRA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</si>
</sst>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Sheet1!$A$2:$A$22</c:f>
              <c:numCache>
                <c:formatCode>0.00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Sheet1!$B$2:$B$22</c:f>
              <c:numCache>
                <c:formatCode>0.00000000</c:formatCode>
                <c:ptCount val="21"/>
                <c:pt idx="0">
                  <c:v>4.4751586999999997</c:v>
                </c:pt>
                <c:pt idx="1">
                  <c:v>4.6394019000000002</c:v>
                </c:pt>
                <c:pt idx="2">
                  <c:v>4.7588944</c:v>
                </c:pt>
                <c:pt idx="3">
                  <c:v>4.8308492000000003</c:v>
                </c:pt>
                <c:pt idx="4">
                  <c:v>4.8526296999999996</c:v>
                </c:pt>
                <c:pt idx="5">
                  <c:v>4.8242602000000003</c:v>
                </c:pt>
                <c:pt idx="6">
                  <c:v>4.7474103000000003</c:v>
                </c:pt>
                <c:pt idx="7">
                  <c:v>4.6254071999999997</c:v>
                </c:pt>
                <c:pt idx="8">
                  <c:v>4.4633120999999996</c:v>
                </c:pt>
                <c:pt idx="9">
                  <c:v>4.2664676000000004</c:v>
                </c:pt>
                <c:pt idx="10">
                  <c:v>4.0432066999999998</c:v>
                </c:pt>
                <c:pt idx="11">
                  <c:v>3.8009651</c:v>
                </c:pt>
                <c:pt idx="12">
                  <c:v>3.5487339000000002</c:v>
                </c:pt>
                <c:pt idx="13">
                  <c:v>3.2953912999999999</c:v>
                </c:pt>
                <c:pt idx="14">
                  <c:v>3.0493979000000002</c:v>
                </c:pt>
                <c:pt idx="15">
                  <c:v>2.819375</c:v>
                </c:pt>
                <c:pt idx="16">
                  <c:v>2.6131122000000002</c:v>
                </c:pt>
                <c:pt idx="17">
                  <c:v>2.4367695</c:v>
                </c:pt>
                <c:pt idx="18">
                  <c:v>2.2966275</c:v>
                </c:pt>
                <c:pt idx="19">
                  <c:v>2.1963596000000001</c:v>
                </c:pt>
                <c:pt idx="20">
                  <c:v>2.1384020000000001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7B-448C-B960-377BA2FDFEF5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Sheet1!$A$2:$A$22</c:f>
              <c:numCache>
                <c:formatCode>0.00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Sheet1!$C$2:$C$22</c:f>
              <c:numCache>
                <c:formatCode>General</c:formatCode>
                <c:ptCount val="21"/>
                <c:pt idx="0">
                  <c:v>4.4746077599999996</c:v>
                </c:pt>
                <c:pt idx="1">
                  <c:v>4.6387321699999999</c:v>
                </c:pt>
                <c:pt idx="2">
                  <c:v>4.7584016</c:v>
                </c:pt>
                <c:pt idx="3">
                  <c:v>4.8301162499999997</c:v>
                </c:pt>
                <c:pt idx="4">
                  <c:v>4.8520025599999999</c:v>
                </c:pt>
                <c:pt idx="5">
                  <c:v>4.8238683599999996</c:v>
                </c:pt>
                <c:pt idx="6">
                  <c:v>4.7472574200000004</c:v>
                </c:pt>
                <c:pt idx="7">
                  <c:v>4.6253834100000004</c:v>
                </c:pt>
                <c:pt idx="8">
                  <c:v>4.4631964499999999</c:v>
                </c:pt>
                <c:pt idx="9">
                  <c:v>4.2668162699999996</c:v>
                </c:pt>
                <c:pt idx="10">
                  <c:v>4.0435341600000001</c:v>
                </c:pt>
                <c:pt idx="11">
                  <c:v>3.8014618100000002</c:v>
                </c:pt>
                <c:pt idx="12">
                  <c:v>3.54934422</c:v>
                </c:pt>
                <c:pt idx="13">
                  <c:v>3.2960008599999999</c:v>
                </c:pt>
                <c:pt idx="14">
                  <c:v>3.05018148</c:v>
                </c:pt>
                <c:pt idx="15">
                  <c:v>2.8202168200000002</c:v>
                </c:pt>
                <c:pt idx="16">
                  <c:v>2.61379216</c:v>
                </c:pt>
                <c:pt idx="17">
                  <c:v>2.4376611399999999</c:v>
                </c:pt>
                <c:pt idx="18">
                  <c:v>2.2971997499999999</c:v>
                </c:pt>
                <c:pt idx="19">
                  <c:v>2.1966556000000002</c:v>
                </c:pt>
                <c:pt idx="20">
                  <c:v>2.1386670900000002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7B-448C-B960-377BA2FDF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771359"/>
        <c:axId val="531498335"/>
      </c:scatterChart>
      <c:valAx>
        <c:axId val="566771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31498335"/>
        <c:crosses val="autoZero"/>
        <c:crossBetween val="midCat"/>
      </c:valAx>
      <c:valAx>
        <c:axId val="53149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667713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Sheet1!$A$2:$A$22</c:f>
              <c:numCache>
                <c:formatCode>0.00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Sheet1!$D$2:$D$22</c:f>
              <c:numCache>
                <c:formatCode>General</c:formatCode>
                <c:ptCount val="21"/>
                <c:pt idx="0">
                  <c:v>1.000123125875954</c:v>
                </c:pt>
                <c:pt idx="1">
                  <c:v>1.0001443778117503</c:v>
                </c:pt>
                <c:pt idx="2">
                  <c:v>1.000103564188445</c:v>
                </c:pt>
                <c:pt idx="3">
                  <c:v>1.0001517458301341</c:v>
                </c:pt>
                <c:pt idx="4">
                  <c:v>1.0001292538477142</c:v>
                </c:pt>
                <c:pt idx="5">
                  <c:v>1.0000812294139803</c:v>
                </c:pt>
                <c:pt idx="6">
                  <c:v>1.0000322038571905</c:v>
                </c:pt>
                <c:pt idx="7">
                  <c:v>1.000005143357402</c:v>
                </c:pt>
                <c:pt idx="8">
                  <c:v>1.0000259119223847</c:v>
                </c:pt>
                <c:pt idx="9">
                  <c:v>0.99991828333400457</c:v>
                </c:pt>
                <c:pt idx="10">
                  <c:v>0.99991901638837632</c:v>
                </c:pt>
                <c:pt idx="11">
                  <c:v>0.99986933710640113</c:v>
                </c:pt>
                <c:pt idx="12">
                  <c:v>0.99982804710893891</c:v>
                </c:pt>
                <c:pt idx="13">
                  <c:v>0.99981506072786641</c:v>
                </c:pt>
                <c:pt idx="14">
                  <c:v>0.99974310381033471</c:v>
                </c:pt>
                <c:pt idx="15">
                  <c:v>0.99970150521972978</c:v>
                </c:pt>
                <c:pt idx="16">
                  <c:v>0.9997398568981859</c:v>
                </c:pt>
                <c:pt idx="17">
                  <c:v>0.99963422315539729</c:v>
                </c:pt>
                <c:pt idx="18">
                  <c:v>0.99975089236362669</c:v>
                </c:pt>
                <c:pt idx="19">
                  <c:v>0.99986524970049917</c:v>
                </c:pt>
                <c:pt idx="20">
                  <c:v>0.99987604896468474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7A-4ED6-8D42-7AE7F0DAA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425999"/>
        <c:axId val="326247903"/>
      </c:scatterChart>
      <c:valAx>
        <c:axId val="571425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326247903"/>
        <c:crosses val="autoZero"/>
        <c:crossBetween val="midCat"/>
      </c:valAx>
      <c:valAx>
        <c:axId val="32624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71425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601980</xdr:colOff>
      <xdr:row>5</xdr:row>
      <xdr:rowOff>106680</xdr:rowOff>
    </xdr:from>
    <xdr:to>
      <xdr:col>12</xdr:col>
      <xdr:colOff>525780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18DBD9-3635-4928-9953-5FD9594AE0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198120</xdr:colOff>
      <xdr:row>6</xdr:row>
      <xdr:rowOff>99060</xdr:rowOff>
    </xdr:from>
    <xdr:to>
      <xdr:col>20</xdr:col>
      <xdr:colOff>502920</xdr:colOff>
      <xdr:row>21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7C5F8F-3F60-4F64-BA93-CF4C72BD47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C0851-D511-4998-B4B1-F95C38573F35}">
  <dimension ref="A1:D22"/>
  <sheetViews>
    <sheetView tabSelected="1" workbookViewId="0">
      <selection activeCell="D2" activeCellId="1" sqref="A2:A22 D2:D22"/>
    </sheetView>
  </sheetViews>
  <sheetFormatPr defaultRowHeight="14.4" x14ac:dyDescent="0.3"/>
  <cols>
    <col min="1" max="1" width="11.6640625" customWidth="1"/>
    <col min="2" max="2" width="14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2000</v>
      </c>
      <c r="B2" s="2">
        <v>4.4751586999999997</v>
      </c>
      <c r="C2">
        <v>4.4746077599999996</v>
      </c>
      <c r="D2">
        <f>B2/C2</f>
        <v>1.000123125875954</v>
      </c>
    </row>
    <row r="3" spans="1:4" x14ac:dyDescent="0.3">
      <c r="A3" s="1">
        <v>2002</v>
      </c>
      <c r="B3" s="2">
        <v>4.6394019000000002</v>
      </c>
      <c r="C3">
        <v>4.6387321699999999</v>
      </c>
      <c r="D3">
        <f t="shared" ref="D3:D22" si="0">B3/C3</f>
        <v>1.0001443778117503</v>
      </c>
    </row>
    <row r="4" spans="1:4" x14ac:dyDescent="0.3">
      <c r="A4" s="1">
        <v>2004</v>
      </c>
      <c r="B4" s="2">
        <v>4.7588944</v>
      </c>
      <c r="C4">
        <v>4.7584016</v>
      </c>
      <c r="D4">
        <f t="shared" si="0"/>
        <v>1.000103564188445</v>
      </c>
    </row>
    <row r="5" spans="1:4" x14ac:dyDescent="0.3">
      <c r="A5" s="1">
        <v>2006</v>
      </c>
      <c r="B5" s="2">
        <v>4.8308492000000003</v>
      </c>
      <c r="C5">
        <v>4.8301162499999997</v>
      </c>
      <c r="D5">
        <f t="shared" si="0"/>
        <v>1.0001517458301341</v>
      </c>
    </row>
    <row r="6" spans="1:4" x14ac:dyDescent="0.3">
      <c r="A6" s="1">
        <v>2008</v>
      </c>
      <c r="B6" s="2">
        <v>4.8526296999999996</v>
      </c>
      <c r="C6">
        <v>4.8520025599999999</v>
      </c>
      <c r="D6">
        <f t="shared" si="0"/>
        <v>1.0001292538477142</v>
      </c>
    </row>
    <row r="7" spans="1:4" x14ac:dyDescent="0.3">
      <c r="A7" s="1">
        <v>2010</v>
      </c>
      <c r="B7" s="2">
        <v>4.8242602000000003</v>
      </c>
      <c r="C7">
        <v>4.8238683599999996</v>
      </c>
      <c r="D7">
        <f t="shared" si="0"/>
        <v>1.0000812294139803</v>
      </c>
    </row>
    <row r="8" spans="1:4" x14ac:dyDescent="0.3">
      <c r="A8" s="1">
        <v>2012</v>
      </c>
      <c r="B8" s="2">
        <v>4.7474103000000003</v>
      </c>
      <c r="C8">
        <v>4.7472574200000004</v>
      </c>
      <c r="D8">
        <f t="shared" si="0"/>
        <v>1.0000322038571905</v>
      </c>
    </row>
    <row r="9" spans="1:4" x14ac:dyDescent="0.3">
      <c r="A9" s="1">
        <v>2014</v>
      </c>
      <c r="B9" s="2">
        <v>4.6254071999999997</v>
      </c>
      <c r="C9">
        <v>4.6253834100000004</v>
      </c>
      <c r="D9">
        <f t="shared" si="0"/>
        <v>1.000005143357402</v>
      </c>
    </row>
    <row r="10" spans="1:4" x14ac:dyDescent="0.3">
      <c r="A10" s="1">
        <v>2016</v>
      </c>
      <c r="B10" s="2">
        <v>4.4633120999999996</v>
      </c>
      <c r="C10">
        <v>4.4631964499999999</v>
      </c>
      <c r="D10">
        <f t="shared" si="0"/>
        <v>1.0000259119223847</v>
      </c>
    </row>
    <row r="11" spans="1:4" x14ac:dyDescent="0.3">
      <c r="A11" s="1">
        <v>2018</v>
      </c>
      <c r="B11" s="2">
        <v>4.2664676000000004</v>
      </c>
      <c r="C11">
        <v>4.2668162699999996</v>
      </c>
      <c r="D11">
        <f t="shared" si="0"/>
        <v>0.99991828333400457</v>
      </c>
    </row>
    <row r="12" spans="1:4" x14ac:dyDescent="0.3">
      <c r="A12" s="1">
        <v>2020</v>
      </c>
      <c r="B12" s="2">
        <v>4.0432066999999998</v>
      </c>
      <c r="C12">
        <v>4.0435341600000001</v>
      </c>
      <c r="D12">
        <f t="shared" si="0"/>
        <v>0.99991901638837632</v>
      </c>
    </row>
    <row r="13" spans="1:4" x14ac:dyDescent="0.3">
      <c r="A13" s="1">
        <v>2022</v>
      </c>
      <c r="B13" s="2">
        <v>3.8009651</v>
      </c>
      <c r="C13">
        <v>3.8014618100000002</v>
      </c>
      <c r="D13">
        <f t="shared" si="0"/>
        <v>0.99986933710640113</v>
      </c>
    </row>
    <row r="14" spans="1:4" x14ac:dyDescent="0.3">
      <c r="A14" s="1">
        <v>2024</v>
      </c>
      <c r="B14" s="2">
        <v>3.5487339000000002</v>
      </c>
      <c r="C14">
        <v>3.54934422</v>
      </c>
      <c r="D14">
        <f t="shared" si="0"/>
        <v>0.99982804710893891</v>
      </c>
    </row>
    <row r="15" spans="1:4" x14ac:dyDescent="0.3">
      <c r="A15" s="1">
        <v>2026</v>
      </c>
      <c r="B15" s="2">
        <v>3.2953912999999999</v>
      </c>
      <c r="C15">
        <v>3.2960008599999999</v>
      </c>
      <c r="D15">
        <f t="shared" si="0"/>
        <v>0.99981506072786641</v>
      </c>
    </row>
    <row r="16" spans="1:4" x14ac:dyDescent="0.3">
      <c r="A16" s="1">
        <v>2028</v>
      </c>
      <c r="B16" s="2">
        <v>3.0493979000000002</v>
      </c>
      <c r="C16">
        <v>3.05018148</v>
      </c>
      <c r="D16">
        <f t="shared" si="0"/>
        <v>0.99974310381033471</v>
      </c>
    </row>
    <row r="17" spans="1:4" x14ac:dyDescent="0.3">
      <c r="A17" s="1">
        <v>2030</v>
      </c>
      <c r="B17" s="2">
        <v>2.819375</v>
      </c>
      <c r="C17">
        <v>2.8202168200000002</v>
      </c>
      <c r="D17">
        <f t="shared" si="0"/>
        <v>0.99970150521972978</v>
      </c>
    </row>
    <row r="18" spans="1:4" x14ac:dyDescent="0.3">
      <c r="A18" s="1">
        <v>2032</v>
      </c>
      <c r="B18" s="2">
        <v>2.6131122000000002</v>
      </c>
      <c r="C18">
        <v>2.61379216</v>
      </c>
      <c r="D18">
        <f t="shared" si="0"/>
        <v>0.9997398568981859</v>
      </c>
    </row>
    <row r="19" spans="1:4" x14ac:dyDescent="0.3">
      <c r="A19" s="1">
        <v>2034</v>
      </c>
      <c r="B19" s="2">
        <v>2.4367695</v>
      </c>
      <c r="C19">
        <v>2.4376611399999999</v>
      </c>
      <c r="D19">
        <f t="shared" si="0"/>
        <v>0.99963422315539729</v>
      </c>
    </row>
    <row r="20" spans="1:4" x14ac:dyDescent="0.3">
      <c r="A20" s="1">
        <v>2036</v>
      </c>
      <c r="B20" s="2">
        <v>2.2966275</v>
      </c>
      <c r="C20">
        <v>2.2971997499999999</v>
      </c>
      <c r="D20">
        <f t="shared" si="0"/>
        <v>0.99975089236362669</v>
      </c>
    </row>
    <row r="21" spans="1:4" x14ac:dyDescent="0.3">
      <c r="A21" s="1">
        <v>2038</v>
      </c>
      <c r="B21" s="2">
        <v>2.1963596000000001</v>
      </c>
      <c r="C21">
        <v>2.1966556000000002</v>
      </c>
      <c r="D21">
        <f t="shared" si="0"/>
        <v>0.99986524970049917</v>
      </c>
    </row>
    <row r="22" spans="1:4" x14ac:dyDescent="0.3">
      <c r="A22" s="1">
        <v>2040</v>
      </c>
      <c r="B22" s="2">
        <v>2.1384020000000001</v>
      </c>
      <c r="C22">
        <v>2.1386670900000002</v>
      </c>
      <c r="D22">
        <f t="shared" si="0"/>
        <v>0.99987604896468474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Pessoa Barradas</dc:creator>
  <cp:lastModifiedBy>Nuno Pessoa Barradas</cp:lastModifiedBy>
  <dcterms:created xsi:type="dcterms:W3CDTF">2025-03-19T18:09:51Z</dcterms:created>
  <dcterms:modified xsi:type="dcterms:W3CDTF">2025-03-19T18:12:23Z</dcterms:modified>
</cp:coreProperties>
</file>