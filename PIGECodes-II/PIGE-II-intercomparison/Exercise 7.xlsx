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"/>
    </mc:Choice>
  </mc:AlternateContent>
  <xr:revisionPtr revIDLastSave="629" documentId="8_{08E06F8E-2F5F-492F-82DF-A3A44FF41599}" xr6:coauthVersionLast="47" xr6:coauthVersionMax="47" xr10:uidLastSave="{D3F8C1BE-F904-412A-9B1A-D1C9F40833FD}"/>
  <bookViews>
    <workbookView xWindow="28680" yWindow="-120" windowWidth="29040" windowHeight="17520" tabRatio="500" activeTab="2" xr2:uid="{00000000-000D-0000-FFFF-FFFF00000000}"/>
  </bookViews>
  <sheets>
    <sheet name="Ex 7 Full 0" sheetId="1" r:id="rId1"/>
    <sheet name="Ex 7 Full 1" sheetId="2" r:id="rId2"/>
    <sheet name="Ex 7 Gauss 0-NEW" sheetId="3" r:id="rId3"/>
    <sheet name="Ex 7 Gauss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S4" i="3" l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3" i="3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3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3" i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3" i="2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3" i="1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3" i="3"/>
  <c r="P4" i="4"/>
  <c r="Q4" i="4" s="1"/>
  <c r="P5" i="4"/>
  <c r="Q5" i="4" s="1"/>
  <c r="P6" i="4"/>
  <c r="Q6" i="4" s="1"/>
  <c r="P7" i="4"/>
  <c r="Q7" i="4" s="1"/>
  <c r="P8" i="4"/>
  <c r="Q8" i="4" s="1"/>
  <c r="P9" i="4"/>
  <c r="Q9" i="4" s="1"/>
  <c r="P10" i="4"/>
  <c r="Q10" i="4" s="1"/>
  <c r="P11" i="4"/>
  <c r="Q11" i="4" s="1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Q22" i="4" s="1"/>
  <c r="P23" i="4"/>
  <c r="Q23" i="4" s="1"/>
  <c r="P3" i="4"/>
  <c r="Q3" i="4" s="1"/>
  <c r="D23" i="4"/>
  <c r="N23" i="4" s="1"/>
  <c r="O23" i="4" s="1"/>
  <c r="D22" i="4"/>
  <c r="N22" i="4" s="1"/>
  <c r="O22" i="4" s="1"/>
  <c r="D21" i="4"/>
  <c r="N21" i="4" s="1"/>
  <c r="O21" i="4" s="1"/>
  <c r="D20" i="4"/>
  <c r="N20" i="4" s="1"/>
  <c r="O20" i="4" s="1"/>
  <c r="D19" i="4"/>
  <c r="N19" i="4" s="1"/>
  <c r="O19" i="4" s="1"/>
  <c r="D18" i="4"/>
  <c r="N18" i="4" s="1"/>
  <c r="O18" i="4" s="1"/>
  <c r="D17" i="4"/>
  <c r="N17" i="4" s="1"/>
  <c r="O17" i="4" s="1"/>
  <c r="D16" i="4"/>
  <c r="N16" i="4" s="1"/>
  <c r="O16" i="4" s="1"/>
  <c r="D15" i="4"/>
  <c r="N15" i="4" s="1"/>
  <c r="O15" i="4" s="1"/>
  <c r="D14" i="4"/>
  <c r="N14" i="4" s="1"/>
  <c r="O14" i="4" s="1"/>
  <c r="D13" i="4"/>
  <c r="N13" i="4" s="1"/>
  <c r="O13" i="4" s="1"/>
  <c r="D12" i="4"/>
  <c r="N12" i="4" s="1"/>
  <c r="O12" i="4" s="1"/>
  <c r="D11" i="4"/>
  <c r="N11" i="4" s="1"/>
  <c r="O11" i="4" s="1"/>
  <c r="D10" i="4"/>
  <c r="N10" i="4" s="1"/>
  <c r="O10" i="4" s="1"/>
  <c r="D9" i="4"/>
  <c r="N9" i="4" s="1"/>
  <c r="O9" i="4" s="1"/>
  <c r="D8" i="4"/>
  <c r="N8" i="4" s="1"/>
  <c r="O8" i="4" s="1"/>
  <c r="D7" i="4"/>
  <c r="N7" i="4" s="1"/>
  <c r="O7" i="4" s="1"/>
  <c r="D6" i="4"/>
  <c r="N6" i="4" s="1"/>
  <c r="O6" i="4" s="1"/>
  <c r="D5" i="4"/>
  <c r="N5" i="4" s="1"/>
  <c r="O5" i="4" s="1"/>
  <c r="D4" i="4"/>
  <c r="N4" i="4" s="1"/>
  <c r="O4" i="4" s="1"/>
  <c r="D3" i="4"/>
  <c r="N3" i="4" s="1"/>
  <c r="O3" i="4" s="1"/>
  <c r="D23" i="3"/>
  <c r="E23" i="3" s="1"/>
  <c r="Q23" i="3" s="1"/>
  <c r="D22" i="3"/>
  <c r="E22" i="3" s="1"/>
  <c r="Q22" i="3" s="1"/>
  <c r="D21" i="3"/>
  <c r="E21" i="3" s="1"/>
  <c r="Q21" i="3" s="1"/>
  <c r="D20" i="3"/>
  <c r="E20" i="3" s="1"/>
  <c r="Q20" i="3" s="1"/>
  <c r="D19" i="3"/>
  <c r="E19" i="3" s="1"/>
  <c r="D18" i="3"/>
  <c r="E18" i="3" s="1"/>
  <c r="Q18" i="3" s="1"/>
  <c r="D17" i="3"/>
  <c r="E17" i="3" s="1"/>
  <c r="Q17" i="3" s="1"/>
  <c r="D16" i="3"/>
  <c r="E16" i="3" s="1"/>
  <c r="D15" i="3"/>
  <c r="E15" i="3" s="1"/>
  <c r="Q15" i="3" s="1"/>
  <c r="D14" i="3"/>
  <c r="E14" i="3" s="1"/>
  <c r="Q14" i="3" s="1"/>
  <c r="D13" i="3"/>
  <c r="E13" i="3" s="1"/>
  <c r="Q13" i="3" s="1"/>
  <c r="D12" i="3"/>
  <c r="E12" i="3" s="1"/>
  <c r="Q12" i="3" s="1"/>
  <c r="D11" i="3"/>
  <c r="E11" i="3" s="1"/>
  <c r="D10" i="3"/>
  <c r="E10" i="3" s="1"/>
  <c r="Q10" i="3" s="1"/>
  <c r="D9" i="3"/>
  <c r="E9" i="3" s="1"/>
  <c r="Q9" i="3" s="1"/>
  <c r="D8" i="3"/>
  <c r="E8" i="3" s="1"/>
  <c r="D7" i="3"/>
  <c r="E7" i="3" s="1"/>
  <c r="Q7" i="3" s="1"/>
  <c r="D6" i="3"/>
  <c r="E6" i="3" s="1"/>
  <c r="Q6" i="3" s="1"/>
  <c r="D5" i="3"/>
  <c r="E5" i="3" s="1"/>
  <c r="Q5" i="3" s="1"/>
  <c r="D4" i="3"/>
  <c r="E4" i="3" s="1"/>
  <c r="Q4" i="3" s="1"/>
  <c r="D3" i="3"/>
  <c r="E3" i="3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3" i="2"/>
  <c r="P3" i="2" s="1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3" i="1"/>
  <c r="Q3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Q8" i="3" l="1"/>
  <c r="Q16" i="3"/>
  <c r="Q11" i="3"/>
  <c r="Q19" i="3"/>
  <c r="Q3" i="3"/>
</calcChain>
</file>

<file path=xl/sharedStrings.xml><?xml version="1.0" encoding="utf-8"?>
<sst xmlns="http://schemas.openxmlformats.org/spreadsheetml/2006/main" count="78" uniqueCount="20">
  <si>
    <t>Energy (keV)</t>
  </si>
  <si>
    <t>27Al (844 keV)</t>
  </si>
  <si>
    <t>28Si (1779 keV)</t>
  </si>
  <si>
    <t>Renormalization</t>
  </si>
  <si>
    <t>Count/msr/uC</t>
  </si>
  <si>
    <t>ERYA</t>
  </si>
  <si>
    <t>NDF</t>
  </si>
  <si>
    <t>SMNRA</t>
  </si>
  <si>
    <t>ERYA/NDF</t>
  </si>
  <si>
    <t>REL</t>
  </si>
  <si>
    <t>SMNRA/NDF</t>
  </si>
  <si>
    <t>SMNRA-asym</t>
  </si>
  <si>
    <t>NDF Yang param</t>
  </si>
  <si>
    <t>VAVILOV</t>
  </si>
  <si>
    <t>YANG</t>
  </si>
  <si>
    <t>SIMNRA-Y/NDF-Y</t>
  </si>
  <si>
    <t>round 3</t>
  </si>
  <si>
    <t>FINAL</t>
  </si>
  <si>
    <t>YANG PARAM</t>
  </si>
  <si>
    <t>SMNRA/NDF 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</si>
</sst>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3" x14ac:knownFonts="1">
    <font>
      <sz val="12"/>
      <name val="Calibri"/>
      <family val="2"/>
      <charset val="1"/>
    </font>
    <font>
      <sz val="12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1" applyAlignment="1">
      <alignment horizontal="center"/>
    </xf>
    <xf numFmtId="0" fontId="1" fillId="0" borderId="0" xfId="1"/>
    <xf numFmtId="0" fontId="2" fillId="2" borderId="0" xfId="2"/>
    <xf numFmtId="165" fontId="2" fillId="2" borderId="0" xfId="2" applyNumberFormat="1"/>
  </cellXfs>
  <cellStyles count="3">
    <cellStyle name="Good" xfId="2" builtinId="26"/>
    <cellStyle name="Normal" xfId="0" builtinId="0"/>
    <cellStyle name="Normal 2" xfId="1" xr:uid="{18C27403-5749-491F-88DA-0FFD0DF75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7 Full </a:t>
            </a:r>
            <a:r>
              <a:rPr lang="el-GR" sz="2000"/>
              <a:t>Δ</a:t>
            </a:r>
            <a:r>
              <a:rPr lang="en-GB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0'!$F$3:$F$23</c:f>
              <c:numCache>
                <c:formatCode>0.0000000</c:formatCode>
                <c:ptCount val="21"/>
                <c:pt idx="0">
                  <c:v>4.4109559000000003</c:v>
                </c:pt>
                <c:pt idx="1">
                  <c:v>4.5669899000000003</c:v>
                </c:pt>
                <c:pt idx="2">
                  <c:v>4.6806821999999997</c:v>
                </c:pt>
                <c:pt idx="3">
                  <c:v>4.7494329999999998</c:v>
                </c:pt>
                <c:pt idx="4">
                  <c:v>4.7705722000000002</c:v>
                </c:pt>
                <c:pt idx="5">
                  <c:v>4.7445311999999999</c:v>
                </c:pt>
                <c:pt idx="6">
                  <c:v>4.6727939000000003</c:v>
                </c:pt>
                <c:pt idx="7">
                  <c:v>4.5584015999999998</c:v>
                </c:pt>
                <c:pt idx="8">
                  <c:v>4.4061556</c:v>
                </c:pt>
                <c:pt idx="9">
                  <c:v>4.2212056999999996</c:v>
                </c:pt>
                <c:pt idx="10">
                  <c:v>4.0111360999999999</c:v>
                </c:pt>
                <c:pt idx="11">
                  <c:v>3.7830032999999998</c:v>
                </c:pt>
                <c:pt idx="12">
                  <c:v>3.5453011999999999</c:v>
                </c:pt>
                <c:pt idx="13">
                  <c:v>3.3064528000000002</c:v>
                </c:pt>
                <c:pt idx="14">
                  <c:v>3.0742519000000001</c:v>
                </c:pt>
                <c:pt idx="15">
                  <c:v>2.8569067000000001</c:v>
                </c:pt>
                <c:pt idx="16">
                  <c:v>2.6619871000000002</c:v>
                </c:pt>
                <c:pt idx="17">
                  <c:v>2.4949503000000002</c:v>
                </c:pt>
                <c:pt idx="18">
                  <c:v>2.3617143999999999</c:v>
                </c:pt>
                <c:pt idx="19">
                  <c:v>2.2659707</c:v>
                </c:pt>
                <c:pt idx="20">
                  <c:v>2.2096553000000001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95-431E-9830-305B9EBC6CC7}"/>
            </c:ext>
          </c:extLst>
        </c:ser>
        <c:ser>
          <c:idx val="2"/>
          <c:order val="1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Full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0'!$J$3:$J$23</c:f>
              <c:numCache>
                <c:formatCode>General</c:formatCode>
                <c:ptCount val="21"/>
                <c:pt idx="0">
                  <c:v>4.60083574437345</c:v>
                </c:pt>
                <c:pt idx="1">
                  <c:v>4.7704848167045002</c:v>
                </c:pt>
                <c:pt idx="2">
                  <c:v>4.8914047064506097</c:v>
                </c:pt>
                <c:pt idx="3">
                  <c:v>4.9603987179911098</c:v>
                </c:pt>
                <c:pt idx="4">
                  <c:v>4.9739074814052104</c:v>
                </c:pt>
                <c:pt idx="5">
                  <c:v>4.9327012119155098</c:v>
                </c:pt>
                <c:pt idx="6">
                  <c:v>4.8398954782571098</c:v>
                </c:pt>
                <c:pt idx="7">
                  <c:v>4.6998158197033799</c:v>
                </c:pt>
                <c:pt idx="8">
                  <c:v>4.5160515983581497</c:v>
                </c:pt>
                <c:pt idx="9">
                  <c:v>4.2959107980552398</c:v>
                </c:pt>
                <c:pt idx="10">
                  <c:v>4.0487529078106803</c:v>
                </c:pt>
                <c:pt idx="11">
                  <c:v>3.7838690467865699</c:v>
                </c:pt>
                <c:pt idx="12">
                  <c:v>3.5092658093368501</c:v>
                </c:pt>
                <c:pt idx="13">
                  <c:v>3.23520078083624</c:v>
                </c:pt>
                <c:pt idx="14">
                  <c:v>2.97121919728415</c:v>
                </c:pt>
                <c:pt idx="15">
                  <c:v>2.7259418444026302</c:v>
                </c:pt>
                <c:pt idx="16">
                  <c:v>2.5078676061710801</c:v>
                </c:pt>
                <c:pt idx="17">
                  <c:v>2.3243421714245098</c:v>
                </c:pt>
                <c:pt idx="18">
                  <c:v>2.18127657481639</c:v>
                </c:pt>
                <c:pt idx="19">
                  <c:v>2.0829693920292098</c:v>
                </c:pt>
                <c:pt idx="20">
                  <c:v>2.03196192196698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95-431E-9830-305B9EBC6CC7}"/>
            </c:ext>
          </c:extLst>
        </c:ser>
        <c:ser>
          <c:idx val="3"/>
          <c:order val="2"/>
          <c:tx>
            <c:v>NDF-Y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7 Full 0'!$E$3:$E$23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0'!$G$3:$G$23</c:f>
              <c:numCache>
                <c:formatCode>General</c:formatCode>
                <c:ptCount val="21"/>
                <c:pt idx="0">
                  <c:v>4.4760938000000001</c:v>
                </c:pt>
                <c:pt idx="1">
                  <c:v>4.6403445999999997</c:v>
                </c:pt>
                <c:pt idx="2">
                  <c:v>4.7598209000000002</c:v>
                </c:pt>
                <c:pt idx="3">
                  <c:v>4.8319863999999999</c:v>
                </c:pt>
                <c:pt idx="4">
                  <c:v>4.8537369000000004</c:v>
                </c:pt>
                <c:pt idx="5">
                  <c:v>4.8253507999999998</c:v>
                </c:pt>
                <c:pt idx="6">
                  <c:v>4.7484869999999999</c:v>
                </c:pt>
                <c:pt idx="7">
                  <c:v>4.6263337</c:v>
                </c:pt>
                <c:pt idx="8">
                  <c:v>4.4640284000000001</c:v>
                </c:pt>
                <c:pt idx="9">
                  <c:v>4.2670526999999998</c:v>
                </c:pt>
                <c:pt idx="10">
                  <c:v>4.0435977000000003</c:v>
                </c:pt>
                <c:pt idx="11">
                  <c:v>3.8011789</c:v>
                </c:pt>
                <c:pt idx="12">
                  <c:v>3.5487248999999998</c:v>
                </c:pt>
                <c:pt idx="13">
                  <c:v>3.2952694999999999</c:v>
                </c:pt>
                <c:pt idx="14">
                  <c:v>3.0489620999999998</c:v>
                </c:pt>
                <c:pt idx="15">
                  <c:v>2.8188121000000002</c:v>
                </c:pt>
                <c:pt idx="16">
                  <c:v>2.6123718999999999</c:v>
                </c:pt>
                <c:pt idx="17">
                  <c:v>2.4359962999999998</c:v>
                </c:pt>
                <c:pt idx="18">
                  <c:v>2.2957033999999998</c:v>
                </c:pt>
                <c:pt idx="19">
                  <c:v>2.1954107</c:v>
                </c:pt>
                <c:pt idx="20">
                  <c:v>2.1374561999999999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0-4FAB-AFE7-F6AF2B9BA3C9}"/>
            </c:ext>
          </c:extLst>
        </c:ser>
        <c:ser>
          <c:idx val="4"/>
          <c:order val="3"/>
          <c:tx>
            <c:v>SIMNRA-Y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 7 Full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0'!$K$3:$K$23</c:f>
              <c:numCache>
                <c:formatCode>General</c:formatCode>
                <c:ptCount val="21"/>
                <c:pt idx="0">
                  <c:v>4.6356640702230996</c:v>
                </c:pt>
                <c:pt idx="1">
                  <c:v>4.8102369967723897</c:v>
                </c:pt>
                <c:pt idx="2">
                  <c:v>4.9348596550685198</c:v>
                </c:pt>
                <c:pt idx="3">
                  <c:v>5.0057091640985796</c:v>
                </c:pt>
                <c:pt idx="4">
                  <c:v>5.0195329557344897</c:v>
                </c:pt>
                <c:pt idx="5">
                  <c:v>4.9771632740213496</c:v>
                </c:pt>
                <c:pt idx="6">
                  <c:v>4.8818545978960497</c:v>
                </c:pt>
                <c:pt idx="7">
                  <c:v>4.7375378467565303</c:v>
                </c:pt>
                <c:pt idx="8">
                  <c:v>4.5481910285319698</c:v>
                </c:pt>
                <c:pt idx="9">
                  <c:v>4.32165239319081</c:v>
                </c:pt>
                <c:pt idx="10">
                  <c:v>4.0675055695266602</c:v>
                </c:pt>
                <c:pt idx="11">
                  <c:v>3.7947757118665502</c:v>
                </c:pt>
                <c:pt idx="12">
                  <c:v>3.5120783104998599</c:v>
                </c:pt>
                <c:pt idx="13">
                  <c:v>3.2300939867967</c:v>
                </c:pt>
                <c:pt idx="14">
                  <c:v>2.958376641978</c:v>
                </c:pt>
                <c:pt idx="15">
                  <c:v>2.7058850456713901</c:v>
                </c:pt>
                <c:pt idx="16">
                  <c:v>2.4814112701230999</c:v>
                </c:pt>
                <c:pt idx="17">
                  <c:v>2.29255285249597</c:v>
                </c:pt>
                <c:pt idx="18">
                  <c:v>2.1453605551377999</c:v>
                </c:pt>
                <c:pt idx="19">
                  <c:v>2.04431085830613</c:v>
                </c:pt>
                <c:pt idx="20">
                  <c:v>1.99207481384223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00-4FAB-AFE7-F6AF2B9BA3C9}"/>
            </c:ext>
          </c:extLst>
        </c:ser>
        <c:ser>
          <c:idx val="5"/>
          <c:order val="4"/>
          <c:tx>
            <c:v>ERYA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 7 Full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0'!$C$3:$C$23</c:f>
              <c:numCache>
                <c:formatCode>General</c:formatCode>
                <c:ptCount val="21"/>
                <c:pt idx="0">
                  <c:v>4.4975449999999997</c:v>
                </c:pt>
                <c:pt idx="1">
                  <c:v>4.6788270000000001</c:v>
                </c:pt>
                <c:pt idx="2">
                  <c:v>4.8196310000000002</c:v>
                </c:pt>
                <c:pt idx="3">
                  <c:v>4.9062570000000001</c:v>
                </c:pt>
                <c:pt idx="4">
                  <c:v>4.940531</c:v>
                </c:pt>
                <c:pt idx="5">
                  <c:v>4.9258230000000003</c:v>
                </c:pt>
                <c:pt idx="6">
                  <c:v>4.8544049999999999</c:v>
                </c:pt>
                <c:pt idx="7">
                  <c:v>4.7257509999999998</c:v>
                </c:pt>
                <c:pt idx="8">
                  <c:v>4.5493670000000002</c:v>
                </c:pt>
                <c:pt idx="9">
                  <c:v>4.3463609999999999</c:v>
                </c:pt>
                <c:pt idx="10">
                  <c:v>4.1261640000000002</c:v>
                </c:pt>
                <c:pt idx="11">
                  <c:v>3.8744109999999998</c:v>
                </c:pt>
                <c:pt idx="12">
                  <c:v>3.5997919999999999</c:v>
                </c:pt>
                <c:pt idx="13">
                  <c:v>3.3223980000000002</c:v>
                </c:pt>
                <c:pt idx="14">
                  <c:v>3.0643539999999998</c:v>
                </c:pt>
                <c:pt idx="15">
                  <c:v>2.8306119999999999</c:v>
                </c:pt>
                <c:pt idx="16">
                  <c:v>2.608009</c:v>
                </c:pt>
                <c:pt idx="17">
                  <c:v>2.4074469999999999</c:v>
                </c:pt>
                <c:pt idx="18">
                  <c:v>2.244745</c:v>
                </c:pt>
                <c:pt idx="19">
                  <c:v>2.1359460000000001</c:v>
                </c:pt>
                <c:pt idx="20">
                  <c:v>2.0780500000000002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B-4A7A-90E6-BEBA2F292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583960"/>
        <c:axId val="451583600"/>
      </c:scatterChart>
      <c:valAx>
        <c:axId val="451583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83600"/>
        <c:crosses val="autoZero"/>
        <c:crossBetween val="midCat"/>
      </c:valAx>
      <c:valAx>
        <c:axId val="45158360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83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0'!$P$3:$P$23</c:f>
              <c:numCache>
                <c:formatCode>General</c:formatCode>
                <c:ptCount val="21"/>
                <c:pt idx="0">
                  <c:v>1.0430473232283846</c:v>
                </c:pt>
                <c:pt idx="1">
                  <c:v>1.0445577768202421</c:v>
                </c:pt>
                <c:pt idx="2">
                  <c:v>1.0450196141174912</c:v>
                </c:pt>
                <c:pt idx="3">
                  <c:v>1.0444191376088703</c:v>
                </c:pt>
                <c:pt idx="4">
                  <c:v>1.0426228286420673</c:v>
                </c:pt>
                <c:pt idx="5">
                  <c:v>1.039660401414477</c:v>
                </c:pt>
                <c:pt idx="6">
                  <c:v>1.0357605282478026</c:v>
                </c:pt>
                <c:pt idx="7">
                  <c:v>1.0310227645812031</c:v>
                </c:pt>
                <c:pt idx="8">
                  <c:v>1.024941470146481</c:v>
                </c:pt>
                <c:pt idx="9">
                  <c:v>1.0176975734812546</c:v>
                </c:pt>
                <c:pt idx="10">
                  <c:v>1.0093780931070078</c:v>
                </c:pt>
                <c:pt idx="11">
                  <c:v>1.0002288517132856</c:v>
                </c:pt>
                <c:pt idx="12">
                  <c:v>0.98983573224662835</c:v>
                </c:pt>
                <c:pt idx="13">
                  <c:v>0.97845061657503163</c:v>
                </c:pt>
                <c:pt idx="14">
                  <c:v>0.96648527639656001</c:v>
                </c:pt>
                <c:pt idx="15">
                  <c:v>0.9541585115126896</c:v>
                </c:pt>
                <c:pt idx="16">
                  <c:v>0.94210359102456953</c:v>
                </c:pt>
                <c:pt idx="17">
                  <c:v>0.93161862640089854</c:v>
                </c:pt>
                <c:pt idx="18">
                  <c:v>0.92359879535662315</c:v>
                </c:pt>
                <c:pt idx="19">
                  <c:v>0.9192393317482922</c:v>
                </c:pt>
                <c:pt idx="20">
                  <c:v>0.91958321371074481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8-45E5-A54F-D9A734A99EBF}"/>
            </c:ext>
          </c:extLst>
        </c:ser>
        <c:ser>
          <c:idx val="2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7 Full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0'!$L$3:$L$23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A-4970-B2C1-C2AFDDC4CC77}"/>
            </c:ext>
          </c:extLst>
        </c:ser>
        <c:ser>
          <c:idx val="3"/>
          <c:order val="2"/>
          <c:tx>
            <c:v>SIMNRA-Y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7 Full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0'!$R$3:$R$23</c:f>
              <c:numCache>
                <c:formatCode>General</c:formatCode>
                <c:ptCount val="21"/>
                <c:pt idx="0">
                  <c:v>1.0356494473424795</c:v>
                </c:pt>
                <c:pt idx="1">
                  <c:v>1.0366120216098584</c:v>
                </c:pt>
                <c:pt idx="2">
                  <c:v>1.0367742313725543</c:v>
                </c:pt>
                <c:pt idx="3">
                  <c:v>1.0359526599864974</c:v>
                </c:pt>
                <c:pt idx="4">
                  <c:v>1.0341584348617019</c:v>
                </c:pt>
                <c:pt idx="5">
                  <c:v>1.0314614377925331</c:v>
                </c:pt>
                <c:pt idx="6">
                  <c:v>1.0280863352676441</c:v>
                </c:pt>
                <c:pt idx="7">
                  <c:v>1.0240372082879647</c:v>
                </c:pt>
                <c:pt idx="8">
                  <c:v>1.0188535154776277</c:v>
                </c:pt>
                <c:pt idx="9">
                  <c:v>1.0127956453855866</c:v>
                </c:pt>
                <c:pt idx="10">
                  <c:v>1.0059125242668576</c:v>
                </c:pt>
                <c:pt idx="11">
                  <c:v>0.99831547309350532</c:v>
                </c:pt>
                <c:pt idx="12">
                  <c:v>0.98967330786893626</c:v>
                </c:pt>
                <c:pt idx="13">
                  <c:v>0.98022149229272448</c:v>
                </c:pt>
                <c:pt idx="14">
                  <c:v>0.97028973957334541</c:v>
                </c:pt>
                <c:pt idx="15">
                  <c:v>0.95993806954049543</c:v>
                </c:pt>
                <c:pt idx="16">
                  <c:v>0.94986907113918195</c:v>
                </c:pt>
                <c:pt idx="17">
                  <c:v>0.94111507989399257</c:v>
                </c:pt>
                <c:pt idx="18">
                  <c:v>0.93451120695199563</c:v>
                </c:pt>
                <c:pt idx="19">
                  <c:v>0.93117468103172218</c:v>
                </c:pt>
                <c:pt idx="20">
                  <c:v>0.93198392268446484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9-427D-93C8-09F96676B9A8}"/>
            </c:ext>
          </c:extLst>
        </c:ser>
        <c:ser>
          <c:idx val="4"/>
          <c:order val="3"/>
          <c:tx>
            <c:v>ERYA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 7 Full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0'!$T$3:$T$23</c:f>
              <c:numCache>
                <c:formatCode>General</c:formatCode>
                <c:ptCount val="21"/>
                <c:pt idx="0">
                  <c:v>1.0196304615060874</c:v>
                </c:pt>
                <c:pt idx="1">
                  <c:v>1.0244881426166499</c:v>
                </c:pt>
                <c:pt idx="2">
                  <c:v>1.0296855872846913</c:v>
                </c:pt>
                <c:pt idx="3">
                  <c:v>1.0330195204353867</c:v>
                </c:pt>
                <c:pt idx="4">
                  <c:v>1.035626501994876</c:v>
                </c:pt>
                <c:pt idx="5">
                  <c:v>1.0382106877071438</c:v>
                </c:pt>
                <c:pt idx="6">
                  <c:v>1.0388656345403977</c:v>
                </c:pt>
                <c:pt idx="7">
                  <c:v>1.0367122984512818</c:v>
                </c:pt>
                <c:pt idx="8">
                  <c:v>1.0325025743530256</c:v>
                </c:pt>
                <c:pt idx="9">
                  <c:v>1.0296491829336818</c:v>
                </c:pt>
                <c:pt idx="10">
                  <c:v>1.0286771371332926</c:v>
                </c:pt>
                <c:pt idx="11">
                  <c:v>1.0241627333499814</c:v>
                </c:pt>
                <c:pt idx="12">
                  <c:v>1.015369864766356</c:v>
                </c:pt>
                <c:pt idx="13">
                  <c:v>1.0048224490003306</c:v>
                </c:pt>
                <c:pt idx="14">
                  <c:v>0.99678038744970754</c:v>
                </c:pt>
                <c:pt idx="15">
                  <c:v>0.99079609425117021</c:v>
                </c:pt>
                <c:pt idx="16">
                  <c:v>0.97972262900898355</c:v>
                </c:pt>
                <c:pt idx="17">
                  <c:v>0.96492783844231278</c:v>
                </c:pt>
                <c:pt idx="18">
                  <c:v>0.95047267357983678</c:v>
                </c:pt>
                <c:pt idx="19">
                  <c:v>0.94261854312591076</c:v>
                </c:pt>
                <c:pt idx="20">
                  <c:v>0.94044080087966664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5-4F1E-AAD0-04C8B498A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829016"/>
        <c:axId val="815829376"/>
      </c:scatterChart>
      <c:valAx>
        <c:axId val="815829016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829376"/>
        <c:crossesAt val="0.8"/>
        <c:crossBetween val="midCat"/>
      </c:valAx>
      <c:valAx>
        <c:axId val="815829376"/>
        <c:scaling>
          <c:orientation val="minMax"/>
          <c:max val="1.100000000000000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829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7 Full </a:t>
            </a:r>
            <a:r>
              <a:rPr lang="el-GR" sz="1800" baseline="0"/>
              <a:t>Δ</a:t>
            </a:r>
            <a:r>
              <a:rPr lang="en-GB" sz="1800" baseline="0"/>
              <a:t>E=1 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1'!$F$3:$F$23</c:f>
              <c:numCache>
                <c:formatCode>0.0000000</c:formatCode>
                <c:ptCount val="21"/>
                <c:pt idx="0">
                  <c:v>4.4099917</c:v>
                </c:pt>
                <c:pt idx="1">
                  <c:v>4.5660819999999998</c:v>
                </c:pt>
                <c:pt idx="2">
                  <c:v>4.6796074000000001</c:v>
                </c:pt>
                <c:pt idx="3">
                  <c:v>4.7483152999999998</c:v>
                </c:pt>
                <c:pt idx="4">
                  <c:v>4.7695761000000001</c:v>
                </c:pt>
                <c:pt idx="5">
                  <c:v>4.7434335000000001</c:v>
                </c:pt>
                <c:pt idx="6">
                  <c:v>4.6718859999999998</c:v>
                </c:pt>
                <c:pt idx="7">
                  <c:v>4.5575847999999999</c:v>
                </c:pt>
                <c:pt idx="8">
                  <c:v>4.4054536999999998</c:v>
                </c:pt>
                <c:pt idx="9">
                  <c:v>4.2206501999999997</c:v>
                </c:pt>
                <c:pt idx="10">
                  <c:v>4.0107470000000003</c:v>
                </c:pt>
                <c:pt idx="11">
                  <c:v>3.7825403</c:v>
                </c:pt>
                <c:pt idx="12">
                  <c:v>3.5451576999999999</c:v>
                </c:pt>
                <c:pt idx="13">
                  <c:v>3.3064542000000001</c:v>
                </c:pt>
                <c:pt idx="14">
                  <c:v>3.0745686999999999</c:v>
                </c:pt>
                <c:pt idx="15">
                  <c:v>2.8574896000000001</c:v>
                </c:pt>
                <c:pt idx="16">
                  <c:v>2.6626897</c:v>
                </c:pt>
                <c:pt idx="17">
                  <c:v>2.4956255000000001</c:v>
                </c:pt>
                <c:pt idx="18">
                  <c:v>2.3626029000000002</c:v>
                </c:pt>
                <c:pt idx="19">
                  <c:v>2.2668910000000002</c:v>
                </c:pt>
                <c:pt idx="20">
                  <c:v>2.2105882000000001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E-46F7-ABEC-302EB3553A90}"/>
            </c:ext>
          </c:extLst>
        </c:ser>
        <c:ser>
          <c:idx val="2"/>
          <c:order val="1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1'!$J$3:$J$23</c:f>
              <c:numCache>
                <c:formatCode>General</c:formatCode>
                <c:ptCount val="21"/>
                <c:pt idx="0">
                  <c:v>4.5998311806679704</c:v>
                </c:pt>
                <c:pt idx="1">
                  <c:v>4.76935048944729</c:v>
                </c:pt>
                <c:pt idx="2">
                  <c:v>4.89019337464961</c:v>
                </c:pt>
                <c:pt idx="3">
                  <c:v>4.9591219607251498</c:v>
                </c:pt>
                <c:pt idx="4">
                  <c:v>4.9726101609656199</c:v>
                </c:pt>
                <c:pt idx="5">
                  <c:v>4.9314506286707802</c:v>
                </c:pt>
                <c:pt idx="6">
                  <c:v>4.8387386188926502</c:v>
                </c:pt>
                <c:pt idx="7">
                  <c:v>4.6988115910256196</c:v>
                </c:pt>
                <c:pt idx="8">
                  <c:v>4.5149324306641203</c:v>
                </c:pt>
                <c:pt idx="9">
                  <c:v>4.2950233052230802</c:v>
                </c:pt>
                <c:pt idx="10">
                  <c:v>4.0483640185981402</c:v>
                </c:pt>
                <c:pt idx="11">
                  <c:v>3.7834912610305498</c:v>
                </c:pt>
                <c:pt idx="12">
                  <c:v>3.50894091830583</c:v>
                </c:pt>
                <c:pt idx="13">
                  <c:v>3.23518675531643</c:v>
                </c:pt>
                <c:pt idx="14">
                  <c:v>2.9713635316888301</c:v>
                </c:pt>
                <c:pt idx="15">
                  <c:v>2.72619603529317</c:v>
                </c:pt>
                <c:pt idx="16">
                  <c:v>2.5082246895013398</c:v>
                </c:pt>
                <c:pt idx="17">
                  <c:v>2.3248134163593202</c:v>
                </c:pt>
                <c:pt idx="18">
                  <c:v>2.1818200771345402</c:v>
                </c:pt>
                <c:pt idx="19">
                  <c:v>2.0835321646809701</c:v>
                </c:pt>
                <c:pt idx="20">
                  <c:v>2.03249898194065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E-46F7-ABEC-302EB3553A90}"/>
            </c:ext>
          </c:extLst>
        </c:ser>
        <c:ser>
          <c:idx val="3"/>
          <c:order val="2"/>
          <c:tx>
            <c:v>NDF-Y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7 Full 1'!$E$3:$E$23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1'!$G$3:$G$23</c:f>
              <c:numCache>
                <c:formatCode>0.00000000</c:formatCode>
                <c:ptCount val="21"/>
                <c:pt idx="0">
                  <c:v>4.4751586999999997</c:v>
                </c:pt>
                <c:pt idx="1">
                  <c:v>4.6394019000000002</c:v>
                </c:pt>
                <c:pt idx="2">
                  <c:v>4.7588944</c:v>
                </c:pt>
                <c:pt idx="3">
                  <c:v>4.8308492000000003</c:v>
                </c:pt>
                <c:pt idx="4">
                  <c:v>4.8526296999999996</c:v>
                </c:pt>
                <c:pt idx="5">
                  <c:v>4.8242602000000003</c:v>
                </c:pt>
                <c:pt idx="6">
                  <c:v>4.7474103000000003</c:v>
                </c:pt>
                <c:pt idx="7">
                  <c:v>4.6254071999999997</c:v>
                </c:pt>
                <c:pt idx="8">
                  <c:v>4.4633120999999996</c:v>
                </c:pt>
                <c:pt idx="9">
                  <c:v>4.2664676000000004</c:v>
                </c:pt>
                <c:pt idx="10">
                  <c:v>4.0432066999999998</c:v>
                </c:pt>
                <c:pt idx="11">
                  <c:v>3.8009651</c:v>
                </c:pt>
                <c:pt idx="12">
                  <c:v>3.5487339000000002</c:v>
                </c:pt>
                <c:pt idx="13">
                  <c:v>3.2953912999999999</c:v>
                </c:pt>
                <c:pt idx="14">
                  <c:v>3.0493979000000002</c:v>
                </c:pt>
                <c:pt idx="15">
                  <c:v>2.819375</c:v>
                </c:pt>
                <c:pt idx="16">
                  <c:v>2.6131122000000002</c:v>
                </c:pt>
                <c:pt idx="17">
                  <c:v>2.4367695</c:v>
                </c:pt>
                <c:pt idx="18">
                  <c:v>2.2966275</c:v>
                </c:pt>
                <c:pt idx="19">
                  <c:v>2.1963596000000001</c:v>
                </c:pt>
                <c:pt idx="20">
                  <c:v>2.1384020000000001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9-4302-B2DA-453F60EE5081}"/>
            </c:ext>
          </c:extLst>
        </c:ser>
        <c:ser>
          <c:idx val="4"/>
          <c:order val="3"/>
          <c:tx>
            <c:v>SIMNRA-Y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 7 Full 1'!$I$3:$I$23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1'!$K$3:$K$23</c:f>
              <c:numCache>
                <c:formatCode>General</c:formatCode>
                <c:ptCount val="21"/>
                <c:pt idx="0">
                  <c:v>4.6347843708432004</c:v>
                </c:pt>
                <c:pt idx="1">
                  <c:v>4.8092387274324997</c:v>
                </c:pt>
                <c:pt idx="2">
                  <c:v>4.9337486098740104</c:v>
                </c:pt>
                <c:pt idx="3">
                  <c:v>5.0046263051040496</c:v>
                </c:pt>
                <c:pt idx="4">
                  <c:v>5.0184984519268303</c:v>
                </c:pt>
                <c:pt idx="5">
                  <c:v>4.9761674094615103</c:v>
                </c:pt>
                <c:pt idx="6">
                  <c:v>4.8808536996887799</c:v>
                </c:pt>
                <c:pt idx="7">
                  <c:v>4.7367147901930204</c:v>
                </c:pt>
                <c:pt idx="8">
                  <c:v>4.5476024250101501</c:v>
                </c:pt>
                <c:pt idx="9">
                  <c:v>4.3212109684427897</c:v>
                </c:pt>
                <c:pt idx="10">
                  <c:v>4.0671641410756996</c:v>
                </c:pt>
                <c:pt idx="11">
                  <c:v>3.7947054707533399</c:v>
                </c:pt>
                <c:pt idx="12">
                  <c:v>3.51222846114712</c:v>
                </c:pt>
                <c:pt idx="13">
                  <c:v>3.2304008334626002</c:v>
                </c:pt>
                <c:pt idx="14">
                  <c:v>2.9589114080220198</c:v>
                </c:pt>
                <c:pt idx="15">
                  <c:v>2.7066135394520199</c:v>
                </c:pt>
                <c:pt idx="16">
                  <c:v>2.4822697820789799</c:v>
                </c:pt>
                <c:pt idx="17">
                  <c:v>2.2934853983121299</c:v>
                </c:pt>
                <c:pt idx="18">
                  <c:v>2.1463579489976898</c:v>
                </c:pt>
                <c:pt idx="19">
                  <c:v>2.0453691893868098</c:v>
                </c:pt>
                <c:pt idx="20">
                  <c:v>1.9931479443984601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19-4302-B2DA-453F60EE5081}"/>
            </c:ext>
          </c:extLst>
        </c:ser>
        <c:ser>
          <c:idx val="5"/>
          <c:order val="4"/>
          <c:tx>
            <c:v>ERYA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 7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1'!$C$3:$C$23</c:f>
              <c:numCache>
                <c:formatCode>General</c:formatCode>
                <c:ptCount val="21"/>
                <c:pt idx="0">
                  <c:v>4.4952719999999999</c:v>
                </c:pt>
                <c:pt idx="1">
                  <c:v>4.6775260000000003</c:v>
                </c:pt>
                <c:pt idx="2">
                  <c:v>4.8226719999999998</c:v>
                </c:pt>
                <c:pt idx="3">
                  <c:v>4.9110170000000002</c:v>
                </c:pt>
                <c:pt idx="4">
                  <c:v>4.9417809999999998</c:v>
                </c:pt>
                <c:pt idx="5">
                  <c:v>4.9219629999999999</c:v>
                </c:pt>
                <c:pt idx="6">
                  <c:v>4.8538170000000003</c:v>
                </c:pt>
                <c:pt idx="7">
                  <c:v>4.7269180000000004</c:v>
                </c:pt>
                <c:pt idx="8">
                  <c:v>4.5474459999999999</c:v>
                </c:pt>
                <c:pt idx="9">
                  <c:v>4.3429229999999999</c:v>
                </c:pt>
                <c:pt idx="10">
                  <c:v>4.1257250000000001</c:v>
                </c:pt>
                <c:pt idx="11">
                  <c:v>3.878819</c:v>
                </c:pt>
                <c:pt idx="12">
                  <c:v>3.603297</c:v>
                </c:pt>
                <c:pt idx="13">
                  <c:v>3.3212920000000001</c:v>
                </c:pt>
                <c:pt idx="14">
                  <c:v>3.0628579999999999</c:v>
                </c:pt>
                <c:pt idx="15">
                  <c:v>2.831118</c:v>
                </c:pt>
                <c:pt idx="16">
                  <c:v>2.607799</c:v>
                </c:pt>
                <c:pt idx="17">
                  <c:v>2.4049330000000002</c:v>
                </c:pt>
                <c:pt idx="18">
                  <c:v>2.243814</c:v>
                </c:pt>
                <c:pt idx="19">
                  <c:v>2.1376740000000001</c:v>
                </c:pt>
                <c:pt idx="20">
                  <c:v>2.0812089999999999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5-4A45-A908-4D572F0E4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616416"/>
        <c:axId val="807620016"/>
      </c:scatterChart>
      <c:valAx>
        <c:axId val="80761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20016"/>
        <c:crosses val="autoZero"/>
        <c:crossBetween val="midCat"/>
      </c:valAx>
      <c:valAx>
        <c:axId val="807620016"/>
        <c:scaling>
          <c:orientation val="minMax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1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1'!$I$3:$I$23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1'!$O$3:$O$23</c:f>
              <c:numCache>
                <c:formatCode>General</c:formatCode>
                <c:ptCount val="21"/>
                <c:pt idx="0">
                  <c:v>1.0430475823045133</c:v>
                </c:pt>
                <c:pt idx="1">
                  <c:v>1.0445170475360035</c:v>
                </c:pt>
                <c:pt idx="2">
                  <c:v>1.0450007781955404</c:v>
                </c:pt>
                <c:pt idx="3">
                  <c:v>1.0443960957531928</c:v>
                </c:pt>
                <c:pt idx="4">
                  <c:v>1.0425685756362331</c:v>
                </c:pt>
                <c:pt idx="5">
                  <c:v>1.0396373489099784</c:v>
                </c:pt>
                <c:pt idx="6">
                  <c:v>1.0357141888506378</c:v>
                </c:pt>
                <c:pt idx="7">
                  <c:v>1.0309871998488365</c:v>
                </c:pt>
                <c:pt idx="8">
                  <c:v>1.0248507277840919</c:v>
                </c:pt>
                <c:pt idx="9">
                  <c:v>1.0176212435759495</c:v>
                </c:pt>
                <c:pt idx="10">
                  <c:v>1.0093790554722448</c:v>
                </c:pt>
                <c:pt idx="11">
                  <c:v>1.0002514080366969</c:v>
                </c:pt>
                <c:pt idx="12">
                  <c:v>0.9897841549632137</c:v>
                </c:pt>
                <c:pt idx="13">
                  <c:v>0.97844596042383702</c:v>
                </c:pt>
                <c:pt idx="14">
                  <c:v>0.96643263547463754</c:v>
                </c:pt>
                <c:pt idx="15">
                  <c:v>0.95405282850134254</c:v>
                </c:pt>
                <c:pt idx="16">
                  <c:v>0.94198910579078732</c:v>
                </c:pt>
                <c:pt idx="17">
                  <c:v>0.93155540218647392</c:v>
                </c:pt>
                <c:pt idx="18">
                  <c:v>0.92348150302132448</c:v>
                </c:pt>
                <c:pt idx="19">
                  <c:v>0.91911440147804635</c:v>
                </c:pt>
                <c:pt idx="20">
                  <c:v>0.91943808527551618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1E-4D22-AA8B-FF9BFC3B1F0A}"/>
            </c:ext>
          </c:extLst>
        </c:ser>
        <c:ser>
          <c:idx val="2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7 Full 1'!$I$3:$I$23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1'!$Q$3:$Q$23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A6-41E7-AC2E-6AE34983DDDD}"/>
            </c:ext>
          </c:extLst>
        </c:ser>
        <c:ser>
          <c:idx val="3"/>
          <c:order val="2"/>
          <c:tx>
            <c:v>SIMNRA-Y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7 Full 1'!$I$3:$I$23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1'!$R$3:$R$23</c:f>
              <c:numCache>
                <c:formatCode>General</c:formatCode>
                <c:ptCount val="21"/>
                <c:pt idx="0">
                  <c:v>1.0356692760065025</c:v>
                </c:pt>
                <c:pt idx="1">
                  <c:v>1.0366074832690177</c:v>
                </c:pt>
                <c:pt idx="2">
                  <c:v>1.0367426118709444</c:v>
                </c:pt>
                <c:pt idx="3">
                  <c:v>1.0359723721253913</c:v>
                </c:pt>
                <c:pt idx="4">
                  <c:v>1.0341812094021579</c:v>
                </c:pt>
                <c:pt idx="5">
                  <c:v>1.0314881874450947</c:v>
                </c:pt>
                <c:pt idx="6">
                  <c:v>1.0281086721509576</c:v>
                </c:pt>
                <c:pt idx="7">
                  <c:v>1.0240643872809774</c:v>
                </c:pt>
                <c:pt idx="8">
                  <c:v>1.0188851514574011</c:v>
                </c:pt>
                <c:pt idx="9">
                  <c:v>1.0128310756286512</c:v>
                </c:pt>
                <c:pt idx="10">
                  <c:v>1.0059253564938195</c:v>
                </c:pt>
                <c:pt idx="11">
                  <c:v>0.9983531474028372</c:v>
                </c:pt>
                <c:pt idx="12">
                  <c:v>0.98971310898997522</c:v>
                </c:pt>
                <c:pt idx="13">
                  <c:v>0.98027837648979665</c:v>
                </c:pt>
                <c:pt idx="14">
                  <c:v>0.97032643985949474</c:v>
                </c:pt>
                <c:pt idx="15">
                  <c:v>0.96000480228845753</c:v>
                </c:pt>
                <c:pt idx="16">
                  <c:v>0.94992851132797884</c:v>
                </c:pt>
                <c:pt idx="17">
                  <c:v>0.94119915663427745</c:v>
                </c:pt>
                <c:pt idx="18">
                  <c:v>0.93456947153932879</c:v>
                </c:pt>
                <c:pt idx="19">
                  <c:v>0.93125423969135546</c:v>
                </c:pt>
                <c:pt idx="20">
                  <c:v>0.93207355043554019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1-4A55-A69F-411054BE7728}"/>
            </c:ext>
          </c:extLst>
        </c:ser>
        <c:ser>
          <c:idx val="4"/>
          <c:order val="3"/>
          <c:tx>
            <c:v>ERYA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 7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1'!$T$3:$T$23</c:f>
              <c:numCache>
                <c:formatCode>General</c:formatCode>
                <c:ptCount val="21"/>
                <c:pt idx="0">
                  <c:v>1.0193379729036678</c:v>
                </c:pt>
                <c:pt idx="1">
                  <c:v>1.0244069204188626</c:v>
                </c:pt>
                <c:pt idx="2">
                  <c:v>1.0305719236190625</c:v>
                </c:pt>
                <c:pt idx="3">
                  <c:v>1.0342651424179856</c:v>
                </c:pt>
                <c:pt idx="4">
                  <c:v>1.036104864748882</c:v>
                </c:pt>
                <c:pt idx="5">
                  <c:v>1.0376371883362547</c:v>
                </c:pt>
                <c:pt idx="6">
                  <c:v>1.0389416608196349</c:v>
                </c:pt>
                <c:pt idx="7">
                  <c:v>1.0371541523484107</c:v>
                </c:pt>
                <c:pt idx="8">
                  <c:v>1.0322310276464828</c:v>
                </c:pt>
                <c:pt idx="9">
                  <c:v>1.0289701335590427</c:v>
                </c:pt>
                <c:pt idx="10">
                  <c:v>1.028667477654412</c:v>
                </c:pt>
                <c:pt idx="11">
                  <c:v>1.025453449894506</c:v>
                </c:pt>
                <c:pt idx="12">
                  <c:v>1.0163996371726991</c:v>
                </c:pt>
                <c:pt idx="13">
                  <c:v>1.0044875262448818</c:v>
                </c:pt>
                <c:pt idx="14">
                  <c:v>0.99619110804061717</c:v>
                </c:pt>
                <c:pt idx="15">
                  <c:v>0.99077106002415549</c:v>
                </c:pt>
                <c:pt idx="16">
                  <c:v>0.97938524342509758</c:v>
                </c:pt>
                <c:pt idx="17">
                  <c:v>0.96365941123778398</c:v>
                </c:pt>
                <c:pt idx="18">
                  <c:v>0.94972117404918099</c:v>
                </c:pt>
                <c:pt idx="19">
                  <c:v>0.94299814150746541</c:v>
                </c:pt>
                <c:pt idx="20">
                  <c:v>0.94147295276433651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5-48D3-83B4-1869CDACA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022872"/>
        <c:axId val="809032592"/>
      </c:scatterChart>
      <c:valAx>
        <c:axId val="809022872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32592"/>
        <c:crosses val="autoZero"/>
        <c:crossBetween val="midCat"/>
      </c:valAx>
      <c:valAx>
        <c:axId val="809032592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22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7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Gauss 0-NEW'!$A$3:$A$23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0-NEW'!$E$3:$E$23</c:f>
              <c:numCache>
                <c:formatCode>General</c:formatCode>
                <c:ptCount val="21"/>
                <c:pt idx="0">
                  <c:v>4.5265637812397728</c:v>
                </c:pt>
                <c:pt idx="1">
                  <c:v>4.7088978662772973</c:v>
                </c:pt>
                <c:pt idx="2">
                  <c:v>4.8449186359697594</c:v>
                </c:pt>
                <c:pt idx="3">
                  <c:v>4.9299014902486009</c:v>
                </c:pt>
                <c:pt idx="4">
                  <c:v>4.9621723539744034</c:v>
                </c:pt>
                <c:pt idx="5">
                  <c:v>4.9400190719553878</c:v>
                </c:pt>
                <c:pt idx="6">
                  <c:v>4.8656752324224293</c:v>
                </c:pt>
                <c:pt idx="7">
                  <c:v>4.7416844357042072</c:v>
                </c:pt>
                <c:pt idx="8">
                  <c:v>4.5735361206408323</c:v>
                </c:pt>
                <c:pt idx="9">
                  <c:v>4.3674999317700927</c:v>
                </c:pt>
                <c:pt idx="10">
                  <c:v>4.1317828010345261</c:v>
                </c:pt>
                <c:pt idx="11">
                  <c:v>3.8740584047383808</c:v>
                </c:pt>
                <c:pt idx="12">
                  <c:v>3.6043563909409593</c:v>
                </c:pt>
                <c:pt idx="13">
                  <c:v>3.3313137692905355</c:v>
                </c:pt>
                <c:pt idx="14">
                  <c:v>3.0657964527773731</c:v>
                </c:pt>
                <c:pt idx="15">
                  <c:v>2.8155034798790854</c:v>
                </c:pt>
                <c:pt idx="16">
                  <c:v>2.5903308198882149</c:v>
                </c:pt>
                <c:pt idx="17">
                  <c:v>2.3954717457239236</c:v>
                </c:pt>
                <c:pt idx="18">
                  <c:v>2.2398432443341436</c:v>
                </c:pt>
                <c:pt idx="19">
                  <c:v>2.125370731468005</c:v>
                </c:pt>
                <c:pt idx="20">
                  <c:v>2.0566816509380819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E-4C26-96B1-67CEC33C77A5}"/>
            </c:ext>
          </c:extLst>
        </c:ser>
        <c:ser>
          <c:idx val="1"/>
          <c:order val="1"/>
          <c:tx>
            <c:v>NDF YANG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0-NEW'!$A$3:$A$23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0-NEW'!$H$3:$H$23</c:f>
              <c:numCache>
                <c:formatCode>0.0000000</c:formatCode>
                <c:ptCount val="21"/>
                <c:pt idx="0">
                  <c:v>4.4393425000000004</c:v>
                </c:pt>
                <c:pt idx="1">
                  <c:v>4.5989570999999998</c:v>
                </c:pt>
                <c:pt idx="2">
                  <c:v>4.7154641000000002</c:v>
                </c:pt>
                <c:pt idx="3">
                  <c:v>4.7856503000000004</c:v>
                </c:pt>
                <c:pt idx="4">
                  <c:v>4.8071780000000004</c:v>
                </c:pt>
                <c:pt idx="5">
                  <c:v>4.7801179999999999</c:v>
                </c:pt>
                <c:pt idx="6">
                  <c:v>4.7064785999999996</c:v>
                </c:pt>
                <c:pt idx="7">
                  <c:v>4.5887298999999997</c:v>
                </c:pt>
                <c:pt idx="8">
                  <c:v>4.4322176000000004</c:v>
                </c:pt>
                <c:pt idx="9">
                  <c:v>4.2420077000000003</c:v>
                </c:pt>
                <c:pt idx="10">
                  <c:v>4.0260924999999999</c:v>
                </c:pt>
                <c:pt idx="11">
                  <c:v>3.7915716000000002</c:v>
                </c:pt>
                <c:pt idx="12">
                  <c:v>3.5473146</c:v>
                </c:pt>
                <c:pt idx="13">
                  <c:v>3.301806</c:v>
                </c:pt>
                <c:pt idx="14">
                  <c:v>3.0633279999999998</c:v>
                </c:pt>
                <c:pt idx="15">
                  <c:v>2.8403434999999999</c:v>
                </c:pt>
                <c:pt idx="16">
                  <c:v>2.6400329999999999</c:v>
                </c:pt>
                <c:pt idx="17">
                  <c:v>2.4687022999999999</c:v>
                </c:pt>
                <c:pt idx="18">
                  <c:v>2.3322064999999998</c:v>
                </c:pt>
                <c:pt idx="19">
                  <c:v>2.2342824999999999</c:v>
                </c:pt>
                <c:pt idx="20">
                  <c:v>2.1771110999999999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E-4C26-96B1-67CEC33C77A5}"/>
            </c:ext>
          </c:extLst>
        </c:ser>
        <c:ser>
          <c:idx val="2"/>
          <c:order val="2"/>
          <c:tx>
            <c:v>SIMNRA YANG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Gauss 0-NEW'!$A$3:$A$23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0-NEW'!$L$3:$L$23</c:f>
              <c:numCache>
                <c:formatCode>General</c:formatCode>
                <c:ptCount val="21"/>
                <c:pt idx="0">
                  <c:v>4.4376320638188904</c:v>
                </c:pt>
                <c:pt idx="1">
                  <c:v>4.5973096026830902</c:v>
                </c:pt>
                <c:pt idx="2">
                  <c:v>4.7137968911815804</c:v>
                </c:pt>
                <c:pt idx="3">
                  <c:v>4.7837617694648999</c:v>
                </c:pt>
                <c:pt idx="4">
                  <c:v>4.8054601075735697</c:v>
                </c:pt>
                <c:pt idx="5">
                  <c:v>4.7787558585553302</c:v>
                </c:pt>
                <c:pt idx="6">
                  <c:v>4.7051418555727</c:v>
                </c:pt>
                <c:pt idx="7">
                  <c:v>4.5877472724337798</c:v>
                </c:pt>
                <c:pt idx="8">
                  <c:v>4.4312874932378099</c:v>
                </c:pt>
                <c:pt idx="9">
                  <c:v>4.2416833419637596</c:v>
                </c:pt>
                <c:pt idx="10">
                  <c:v>4.0258782673300404</c:v>
                </c:pt>
                <c:pt idx="11">
                  <c:v>3.7918458825815602</c:v>
                </c:pt>
                <c:pt idx="12">
                  <c:v>3.5479345720436499</c:v>
                </c:pt>
                <c:pt idx="13">
                  <c:v>3.30269121002015</c:v>
                </c:pt>
                <c:pt idx="14">
                  <c:v>3.06458907152438</c:v>
                </c:pt>
                <c:pt idx="15">
                  <c:v>2.8416596251093198</c:v>
                </c:pt>
                <c:pt idx="16">
                  <c:v>2.6413650669120301</c:v>
                </c:pt>
                <c:pt idx="17">
                  <c:v>2.4703303405291699</c:v>
                </c:pt>
                <c:pt idx="18">
                  <c:v>2.3337560653206202</c:v>
                </c:pt>
                <c:pt idx="19">
                  <c:v>2.2355645112421398</c:v>
                </c:pt>
                <c:pt idx="20">
                  <c:v>2.1783805101765799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7E-4C26-96B1-67CEC33C7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338504"/>
        <c:axId val="1057338864"/>
      </c:scatterChart>
      <c:valAx>
        <c:axId val="1057338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38864"/>
        <c:crossesAt val="1"/>
        <c:crossBetween val="midCat"/>
      </c:valAx>
      <c:valAx>
        <c:axId val="105733886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38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0-NEW'!$K$3:$K$23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0-NEW'!$R$3:$R$23</c:f>
              <c:numCache>
                <c:formatCode>General</c:formatCode>
                <c:ptCount val="21"/>
                <c:pt idx="0">
                  <c:v>0.99987688928216112</c:v>
                </c:pt>
                <c:pt idx="1">
                  <c:v>0.99985564303019314</c:v>
                </c:pt>
                <c:pt idx="2">
                  <c:v>0.99989644653598531</c:v>
                </c:pt>
                <c:pt idx="3">
                  <c:v>0.99984827719316915</c:v>
                </c:pt>
                <c:pt idx="4">
                  <c:v>0.99987076285668375</c:v>
                </c:pt>
                <c:pt idx="5">
                  <c:v>0.99991877718370148</c:v>
                </c:pt>
                <c:pt idx="6">
                  <c:v>0.99996779717986461</c:v>
                </c:pt>
                <c:pt idx="7">
                  <c:v>0.99999485666905186</c:v>
                </c:pt>
                <c:pt idx="8">
                  <c:v>0.99997408874902571</c:v>
                </c:pt>
                <c:pt idx="9">
                  <c:v>1.0000817233441546</c:v>
                </c:pt>
                <c:pt idx="10">
                  <c:v>1.0000809901705001</c:v>
                </c:pt>
                <c:pt idx="11">
                  <c:v>1.0001306799686216</c:v>
                </c:pt>
                <c:pt idx="12">
                  <c:v>1.000171982463943</c:v>
                </c:pt>
                <c:pt idx="13">
                  <c:v>1.0001849734809944</c:v>
                </c:pt>
                <c:pt idx="14">
                  <c:v>1.0002569622022759</c:v>
                </c:pt>
                <c:pt idx="15">
                  <c:v>1.0002985839060077</c:v>
                </c:pt>
                <c:pt idx="16">
                  <c:v>1.0002602107938572</c:v>
                </c:pt>
                <c:pt idx="17">
                  <c:v>1.000365910686259</c:v>
                </c:pt>
                <c:pt idx="18">
                  <c:v>1.0002491697064499</c:v>
                </c:pt>
                <c:pt idx="19">
                  <c:v>1.0001347684595912</c:v>
                </c:pt>
                <c:pt idx="20">
                  <c:v>1.000123966401079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C-4328-B062-7F7E48C7E93A}"/>
            </c:ext>
          </c:extLst>
        </c:ser>
        <c:ser>
          <c:idx val="2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7 Gauss 0-NEW'!$K$3:$K$23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0-NEW'!$T$3:$T$23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8-4793-B21B-7785ED1C4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844504"/>
        <c:axId val="1117844864"/>
      </c:scatterChart>
      <c:valAx>
        <c:axId val="1117844504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844864"/>
        <c:crosses val="autoZero"/>
        <c:crossBetween val="midCat"/>
      </c:valAx>
      <c:valAx>
        <c:axId val="111784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to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844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7 Gauss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1'!$E$3:$E$23</c:f>
              <c:numCache>
                <c:formatCode>General</c:formatCode>
                <c:ptCount val="21"/>
                <c:pt idx="0">
                  <c:v>4.522138</c:v>
                </c:pt>
                <c:pt idx="1">
                  <c:v>4.7048509999999997</c:v>
                </c:pt>
                <c:pt idx="2">
                  <c:v>4.8414700000000002</c:v>
                </c:pt>
                <c:pt idx="3">
                  <c:v>4.9269790000000002</c:v>
                </c:pt>
                <c:pt idx="4">
                  <c:v>4.9597160000000002</c:v>
                </c:pt>
                <c:pt idx="5">
                  <c:v>4.9384649999999999</c:v>
                </c:pt>
                <c:pt idx="6">
                  <c:v>4.8647099999999996</c:v>
                </c:pt>
                <c:pt idx="7">
                  <c:v>4.7419169999999999</c:v>
                </c:pt>
                <c:pt idx="8">
                  <c:v>4.5747070000000001</c:v>
                </c:pt>
                <c:pt idx="9">
                  <c:v>4.3703060000000002</c:v>
                </c:pt>
                <c:pt idx="10">
                  <c:v>4.1358680000000003</c:v>
                </c:pt>
                <c:pt idx="11">
                  <c:v>3.879842</c:v>
                </c:pt>
                <c:pt idx="12">
                  <c:v>3.6116250000000001</c:v>
                </c:pt>
                <c:pt idx="13">
                  <c:v>3.3401000000000001</c:v>
                </c:pt>
                <c:pt idx="14">
                  <c:v>3.075933</c:v>
                </c:pt>
                <c:pt idx="15">
                  <c:v>2.8267829999999998</c:v>
                </c:pt>
                <c:pt idx="16">
                  <c:v>2.6018490000000001</c:v>
                </c:pt>
                <c:pt idx="17">
                  <c:v>2.4077389999999999</c:v>
                </c:pt>
                <c:pt idx="18">
                  <c:v>2.2513550000000002</c:v>
                </c:pt>
                <c:pt idx="19">
                  <c:v>2.1371690000000001</c:v>
                </c:pt>
                <c:pt idx="20">
                  <c:v>2.0678160000000001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3-4534-9F06-B468CD702C7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1'!$I$3:$I$23</c:f>
              <c:numCache>
                <c:formatCode>0.0000000</c:formatCode>
                <c:ptCount val="21"/>
                <c:pt idx="0">
                  <c:v>4.4384598999999998</c:v>
                </c:pt>
                <c:pt idx="1">
                  <c:v>4.5979643000000001</c:v>
                </c:pt>
                <c:pt idx="2">
                  <c:v>4.7143698000000001</c:v>
                </c:pt>
                <c:pt idx="3">
                  <c:v>4.7845887999999999</c:v>
                </c:pt>
                <c:pt idx="4">
                  <c:v>4.8061503999999999</c:v>
                </c:pt>
                <c:pt idx="5">
                  <c:v>4.7790780000000002</c:v>
                </c:pt>
                <c:pt idx="6">
                  <c:v>4.7054086000000002</c:v>
                </c:pt>
                <c:pt idx="7">
                  <c:v>4.5878724999999996</c:v>
                </c:pt>
                <c:pt idx="8">
                  <c:v>4.4314837000000002</c:v>
                </c:pt>
                <c:pt idx="9">
                  <c:v>4.2414255000000001</c:v>
                </c:pt>
                <c:pt idx="10">
                  <c:v>4.0256610000000004</c:v>
                </c:pt>
                <c:pt idx="11">
                  <c:v>3.7911581999999999</c:v>
                </c:pt>
                <c:pt idx="12">
                  <c:v>3.5472548000000002</c:v>
                </c:pt>
                <c:pt idx="13">
                  <c:v>3.3020119999999999</c:v>
                </c:pt>
                <c:pt idx="14">
                  <c:v>3.0637310000000002</c:v>
                </c:pt>
                <c:pt idx="15">
                  <c:v>2.8407819000000001</c:v>
                </c:pt>
                <c:pt idx="16">
                  <c:v>2.6407362999999999</c:v>
                </c:pt>
                <c:pt idx="17">
                  <c:v>2.4694262</c:v>
                </c:pt>
                <c:pt idx="18">
                  <c:v>2.3331013</c:v>
                </c:pt>
                <c:pt idx="19">
                  <c:v>2.2351747</c:v>
                </c:pt>
                <c:pt idx="20">
                  <c:v>2.1779768000000002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3-4534-9F06-B468CD702C72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1'!$L$3:$L$23</c:f>
              <c:numCache>
                <c:formatCode>General</c:formatCode>
                <c:ptCount val="21"/>
                <c:pt idx="0">
                  <c:v>4.4368905978922104</c:v>
                </c:pt>
                <c:pt idx="1">
                  <c:v>4.5964648066975</c:v>
                </c:pt>
                <c:pt idx="2">
                  <c:v>4.7128777926224199</c:v>
                </c:pt>
                <c:pt idx="3">
                  <c:v>4.78282184107149</c:v>
                </c:pt>
                <c:pt idx="4">
                  <c:v>4.8045280910645403</c:v>
                </c:pt>
                <c:pt idx="5">
                  <c:v>4.7778370151429703</c:v>
                </c:pt>
                <c:pt idx="6">
                  <c:v>4.7042865875648801</c:v>
                </c:pt>
                <c:pt idx="7">
                  <c:v>4.5870032370940201</c:v>
                </c:pt>
                <c:pt idx="8">
                  <c:v>4.4306266491917397</c:v>
                </c:pt>
                <c:pt idx="9">
                  <c:v>4.2411249605330497</c:v>
                </c:pt>
                <c:pt idx="10">
                  <c:v>4.0255264605121299</c:v>
                </c:pt>
                <c:pt idx="11">
                  <c:v>3.79165378443555</c:v>
                </c:pt>
                <c:pt idx="12">
                  <c:v>3.5478725610542101</c:v>
                </c:pt>
                <c:pt idx="13">
                  <c:v>3.30274580254834</c:v>
                </c:pt>
                <c:pt idx="14">
                  <c:v>3.0647601801806998</c:v>
                </c:pt>
                <c:pt idx="15">
                  <c:v>2.8419894792908602</c:v>
                </c:pt>
                <c:pt idx="16">
                  <c:v>2.6418514170648799</c:v>
                </c:pt>
                <c:pt idx="17">
                  <c:v>2.4708381362674201</c:v>
                </c:pt>
                <c:pt idx="18">
                  <c:v>2.33430556472572</c:v>
                </c:pt>
                <c:pt idx="19">
                  <c:v>2.23623096456926</c:v>
                </c:pt>
                <c:pt idx="20">
                  <c:v>2.1790906657066098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3-4534-9F06-B468CD702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671512"/>
        <c:axId val="1011673312"/>
      </c:scatterChart>
      <c:valAx>
        <c:axId val="101167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73312"/>
        <c:crosses val="autoZero"/>
        <c:crossBetween val="midCat"/>
      </c:valAx>
      <c:valAx>
        <c:axId val="1011673312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71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Gauss 1'!$K$3:$K$23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1'!$N$3:$N$23</c:f>
              <c:numCache>
                <c:formatCode>General</c:formatCode>
                <c:ptCount val="21"/>
                <c:pt idx="0">
                  <c:v>1.0188529584327213</c:v>
                </c:pt>
                <c:pt idx="1">
                  <c:v>1.023246526729231</c:v>
                </c:pt>
                <c:pt idx="2">
                  <c:v>1.0269601676134952</c:v>
                </c:pt>
                <c:pt idx="3">
                  <c:v>1.0297601750018728</c:v>
                </c:pt>
                <c:pt idx="4">
                  <c:v>1.0319518923086552</c:v>
                </c:pt>
                <c:pt idx="5">
                  <c:v>1.0333509936435437</c:v>
                </c:pt>
                <c:pt idx="6">
                  <c:v>1.0338549557630339</c:v>
                </c:pt>
                <c:pt idx="7">
                  <c:v>1.033576456189661</c:v>
                </c:pt>
                <c:pt idx="8">
                  <c:v>1.0323194915508771</c:v>
                </c:pt>
                <c:pt idx="9">
                  <c:v>1.0303861284372435</c:v>
                </c:pt>
                <c:pt idx="10">
                  <c:v>1.0273761253120917</c:v>
                </c:pt>
                <c:pt idx="11">
                  <c:v>1.0233922709951804</c:v>
                </c:pt>
                <c:pt idx="12">
                  <c:v>1.0181464833030884</c:v>
                </c:pt>
                <c:pt idx="13">
                  <c:v>1.0115347854580783</c:v>
                </c:pt>
                <c:pt idx="14">
                  <c:v>1.0039827256374663</c:v>
                </c:pt>
                <c:pt idx="15">
                  <c:v>0.9950721665749841</c:v>
                </c:pt>
                <c:pt idx="16">
                  <c:v>0.98527406920562277</c:v>
                </c:pt>
                <c:pt idx="17">
                  <c:v>0.97501962196724079</c:v>
                </c:pt>
                <c:pt idx="18">
                  <c:v>0.96496238718824601</c:v>
                </c:pt>
                <c:pt idx="19">
                  <c:v>0.95615300226868183</c:v>
                </c:pt>
                <c:pt idx="20">
                  <c:v>0.94942058152318243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4-4838-9AE4-1CC2B8D276B9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1'!$K$3:$K$23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1'!$P$3:$P$23</c:f>
              <c:numCache>
                <c:formatCode>General</c:formatCode>
                <c:ptCount val="21"/>
                <c:pt idx="0">
                  <c:v>0.99964643093704886</c:v>
                </c:pt>
                <c:pt idx="1">
                  <c:v>0.9996738788723305</c:v>
                </c:pt>
                <c:pt idx="2">
                  <c:v>0.99968351923143994</c:v>
                </c:pt>
                <c:pt idx="3">
                  <c:v>0.99963069785045899</c:v>
                </c:pt>
                <c:pt idx="4">
                  <c:v>0.9996624514839445</c:v>
                </c:pt>
                <c:pt idx="5">
                  <c:v>0.99974032964998061</c:v>
                </c:pt>
                <c:pt idx="6">
                  <c:v>0.99976154835201347</c:v>
                </c:pt>
                <c:pt idx="7">
                  <c:v>0.99981053028261369</c:v>
                </c:pt>
                <c:pt idx="8">
                  <c:v>0.99980659958012241</c:v>
                </c:pt>
                <c:pt idx="9">
                  <c:v>0.99992914187295046</c:v>
                </c:pt>
                <c:pt idx="10">
                  <c:v>0.99996657952871082</c:v>
                </c:pt>
                <c:pt idx="11">
                  <c:v>1.0001307211172432</c:v>
                </c:pt>
                <c:pt idx="12">
                  <c:v>1.0001741518692737</c:v>
                </c:pt>
                <c:pt idx="13">
                  <c:v>1.000222228916291</c:v>
                </c:pt>
                <c:pt idx="14">
                  <c:v>1.000335923806855</c:v>
                </c:pt>
                <c:pt idx="15">
                  <c:v>1.0004250869420352</c:v>
                </c:pt>
                <c:pt idx="16">
                  <c:v>1.0004222750544536</c:v>
                </c:pt>
                <c:pt idx="17">
                  <c:v>1.0005717669422234</c:v>
                </c:pt>
                <c:pt idx="18">
                  <c:v>1.0005161647827807</c:v>
                </c:pt>
                <c:pt idx="19">
                  <c:v>1.0004725646587087</c:v>
                </c:pt>
                <c:pt idx="20">
                  <c:v>1.0005114222091851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F-474C-A281-3C205752B60B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7 Gauss 1'!$Z$3:$Z$23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1'!$AC$3:$AC$23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7-4AF6-A61B-BCAFF3A97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35168"/>
        <c:axId val="1152133728"/>
      </c:scatterChart>
      <c:valAx>
        <c:axId val="1152135168"/>
        <c:scaling>
          <c:orientation val="minMax"/>
          <c:max val="204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133728"/>
        <c:crosses val="autoZero"/>
        <c:crossBetween val="midCat"/>
      </c:valAx>
      <c:valAx>
        <c:axId val="11521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</a:t>
                </a:r>
                <a:r>
                  <a:rPr lang="en-GB" sz="1600" baseline="0"/>
                  <a:t>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13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460888</xdr:colOff>
      <xdr:row>24</xdr:row>
      <xdr:rowOff>27140</xdr:rowOff>
    </xdr:from>
    <xdr:to>
      <xdr:col>9</xdr:col>
      <xdr:colOff>787607</xdr:colOff>
      <xdr:row>48</xdr:row>
      <xdr:rowOff>163870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E1C92-10EE-549A-67C5-E7BD33F37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1067670</xdr:colOff>
      <xdr:row>24</xdr:row>
      <xdr:rowOff>24273</xdr:rowOff>
    </xdr:from>
    <xdr:to>
      <xdr:col>16</xdr:col>
      <xdr:colOff>686210</xdr:colOff>
      <xdr:row>48</xdr:row>
      <xdr:rowOff>174113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454390-2B58-1998-8DD8-BE38A1F26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537701</xdr:colOff>
      <xdr:row>24</xdr:row>
      <xdr:rowOff>36547</xdr:rowOff>
    </xdr:from>
    <xdr:to>
      <xdr:col>9</xdr:col>
      <xdr:colOff>860323</xdr:colOff>
      <xdr:row>59</xdr:row>
      <xdr:rowOff>107540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0A340-59DD-976A-17F3-589AD237C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926360</xdr:colOff>
      <xdr:row>24</xdr:row>
      <xdr:rowOff>77528</xdr:rowOff>
    </xdr:from>
    <xdr:to>
      <xdr:col>21</xdr:col>
      <xdr:colOff>92178</xdr:colOff>
      <xdr:row>59</xdr:row>
      <xdr:rowOff>92177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1F15F-8C7C-58FE-5E3A-2E9CD374B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24</xdr:row>
      <xdr:rowOff>142874</xdr:rowOff>
    </xdr:from>
    <xdr:to>
      <xdr:col>9</xdr:col>
      <xdr:colOff>257175</xdr:colOff>
      <xdr:row>45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0876E-F870-787A-286A-E8D6D3F19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500062</xdr:colOff>
      <xdr:row>24</xdr:row>
      <xdr:rowOff>161924</xdr:rowOff>
    </xdr:from>
    <xdr:to>
      <xdr:col>18</xdr:col>
      <xdr:colOff>609600</xdr:colOff>
      <xdr:row>45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7609E-D7C5-443F-7C88-663ACFE66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24</xdr:row>
      <xdr:rowOff>123825</xdr:rowOff>
    </xdr:from>
    <xdr:to>
      <xdr:col>8</xdr:col>
      <xdr:colOff>238125</xdr:colOff>
      <xdr:row>48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FDEC4-6378-6191-9823-4E946D9F9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538161</xdr:colOff>
      <xdr:row>24</xdr:row>
      <xdr:rowOff>180974</xdr:rowOff>
    </xdr:from>
    <xdr:to>
      <xdr:col>15</xdr:col>
      <xdr:colOff>323850</xdr:colOff>
      <xdr:row>48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C4065-AA25-EB40-57E0-D45F23341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opLeftCell="B22" zoomScale="93" zoomScaleNormal="93" workbookViewId="0">
      <selection activeCell="J57" sqref="J57"/>
    </sheetView>
  </sheetViews>
  <sheetFormatPr defaultColWidth="20.625" defaultRowHeight="15.75" x14ac:dyDescent="0.25"/>
  <cols>
    <col min="1" max="1" width="14.5" customWidth="1"/>
    <col min="2" max="2" width="15" customWidth="1"/>
    <col min="4" max="4" width="7.5" style="6" customWidth="1"/>
    <col min="5" max="5" width="14" style="1" customWidth="1"/>
    <col min="6" max="6" width="16.875" style="2" customWidth="1"/>
    <col min="8" max="8" width="7.375" style="6" customWidth="1"/>
    <col min="9" max="9" width="12" customWidth="1"/>
    <col min="10" max="11" width="16.625" customWidth="1"/>
    <col min="12" max="12" width="7.125" customWidth="1"/>
    <col min="13" max="13" width="7.125" style="6" customWidth="1"/>
    <col min="14" max="14" width="13.375" customWidth="1"/>
    <col min="15" max="15" width="13.125" customWidth="1"/>
    <col min="16" max="16" width="13.75" customWidth="1"/>
    <col min="17" max="17" width="12.75" customWidth="1"/>
    <col min="18" max="18" width="17.25" customWidth="1"/>
    <col min="19" max="19" width="6.875" style="6" customWidth="1"/>
    <col min="20" max="20" width="17.125" customWidth="1"/>
  </cols>
  <sheetData>
    <row r="1" spans="1:20" x14ac:dyDescent="0.25">
      <c r="A1" t="s">
        <v>5</v>
      </c>
      <c r="F1" s="2" t="s">
        <v>6</v>
      </c>
      <c r="G1" t="s">
        <v>12</v>
      </c>
      <c r="I1" t="s">
        <v>7</v>
      </c>
      <c r="J1" t="s">
        <v>13</v>
      </c>
      <c r="K1" t="s">
        <v>14</v>
      </c>
      <c r="N1" t="s">
        <v>8</v>
      </c>
      <c r="O1" t="s">
        <v>9</v>
      </c>
      <c r="P1" t="s">
        <v>10</v>
      </c>
      <c r="Q1" t="s">
        <v>9</v>
      </c>
      <c r="R1" t="s">
        <v>15</v>
      </c>
      <c r="T1" t="s">
        <v>8</v>
      </c>
    </row>
    <row r="2" spans="1:20" x14ac:dyDescent="0.25">
      <c r="A2" t="s">
        <v>0</v>
      </c>
      <c r="B2" t="s">
        <v>4</v>
      </c>
      <c r="C2" t="s">
        <v>16</v>
      </c>
      <c r="E2" t="s">
        <v>0</v>
      </c>
      <c r="F2" t="s">
        <v>4</v>
      </c>
      <c r="I2" t="s">
        <v>0</v>
      </c>
      <c r="J2" t="s">
        <v>4</v>
      </c>
      <c r="T2" t="s">
        <v>16</v>
      </c>
    </row>
    <row r="3" spans="1:20" x14ac:dyDescent="0.25">
      <c r="A3">
        <v>2000</v>
      </c>
      <c r="B3" s="4">
        <v>4.469195</v>
      </c>
      <c r="C3" s="5">
        <v>4.4975449999999997</v>
      </c>
      <c r="E3" s="1">
        <v>2000</v>
      </c>
      <c r="F3" s="2">
        <v>4.4109559000000003</v>
      </c>
      <c r="G3">
        <v>4.4760938000000001</v>
      </c>
      <c r="I3">
        <v>2000</v>
      </c>
      <c r="J3">
        <v>4.60083574437345</v>
      </c>
      <c r="K3">
        <v>4.6356640702230996</v>
      </c>
      <c r="L3">
        <v>1</v>
      </c>
      <c r="N3">
        <f>B3/F3</f>
        <v>1.0132032832157765</v>
      </c>
      <c r="O3">
        <f>1-N3</f>
        <v>-1.3203283215776462E-2</v>
      </c>
      <c r="P3">
        <f>J3/F3</f>
        <v>1.0430473232283846</v>
      </c>
      <c r="Q3">
        <f>1-P3</f>
        <v>-4.304732322838456E-2</v>
      </c>
      <c r="R3">
        <f>K3/G3</f>
        <v>1.0356494473424795</v>
      </c>
      <c r="T3">
        <f>C3/F3</f>
        <v>1.0196304615060874</v>
      </c>
    </row>
    <row r="4" spans="1:20" x14ac:dyDescent="0.25">
      <c r="A4">
        <v>2002</v>
      </c>
      <c r="B4" s="4">
        <v>4.6714130000000003</v>
      </c>
      <c r="C4" s="5">
        <v>4.6788270000000001</v>
      </c>
      <c r="E4" s="1">
        <v>2002</v>
      </c>
      <c r="F4" s="2">
        <v>4.5669899000000003</v>
      </c>
      <c r="G4">
        <v>4.6403445999999997</v>
      </c>
      <c r="I4">
        <v>2002</v>
      </c>
      <c r="J4">
        <v>4.7704848167045002</v>
      </c>
      <c r="K4">
        <v>4.8102369967723897</v>
      </c>
      <c r="L4">
        <v>1</v>
      </c>
      <c r="N4">
        <f t="shared" ref="N4:N23" si="0">B4/F4</f>
        <v>1.0228647538721292</v>
      </c>
      <c r="O4">
        <f t="shared" ref="O4:O23" si="1">1-N4</f>
        <v>-2.2864753872129162E-2</v>
      </c>
      <c r="P4">
        <f t="shared" ref="P4:P23" si="2">J4/F4</f>
        <v>1.0445577768202421</v>
      </c>
      <c r="Q4">
        <f t="shared" ref="Q4:Q23" si="3">1-P4</f>
        <v>-4.455777682024209E-2</v>
      </c>
      <c r="R4">
        <f t="shared" ref="R4:R23" si="4">K4/G4</f>
        <v>1.0366120216098584</v>
      </c>
      <c r="T4">
        <f t="shared" ref="T4:T23" si="5">C4/F4</f>
        <v>1.0244881426166499</v>
      </c>
    </row>
    <row r="5" spans="1:20" x14ac:dyDescent="0.25">
      <c r="A5">
        <v>2004</v>
      </c>
      <c r="B5" s="4">
        <v>4.8285970000000002</v>
      </c>
      <c r="C5" s="5">
        <v>4.8196310000000002</v>
      </c>
      <c r="E5" s="1">
        <v>2004</v>
      </c>
      <c r="F5" s="2">
        <v>4.6806821999999997</v>
      </c>
      <c r="G5">
        <v>4.7598209000000002</v>
      </c>
      <c r="I5">
        <v>2004</v>
      </c>
      <c r="J5">
        <v>4.8914047064506097</v>
      </c>
      <c r="K5">
        <v>4.9348596550685198</v>
      </c>
      <c r="L5">
        <v>1</v>
      </c>
      <c r="N5">
        <f t="shared" si="0"/>
        <v>1.0316011200247692</v>
      </c>
      <c r="O5">
        <f t="shared" si="1"/>
        <v>-3.1601120024769225E-2</v>
      </c>
      <c r="P5">
        <f t="shared" si="2"/>
        <v>1.0450196141174912</v>
      </c>
      <c r="Q5">
        <f t="shared" si="3"/>
        <v>-4.5019614117491225E-2</v>
      </c>
      <c r="R5">
        <f t="shared" si="4"/>
        <v>1.0367742313725543</v>
      </c>
      <c r="T5">
        <f t="shared" si="5"/>
        <v>1.0296855872846913</v>
      </c>
    </row>
    <row r="6" spans="1:20" x14ac:dyDescent="0.25">
      <c r="A6">
        <v>2006</v>
      </c>
      <c r="B6" s="4">
        <v>4.93614</v>
      </c>
      <c r="C6" s="5">
        <v>4.9062570000000001</v>
      </c>
      <c r="E6" s="1">
        <v>2006</v>
      </c>
      <c r="F6" s="2">
        <v>4.7494329999999998</v>
      </c>
      <c r="G6">
        <v>4.8319863999999999</v>
      </c>
      <c r="I6">
        <v>2006</v>
      </c>
      <c r="J6">
        <v>4.9603987179911098</v>
      </c>
      <c r="K6">
        <v>5.0057091640985796</v>
      </c>
      <c r="L6">
        <v>1</v>
      </c>
      <c r="N6">
        <f t="shared" si="0"/>
        <v>1.0393114293853603</v>
      </c>
      <c r="O6">
        <f t="shared" si="1"/>
        <v>-3.9311429385360253E-2</v>
      </c>
      <c r="P6">
        <f t="shared" si="2"/>
        <v>1.0444191376088703</v>
      </c>
      <c r="Q6">
        <f t="shared" si="3"/>
        <v>-4.4419137608870285E-2</v>
      </c>
      <c r="R6">
        <f t="shared" si="4"/>
        <v>1.0359526599864974</v>
      </c>
      <c r="T6">
        <f t="shared" si="5"/>
        <v>1.0330195204353867</v>
      </c>
    </row>
    <row r="7" spans="1:20" x14ac:dyDescent="0.25">
      <c r="A7">
        <v>2008</v>
      </c>
      <c r="B7" s="4">
        <v>4.9911510000000003</v>
      </c>
      <c r="C7" s="5">
        <v>4.940531</v>
      </c>
      <c r="E7" s="1">
        <v>2008</v>
      </c>
      <c r="F7" s="2">
        <v>4.7705722000000002</v>
      </c>
      <c r="G7">
        <v>4.8537369000000004</v>
      </c>
      <c r="I7">
        <v>2008</v>
      </c>
      <c r="J7">
        <v>4.9739074814052104</v>
      </c>
      <c r="K7">
        <v>5.0195329557344897</v>
      </c>
      <c r="L7">
        <v>1</v>
      </c>
      <c r="N7">
        <f t="shared" si="0"/>
        <v>1.0462373884625413</v>
      </c>
      <c r="O7">
        <f t="shared" si="1"/>
        <v>-4.6237388462541329E-2</v>
      </c>
      <c r="P7">
        <f t="shared" si="2"/>
        <v>1.0426228286420673</v>
      </c>
      <c r="Q7">
        <f t="shared" si="3"/>
        <v>-4.2622828642067345E-2</v>
      </c>
      <c r="R7">
        <f t="shared" si="4"/>
        <v>1.0341584348617019</v>
      </c>
      <c r="T7">
        <f t="shared" si="5"/>
        <v>1.035626501994876</v>
      </c>
    </row>
    <row r="8" spans="1:20" x14ac:dyDescent="0.25">
      <c r="A8">
        <v>2010</v>
      </c>
      <c r="B8" s="4">
        <v>4.9924879999999998</v>
      </c>
      <c r="C8" s="5">
        <v>4.9258230000000003</v>
      </c>
      <c r="E8" s="1">
        <v>2010</v>
      </c>
      <c r="F8" s="2">
        <v>4.7445311999999999</v>
      </c>
      <c r="G8">
        <v>4.8253507999999998</v>
      </c>
      <c r="I8">
        <v>2010</v>
      </c>
      <c r="J8">
        <v>4.9327012119155098</v>
      </c>
      <c r="K8">
        <v>4.9771632740213496</v>
      </c>
      <c r="L8">
        <v>1</v>
      </c>
      <c r="N8">
        <f t="shared" si="0"/>
        <v>1.0522616017363318</v>
      </c>
      <c r="O8">
        <f t="shared" si="1"/>
        <v>-5.2261601736331764E-2</v>
      </c>
      <c r="P8">
        <f t="shared" si="2"/>
        <v>1.039660401414477</v>
      </c>
      <c r="Q8">
        <f t="shared" si="3"/>
        <v>-3.966040141447702E-2</v>
      </c>
      <c r="R8">
        <f t="shared" si="4"/>
        <v>1.0314614377925331</v>
      </c>
      <c r="T8">
        <f t="shared" si="5"/>
        <v>1.0382106877071438</v>
      </c>
    </row>
    <row r="9" spans="1:20" x14ac:dyDescent="0.25">
      <c r="A9">
        <v>2012</v>
      </c>
      <c r="B9" s="4">
        <v>4.9408960000000004</v>
      </c>
      <c r="C9" s="5">
        <v>4.8544049999999999</v>
      </c>
      <c r="E9" s="1">
        <v>2012</v>
      </c>
      <c r="F9" s="2">
        <v>4.6727939000000003</v>
      </c>
      <c r="G9">
        <v>4.7484869999999999</v>
      </c>
      <c r="I9">
        <v>2012</v>
      </c>
      <c r="J9">
        <v>4.8398954782571098</v>
      </c>
      <c r="K9">
        <v>4.8818545978960497</v>
      </c>
      <c r="L9">
        <v>1</v>
      </c>
      <c r="N9">
        <f t="shared" si="0"/>
        <v>1.0573751176999269</v>
      </c>
      <c r="O9">
        <f t="shared" si="1"/>
        <v>-5.737511769992687E-2</v>
      </c>
      <c r="P9">
        <f t="shared" si="2"/>
        <v>1.0357605282478026</v>
      </c>
      <c r="Q9">
        <f t="shared" si="3"/>
        <v>-3.5760528247802625E-2</v>
      </c>
      <c r="R9">
        <f t="shared" si="4"/>
        <v>1.0280863352676441</v>
      </c>
      <c r="T9">
        <f t="shared" si="5"/>
        <v>1.0388656345403977</v>
      </c>
    </row>
    <row r="10" spans="1:20" x14ac:dyDescent="0.25">
      <c r="A10">
        <v>2014</v>
      </c>
      <c r="B10" s="4">
        <v>4.8389230000000003</v>
      </c>
      <c r="C10" s="5">
        <v>4.7257509999999998</v>
      </c>
      <c r="E10" s="1">
        <v>2014</v>
      </c>
      <c r="F10" s="2">
        <v>4.5584015999999998</v>
      </c>
      <c r="G10">
        <v>4.6263337</v>
      </c>
      <c r="I10">
        <v>2014</v>
      </c>
      <c r="J10">
        <v>4.6998158197033799</v>
      </c>
      <c r="K10">
        <v>4.7375378467565303</v>
      </c>
      <c r="L10">
        <v>1</v>
      </c>
      <c r="N10">
        <f t="shared" si="0"/>
        <v>1.061539422064085</v>
      </c>
      <c r="O10">
        <f t="shared" si="1"/>
        <v>-6.1539422064085025E-2</v>
      </c>
      <c r="P10">
        <f t="shared" si="2"/>
        <v>1.0310227645812031</v>
      </c>
      <c r="Q10">
        <f t="shared" si="3"/>
        <v>-3.1022764581203122E-2</v>
      </c>
      <c r="R10">
        <f t="shared" si="4"/>
        <v>1.0240372082879647</v>
      </c>
      <c r="T10">
        <f t="shared" si="5"/>
        <v>1.0367122984512818</v>
      </c>
    </row>
    <row r="11" spans="1:20" x14ac:dyDescent="0.25">
      <c r="A11">
        <v>2016</v>
      </c>
      <c r="B11" s="4">
        <v>4.6908329999999996</v>
      </c>
      <c r="C11" s="5">
        <v>4.5493670000000002</v>
      </c>
      <c r="E11" s="1">
        <v>2016</v>
      </c>
      <c r="F11" s="2">
        <v>4.4061556</v>
      </c>
      <c r="G11">
        <v>4.4640284000000001</v>
      </c>
      <c r="I11">
        <v>2016</v>
      </c>
      <c r="J11">
        <v>4.5160515983581497</v>
      </c>
      <c r="K11">
        <v>4.5481910285319698</v>
      </c>
      <c r="L11">
        <v>1</v>
      </c>
      <c r="N11">
        <f t="shared" si="0"/>
        <v>1.0646090210704315</v>
      </c>
      <c r="O11">
        <f t="shared" si="1"/>
        <v>-6.4609021070431538E-2</v>
      </c>
      <c r="P11">
        <f t="shared" si="2"/>
        <v>1.024941470146481</v>
      </c>
      <c r="Q11">
        <f t="shared" si="3"/>
        <v>-2.494147014648096E-2</v>
      </c>
      <c r="R11">
        <f t="shared" si="4"/>
        <v>1.0188535154776277</v>
      </c>
      <c r="T11">
        <f t="shared" si="5"/>
        <v>1.0325025743530256</v>
      </c>
    </row>
    <row r="12" spans="1:20" x14ac:dyDescent="0.25">
      <c r="A12">
        <v>2018</v>
      </c>
      <c r="B12" s="4">
        <v>4.5024179999999996</v>
      </c>
      <c r="C12" s="5">
        <v>4.3463609999999999</v>
      </c>
      <c r="E12" s="1">
        <v>2018</v>
      </c>
      <c r="F12" s="2">
        <v>4.2212056999999996</v>
      </c>
      <c r="G12">
        <v>4.2670526999999998</v>
      </c>
      <c r="I12">
        <v>2018</v>
      </c>
      <c r="J12">
        <v>4.2959107980552398</v>
      </c>
      <c r="K12">
        <v>4.32165239319081</v>
      </c>
      <c r="L12">
        <v>1</v>
      </c>
      <c r="N12">
        <f t="shared" si="0"/>
        <v>1.0666189520212199</v>
      </c>
      <c r="O12">
        <f t="shared" si="1"/>
        <v>-6.6618952021219924E-2</v>
      </c>
      <c r="P12">
        <f t="shared" si="2"/>
        <v>1.0176975734812546</v>
      </c>
      <c r="Q12">
        <f t="shared" si="3"/>
        <v>-1.7697573481254558E-2</v>
      </c>
      <c r="R12">
        <f t="shared" si="4"/>
        <v>1.0127956453855866</v>
      </c>
      <c r="T12">
        <f t="shared" si="5"/>
        <v>1.0296491829336818</v>
      </c>
    </row>
    <row r="13" spans="1:20" x14ac:dyDescent="0.25">
      <c r="A13">
        <v>2020</v>
      </c>
      <c r="B13" s="4">
        <v>4.2807230000000001</v>
      </c>
      <c r="C13" s="5">
        <v>4.1261640000000002</v>
      </c>
      <c r="E13" s="1">
        <v>2020</v>
      </c>
      <c r="F13" s="2">
        <v>4.0111360999999999</v>
      </c>
      <c r="G13">
        <v>4.0435977000000003</v>
      </c>
      <c r="I13">
        <v>2020</v>
      </c>
      <c r="J13">
        <v>4.0487529078106803</v>
      </c>
      <c r="K13">
        <v>4.0675055695266602</v>
      </c>
      <c r="L13">
        <v>1</v>
      </c>
      <c r="N13">
        <f t="shared" si="0"/>
        <v>1.0672096117606182</v>
      </c>
      <c r="O13">
        <f t="shared" si="1"/>
        <v>-6.7209611760618237E-2</v>
      </c>
      <c r="P13">
        <f t="shared" si="2"/>
        <v>1.0093780931070078</v>
      </c>
      <c r="Q13">
        <f t="shared" si="3"/>
        <v>-9.3780931070077678E-3</v>
      </c>
      <c r="R13">
        <f t="shared" si="4"/>
        <v>1.0059125242668576</v>
      </c>
      <c r="T13">
        <f t="shared" si="5"/>
        <v>1.0286771371332926</v>
      </c>
    </row>
    <row r="14" spans="1:20" x14ac:dyDescent="0.25">
      <c r="A14">
        <v>2022</v>
      </c>
      <c r="B14" s="4">
        <v>4.0338770000000004</v>
      </c>
      <c r="C14" s="5">
        <v>3.8744109999999998</v>
      </c>
      <c r="E14" s="1">
        <v>2022</v>
      </c>
      <c r="F14" s="2">
        <v>3.7830032999999998</v>
      </c>
      <c r="G14">
        <v>3.8011789</v>
      </c>
      <c r="I14">
        <v>2022</v>
      </c>
      <c r="J14">
        <v>3.7838690467865699</v>
      </c>
      <c r="K14">
        <v>3.7947757118665502</v>
      </c>
      <c r="L14">
        <v>1</v>
      </c>
      <c r="N14">
        <f t="shared" si="0"/>
        <v>1.066316014051587</v>
      </c>
      <c r="O14">
        <f t="shared" si="1"/>
        <v>-6.6316014051587047E-2</v>
      </c>
      <c r="P14">
        <f t="shared" si="2"/>
        <v>1.0002288517132856</v>
      </c>
      <c r="Q14">
        <f t="shared" si="3"/>
        <v>-2.2885171328557163E-4</v>
      </c>
      <c r="R14">
        <f t="shared" si="4"/>
        <v>0.99831547309350532</v>
      </c>
      <c r="T14">
        <f t="shared" si="5"/>
        <v>1.0241627333499814</v>
      </c>
    </row>
    <row r="15" spans="1:20" x14ac:dyDescent="0.25">
      <c r="A15">
        <v>2024</v>
      </c>
      <c r="B15" s="4">
        <v>3.7707380000000001</v>
      </c>
      <c r="C15" s="5">
        <v>3.5997919999999999</v>
      </c>
      <c r="E15" s="1">
        <v>2024</v>
      </c>
      <c r="F15" s="2">
        <v>3.5453011999999999</v>
      </c>
      <c r="G15">
        <v>3.5487248999999998</v>
      </c>
      <c r="I15">
        <v>2024</v>
      </c>
      <c r="J15">
        <v>3.5092658093368501</v>
      </c>
      <c r="K15">
        <v>3.5120783104998599</v>
      </c>
      <c r="L15">
        <v>1</v>
      </c>
      <c r="N15">
        <f t="shared" si="0"/>
        <v>1.0635874887019474</v>
      </c>
      <c r="O15">
        <f t="shared" si="1"/>
        <v>-6.3587488701947414E-2</v>
      </c>
      <c r="P15">
        <f t="shared" si="2"/>
        <v>0.98983573224662835</v>
      </c>
      <c r="Q15">
        <f t="shared" si="3"/>
        <v>1.0164267753371647E-2</v>
      </c>
      <c r="R15">
        <f t="shared" si="4"/>
        <v>0.98967330786893626</v>
      </c>
      <c r="T15">
        <f t="shared" si="5"/>
        <v>1.015369864766356</v>
      </c>
    </row>
    <row r="16" spans="1:20" x14ac:dyDescent="0.25">
      <c r="A16">
        <v>2026</v>
      </c>
      <c r="B16" s="4">
        <v>3.500591</v>
      </c>
      <c r="C16" s="5">
        <v>3.3223980000000002</v>
      </c>
      <c r="E16" s="1">
        <v>2026</v>
      </c>
      <c r="F16" s="2">
        <v>3.3064528000000002</v>
      </c>
      <c r="G16">
        <v>3.2952694999999999</v>
      </c>
      <c r="I16">
        <v>2026</v>
      </c>
      <c r="J16">
        <v>3.23520078083624</v>
      </c>
      <c r="K16">
        <v>3.2300939867967</v>
      </c>
      <c r="L16">
        <v>1</v>
      </c>
      <c r="N16">
        <f t="shared" si="0"/>
        <v>1.0587149467247801</v>
      </c>
      <c r="O16">
        <f t="shared" si="1"/>
        <v>-5.8714946724780059E-2</v>
      </c>
      <c r="P16">
        <f t="shared" si="2"/>
        <v>0.97845061657503163</v>
      </c>
      <c r="Q16">
        <f t="shared" si="3"/>
        <v>2.1549383424968371E-2</v>
      </c>
      <c r="R16">
        <f t="shared" si="4"/>
        <v>0.98022149229272448</v>
      </c>
      <c r="T16">
        <f t="shared" si="5"/>
        <v>1.0048224490003306</v>
      </c>
    </row>
    <row r="17" spans="1:20" x14ac:dyDescent="0.25">
      <c r="A17">
        <v>2028</v>
      </c>
      <c r="B17" s="4">
        <v>3.2328929999999998</v>
      </c>
      <c r="C17" s="5">
        <v>3.0643539999999998</v>
      </c>
      <c r="E17" s="1">
        <v>2028</v>
      </c>
      <c r="F17" s="2">
        <v>3.0742519000000001</v>
      </c>
      <c r="G17">
        <v>3.0489620999999998</v>
      </c>
      <c r="I17">
        <v>2028</v>
      </c>
      <c r="J17">
        <v>2.97121919728415</v>
      </c>
      <c r="K17">
        <v>2.958376641978</v>
      </c>
      <c r="L17">
        <v>1</v>
      </c>
      <c r="N17">
        <f t="shared" si="0"/>
        <v>1.0516031558767189</v>
      </c>
      <c r="O17">
        <f t="shared" si="1"/>
        <v>-5.1603155876718931E-2</v>
      </c>
      <c r="P17">
        <f t="shared" si="2"/>
        <v>0.96648527639656001</v>
      </c>
      <c r="Q17">
        <f t="shared" si="3"/>
        <v>3.3514723603439989E-2</v>
      </c>
      <c r="R17">
        <f t="shared" si="4"/>
        <v>0.97028973957334541</v>
      </c>
      <c r="T17">
        <f t="shared" si="5"/>
        <v>0.99678038744970754</v>
      </c>
    </row>
    <row r="18" spans="1:20" x14ac:dyDescent="0.25">
      <c r="A18">
        <v>2030</v>
      </c>
      <c r="B18" s="4">
        <v>2.9769049999999999</v>
      </c>
      <c r="C18" s="5">
        <v>2.8306119999999999</v>
      </c>
      <c r="E18" s="1">
        <v>2030</v>
      </c>
      <c r="F18" s="2">
        <v>2.8569067000000001</v>
      </c>
      <c r="G18">
        <v>2.8188121000000002</v>
      </c>
      <c r="I18">
        <v>2030</v>
      </c>
      <c r="J18">
        <v>2.7259418444026302</v>
      </c>
      <c r="K18">
        <v>2.7058850456713901</v>
      </c>
      <c r="L18">
        <v>1</v>
      </c>
      <c r="N18">
        <f t="shared" si="0"/>
        <v>1.0420028767477776</v>
      </c>
      <c r="O18">
        <f t="shared" si="1"/>
        <v>-4.2002876747777584E-2</v>
      </c>
      <c r="P18">
        <f t="shared" si="2"/>
        <v>0.9541585115126896</v>
      </c>
      <c r="Q18">
        <f t="shared" si="3"/>
        <v>4.58414884873104E-2</v>
      </c>
      <c r="R18">
        <f t="shared" si="4"/>
        <v>0.95993806954049543</v>
      </c>
      <c r="T18">
        <f t="shared" si="5"/>
        <v>0.99079609425117021</v>
      </c>
    </row>
    <row r="19" spans="1:20" x14ac:dyDescent="0.25">
      <c r="A19">
        <v>2032</v>
      </c>
      <c r="B19" s="4">
        <v>2.7413029999999998</v>
      </c>
      <c r="C19" s="5">
        <v>2.608009</v>
      </c>
      <c r="E19" s="1">
        <v>2032</v>
      </c>
      <c r="F19" s="2">
        <v>2.6619871000000002</v>
      </c>
      <c r="G19">
        <v>2.6123718999999999</v>
      </c>
      <c r="I19">
        <v>2032</v>
      </c>
      <c r="J19">
        <v>2.5078676061710801</v>
      </c>
      <c r="K19">
        <v>2.4814112701230999</v>
      </c>
      <c r="L19">
        <v>1</v>
      </c>
      <c r="N19">
        <f t="shared" si="0"/>
        <v>1.0297957491980332</v>
      </c>
      <c r="O19">
        <f t="shared" si="1"/>
        <v>-2.9795749198033183E-2</v>
      </c>
      <c r="P19">
        <f t="shared" si="2"/>
        <v>0.94210359102456953</v>
      </c>
      <c r="Q19">
        <f t="shared" si="3"/>
        <v>5.7896408975430469E-2</v>
      </c>
      <c r="R19">
        <f t="shared" si="4"/>
        <v>0.94986907113918195</v>
      </c>
      <c r="T19">
        <f t="shared" si="5"/>
        <v>0.97972262900898355</v>
      </c>
    </row>
    <row r="20" spans="1:20" x14ac:dyDescent="0.25">
      <c r="A20">
        <v>2034</v>
      </c>
      <c r="B20" s="4">
        <v>2.5340569999999998</v>
      </c>
      <c r="C20" s="5">
        <v>2.4074469999999999</v>
      </c>
      <c r="E20" s="1">
        <v>2034</v>
      </c>
      <c r="F20" s="2">
        <v>2.4949503000000002</v>
      </c>
      <c r="G20">
        <v>2.4359962999999998</v>
      </c>
      <c r="I20">
        <v>2034</v>
      </c>
      <c r="J20">
        <v>2.3243421714245098</v>
      </c>
      <c r="K20">
        <v>2.29255285249597</v>
      </c>
      <c r="L20">
        <v>1</v>
      </c>
      <c r="N20">
        <f t="shared" si="0"/>
        <v>1.0156743402864576</v>
      </c>
      <c r="O20">
        <f t="shared" si="1"/>
        <v>-1.5674340286457644E-2</v>
      </c>
      <c r="P20">
        <f t="shared" si="2"/>
        <v>0.93161862640089854</v>
      </c>
      <c r="Q20">
        <f t="shared" si="3"/>
        <v>6.8381373599101458E-2</v>
      </c>
      <c r="R20">
        <f t="shared" si="4"/>
        <v>0.94111507989399257</v>
      </c>
      <c r="T20">
        <f t="shared" si="5"/>
        <v>0.96492783844231278</v>
      </c>
    </row>
    <row r="21" spans="1:20" x14ac:dyDescent="0.25">
      <c r="A21">
        <v>2036</v>
      </c>
      <c r="B21" s="4">
        <v>2.361996</v>
      </c>
      <c r="C21" s="5">
        <v>2.244745</v>
      </c>
      <c r="E21" s="1">
        <v>2036</v>
      </c>
      <c r="F21" s="2">
        <v>2.3617143999999999</v>
      </c>
      <c r="G21">
        <v>2.2957033999999998</v>
      </c>
      <c r="I21">
        <v>2036</v>
      </c>
      <c r="J21">
        <v>2.18127657481639</v>
      </c>
      <c r="K21">
        <v>2.1453605551377999</v>
      </c>
      <c r="L21">
        <v>1</v>
      </c>
      <c r="N21">
        <f t="shared" si="0"/>
        <v>1.0001192354164417</v>
      </c>
      <c r="O21">
        <f t="shared" si="1"/>
        <v>-1.1923541644165425E-4</v>
      </c>
      <c r="P21">
        <f t="shared" si="2"/>
        <v>0.92359879535662315</v>
      </c>
      <c r="Q21">
        <f t="shared" si="3"/>
        <v>7.6401204643376852E-2</v>
      </c>
      <c r="R21">
        <f t="shared" si="4"/>
        <v>0.93451120695199563</v>
      </c>
      <c r="T21">
        <f t="shared" si="5"/>
        <v>0.95047267357983678</v>
      </c>
    </row>
    <row r="22" spans="1:20" x14ac:dyDescent="0.25">
      <c r="A22">
        <v>2038</v>
      </c>
      <c r="B22" s="4">
        <v>2.2304810000000002</v>
      </c>
      <c r="C22" s="5">
        <v>2.1359460000000001</v>
      </c>
      <c r="E22" s="1">
        <v>2038</v>
      </c>
      <c r="F22" s="2">
        <v>2.2659707</v>
      </c>
      <c r="G22">
        <v>2.1954107</v>
      </c>
      <c r="I22">
        <v>2038</v>
      </c>
      <c r="J22">
        <v>2.0829693920292098</v>
      </c>
      <c r="K22">
        <v>2.04431085830613</v>
      </c>
      <c r="L22">
        <v>1</v>
      </c>
      <c r="N22">
        <f t="shared" si="0"/>
        <v>0.98433797047772953</v>
      </c>
      <c r="O22">
        <f t="shared" si="1"/>
        <v>1.5662029522270471E-2</v>
      </c>
      <c r="P22">
        <f t="shared" si="2"/>
        <v>0.9192393317482922</v>
      </c>
      <c r="Q22">
        <f t="shared" si="3"/>
        <v>8.0760668251707801E-2</v>
      </c>
      <c r="R22">
        <f t="shared" si="4"/>
        <v>0.93117468103172218</v>
      </c>
      <c r="T22">
        <f t="shared" si="5"/>
        <v>0.94261854312591076</v>
      </c>
    </row>
    <row r="23" spans="1:20" x14ac:dyDescent="0.25">
      <c r="A23">
        <v>2040</v>
      </c>
      <c r="B23" s="4">
        <v>2.1435409999999999</v>
      </c>
      <c r="C23" s="5">
        <v>2.0780500000000002</v>
      </c>
      <c r="E23" s="1">
        <v>2040</v>
      </c>
      <c r="F23" s="2">
        <v>2.2096553000000001</v>
      </c>
      <c r="G23">
        <v>2.1374561999999999</v>
      </c>
      <c r="I23">
        <v>2040</v>
      </c>
      <c r="J23">
        <v>2.03196192196698</v>
      </c>
      <c r="K23">
        <v>1.99207481384223</v>
      </c>
      <c r="L23">
        <v>1</v>
      </c>
      <c r="N23">
        <f t="shared" si="0"/>
        <v>0.9700793603418596</v>
      </c>
      <c r="O23">
        <f t="shared" si="1"/>
        <v>2.9920639658140402E-2</v>
      </c>
      <c r="P23">
        <f t="shared" si="2"/>
        <v>0.91958321371074481</v>
      </c>
      <c r="Q23">
        <f t="shared" si="3"/>
        <v>8.0416786289255193E-2</v>
      </c>
      <c r="R23">
        <f t="shared" si="4"/>
        <v>0.93198392268446484</v>
      </c>
      <c r="T23">
        <f t="shared" si="5"/>
        <v>0.94044080087966664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BF25-E6DA-483F-9C3E-9F6AC9DAD99E}">
  <dimension ref="A1:T23"/>
  <sheetViews>
    <sheetView topLeftCell="A13" zoomScale="84" zoomScaleNormal="84" workbookViewId="0">
      <selection activeCell="P60" sqref="P60"/>
    </sheetView>
  </sheetViews>
  <sheetFormatPr defaultRowHeight="15.75" x14ac:dyDescent="0.25"/>
  <cols>
    <col min="1" max="1" width="15" customWidth="1"/>
    <col min="2" max="3" width="15.25" customWidth="1"/>
    <col min="4" max="4" width="6.625" style="6" customWidth="1"/>
    <col min="5" max="5" width="15.5" style="1" customWidth="1"/>
    <col min="6" max="6" width="16.25" style="2" customWidth="1"/>
    <col min="7" max="7" width="16.25" customWidth="1"/>
    <col min="8" max="8" width="6.75" style="6" customWidth="1"/>
    <col min="9" max="9" width="15.5" customWidth="1"/>
    <col min="10" max="10" width="15.375" customWidth="1"/>
    <col min="11" max="11" width="19" customWidth="1"/>
    <col min="12" max="12" width="6.75" style="6" customWidth="1"/>
    <col min="13" max="13" width="12.625" customWidth="1"/>
    <col min="15" max="15" width="12.25" customWidth="1"/>
    <col min="18" max="18" width="14" customWidth="1"/>
    <col min="19" max="19" width="5.75" style="6" customWidth="1"/>
    <col min="20" max="20" width="13.375" customWidth="1"/>
  </cols>
  <sheetData>
    <row r="1" spans="1:20" x14ac:dyDescent="0.25">
      <c r="A1" t="s">
        <v>5</v>
      </c>
      <c r="F1" s="2" t="s">
        <v>6</v>
      </c>
      <c r="G1" t="s">
        <v>12</v>
      </c>
      <c r="I1" t="s">
        <v>7</v>
      </c>
      <c r="J1" t="s">
        <v>13</v>
      </c>
      <c r="K1" t="s">
        <v>14</v>
      </c>
      <c r="M1" t="s">
        <v>8</v>
      </c>
      <c r="N1" t="s">
        <v>9</v>
      </c>
      <c r="O1" t="s">
        <v>10</v>
      </c>
      <c r="P1" t="s">
        <v>9</v>
      </c>
      <c r="R1" t="s">
        <v>15</v>
      </c>
      <c r="T1" t="s">
        <v>8</v>
      </c>
    </row>
    <row r="2" spans="1:20" x14ac:dyDescent="0.25">
      <c r="A2" t="s">
        <v>0</v>
      </c>
      <c r="B2" t="s">
        <v>4</v>
      </c>
      <c r="C2" t="s">
        <v>16</v>
      </c>
      <c r="E2" t="s">
        <v>0</v>
      </c>
      <c r="F2" t="s">
        <v>4</v>
      </c>
      <c r="I2" t="s">
        <v>0</v>
      </c>
      <c r="T2" t="s">
        <v>16</v>
      </c>
    </row>
    <row r="3" spans="1:20" x14ac:dyDescent="0.25">
      <c r="A3">
        <v>2000</v>
      </c>
      <c r="B3" s="5">
        <v>4.4691179999999999</v>
      </c>
      <c r="C3" s="5">
        <v>4.4952719999999999</v>
      </c>
      <c r="E3" s="1">
        <v>2000</v>
      </c>
      <c r="F3" s="2">
        <v>4.4099917</v>
      </c>
      <c r="G3" s="3">
        <v>4.4751586999999997</v>
      </c>
      <c r="H3" s="7"/>
      <c r="I3">
        <v>2000</v>
      </c>
      <c r="J3">
        <v>4.5998311806679704</v>
      </c>
      <c r="K3">
        <v>4.6347843708432004</v>
      </c>
      <c r="M3">
        <f>B3/F3</f>
        <v>1.0134073494968256</v>
      </c>
      <c r="N3">
        <f>1-M3</f>
        <v>-1.3407349496825649E-2</v>
      </c>
      <c r="O3">
        <f>J3/F3</f>
        <v>1.0430475823045133</v>
      </c>
      <c r="P3">
        <f>1-O3</f>
        <v>-4.3047582304513332E-2</v>
      </c>
      <c r="Q3">
        <v>1</v>
      </c>
      <c r="R3">
        <f>K3/G3</f>
        <v>1.0356692760065025</v>
      </c>
      <c r="T3">
        <f>C3/F3</f>
        <v>1.0193379729036678</v>
      </c>
    </row>
    <row r="4" spans="1:20" x14ac:dyDescent="0.25">
      <c r="A4">
        <v>2002</v>
      </c>
      <c r="B4" s="5">
        <v>4.6713329999999997</v>
      </c>
      <c r="C4" s="5">
        <v>4.6775260000000003</v>
      </c>
      <c r="E4" s="1">
        <v>2002</v>
      </c>
      <c r="F4" s="2">
        <v>4.5660819999999998</v>
      </c>
      <c r="G4" s="3">
        <v>4.6394019000000002</v>
      </c>
      <c r="H4" s="7"/>
      <c r="I4">
        <v>2002</v>
      </c>
      <c r="J4">
        <v>4.76935048944729</v>
      </c>
      <c r="K4">
        <v>4.8092387274324997</v>
      </c>
      <c r="M4">
        <f t="shared" ref="M4:M23" si="0">B4/F4</f>
        <v>1.0230506153853567</v>
      </c>
      <c r="N4">
        <f t="shared" ref="N4:N23" si="1">1-M4</f>
        <v>-2.3050615385356688E-2</v>
      </c>
      <c r="O4">
        <f t="shared" ref="O4:O23" si="2">J4/F4</f>
        <v>1.0445170475360035</v>
      </c>
      <c r="P4">
        <f t="shared" ref="P4:P23" si="3">1-O4</f>
        <v>-4.4517047536003496E-2</v>
      </c>
      <c r="Q4">
        <v>1</v>
      </c>
      <c r="R4">
        <f t="shared" ref="R4:R23" si="4">K4/G4</f>
        <v>1.0366074832690177</v>
      </c>
      <c r="T4">
        <f t="shared" ref="T4:T23" si="5">C4/F4</f>
        <v>1.0244069204188626</v>
      </c>
    </row>
    <row r="5" spans="1:20" x14ac:dyDescent="0.25">
      <c r="A5">
        <v>2004</v>
      </c>
      <c r="B5" s="5">
        <v>4.8284849999999997</v>
      </c>
      <c r="C5" s="5">
        <v>4.8226719999999998</v>
      </c>
      <c r="E5" s="1">
        <v>2004</v>
      </c>
      <c r="F5" s="2">
        <v>4.6796074000000001</v>
      </c>
      <c r="G5" s="3">
        <v>4.7588944</v>
      </c>
      <c r="H5" s="7"/>
      <c r="I5">
        <v>2004</v>
      </c>
      <c r="J5">
        <v>4.89019337464961</v>
      </c>
      <c r="K5">
        <v>4.9337486098740104</v>
      </c>
      <c r="M5">
        <f t="shared" si="0"/>
        <v>1.0318141218427852</v>
      </c>
      <c r="N5">
        <f t="shared" si="1"/>
        <v>-3.1814121842785203E-2</v>
      </c>
      <c r="O5">
        <f t="shared" si="2"/>
        <v>1.0450007781955404</v>
      </c>
      <c r="P5">
        <f t="shared" si="3"/>
        <v>-4.5000778195540381E-2</v>
      </c>
      <c r="Q5">
        <v>1</v>
      </c>
      <c r="R5">
        <f t="shared" si="4"/>
        <v>1.0367426118709444</v>
      </c>
      <c r="T5">
        <f t="shared" si="5"/>
        <v>1.0305719236190625</v>
      </c>
    </row>
    <row r="6" spans="1:20" x14ac:dyDescent="0.25">
      <c r="A6">
        <v>2006</v>
      </c>
      <c r="B6" s="5">
        <v>4.9360400000000002</v>
      </c>
      <c r="C6" s="5">
        <v>4.9110170000000002</v>
      </c>
      <c r="E6" s="1">
        <v>2006</v>
      </c>
      <c r="F6" s="2">
        <v>4.7483152999999998</v>
      </c>
      <c r="G6" s="3">
        <v>4.8308492000000003</v>
      </c>
      <c r="H6" s="7"/>
      <c r="I6">
        <v>2006</v>
      </c>
      <c r="J6">
        <v>4.9591219607251498</v>
      </c>
      <c r="K6">
        <v>5.0046263051040496</v>
      </c>
      <c r="M6">
        <f t="shared" si="0"/>
        <v>1.0395350115018689</v>
      </c>
      <c r="N6">
        <f t="shared" si="1"/>
        <v>-3.9535011501868889E-2</v>
      </c>
      <c r="O6">
        <f t="shared" si="2"/>
        <v>1.0443960957531928</v>
      </c>
      <c r="P6">
        <f t="shared" si="3"/>
        <v>-4.439609575319281E-2</v>
      </c>
      <c r="Q6">
        <v>1</v>
      </c>
      <c r="R6">
        <f t="shared" si="4"/>
        <v>1.0359723721253913</v>
      </c>
      <c r="T6">
        <f t="shared" si="5"/>
        <v>1.0342651424179856</v>
      </c>
    </row>
    <row r="7" spans="1:20" x14ac:dyDescent="0.25">
      <c r="A7">
        <v>2008</v>
      </c>
      <c r="B7" s="5">
        <v>4.9910759999999996</v>
      </c>
      <c r="C7" s="5">
        <v>4.9417809999999998</v>
      </c>
      <c r="E7" s="1">
        <v>2008</v>
      </c>
      <c r="F7" s="2">
        <v>4.7695761000000001</v>
      </c>
      <c r="G7" s="3">
        <v>4.8526296999999996</v>
      </c>
      <c r="H7" s="7"/>
      <c r="I7">
        <v>2008</v>
      </c>
      <c r="J7">
        <v>4.9726101609656199</v>
      </c>
      <c r="K7">
        <v>5.0184984519268303</v>
      </c>
      <c r="M7">
        <f t="shared" si="0"/>
        <v>1.0464401647769075</v>
      </c>
      <c r="N7">
        <f t="shared" si="1"/>
        <v>-4.6440164776907489E-2</v>
      </c>
      <c r="O7">
        <f t="shared" si="2"/>
        <v>1.0425685756362331</v>
      </c>
      <c r="P7">
        <f t="shared" si="3"/>
        <v>-4.2568575636233064E-2</v>
      </c>
      <c r="Q7">
        <v>1</v>
      </c>
      <c r="R7">
        <f t="shared" si="4"/>
        <v>1.0341812094021579</v>
      </c>
      <c r="T7">
        <f t="shared" si="5"/>
        <v>1.036104864748882</v>
      </c>
    </row>
    <row r="8" spans="1:20" x14ac:dyDescent="0.25">
      <c r="A8">
        <v>2010</v>
      </c>
      <c r="B8" s="5">
        <v>4.9924840000000001</v>
      </c>
      <c r="C8" s="5">
        <v>4.9219629999999999</v>
      </c>
      <c r="E8" s="1">
        <v>2010</v>
      </c>
      <c r="F8" s="2">
        <v>4.7434335000000001</v>
      </c>
      <c r="G8" s="3">
        <v>4.8242602000000003</v>
      </c>
      <c r="H8" s="7"/>
      <c r="I8">
        <v>2010</v>
      </c>
      <c r="J8">
        <v>4.9314506286707802</v>
      </c>
      <c r="K8">
        <v>4.9761674094615103</v>
      </c>
      <c r="M8">
        <f t="shared" si="0"/>
        <v>1.0525042672148772</v>
      </c>
      <c r="N8">
        <f t="shared" si="1"/>
        <v>-5.250426721487722E-2</v>
      </c>
      <c r="O8">
        <f t="shared" si="2"/>
        <v>1.0396373489099784</v>
      </c>
      <c r="P8">
        <f t="shared" si="3"/>
        <v>-3.9637348909978387E-2</v>
      </c>
      <c r="Q8">
        <v>1</v>
      </c>
      <c r="R8">
        <f t="shared" si="4"/>
        <v>1.0314881874450947</v>
      </c>
      <c r="T8">
        <f t="shared" si="5"/>
        <v>1.0376371883362547</v>
      </c>
    </row>
    <row r="9" spans="1:20" x14ac:dyDescent="0.25">
      <c r="A9">
        <v>2012</v>
      </c>
      <c r="B9" s="5">
        <v>4.940931</v>
      </c>
      <c r="C9" s="5">
        <v>4.8538170000000003</v>
      </c>
      <c r="E9" s="1">
        <v>2012</v>
      </c>
      <c r="F9" s="2">
        <v>4.6718859999999998</v>
      </c>
      <c r="G9" s="3">
        <v>4.7474103000000003</v>
      </c>
      <c r="H9" s="7"/>
      <c r="I9">
        <v>2012</v>
      </c>
      <c r="J9">
        <v>4.8387386188926502</v>
      </c>
      <c r="K9">
        <v>4.8808536996887799</v>
      </c>
      <c r="M9">
        <f t="shared" si="0"/>
        <v>1.0575880918327203</v>
      </c>
      <c r="N9">
        <f t="shared" si="1"/>
        <v>-5.758809183272029E-2</v>
      </c>
      <c r="O9">
        <f t="shared" si="2"/>
        <v>1.0357141888506378</v>
      </c>
      <c r="P9">
        <f t="shared" si="3"/>
        <v>-3.5714188850637818E-2</v>
      </c>
      <c r="Q9">
        <v>1</v>
      </c>
      <c r="R9">
        <f t="shared" si="4"/>
        <v>1.0281086721509576</v>
      </c>
      <c r="T9">
        <f t="shared" si="5"/>
        <v>1.0389416608196349</v>
      </c>
    </row>
    <row r="10" spans="1:20" x14ac:dyDescent="0.25">
      <c r="A10">
        <v>2014</v>
      </c>
      <c r="B10" s="5">
        <v>4.838997</v>
      </c>
      <c r="C10" s="5">
        <v>4.7269180000000004</v>
      </c>
      <c r="E10" s="1">
        <v>2014</v>
      </c>
      <c r="F10" s="2">
        <v>4.5575847999999999</v>
      </c>
      <c r="G10" s="3">
        <v>4.6254071999999997</v>
      </c>
      <c r="H10" s="7"/>
      <c r="I10">
        <v>2014</v>
      </c>
      <c r="J10">
        <v>4.6988115910256196</v>
      </c>
      <c r="K10">
        <v>4.7367147901930204</v>
      </c>
      <c r="M10">
        <f t="shared" si="0"/>
        <v>1.0617459054190281</v>
      </c>
      <c r="N10">
        <f t="shared" si="1"/>
        <v>-6.1745905419028135E-2</v>
      </c>
      <c r="O10">
        <f t="shared" si="2"/>
        <v>1.0309871998488365</v>
      </c>
      <c r="P10">
        <f t="shared" si="3"/>
        <v>-3.0987199848836466E-2</v>
      </c>
      <c r="Q10">
        <v>1</v>
      </c>
      <c r="R10">
        <f t="shared" si="4"/>
        <v>1.0240643872809774</v>
      </c>
      <c r="T10">
        <f t="shared" si="5"/>
        <v>1.0371541523484107</v>
      </c>
    </row>
    <row r="11" spans="1:20" x14ac:dyDescent="0.25">
      <c r="A11">
        <v>2016</v>
      </c>
      <c r="B11" s="5">
        <v>4.6908500000000002</v>
      </c>
      <c r="C11" s="5">
        <v>4.5474459999999999</v>
      </c>
      <c r="E11" s="1">
        <v>2016</v>
      </c>
      <c r="F11" s="2">
        <v>4.4054536999999998</v>
      </c>
      <c r="G11" s="3">
        <v>4.4633120999999996</v>
      </c>
      <c r="H11" s="7"/>
      <c r="I11">
        <v>2016</v>
      </c>
      <c r="J11">
        <v>4.5149324306641203</v>
      </c>
      <c r="K11">
        <v>4.5476024250101501</v>
      </c>
      <c r="M11">
        <f t="shared" si="0"/>
        <v>1.0647824990193406</v>
      </c>
      <c r="N11">
        <f t="shared" si="1"/>
        <v>-6.4782499019340634E-2</v>
      </c>
      <c r="O11">
        <f t="shared" si="2"/>
        <v>1.0248507277840919</v>
      </c>
      <c r="P11">
        <f t="shared" si="3"/>
        <v>-2.4850727784091919E-2</v>
      </c>
      <c r="Q11">
        <v>1</v>
      </c>
      <c r="R11">
        <f t="shared" si="4"/>
        <v>1.0188851514574011</v>
      </c>
      <c r="T11">
        <f t="shared" si="5"/>
        <v>1.0322310276464828</v>
      </c>
    </row>
    <row r="12" spans="1:20" x14ac:dyDescent="0.25">
      <c r="A12">
        <v>2018</v>
      </c>
      <c r="B12" s="5">
        <v>4.5023479999999996</v>
      </c>
      <c r="C12" s="5">
        <v>4.3429229999999999</v>
      </c>
      <c r="E12" s="1">
        <v>2018</v>
      </c>
      <c r="F12" s="2">
        <v>4.2206501999999997</v>
      </c>
      <c r="G12" s="3">
        <v>4.2664676000000004</v>
      </c>
      <c r="H12" s="7"/>
      <c r="I12">
        <v>2018</v>
      </c>
      <c r="J12">
        <v>4.2950233052230802</v>
      </c>
      <c r="K12">
        <v>4.3212109684427897</v>
      </c>
      <c r="M12">
        <f t="shared" si="0"/>
        <v>1.0667427497308353</v>
      </c>
      <c r="N12">
        <f t="shared" si="1"/>
        <v>-6.6742749730835271E-2</v>
      </c>
      <c r="O12">
        <f t="shared" si="2"/>
        <v>1.0176212435759495</v>
      </c>
      <c r="P12">
        <f t="shared" si="3"/>
        <v>-1.7621243575949519E-2</v>
      </c>
      <c r="Q12">
        <v>1</v>
      </c>
      <c r="R12">
        <f t="shared" si="4"/>
        <v>1.0128310756286512</v>
      </c>
      <c r="T12">
        <f t="shared" si="5"/>
        <v>1.0289701335590427</v>
      </c>
    </row>
    <row r="13" spans="1:20" x14ac:dyDescent="0.25">
      <c r="A13">
        <v>2020</v>
      </c>
      <c r="B13" s="5">
        <v>4.2806470000000001</v>
      </c>
      <c r="C13" s="5">
        <v>4.1257250000000001</v>
      </c>
      <c r="E13" s="1">
        <v>2020</v>
      </c>
      <c r="F13" s="2">
        <v>4.0107470000000003</v>
      </c>
      <c r="G13" s="3">
        <v>4.0432066999999998</v>
      </c>
      <c r="H13" s="7"/>
      <c r="I13">
        <v>2020</v>
      </c>
      <c r="J13">
        <v>4.0483640185981402</v>
      </c>
      <c r="K13">
        <v>4.0671641410756996</v>
      </c>
      <c r="M13">
        <f t="shared" si="0"/>
        <v>1.0672941973153629</v>
      </c>
      <c r="N13">
        <f t="shared" si="1"/>
        <v>-6.7294197315362903E-2</v>
      </c>
      <c r="O13">
        <f t="shared" si="2"/>
        <v>1.0093790554722448</v>
      </c>
      <c r="P13">
        <f t="shared" si="3"/>
        <v>-9.3790554722448238E-3</v>
      </c>
      <c r="Q13">
        <v>1</v>
      </c>
      <c r="R13">
        <f t="shared" si="4"/>
        <v>1.0059253564938195</v>
      </c>
      <c r="T13">
        <f t="shared" si="5"/>
        <v>1.028667477654412</v>
      </c>
    </row>
    <row r="14" spans="1:20" x14ac:dyDescent="0.25">
      <c r="A14">
        <v>2022</v>
      </c>
      <c r="B14" s="5">
        <v>4.0339</v>
      </c>
      <c r="C14" s="5">
        <v>3.878819</v>
      </c>
      <c r="E14" s="1">
        <v>2022</v>
      </c>
      <c r="F14" s="2">
        <v>3.7825403</v>
      </c>
      <c r="G14" s="3">
        <v>3.8009651</v>
      </c>
      <c r="H14" s="7"/>
      <c r="I14">
        <v>2022</v>
      </c>
      <c r="J14">
        <v>3.7834912610305498</v>
      </c>
      <c r="K14">
        <v>3.7947054707533399</v>
      </c>
      <c r="M14">
        <f t="shared" si="0"/>
        <v>1.0664526165127706</v>
      </c>
      <c r="N14">
        <f t="shared" si="1"/>
        <v>-6.6452616512770568E-2</v>
      </c>
      <c r="O14">
        <f t="shared" si="2"/>
        <v>1.0002514080366969</v>
      </c>
      <c r="P14">
        <f t="shared" si="3"/>
        <v>-2.5140803669687628E-4</v>
      </c>
      <c r="Q14">
        <v>1</v>
      </c>
      <c r="R14">
        <f t="shared" si="4"/>
        <v>0.9983531474028372</v>
      </c>
      <c r="T14">
        <f t="shared" si="5"/>
        <v>1.025453449894506</v>
      </c>
    </row>
    <row r="15" spans="1:20" x14ac:dyDescent="0.25">
      <c r="A15">
        <v>2024</v>
      </c>
      <c r="B15" s="5">
        <v>3.770788</v>
      </c>
      <c r="C15" s="5">
        <v>3.603297</v>
      </c>
      <c r="E15" s="1">
        <v>2024</v>
      </c>
      <c r="F15" s="2">
        <v>3.5451576999999999</v>
      </c>
      <c r="G15" s="3">
        <v>3.5487339000000002</v>
      </c>
      <c r="H15" s="7"/>
      <c r="I15">
        <v>2024</v>
      </c>
      <c r="J15">
        <v>3.50894091830583</v>
      </c>
      <c r="K15">
        <v>3.51222846114712</v>
      </c>
      <c r="M15">
        <f t="shared" si="0"/>
        <v>1.0636446440732383</v>
      </c>
      <c r="N15">
        <f t="shared" si="1"/>
        <v>-6.3644644073238332E-2</v>
      </c>
      <c r="O15">
        <f t="shared" si="2"/>
        <v>0.9897841549632137</v>
      </c>
      <c r="P15">
        <f t="shared" si="3"/>
        <v>1.0215845036786297E-2</v>
      </c>
      <c r="Q15">
        <v>1</v>
      </c>
      <c r="R15">
        <f t="shared" si="4"/>
        <v>0.98971310898997522</v>
      </c>
      <c r="T15">
        <f t="shared" si="5"/>
        <v>1.0163996371726991</v>
      </c>
    </row>
    <row r="16" spans="1:20" x14ac:dyDescent="0.25">
      <c r="A16">
        <v>2026</v>
      </c>
      <c r="B16" s="5">
        <v>3.5005410000000001</v>
      </c>
      <c r="C16" s="5">
        <v>3.3212920000000001</v>
      </c>
      <c r="E16" s="1">
        <v>2026</v>
      </c>
      <c r="F16" s="2">
        <v>3.3064542000000001</v>
      </c>
      <c r="G16" s="3">
        <v>3.2953912999999999</v>
      </c>
      <c r="H16" s="7"/>
      <c r="I16">
        <v>2026</v>
      </c>
      <c r="J16">
        <v>3.23518675531643</v>
      </c>
      <c r="K16">
        <v>3.2304008334626002</v>
      </c>
      <c r="M16">
        <f t="shared" si="0"/>
        <v>1.0586993765103414</v>
      </c>
      <c r="N16">
        <f t="shared" si="1"/>
        <v>-5.8699376510341406E-2</v>
      </c>
      <c r="O16">
        <f t="shared" si="2"/>
        <v>0.97844596042383702</v>
      </c>
      <c r="P16">
        <f t="shared" si="3"/>
        <v>2.1554039576162976E-2</v>
      </c>
      <c r="Q16">
        <v>1</v>
      </c>
      <c r="R16">
        <f t="shared" si="4"/>
        <v>0.98027837648979665</v>
      </c>
      <c r="T16">
        <f t="shared" si="5"/>
        <v>1.0044875262448818</v>
      </c>
    </row>
    <row r="17" spans="1:20" x14ac:dyDescent="0.25">
      <c r="A17">
        <v>2028</v>
      </c>
      <c r="B17" s="5">
        <v>3.2328570000000001</v>
      </c>
      <c r="C17" s="5">
        <v>3.0628579999999999</v>
      </c>
      <c r="E17" s="1">
        <v>2028</v>
      </c>
      <c r="F17" s="2">
        <v>3.0745686999999999</v>
      </c>
      <c r="G17" s="3">
        <v>3.0493979000000002</v>
      </c>
      <c r="H17" s="7"/>
      <c r="I17">
        <v>2028</v>
      </c>
      <c r="J17">
        <v>2.9713635316888301</v>
      </c>
      <c r="K17">
        <v>2.9589114080220198</v>
      </c>
      <c r="M17">
        <f t="shared" si="0"/>
        <v>1.0514830909454065</v>
      </c>
      <c r="N17">
        <f t="shared" si="1"/>
        <v>-5.1483090945406484E-2</v>
      </c>
      <c r="O17">
        <f t="shared" si="2"/>
        <v>0.96643263547463754</v>
      </c>
      <c r="P17">
        <f t="shared" si="3"/>
        <v>3.3567364525362464E-2</v>
      </c>
      <c r="Q17">
        <v>1</v>
      </c>
      <c r="R17">
        <f t="shared" si="4"/>
        <v>0.97032643985949474</v>
      </c>
      <c r="T17">
        <f t="shared" si="5"/>
        <v>0.99619110804061717</v>
      </c>
    </row>
    <row r="18" spans="1:20" x14ac:dyDescent="0.25">
      <c r="A18">
        <v>2030</v>
      </c>
      <c r="B18" s="5">
        <v>2.9769369999999999</v>
      </c>
      <c r="C18" s="5">
        <v>2.831118</v>
      </c>
      <c r="E18" s="1">
        <v>2030</v>
      </c>
      <c r="F18" s="2">
        <v>2.8574896000000001</v>
      </c>
      <c r="G18" s="3">
        <v>2.819375</v>
      </c>
      <c r="H18" s="7"/>
      <c r="I18">
        <v>2030</v>
      </c>
      <c r="J18">
        <v>2.72619603529317</v>
      </c>
      <c r="K18">
        <v>2.7066135394520199</v>
      </c>
      <c r="M18">
        <f t="shared" si="0"/>
        <v>1.0418015169679007</v>
      </c>
      <c r="N18">
        <f t="shared" si="1"/>
        <v>-4.1801516967900687E-2</v>
      </c>
      <c r="O18">
        <f t="shared" si="2"/>
        <v>0.95405282850134254</v>
      </c>
      <c r="P18">
        <f t="shared" si="3"/>
        <v>4.5947171498657458E-2</v>
      </c>
      <c r="Q18">
        <v>1</v>
      </c>
      <c r="R18">
        <f t="shared" si="4"/>
        <v>0.96000480228845753</v>
      </c>
      <c r="T18">
        <f t="shared" si="5"/>
        <v>0.99077106002415549</v>
      </c>
    </row>
    <row r="19" spans="1:20" x14ac:dyDescent="0.25">
      <c r="A19">
        <v>2032</v>
      </c>
      <c r="B19" s="5">
        <v>2.741298</v>
      </c>
      <c r="C19" s="5">
        <v>2.607799</v>
      </c>
      <c r="E19" s="1">
        <v>2032</v>
      </c>
      <c r="F19" s="2">
        <v>2.6626897</v>
      </c>
      <c r="G19" s="3">
        <v>2.6131122000000002</v>
      </c>
      <c r="H19" s="7"/>
      <c r="I19">
        <v>2032</v>
      </c>
      <c r="J19">
        <v>2.5082246895013398</v>
      </c>
      <c r="K19">
        <v>2.4822697820789799</v>
      </c>
      <c r="M19">
        <f t="shared" si="0"/>
        <v>1.0295221407135799</v>
      </c>
      <c r="N19">
        <f t="shared" si="1"/>
        <v>-2.9522140713579947E-2</v>
      </c>
      <c r="O19">
        <f t="shared" si="2"/>
        <v>0.94198910579078732</v>
      </c>
      <c r="P19">
        <f t="shared" si="3"/>
        <v>5.8010894209212682E-2</v>
      </c>
      <c r="Q19">
        <v>1</v>
      </c>
      <c r="R19">
        <f t="shared" si="4"/>
        <v>0.94992851132797884</v>
      </c>
      <c r="T19">
        <f t="shared" si="5"/>
        <v>0.97938524342509758</v>
      </c>
    </row>
    <row r="20" spans="1:20" x14ac:dyDescent="0.25">
      <c r="A20">
        <v>2034</v>
      </c>
      <c r="B20" s="5">
        <v>2.5340250000000002</v>
      </c>
      <c r="C20" s="5">
        <v>2.4049330000000002</v>
      </c>
      <c r="E20" s="1">
        <v>2034</v>
      </c>
      <c r="F20" s="2">
        <v>2.4956255000000001</v>
      </c>
      <c r="G20" s="3">
        <v>2.4367695</v>
      </c>
      <c r="H20" s="7"/>
      <c r="I20">
        <v>2034</v>
      </c>
      <c r="J20">
        <v>2.3248134163593202</v>
      </c>
      <c r="K20">
        <v>2.2934853983121299</v>
      </c>
      <c r="M20">
        <f t="shared" si="0"/>
        <v>1.0153867236891112</v>
      </c>
      <c r="N20">
        <f t="shared" si="1"/>
        <v>-1.5386723689111204E-2</v>
      </c>
      <c r="O20">
        <f t="shared" si="2"/>
        <v>0.93155540218647392</v>
      </c>
      <c r="P20">
        <f t="shared" si="3"/>
        <v>6.8444597813526076E-2</v>
      </c>
      <c r="Q20">
        <v>1</v>
      </c>
      <c r="R20">
        <f t="shared" si="4"/>
        <v>0.94119915663427745</v>
      </c>
      <c r="T20">
        <f t="shared" si="5"/>
        <v>0.96365941123778398</v>
      </c>
    </row>
    <row r="21" spans="1:20" x14ac:dyDescent="0.25">
      <c r="A21">
        <v>2036</v>
      </c>
      <c r="B21" s="5">
        <v>2.3620040000000002</v>
      </c>
      <c r="C21" s="5">
        <v>2.243814</v>
      </c>
      <c r="E21" s="1">
        <v>2036</v>
      </c>
      <c r="F21" s="2">
        <v>2.3626029000000002</v>
      </c>
      <c r="G21" s="3">
        <v>2.2966275</v>
      </c>
      <c r="H21" s="7"/>
      <c r="I21">
        <v>2036</v>
      </c>
      <c r="J21">
        <v>2.1818200771345402</v>
      </c>
      <c r="K21">
        <v>2.1463579489976898</v>
      </c>
      <c r="M21">
        <f t="shared" si="0"/>
        <v>0.99974650839546508</v>
      </c>
      <c r="N21">
        <f t="shared" si="1"/>
        <v>2.534916045349167E-4</v>
      </c>
      <c r="O21">
        <f t="shared" si="2"/>
        <v>0.92348150302132448</v>
      </c>
      <c r="P21">
        <f t="shared" si="3"/>
        <v>7.6518496978675521E-2</v>
      </c>
      <c r="Q21">
        <v>1</v>
      </c>
      <c r="R21">
        <f t="shared" si="4"/>
        <v>0.93456947153932879</v>
      </c>
      <c r="T21">
        <f t="shared" si="5"/>
        <v>0.94972117404918099</v>
      </c>
    </row>
    <row r="22" spans="1:20" x14ac:dyDescent="0.25">
      <c r="A22">
        <v>2038</v>
      </c>
      <c r="B22" s="5">
        <v>2.23048</v>
      </c>
      <c r="C22" s="5">
        <v>2.1376740000000001</v>
      </c>
      <c r="E22" s="1">
        <v>2038</v>
      </c>
      <c r="F22" s="2">
        <v>2.2668910000000002</v>
      </c>
      <c r="G22" s="3">
        <v>2.1963596000000001</v>
      </c>
      <c r="H22" s="7"/>
      <c r="I22">
        <v>2038</v>
      </c>
      <c r="J22">
        <v>2.0835321646809701</v>
      </c>
      <c r="K22">
        <v>2.0453691893868098</v>
      </c>
      <c r="M22">
        <f t="shared" si="0"/>
        <v>0.98393791320359025</v>
      </c>
      <c r="N22">
        <f t="shared" si="1"/>
        <v>1.6062086796409747E-2</v>
      </c>
      <c r="O22">
        <f t="shared" si="2"/>
        <v>0.91911440147804635</v>
      </c>
      <c r="P22">
        <f t="shared" si="3"/>
        <v>8.088559852195365E-2</v>
      </c>
      <c r="Q22">
        <v>1</v>
      </c>
      <c r="R22">
        <f t="shared" si="4"/>
        <v>0.93125423969135546</v>
      </c>
      <c r="T22">
        <f t="shared" si="5"/>
        <v>0.94299814150746541</v>
      </c>
    </row>
    <row r="23" spans="1:20" x14ac:dyDescent="0.25">
      <c r="A23">
        <v>2040</v>
      </c>
      <c r="B23" s="5">
        <v>2.143532</v>
      </c>
      <c r="C23" s="5">
        <v>2.0812089999999999</v>
      </c>
      <c r="E23" s="1">
        <v>2040</v>
      </c>
      <c r="F23" s="2">
        <v>2.2105882000000001</v>
      </c>
      <c r="G23" s="3">
        <v>2.1384020000000001</v>
      </c>
      <c r="H23" s="7"/>
      <c r="I23">
        <v>2040</v>
      </c>
      <c r="J23">
        <v>2.03249898194065</v>
      </c>
      <c r="K23">
        <v>1.9931479443984601</v>
      </c>
      <c r="M23">
        <f t="shared" si="0"/>
        <v>0.96966590159125965</v>
      </c>
      <c r="N23">
        <f t="shared" si="1"/>
        <v>3.0334098408740351E-2</v>
      </c>
      <c r="O23">
        <f t="shared" si="2"/>
        <v>0.91943808527551618</v>
      </c>
      <c r="P23">
        <f t="shared" si="3"/>
        <v>8.0561914724483819E-2</v>
      </c>
      <c r="Q23">
        <v>1</v>
      </c>
      <c r="R23">
        <f t="shared" si="4"/>
        <v>0.93207355043554019</v>
      </c>
      <c r="T23">
        <f t="shared" si="5"/>
        <v>0.94147295276433651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F02B-1CDD-4487-8B05-99B281EF6126}">
  <dimension ref="A1:AE23"/>
  <sheetViews>
    <sheetView tabSelected="1" workbookViewId="0">
      <selection activeCell="N49" sqref="N49"/>
    </sheetView>
  </sheetViews>
  <sheetFormatPr defaultRowHeight="15.75" x14ac:dyDescent="0.25"/>
  <cols>
    <col min="1" max="1" width="14.5" customWidth="1"/>
    <col min="5" max="5" width="15" customWidth="1"/>
    <col min="7" max="7" width="14.375" style="1" customWidth="1"/>
    <col min="8" max="9" width="15.125" style="2" customWidth="1"/>
    <col min="11" max="12" width="15" customWidth="1"/>
    <col min="18" max="18" width="15.125" customWidth="1"/>
    <col min="29" max="29" width="12.75" customWidth="1"/>
    <col min="30" max="31" width="17.125" customWidth="1"/>
  </cols>
  <sheetData>
    <row r="1" spans="1:31" x14ac:dyDescent="0.25">
      <c r="B1" t="s">
        <v>5</v>
      </c>
      <c r="E1" t="s">
        <v>17</v>
      </c>
      <c r="H1" s="2" t="s">
        <v>6</v>
      </c>
      <c r="I1" s="2" t="s">
        <v>18</v>
      </c>
      <c r="L1" t="s">
        <v>7</v>
      </c>
      <c r="N1" t="s">
        <v>18</v>
      </c>
      <c r="P1" t="s">
        <v>8</v>
      </c>
      <c r="Q1" t="s">
        <v>9</v>
      </c>
      <c r="R1" t="s">
        <v>19</v>
      </c>
      <c r="AD1" t="s">
        <v>11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4</v>
      </c>
      <c r="I2"/>
      <c r="K2" t="s">
        <v>0</v>
      </c>
      <c r="L2" t="s">
        <v>4</v>
      </c>
    </row>
    <row r="3" spans="1:31" x14ac:dyDescent="0.25">
      <c r="A3">
        <v>2000</v>
      </c>
      <c r="B3">
        <v>369.09036800000001</v>
      </c>
      <c r="C3">
        <v>0</v>
      </c>
      <c r="D3">
        <f t="shared" ref="D3:D23" si="0">B3*4*PI()/(0.0064886478302)</f>
        <v>714806.3010741719</v>
      </c>
      <c r="E3">
        <f>D3/(4000*PI())/(4*PI())</f>
        <v>4.5265637812397728</v>
      </c>
      <c r="G3" s="1">
        <v>2000</v>
      </c>
      <c r="H3" s="2">
        <v>4.4393425000000004</v>
      </c>
      <c r="I3" s="3">
        <v>4.4751586999999997</v>
      </c>
      <c r="K3">
        <v>2000</v>
      </c>
      <c r="L3">
        <v>4.4376320638188904</v>
      </c>
      <c r="M3">
        <v>4.4377367560916801</v>
      </c>
      <c r="N3">
        <v>4.4746077599999996</v>
      </c>
      <c r="P3">
        <f>E3/I3</f>
        <v>1.0114867616292074</v>
      </c>
      <c r="Q3">
        <f>1-P3</f>
        <v>-1.1486761629207365E-2</v>
      </c>
      <c r="R3">
        <f>N3/I3</f>
        <v>0.99987688928216112</v>
      </c>
      <c r="S3">
        <f>1/R3</f>
        <v>1.0001231258759538</v>
      </c>
      <c r="T3">
        <v>1</v>
      </c>
      <c r="AC3">
        <v>2000</v>
      </c>
      <c r="AD3">
        <v>4.3099983116458898</v>
      </c>
      <c r="AE3">
        <f>AD3/H3</f>
        <v>0.97086411144125273</v>
      </c>
    </row>
    <row r="4" spans="1:31" x14ac:dyDescent="0.25">
      <c r="A4">
        <v>2002</v>
      </c>
      <c r="B4">
        <v>383.95766200000003</v>
      </c>
      <c r="C4">
        <v>0</v>
      </c>
      <c r="D4">
        <f t="shared" si="0"/>
        <v>743599.34568465117</v>
      </c>
      <c r="E4">
        <f t="shared" ref="E4:E23" si="1">D4/(4000*PI())/(4*PI())</f>
        <v>4.7088978662772973</v>
      </c>
      <c r="G4" s="1">
        <v>2002</v>
      </c>
      <c r="H4" s="2">
        <v>4.5989570999999998</v>
      </c>
      <c r="I4" s="3">
        <v>4.6394019000000002</v>
      </c>
      <c r="K4">
        <v>2002</v>
      </c>
      <c r="L4">
        <v>4.5973096026830902</v>
      </c>
      <c r="M4">
        <v>4.5974416931766298</v>
      </c>
      <c r="N4">
        <v>4.6387321699999999</v>
      </c>
      <c r="P4">
        <f t="shared" ref="P4:P23" si="2">E4/I4</f>
        <v>1.0149795098108005</v>
      </c>
      <c r="Q4">
        <f t="shared" ref="Q4:Q23" si="3">1-P4</f>
        <v>-1.497950981080054E-2</v>
      </c>
      <c r="R4">
        <f t="shared" ref="R4:R23" si="4">N4/I4</f>
        <v>0.99985564303019314</v>
      </c>
      <c r="S4">
        <f t="shared" ref="S4:S23" si="5">1/R4</f>
        <v>1.0001443778117503</v>
      </c>
      <c r="T4">
        <v>1</v>
      </c>
      <c r="AC4">
        <v>2002</v>
      </c>
      <c r="AD4">
        <v>4.4984367177355598</v>
      </c>
      <c r="AE4">
        <f t="shared" ref="AE4:AE23" si="6">AD4/H4</f>
        <v>0.9781427875758093</v>
      </c>
    </row>
    <row r="5" spans="1:31" x14ac:dyDescent="0.25">
      <c r="A5">
        <v>2004</v>
      </c>
      <c r="B5">
        <v>395.04862600000001</v>
      </c>
      <c r="C5">
        <v>0</v>
      </c>
      <c r="D5">
        <f t="shared" si="0"/>
        <v>765078.88467979175</v>
      </c>
      <c r="E5">
        <f t="shared" si="1"/>
        <v>4.8449186359697594</v>
      </c>
      <c r="G5" s="1">
        <v>2004</v>
      </c>
      <c r="H5" s="2">
        <v>4.7154641000000002</v>
      </c>
      <c r="I5" s="3">
        <v>4.7588944</v>
      </c>
      <c r="K5">
        <v>2004</v>
      </c>
      <c r="L5">
        <v>4.7137968911815804</v>
      </c>
      <c r="M5">
        <v>4.7139435210229799</v>
      </c>
      <c r="N5">
        <v>4.7584016</v>
      </c>
      <c r="P5">
        <f t="shared" si="2"/>
        <v>1.0180765170939199</v>
      </c>
      <c r="Q5">
        <f t="shared" si="3"/>
        <v>-1.8076517093919886E-2</v>
      </c>
      <c r="R5">
        <f t="shared" si="4"/>
        <v>0.99989644653598531</v>
      </c>
      <c r="S5">
        <f t="shared" si="5"/>
        <v>1.0001035641884453</v>
      </c>
      <c r="T5">
        <v>1</v>
      </c>
      <c r="AC5">
        <v>2004</v>
      </c>
      <c r="AD5">
        <v>4.6443176365656704</v>
      </c>
      <c r="AE5">
        <f t="shared" si="6"/>
        <v>0.98491209731947071</v>
      </c>
    </row>
    <row r="6" spans="1:31" x14ac:dyDescent="0.25">
      <c r="A6">
        <v>2006</v>
      </c>
      <c r="B6">
        <v>401.97802200000001</v>
      </c>
      <c r="C6">
        <v>0</v>
      </c>
      <c r="D6">
        <f t="shared" si="0"/>
        <v>778498.83912151319</v>
      </c>
      <c r="E6">
        <f t="shared" si="1"/>
        <v>4.9299014902486009</v>
      </c>
      <c r="G6" s="1">
        <v>2006</v>
      </c>
      <c r="H6" s="2">
        <v>4.7856503000000004</v>
      </c>
      <c r="I6" s="3">
        <v>4.8308492000000003</v>
      </c>
      <c r="K6">
        <v>2006</v>
      </c>
      <c r="L6">
        <v>4.7837617694648999</v>
      </c>
      <c r="M6">
        <v>4.7839258034915702</v>
      </c>
      <c r="N6">
        <v>4.8301162499999997</v>
      </c>
      <c r="P6">
        <f t="shared" si="2"/>
        <v>1.0205041155597654</v>
      </c>
      <c r="Q6">
        <f t="shared" si="3"/>
        <v>-2.050411555976539E-2</v>
      </c>
      <c r="R6">
        <f t="shared" si="4"/>
        <v>0.99984827719316915</v>
      </c>
      <c r="S6">
        <f t="shared" si="5"/>
        <v>1.0001517458301341</v>
      </c>
      <c r="T6">
        <v>1</v>
      </c>
      <c r="AC6">
        <v>2006</v>
      </c>
      <c r="AD6">
        <v>4.74322677859967</v>
      </c>
      <c r="AE6">
        <f t="shared" si="6"/>
        <v>0.99113526506516147</v>
      </c>
    </row>
    <row r="7" spans="1:31" x14ac:dyDescent="0.25">
      <c r="A7">
        <v>2008</v>
      </c>
      <c r="B7">
        <v>404.60934800000001</v>
      </c>
      <c r="C7">
        <v>0</v>
      </c>
      <c r="D7">
        <f t="shared" si="0"/>
        <v>783594.84965999529</v>
      </c>
      <c r="E7">
        <f t="shared" si="1"/>
        <v>4.9621723539744034</v>
      </c>
      <c r="G7" s="1">
        <v>2008</v>
      </c>
      <c r="H7" s="2">
        <v>4.8071780000000004</v>
      </c>
      <c r="I7" s="3">
        <v>4.8526296999999996</v>
      </c>
      <c r="K7">
        <v>2008</v>
      </c>
      <c r="L7">
        <v>4.8054601075735697</v>
      </c>
      <c r="M7">
        <v>4.8056202922867701</v>
      </c>
      <c r="N7">
        <v>4.8520025599999999</v>
      </c>
      <c r="P7">
        <f t="shared" si="2"/>
        <v>1.0225738745271258</v>
      </c>
      <c r="Q7">
        <f t="shared" si="3"/>
        <v>-2.2573874527125781E-2</v>
      </c>
      <c r="R7">
        <f t="shared" si="4"/>
        <v>0.99987076285668375</v>
      </c>
      <c r="S7">
        <f t="shared" si="5"/>
        <v>1.0001292538477142</v>
      </c>
      <c r="T7">
        <v>1</v>
      </c>
      <c r="AC7">
        <v>2008</v>
      </c>
      <c r="AD7">
        <v>4.79531924317084</v>
      </c>
      <c r="AE7">
        <f t="shared" si="6"/>
        <v>0.99753311468201089</v>
      </c>
    </row>
    <row r="8" spans="1:31" x14ac:dyDescent="0.25">
      <c r="A8">
        <v>2010</v>
      </c>
      <c r="B8">
        <v>402.802997</v>
      </c>
      <c r="C8">
        <v>0</v>
      </c>
      <c r="D8">
        <f t="shared" si="0"/>
        <v>780096.54358458018</v>
      </c>
      <c r="E8">
        <f t="shared" si="1"/>
        <v>4.9400190719553878</v>
      </c>
      <c r="G8" s="1">
        <v>2010</v>
      </c>
      <c r="H8" s="2">
        <v>4.7801179999999999</v>
      </c>
      <c r="I8" s="3">
        <v>4.8242602000000003</v>
      </c>
      <c r="K8">
        <v>2010</v>
      </c>
      <c r="L8">
        <v>4.7787558585553302</v>
      </c>
      <c r="M8">
        <v>4.7789066965746896</v>
      </c>
      <c r="N8">
        <v>4.8238683599999996</v>
      </c>
      <c r="P8">
        <f t="shared" si="2"/>
        <v>1.0239951551442825</v>
      </c>
      <c r="Q8">
        <f t="shared" si="3"/>
        <v>-2.3995155144282521E-2</v>
      </c>
      <c r="R8">
        <f t="shared" si="4"/>
        <v>0.99991877718370148</v>
      </c>
      <c r="S8">
        <f t="shared" si="5"/>
        <v>1.0000812294139803</v>
      </c>
      <c r="T8">
        <v>1</v>
      </c>
      <c r="AC8">
        <v>2010</v>
      </c>
      <c r="AD8">
        <v>4.80016276790208</v>
      </c>
      <c r="AE8">
        <f t="shared" si="6"/>
        <v>1.0041933625701458</v>
      </c>
    </row>
    <row r="9" spans="1:31" x14ac:dyDescent="0.25">
      <c r="A9">
        <v>2012</v>
      </c>
      <c r="B9">
        <v>396.74109299999998</v>
      </c>
      <c r="C9">
        <v>0</v>
      </c>
      <c r="D9">
        <f t="shared" si="0"/>
        <v>768356.63501100626</v>
      </c>
      <c r="E9">
        <f t="shared" si="1"/>
        <v>4.8656752324224293</v>
      </c>
      <c r="G9" s="1">
        <v>2012</v>
      </c>
      <c r="H9" s="2">
        <v>4.7064785999999996</v>
      </c>
      <c r="I9" s="3">
        <v>4.7474103000000003</v>
      </c>
      <c r="K9">
        <v>2012</v>
      </c>
      <c r="L9">
        <v>4.7051418555727</v>
      </c>
      <c r="M9">
        <v>4.7052854529505304</v>
      </c>
      <c r="N9">
        <v>4.7472574200000004</v>
      </c>
      <c r="P9">
        <f t="shared" si="2"/>
        <v>1.0249114622391979</v>
      </c>
      <c r="Q9">
        <f t="shared" si="3"/>
        <v>-2.4911462239197935E-2</v>
      </c>
      <c r="R9">
        <f t="shared" si="4"/>
        <v>0.99996779717986461</v>
      </c>
      <c r="S9">
        <f t="shared" si="5"/>
        <v>1.0000322038571905</v>
      </c>
      <c r="T9">
        <v>1</v>
      </c>
      <c r="AC9">
        <v>2012</v>
      </c>
      <c r="AD9">
        <v>4.7572167169770898</v>
      </c>
      <c r="AE9">
        <f t="shared" si="6"/>
        <v>1.0107804839433647</v>
      </c>
    </row>
    <row r="10" spans="1:31" x14ac:dyDescent="0.25">
      <c r="A10">
        <v>2014</v>
      </c>
      <c r="B10">
        <v>386.63103799999999</v>
      </c>
      <c r="C10">
        <v>0</v>
      </c>
      <c r="D10">
        <f t="shared" si="0"/>
        <v>748776.79320325039</v>
      </c>
      <c r="E10">
        <f t="shared" si="1"/>
        <v>4.7416844357042072</v>
      </c>
      <c r="G10" s="1">
        <v>2014</v>
      </c>
      <c r="H10" s="2">
        <v>4.5887298999999997</v>
      </c>
      <c r="I10" s="3">
        <v>4.6254071999999997</v>
      </c>
      <c r="K10">
        <v>2014</v>
      </c>
      <c r="L10">
        <v>4.5877472724337798</v>
      </c>
      <c r="M10">
        <v>4.5878805612701399</v>
      </c>
      <c r="N10">
        <v>4.6253834100000004</v>
      </c>
      <c r="P10">
        <f t="shared" si="2"/>
        <v>1.0251388106336254</v>
      </c>
      <c r="Q10">
        <f t="shared" si="3"/>
        <v>-2.5138810633625441E-2</v>
      </c>
      <c r="R10">
        <f t="shared" si="4"/>
        <v>0.99999485666905186</v>
      </c>
      <c r="S10">
        <f t="shared" si="5"/>
        <v>1.0000051433574022</v>
      </c>
      <c r="T10">
        <v>1</v>
      </c>
      <c r="AC10">
        <v>2014</v>
      </c>
      <c r="AD10">
        <v>4.6677736801462002</v>
      </c>
      <c r="AE10">
        <f t="shared" si="6"/>
        <v>1.0172256336434622</v>
      </c>
    </row>
    <row r="11" spans="1:31" x14ac:dyDescent="0.25">
      <c r="A11">
        <v>2016</v>
      </c>
      <c r="B11">
        <v>372.920434</v>
      </c>
      <c r="C11">
        <v>0</v>
      </c>
      <c r="D11">
        <f t="shared" si="0"/>
        <v>722223.87559708639</v>
      </c>
      <c r="E11">
        <f t="shared" si="1"/>
        <v>4.5735361206408323</v>
      </c>
      <c r="G11" s="1">
        <v>2016</v>
      </c>
      <c r="H11" s="2">
        <v>4.4322176000000004</v>
      </c>
      <c r="I11" s="3">
        <v>4.4633120999999996</v>
      </c>
      <c r="K11">
        <v>2016</v>
      </c>
      <c r="L11">
        <v>4.4312874932378099</v>
      </c>
      <c r="M11">
        <v>4.4313827330803797</v>
      </c>
      <c r="N11">
        <v>4.4631964499999999</v>
      </c>
      <c r="P11">
        <f t="shared" si="2"/>
        <v>1.0246955664697597</v>
      </c>
      <c r="Q11">
        <f t="shared" si="3"/>
        <v>-2.4695566469759678E-2</v>
      </c>
      <c r="R11">
        <f t="shared" si="4"/>
        <v>0.99997408874902571</v>
      </c>
      <c r="S11">
        <f t="shared" si="5"/>
        <v>1.0000259119223847</v>
      </c>
      <c r="T11">
        <v>1</v>
      </c>
      <c r="AC11">
        <v>2016</v>
      </c>
      <c r="AD11">
        <v>4.5372671600348804</v>
      </c>
      <c r="AE11">
        <f t="shared" si="6"/>
        <v>1.0237013543818065</v>
      </c>
    </row>
    <row r="12" spans="1:31" x14ac:dyDescent="0.25">
      <c r="A12">
        <v>2018</v>
      </c>
      <c r="B12">
        <v>356.12049999999999</v>
      </c>
      <c r="C12">
        <v>0</v>
      </c>
      <c r="D12">
        <f t="shared" si="0"/>
        <v>689687.94477368915</v>
      </c>
      <c r="E12">
        <f t="shared" si="1"/>
        <v>4.3674999317700927</v>
      </c>
      <c r="G12" s="1">
        <v>2018</v>
      </c>
      <c r="H12" s="2">
        <v>4.2420077000000003</v>
      </c>
      <c r="I12" s="3">
        <v>4.2664676000000004</v>
      </c>
      <c r="K12">
        <v>2018</v>
      </c>
      <c r="L12">
        <v>4.2416833419637596</v>
      </c>
      <c r="M12">
        <v>4.2417226933975298</v>
      </c>
      <c r="N12">
        <v>4.2668162699999996</v>
      </c>
      <c r="P12">
        <f t="shared" si="2"/>
        <v>1.0236805576046311</v>
      </c>
      <c r="Q12">
        <f t="shared" si="3"/>
        <v>-2.3680557604631058E-2</v>
      </c>
      <c r="R12">
        <f t="shared" si="4"/>
        <v>1.0000817233441546</v>
      </c>
      <c r="S12">
        <f t="shared" si="5"/>
        <v>0.99991828333400468</v>
      </c>
      <c r="T12">
        <v>1</v>
      </c>
      <c r="AC12">
        <v>2018</v>
      </c>
      <c r="AD12">
        <v>4.3707579072506899</v>
      </c>
      <c r="AE12">
        <f t="shared" si="6"/>
        <v>1.0303512431744737</v>
      </c>
    </row>
    <row r="13" spans="1:31" x14ac:dyDescent="0.25">
      <c r="A13">
        <v>2020</v>
      </c>
      <c r="B13">
        <v>336.900419</v>
      </c>
      <c r="C13">
        <v>0</v>
      </c>
      <c r="D13">
        <f t="shared" si="0"/>
        <v>652464.98747897067</v>
      </c>
      <c r="E13">
        <f t="shared" si="1"/>
        <v>4.1317828010345261</v>
      </c>
      <c r="G13" s="1">
        <v>2020</v>
      </c>
      <c r="H13" s="2">
        <v>4.0260924999999999</v>
      </c>
      <c r="I13" s="3">
        <v>4.0432066999999998</v>
      </c>
      <c r="K13">
        <v>2020</v>
      </c>
      <c r="L13">
        <v>4.0258782673300404</v>
      </c>
      <c r="M13">
        <v>4.0259276282326297</v>
      </c>
      <c r="N13">
        <v>4.0435341600000001</v>
      </c>
      <c r="P13">
        <f t="shared" si="2"/>
        <v>1.0219073887650925</v>
      </c>
      <c r="Q13">
        <f t="shared" si="3"/>
        <v>-2.1907388765092461E-2</v>
      </c>
      <c r="R13">
        <f t="shared" si="4"/>
        <v>1.0000809901705001</v>
      </c>
      <c r="S13">
        <f t="shared" si="5"/>
        <v>0.99991901638837644</v>
      </c>
      <c r="T13">
        <v>1</v>
      </c>
      <c r="AC13">
        <v>2020</v>
      </c>
      <c r="AD13">
        <v>4.1727036299038396</v>
      </c>
      <c r="AE13">
        <f t="shared" si="6"/>
        <v>1.0364152413050221</v>
      </c>
    </row>
    <row r="14" spans="1:31" x14ac:dyDescent="0.25">
      <c r="A14">
        <v>2022</v>
      </c>
      <c r="B14">
        <v>315.88589300000001</v>
      </c>
      <c r="C14">
        <v>0</v>
      </c>
      <c r="D14">
        <f t="shared" si="0"/>
        <v>611766.78210373025</v>
      </c>
      <c r="E14">
        <f t="shared" si="1"/>
        <v>3.8740584047383808</v>
      </c>
      <c r="G14" s="1">
        <v>2022</v>
      </c>
      <c r="H14" s="2">
        <v>3.7915716000000002</v>
      </c>
      <c r="I14" s="3">
        <v>3.8009651</v>
      </c>
      <c r="K14">
        <v>2022</v>
      </c>
      <c r="L14">
        <v>3.7918458825815602</v>
      </c>
      <c r="M14">
        <v>3.79186715164168</v>
      </c>
      <c r="N14">
        <v>3.8014618100000002</v>
      </c>
      <c r="P14">
        <f t="shared" si="2"/>
        <v>1.0192301962305259</v>
      </c>
      <c r="Q14">
        <f t="shared" si="3"/>
        <v>-1.9230196230525909E-2</v>
      </c>
      <c r="R14">
        <f t="shared" si="4"/>
        <v>1.0001306799686216</v>
      </c>
      <c r="S14">
        <f t="shared" si="5"/>
        <v>0.99986933710640125</v>
      </c>
      <c r="T14">
        <v>1</v>
      </c>
      <c r="AC14">
        <v>2022</v>
      </c>
      <c r="AD14">
        <v>3.9492870928977202</v>
      </c>
      <c r="AE14">
        <f t="shared" si="6"/>
        <v>1.0415963377554891</v>
      </c>
    </row>
    <row r="15" spans="1:31" x14ac:dyDescent="0.25">
      <c r="A15">
        <v>2024</v>
      </c>
      <c r="B15">
        <v>293.89472699999999</v>
      </c>
      <c r="C15">
        <v>0</v>
      </c>
      <c r="D15">
        <f t="shared" si="0"/>
        <v>569177.14718600712</v>
      </c>
      <c r="E15">
        <f t="shared" si="1"/>
        <v>3.6043563909409593</v>
      </c>
      <c r="G15" s="1">
        <v>2024</v>
      </c>
      <c r="H15" s="2">
        <v>3.5473146</v>
      </c>
      <c r="I15" s="3">
        <v>3.5487339000000002</v>
      </c>
      <c r="K15">
        <v>2024</v>
      </c>
      <c r="L15">
        <v>3.5479345720436499</v>
      </c>
      <c r="M15">
        <v>3.5479139770767301</v>
      </c>
      <c r="N15">
        <v>3.54934422</v>
      </c>
      <c r="P15">
        <f t="shared" si="2"/>
        <v>1.0156738973696955</v>
      </c>
      <c r="Q15">
        <f t="shared" si="3"/>
        <v>-1.5673897369695489E-2</v>
      </c>
      <c r="R15">
        <f t="shared" si="4"/>
        <v>1.000171982463943</v>
      </c>
      <c r="S15">
        <f t="shared" si="5"/>
        <v>0.99982804710893891</v>
      </c>
      <c r="T15">
        <v>1</v>
      </c>
      <c r="AC15">
        <v>2024</v>
      </c>
      <c r="AD15">
        <v>3.7100740436644499</v>
      </c>
      <c r="AE15">
        <f t="shared" si="6"/>
        <v>1.0458824384125529</v>
      </c>
    </row>
    <row r="16" spans="1:31" x14ac:dyDescent="0.25">
      <c r="A16">
        <v>2026</v>
      </c>
      <c r="B16">
        <v>271.63117199999999</v>
      </c>
      <c r="C16">
        <v>0</v>
      </c>
      <c r="D16">
        <f t="shared" si="0"/>
        <v>526059.98462079116</v>
      </c>
      <c r="E16">
        <f t="shared" si="1"/>
        <v>3.3313137692905355</v>
      </c>
      <c r="G16" s="1">
        <v>2026</v>
      </c>
      <c r="H16" s="2">
        <v>3.301806</v>
      </c>
      <c r="I16" s="3">
        <v>3.2953912999999999</v>
      </c>
      <c r="K16">
        <v>2026</v>
      </c>
      <c r="L16">
        <v>3.30269121002015</v>
      </c>
      <c r="M16">
        <v>3.30260841430198</v>
      </c>
      <c r="N16">
        <v>3.2960008599999999</v>
      </c>
      <c r="P16">
        <f t="shared" si="2"/>
        <v>1.0109008205764625</v>
      </c>
      <c r="Q16">
        <f t="shared" si="3"/>
        <v>-1.0900820576462467E-2</v>
      </c>
      <c r="R16">
        <f t="shared" si="4"/>
        <v>1.0001849734809944</v>
      </c>
      <c r="S16">
        <f t="shared" si="5"/>
        <v>0.99981506072786652</v>
      </c>
      <c r="T16">
        <v>1</v>
      </c>
      <c r="AC16">
        <v>2026</v>
      </c>
      <c r="AD16">
        <v>3.4638915438466298</v>
      </c>
      <c r="AE16">
        <f t="shared" si="6"/>
        <v>1.0490899658691728</v>
      </c>
    </row>
    <row r="17" spans="1:31" x14ac:dyDescent="0.25">
      <c r="A17">
        <v>2028</v>
      </c>
      <c r="B17">
        <v>249.98122100000001</v>
      </c>
      <c r="C17">
        <v>0</v>
      </c>
      <c r="D17">
        <f t="shared" si="0"/>
        <v>484131.17061081121</v>
      </c>
      <c r="E17">
        <f t="shared" si="1"/>
        <v>3.0657964527773731</v>
      </c>
      <c r="G17" s="1">
        <v>2028</v>
      </c>
      <c r="H17" s="2">
        <v>3.0633279999999998</v>
      </c>
      <c r="I17" s="3">
        <v>3.0493979000000002</v>
      </c>
      <c r="K17">
        <v>2028</v>
      </c>
      <c r="L17">
        <v>3.06458907152438</v>
      </c>
      <c r="M17">
        <v>3.06441726595056</v>
      </c>
      <c r="N17">
        <v>3.05018148</v>
      </c>
      <c r="P17">
        <f t="shared" si="2"/>
        <v>1.0053776362794022</v>
      </c>
      <c r="Q17">
        <f t="shared" si="3"/>
        <v>-5.3776362794022425E-3</v>
      </c>
      <c r="R17">
        <f t="shared" si="4"/>
        <v>1.0002569622022759</v>
      </c>
      <c r="S17">
        <f t="shared" si="5"/>
        <v>0.99974310381033471</v>
      </c>
      <c r="T17">
        <v>1</v>
      </c>
      <c r="AC17">
        <v>2028</v>
      </c>
      <c r="AD17">
        <v>3.2192864305139399</v>
      </c>
      <c r="AE17">
        <f t="shared" si="6"/>
        <v>1.050911437010317</v>
      </c>
    </row>
    <row r="18" spans="1:31" x14ac:dyDescent="0.25">
      <c r="A18">
        <v>2030</v>
      </c>
      <c r="B18">
        <v>229.572644</v>
      </c>
      <c r="C18">
        <v>0</v>
      </c>
      <c r="D18">
        <f t="shared" si="0"/>
        <v>444606.48858075234</v>
      </c>
      <c r="E18">
        <f t="shared" si="1"/>
        <v>2.8155034798790854</v>
      </c>
      <c r="G18" s="1">
        <v>2030</v>
      </c>
      <c r="H18" s="2">
        <v>2.8403434999999999</v>
      </c>
      <c r="I18" s="3">
        <v>2.819375</v>
      </c>
      <c r="K18">
        <v>2030</v>
      </c>
      <c r="L18">
        <v>2.8416596251093198</v>
      </c>
      <c r="M18">
        <v>2.8414584809553398</v>
      </c>
      <c r="N18">
        <v>2.8202168200000002</v>
      </c>
      <c r="P18">
        <f t="shared" si="2"/>
        <v>0.99862681618411364</v>
      </c>
      <c r="Q18">
        <f t="shared" si="3"/>
        <v>1.3731838158863585E-3</v>
      </c>
      <c r="R18">
        <f t="shared" si="4"/>
        <v>1.0002985839060077</v>
      </c>
      <c r="S18">
        <f t="shared" si="5"/>
        <v>0.99970150521972978</v>
      </c>
      <c r="T18">
        <v>1</v>
      </c>
      <c r="AC18">
        <v>2030</v>
      </c>
      <c r="AD18">
        <v>2.9854840019192301</v>
      </c>
      <c r="AE18">
        <f t="shared" si="6"/>
        <v>1.0510996299987063</v>
      </c>
    </row>
    <row r="19" spans="1:31" x14ac:dyDescent="0.25">
      <c r="A19">
        <v>2032</v>
      </c>
      <c r="B19">
        <v>211.212346</v>
      </c>
      <c r="C19">
        <v>0</v>
      </c>
      <c r="D19">
        <f t="shared" si="0"/>
        <v>409048.6473639381</v>
      </c>
      <c r="E19">
        <f t="shared" si="1"/>
        <v>2.5903308198882149</v>
      </c>
      <c r="G19" s="1">
        <v>2032</v>
      </c>
      <c r="H19" s="2">
        <v>2.6400329999999999</v>
      </c>
      <c r="I19" s="3">
        <v>2.6131122000000002</v>
      </c>
      <c r="K19">
        <v>2032</v>
      </c>
      <c r="L19">
        <v>2.6413650669120301</v>
      </c>
      <c r="M19">
        <v>2.6411516539512201</v>
      </c>
      <c r="N19">
        <v>2.61379216</v>
      </c>
      <c r="P19">
        <f t="shared" si="2"/>
        <v>0.99128189745859929</v>
      </c>
      <c r="Q19">
        <f t="shared" si="3"/>
        <v>8.7181025414007074E-3</v>
      </c>
      <c r="R19">
        <f t="shared" si="4"/>
        <v>1.0002602107938572</v>
      </c>
      <c r="S19">
        <f t="shared" si="5"/>
        <v>0.9997398568981859</v>
      </c>
      <c r="T19">
        <v>1</v>
      </c>
      <c r="AC19">
        <v>2032</v>
      </c>
      <c r="AD19">
        <v>2.7702619361330298</v>
      </c>
      <c r="AE19">
        <f t="shared" si="6"/>
        <v>1.0493285258680591</v>
      </c>
    </row>
    <row r="20" spans="1:31" x14ac:dyDescent="0.25">
      <c r="A20">
        <v>2034</v>
      </c>
      <c r="B20">
        <v>195.32378</v>
      </c>
      <c r="C20">
        <v>0</v>
      </c>
      <c r="D20">
        <f t="shared" si="0"/>
        <v>378277.73574851267</v>
      </c>
      <c r="E20">
        <f t="shared" si="1"/>
        <v>2.3954717457239236</v>
      </c>
      <c r="G20" s="1">
        <v>2034</v>
      </c>
      <c r="H20" s="2">
        <v>2.4687022999999999</v>
      </c>
      <c r="I20" s="3">
        <v>2.4367695</v>
      </c>
      <c r="K20">
        <v>2034</v>
      </c>
      <c r="L20">
        <v>2.4703303405291699</v>
      </c>
      <c r="M20">
        <v>2.4700123169821402</v>
      </c>
      <c r="N20">
        <v>2.4376611399999999</v>
      </c>
      <c r="P20">
        <f t="shared" si="2"/>
        <v>0.98305225246947792</v>
      </c>
      <c r="Q20">
        <f t="shared" si="3"/>
        <v>1.6947747530522084E-2</v>
      </c>
      <c r="R20">
        <f t="shared" si="4"/>
        <v>1.000365910686259</v>
      </c>
      <c r="S20">
        <f t="shared" si="5"/>
        <v>0.99963422315539718</v>
      </c>
      <c r="T20">
        <v>1</v>
      </c>
      <c r="AC20">
        <v>2034</v>
      </c>
      <c r="AD20">
        <v>2.5803354291706802</v>
      </c>
      <c r="AE20">
        <f t="shared" si="6"/>
        <v>1.0452193564087011</v>
      </c>
    </row>
    <row r="21" spans="1:31" x14ac:dyDescent="0.25">
      <c r="A21">
        <v>2036</v>
      </c>
      <c r="B21">
        <v>182.63402600000001</v>
      </c>
      <c r="C21">
        <v>0</v>
      </c>
      <c r="D21">
        <f t="shared" si="0"/>
        <v>353701.86787248845</v>
      </c>
      <c r="E21">
        <f t="shared" si="1"/>
        <v>2.2398432443341436</v>
      </c>
      <c r="G21" s="1">
        <v>2036</v>
      </c>
      <c r="H21" s="2">
        <v>2.3322064999999998</v>
      </c>
      <c r="I21" s="3">
        <v>2.2966275</v>
      </c>
      <c r="K21">
        <v>2036</v>
      </c>
      <c r="L21">
        <v>2.3337560653206202</v>
      </c>
      <c r="M21">
        <v>2.33344446180425</v>
      </c>
      <c r="N21">
        <v>2.2971997499999999</v>
      </c>
      <c r="P21">
        <f t="shared" si="2"/>
        <v>0.97527493872390869</v>
      </c>
      <c r="Q21">
        <f t="shared" si="3"/>
        <v>2.4725061276091309E-2</v>
      </c>
      <c r="R21">
        <f t="shared" si="4"/>
        <v>1.0002491697064499</v>
      </c>
      <c r="S21">
        <f t="shared" si="5"/>
        <v>0.99975089236362669</v>
      </c>
      <c r="T21">
        <v>1</v>
      </c>
      <c r="AC21">
        <v>2036</v>
      </c>
      <c r="AD21">
        <v>2.4217111255753201</v>
      </c>
      <c r="AE21">
        <f t="shared" si="6"/>
        <v>1.0383776589145601</v>
      </c>
    </row>
    <row r="22" spans="1:31" x14ac:dyDescent="0.25">
      <c r="A22">
        <v>2038</v>
      </c>
      <c r="B22">
        <v>173.30008000000001</v>
      </c>
      <c r="C22">
        <v>0</v>
      </c>
      <c r="D22">
        <f t="shared" si="0"/>
        <v>335625.09320389002</v>
      </c>
      <c r="E22">
        <f t="shared" si="1"/>
        <v>2.125370731468005</v>
      </c>
      <c r="G22" s="1">
        <v>2038</v>
      </c>
      <c r="H22" s="2">
        <v>2.2342824999999999</v>
      </c>
      <c r="I22" s="3">
        <v>2.1963596000000001</v>
      </c>
      <c r="K22">
        <v>2038</v>
      </c>
      <c r="L22">
        <v>2.2355645112421398</v>
      </c>
      <c r="M22">
        <v>2.2353402394203599</v>
      </c>
      <c r="N22">
        <v>2.1966556000000002</v>
      </c>
      <c r="P22">
        <f t="shared" si="2"/>
        <v>0.96767884979672958</v>
      </c>
      <c r="Q22">
        <f t="shared" si="3"/>
        <v>3.2321150203270421E-2</v>
      </c>
      <c r="R22">
        <f t="shared" si="4"/>
        <v>1.0001347684595912</v>
      </c>
      <c r="S22">
        <f t="shared" si="5"/>
        <v>0.99986524970049917</v>
      </c>
      <c r="T22">
        <v>1</v>
      </c>
      <c r="AC22">
        <v>2038</v>
      </c>
      <c r="AD22">
        <v>2.2990298516275001</v>
      </c>
      <c r="AE22">
        <f t="shared" si="6"/>
        <v>1.0289790353849615</v>
      </c>
    </row>
    <row r="23" spans="1:31" x14ac:dyDescent="0.25">
      <c r="A23">
        <v>2040</v>
      </c>
      <c r="B23">
        <v>167.69925799999999</v>
      </c>
      <c r="C23">
        <v>0</v>
      </c>
      <c r="D23">
        <f t="shared" si="0"/>
        <v>324778.14837981149</v>
      </c>
      <c r="E23">
        <f t="shared" si="1"/>
        <v>2.0566816509380819</v>
      </c>
      <c r="G23" s="1">
        <v>2040</v>
      </c>
      <c r="H23" s="2">
        <v>2.1771110999999999</v>
      </c>
      <c r="I23" s="3">
        <v>2.1384020000000001</v>
      </c>
      <c r="K23">
        <v>2040</v>
      </c>
      <c r="L23">
        <v>2.1783805101765799</v>
      </c>
      <c r="M23">
        <v>2.1781598285114301</v>
      </c>
      <c r="N23">
        <v>2.1386670900000002</v>
      </c>
      <c r="P23">
        <f t="shared" si="2"/>
        <v>0.96178438429167279</v>
      </c>
      <c r="Q23">
        <f t="shared" si="3"/>
        <v>3.8215615708327211E-2</v>
      </c>
      <c r="R23">
        <f t="shared" si="4"/>
        <v>1.000123966401079</v>
      </c>
      <c r="S23">
        <f t="shared" si="5"/>
        <v>0.99987604896468474</v>
      </c>
      <c r="T23">
        <v>1</v>
      </c>
      <c r="AC23">
        <v>2040</v>
      </c>
      <c r="AD23">
        <v>2.21579090090707</v>
      </c>
      <c r="AE23">
        <f t="shared" si="6"/>
        <v>1.0177665719067208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B9E0-3C1A-4692-A2BE-A5A655E058D2}">
  <dimension ref="A1:AC23"/>
  <sheetViews>
    <sheetView topLeftCell="A19" workbookViewId="0">
      <selection activeCell="S2" sqref="S2"/>
    </sheetView>
  </sheetViews>
  <sheetFormatPr defaultRowHeight="15.75" x14ac:dyDescent="0.25"/>
  <cols>
    <col min="1" max="1" width="15" customWidth="1"/>
    <col min="5" max="6" width="15.5" customWidth="1"/>
    <col min="7" max="7" width="6.125" style="6" customWidth="1"/>
    <col min="8" max="8" width="15.625" style="1" customWidth="1"/>
    <col min="9" max="9" width="14.75" style="2" customWidth="1"/>
    <col min="10" max="10" width="6.125" style="6" customWidth="1"/>
    <col min="11" max="11" width="15.625" customWidth="1"/>
    <col min="12" max="12" width="15.5" customWidth="1"/>
    <col min="13" max="13" width="6" style="6" customWidth="1"/>
    <col min="14" max="14" width="10.625" customWidth="1"/>
    <col min="16" max="16" width="11.125" customWidth="1"/>
    <col min="18" max="18" width="6.25" style="6" customWidth="1"/>
    <col min="26" max="26" width="10.375" customWidth="1"/>
    <col min="27" max="28" width="16.625" customWidth="1"/>
  </cols>
  <sheetData>
    <row r="1" spans="1:29" x14ac:dyDescent="0.25">
      <c r="B1" t="s">
        <v>5</v>
      </c>
      <c r="I1" s="2" t="s">
        <v>6</v>
      </c>
      <c r="L1" t="s">
        <v>7</v>
      </c>
      <c r="N1" t="s">
        <v>8</v>
      </c>
      <c r="O1" t="s">
        <v>9</v>
      </c>
      <c r="P1" t="s">
        <v>10</v>
      </c>
      <c r="Q1" t="s">
        <v>9</v>
      </c>
      <c r="S1" t="s">
        <v>8</v>
      </c>
      <c r="AA1" t="s">
        <v>11</v>
      </c>
    </row>
    <row r="2" spans="1:2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16</v>
      </c>
      <c r="H2" t="s">
        <v>0</v>
      </c>
      <c r="I2" t="s">
        <v>4</v>
      </c>
      <c r="K2" t="s">
        <v>0</v>
      </c>
      <c r="L2" t="s">
        <v>4</v>
      </c>
      <c r="S2" t="s">
        <v>16</v>
      </c>
    </row>
    <row r="3" spans="1:29" x14ac:dyDescent="0.25">
      <c r="A3">
        <v>2000</v>
      </c>
      <c r="B3">
        <v>368.825537</v>
      </c>
      <c r="C3">
        <v>0</v>
      </c>
      <c r="D3">
        <f t="shared" ref="D3:D23" si="0">B3*4*PI()/(0.0064886478302)</f>
        <v>714293.41077972844</v>
      </c>
      <c r="E3">
        <v>4.522138</v>
      </c>
      <c r="H3" s="1">
        <v>2000</v>
      </c>
      <c r="I3" s="2">
        <v>4.4384598999999998</v>
      </c>
      <c r="K3">
        <v>2000</v>
      </c>
      <c r="L3">
        <v>4.4368905978922104</v>
      </c>
      <c r="N3">
        <f>E3/I3</f>
        <v>1.0188529584327213</v>
      </c>
      <c r="O3">
        <f>1-N3</f>
        <v>-1.8852958432721278E-2</v>
      </c>
      <c r="P3">
        <f>L3/I3</f>
        <v>0.99964643093704886</v>
      </c>
      <c r="Q3">
        <f>1-P3</f>
        <v>3.5356906295114232E-4</v>
      </c>
      <c r="Z3">
        <v>2000</v>
      </c>
      <c r="AA3">
        <v>4.3092011718040304</v>
      </c>
      <c r="AB3" t="b">
        <f>I3=AA3/I3</f>
        <v>0</v>
      </c>
      <c r="AC3">
        <v>1</v>
      </c>
    </row>
    <row r="4" spans="1:29" x14ac:dyDescent="0.25">
      <c r="A4">
        <v>2002</v>
      </c>
      <c r="B4">
        <v>383.640874</v>
      </c>
      <c r="C4">
        <v>0</v>
      </c>
      <c r="D4">
        <f t="shared" si="0"/>
        <v>742985.83181884186</v>
      </c>
      <c r="E4">
        <v>4.7048509999999997</v>
      </c>
      <c r="H4" s="1">
        <v>2002</v>
      </c>
      <c r="I4" s="2">
        <v>4.5979643000000001</v>
      </c>
      <c r="K4">
        <v>2002</v>
      </c>
      <c r="L4">
        <v>4.5964648066975</v>
      </c>
      <c r="N4">
        <f t="shared" ref="N4:N23" si="1">E4/I4</f>
        <v>1.023246526729231</v>
      </c>
      <c r="O4">
        <f t="shared" ref="O4:O23" si="2">1-N4</f>
        <v>-2.3246526729230998E-2</v>
      </c>
      <c r="P4">
        <f t="shared" ref="P4:P23" si="3">L4/I4</f>
        <v>0.9996738788723305</v>
      </c>
      <c r="Q4">
        <f t="shared" ref="Q4:Q23" si="4">1-P4</f>
        <v>3.2612112766949863E-4</v>
      </c>
      <c r="Z4">
        <v>2002</v>
      </c>
      <c r="AA4">
        <v>4.4974623311607802</v>
      </c>
      <c r="AB4">
        <f t="shared" ref="AB4:AB23" si="5">AA4/I4</f>
        <v>0.9781420728213962</v>
      </c>
      <c r="AC4">
        <v>1</v>
      </c>
    </row>
    <row r="5" spans="1:29" x14ac:dyDescent="0.25">
      <c r="A5">
        <v>2004</v>
      </c>
      <c r="B5">
        <v>394.480908</v>
      </c>
      <c r="C5">
        <v>0</v>
      </c>
      <c r="D5">
        <f t="shared" si="0"/>
        <v>763979.4021713963</v>
      </c>
      <c r="E5">
        <v>4.8414700000000002</v>
      </c>
      <c r="H5" s="1">
        <v>2004</v>
      </c>
      <c r="I5" s="2">
        <v>4.7143698000000001</v>
      </c>
      <c r="K5">
        <v>2004</v>
      </c>
      <c r="L5">
        <v>4.7128777926224199</v>
      </c>
      <c r="N5">
        <f t="shared" si="1"/>
        <v>1.0269601676134952</v>
      </c>
      <c r="O5">
        <f t="shared" si="2"/>
        <v>-2.6960167613495178E-2</v>
      </c>
      <c r="P5">
        <f t="shared" si="3"/>
        <v>0.99968351923143994</v>
      </c>
      <c r="Q5">
        <f t="shared" si="4"/>
        <v>3.164807685600568E-4</v>
      </c>
      <c r="Z5">
        <v>2004</v>
      </c>
      <c r="AA5">
        <v>4.6432936188082703</v>
      </c>
      <c r="AB5">
        <f t="shared" si="5"/>
        <v>0.98492350320254263</v>
      </c>
      <c r="AC5">
        <v>1</v>
      </c>
    </row>
    <row r="6" spans="1:29" x14ac:dyDescent="0.25">
      <c r="A6">
        <v>2006</v>
      </c>
      <c r="B6">
        <v>401.379929</v>
      </c>
      <c r="C6">
        <v>0</v>
      </c>
      <c r="D6">
        <f t="shared" si="0"/>
        <v>777340.53025708802</v>
      </c>
      <c r="E6">
        <v>4.9269790000000002</v>
      </c>
      <c r="H6" s="1">
        <v>2006</v>
      </c>
      <c r="I6" s="2">
        <v>4.7845887999999999</v>
      </c>
      <c r="K6">
        <v>2006</v>
      </c>
      <c r="L6">
        <v>4.78282184107149</v>
      </c>
      <c r="N6">
        <f t="shared" si="1"/>
        <v>1.0297601750018728</v>
      </c>
      <c r="O6">
        <f t="shared" si="2"/>
        <v>-2.976017500187278E-2</v>
      </c>
      <c r="P6">
        <f t="shared" si="3"/>
        <v>0.99963069785045899</v>
      </c>
      <c r="Q6">
        <f t="shared" si="4"/>
        <v>3.6930214954100649E-4</v>
      </c>
      <c r="Z6">
        <v>2006</v>
      </c>
      <c r="AA6">
        <v>4.7422378080380296</v>
      </c>
      <c r="AB6">
        <f t="shared" si="5"/>
        <v>0.99114845732156331</v>
      </c>
      <c r="AC6">
        <v>1</v>
      </c>
    </row>
    <row r="7" spans="1:29" x14ac:dyDescent="0.25">
      <c r="A7">
        <v>2008</v>
      </c>
      <c r="B7">
        <v>403.81043099999999</v>
      </c>
      <c r="C7">
        <v>0</v>
      </c>
      <c r="D7">
        <f t="shared" si="0"/>
        <v>782047.61094788881</v>
      </c>
      <c r="E7">
        <v>4.9597160000000002</v>
      </c>
      <c r="H7" s="1">
        <v>2008</v>
      </c>
      <c r="I7" s="2">
        <v>4.8061503999999999</v>
      </c>
      <c r="K7">
        <v>2008</v>
      </c>
      <c r="L7">
        <v>4.8045280910645403</v>
      </c>
      <c r="N7">
        <f t="shared" si="1"/>
        <v>1.0319518923086552</v>
      </c>
      <c r="O7">
        <f t="shared" si="2"/>
        <v>-3.195189230865525E-2</v>
      </c>
      <c r="P7">
        <f t="shared" si="3"/>
        <v>0.9996624514839445</v>
      </c>
      <c r="Q7">
        <f t="shared" si="4"/>
        <v>3.3754851605549696E-4</v>
      </c>
      <c r="Z7">
        <v>2008</v>
      </c>
      <c r="AA7">
        <v>4.7942795957849498</v>
      </c>
      <c r="AB7">
        <f t="shared" si="5"/>
        <v>0.99753008057861647</v>
      </c>
      <c r="AC7">
        <v>1</v>
      </c>
    </row>
    <row r="8" spans="1:29" x14ac:dyDescent="0.25">
      <c r="A8">
        <v>2010</v>
      </c>
      <c r="B8">
        <v>401.95237700000001</v>
      </c>
      <c r="C8">
        <v>0</v>
      </c>
      <c r="D8">
        <f t="shared" si="0"/>
        <v>778449.17321532767</v>
      </c>
      <c r="E8">
        <v>4.9384649999999999</v>
      </c>
      <c r="H8" s="1">
        <v>2010</v>
      </c>
      <c r="I8" s="2">
        <v>4.7790780000000002</v>
      </c>
      <c r="K8">
        <v>2010</v>
      </c>
      <c r="L8">
        <v>4.7778370151429703</v>
      </c>
      <c r="N8">
        <f t="shared" si="1"/>
        <v>1.0333509936435437</v>
      </c>
      <c r="O8">
        <f t="shared" si="2"/>
        <v>-3.3350993643543658E-2</v>
      </c>
      <c r="P8">
        <f t="shared" si="3"/>
        <v>0.99974032964998061</v>
      </c>
      <c r="Q8">
        <f t="shared" si="4"/>
        <v>2.5967035001939198E-4</v>
      </c>
      <c r="Z8">
        <v>2010</v>
      </c>
      <c r="AA8">
        <v>4.7990639635981198</v>
      </c>
      <c r="AB8">
        <f t="shared" si="5"/>
        <v>1.0041819705805428</v>
      </c>
      <c r="AC8">
        <v>1</v>
      </c>
    </row>
    <row r="9" spans="1:29" x14ac:dyDescent="0.25">
      <c r="A9">
        <v>2012</v>
      </c>
      <c r="B9">
        <v>395.83094999999997</v>
      </c>
      <c r="C9">
        <v>0</v>
      </c>
      <c r="D9">
        <f t="shared" si="0"/>
        <v>766593.98822397727</v>
      </c>
      <c r="E9">
        <v>4.8647099999999996</v>
      </c>
      <c r="H9" s="1">
        <v>2012</v>
      </c>
      <c r="I9" s="2">
        <v>4.7054086000000002</v>
      </c>
      <c r="K9">
        <v>2012</v>
      </c>
      <c r="L9">
        <v>4.7042865875648801</v>
      </c>
      <c r="N9">
        <f t="shared" si="1"/>
        <v>1.0338549557630339</v>
      </c>
      <c r="O9">
        <f t="shared" si="2"/>
        <v>-3.3854955763033878E-2</v>
      </c>
      <c r="P9">
        <f t="shared" si="3"/>
        <v>0.99976154835201347</v>
      </c>
      <c r="Q9">
        <f t="shared" si="4"/>
        <v>2.3845164798652618E-4</v>
      </c>
      <c r="Z9">
        <v>2012</v>
      </c>
      <c r="AA9">
        <v>4.7561502694108801</v>
      </c>
      <c r="AB9">
        <f t="shared" si="5"/>
        <v>1.0107836903708809</v>
      </c>
      <c r="AC9">
        <v>1</v>
      </c>
    </row>
    <row r="10" spans="1:29" x14ac:dyDescent="0.25">
      <c r="A10">
        <v>2014</v>
      </c>
      <c r="B10">
        <v>385.678945</v>
      </c>
      <c r="C10">
        <v>0</v>
      </c>
      <c r="D10">
        <f t="shared" si="0"/>
        <v>746932.90310312016</v>
      </c>
      <c r="E10">
        <v>4.7419169999999999</v>
      </c>
      <c r="H10" s="1">
        <v>2014</v>
      </c>
      <c r="I10" s="2">
        <v>4.5878724999999996</v>
      </c>
      <c r="K10">
        <v>2014</v>
      </c>
      <c r="L10">
        <v>4.5870032370940201</v>
      </c>
      <c r="N10">
        <f t="shared" si="1"/>
        <v>1.033576456189661</v>
      </c>
      <c r="O10">
        <f t="shared" si="2"/>
        <v>-3.3576456189660986E-2</v>
      </c>
      <c r="P10">
        <f t="shared" si="3"/>
        <v>0.99981053028261369</v>
      </c>
      <c r="Q10">
        <f t="shared" si="4"/>
        <v>1.8946971738631468E-4</v>
      </c>
      <c r="Z10">
        <v>2014</v>
      </c>
      <c r="AA10">
        <v>4.6668287715165402</v>
      </c>
      <c r="AB10">
        <f t="shared" si="5"/>
        <v>1.0172097789370871</v>
      </c>
      <c r="AC10">
        <v>1</v>
      </c>
    </row>
    <row r="11" spans="1:29" x14ac:dyDescent="0.25">
      <c r="A11">
        <v>2016</v>
      </c>
      <c r="B11">
        <v>372.01126099999999</v>
      </c>
      <c r="C11">
        <v>0</v>
      </c>
      <c r="D11">
        <f t="shared" si="0"/>
        <v>720463.10738010996</v>
      </c>
      <c r="E11">
        <v>4.5747070000000001</v>
      </c>
      <c r="H11" s="1">
        <v>2016</v>
      </c>
      <c r="I11" s="2">
        <v>4.4314837000000002</v>
      </c>
      <c r="K11">
        <v>2016</v>
      </c>
      <c r="L11">
        <v>4.4306266491917397</v>
      </c>
      <c r="N11">
        <f t="shared" si="1"/>
        <v>1.0323194915508771</v>
      </c>
      <c r="O11">
        <f t="shared" si="2"/>
        <v>-3.23194915508771E-2</v>
      </c>
      <c r="P11">
        <f t="shared" si="3"/>
        <v>0.99980659958012241</v>
      </c>
      <c r="Q11">
        <f t="shared" si="4"/>
        <v>1.9340041987758738E-4</v>
      </c>
      <c r="Z11">
        <v>2016</v>
      </c>
      <c r="AA11">
        <v>4.53642648512663</v>
      </c>
      <c r="AB11">
        <f t="shared" si="5"/>
        <v>1.0236811849554202</v>
      </c>
      <c r="AC11">
        <v>1</v>
      </c>
    </row>
    <row r="12" spans="1:29" x14ac:dyDescent="0.25">
      <c r="A12">
        <v>2018</v>
      </c>
      <c r="B12">
        <v>355.25676700000002</v>
      </c>
      <c r="C12">
        <v>0</v>
      </c>
      <c r="D12">
        <f t="shared" si="0"/>
        <v>688015.17884866323</v>
      </c>
      <c r="E12">
        <v>4.3703060000000002</v>
      </c>
      <c r="H12" s="1">
        <v>2018</v>
      </c>
      <c r="I12" s="2">
        <v>4.2414255000000001</v>
      </c>
      <c r="K12">
        <v>2018</v>
      </c>
      <c r="L12">
        <v>4.2411249605330497</v>
      </c>
      <c r="N12">
        <f t="shared" si="1"/>
        <v>1.0303861284372435</v>
      </c>
      <c r="O12">
        <f t="shared" si="2"/>
        <v>-3.0386128437243531E-2</v>
      </c>
      <c r="P12">
        <f t="shared" si="3"/>
        <v>0.99992914187295046</v>
      </c>
      <c r="Q12">
        <f t="shared" si="4"/>
        <v>7.0858127049544528E-5</v>
      </c>
      <c r="Z12">
        <v>2018</v>
      </c>
      <c r="AA12">
        <v>4.37005754326933</v>
      </c>
      <c r="AB12">
        <f t="shared" si="5"/>
        <v>1.0303275498459963</v>
      </c>
      <c r="AC12">
        <v>1</v>
      </c>
    </row>
    <row r="13" spans="1:29" x14ac:dyDescent="0.25">
      <c r="A13">
        <v>2020</v>
      </c>
      <c r="B13">
        <v>336.05680000000001</v>
      </c>
      <c r="C13">
        <v>0</v>
      </c>
      <c r="D13">
        <f t="shared" si="0"/>
        <v>650831.17573748983</v>
      </c>
      <c r="E13">
        <v>4.1358680000000003</v>
      </c>
      <c r="H13" s="1">
        <v>2020</v>
      </c>
      <c r="I13" s="2">
        <v>4.0256610000000004</v>
      </c>
      <c r="K13">
        <v>2020</v>
      </c>
      <c r="L13">
        <v>4.0255264605121299</v>
      </c>
      <c r="N13">
        <f t="shared" si="1"/>
        <v>1.0273761253120917</v>
      </c>
      <c r="O13">
        <f t="shared" si="2"/>
        <v>-2.7376125312091659E-2</v>
      </c>
      <c r="P13">
        <f t="shared" si="3"/>
        <v>0.99996657952871082</v>
      </c>
      <c r="Q13">
        <f t="shared" si="4"/>
        <v>3.3420471289180576E-5</v>
      </c>
      <c r="Z13">
        <v>2020</v>
      </c>
      <c r="AA13">
        <v>4.1721660482262299</v>
      </c>
      <c r="AB13">
        <f t="shared" si="5"/>
        <v>1.036392793190045</v>
      </c>
      <c r="AC13">
        <v>1</v>
      </c>
    </row>
    <row r="14" spans="1:29" x14ac:dyDescent="0.25">
      <c r="A14">
        <v>2022</v>
      </c>
      <c r="B14">
        <v>315.24404199999998</v>
      </c>
      <c r="C14">
        <v>0</v>
      </c>
      <c r="D14">
        <f t="shared" si="0"/>
        <v>610523.72842655936</v>
      </c>
      <c r="E14">
        <v>3.879842</v>
      </c>
      <c r="H14" s="1">
        <v>2022</v>
      </c>
      <c r="I14" s="2">
        <v>3.7911581999999999</v>
      </c>
      <c r="K14">
        <v>2022</v>
      </c>
      <c r="L14">
        <v>3.79165378443555</v>
      </c>
      <c r="N14">
        <f t="shared" si="1"/>
        <v>1.0233922709951804</v>
      </c>
      <c r="O14">
        <f t="shared" si="2"/>
        <v>-2.3392270995180375E-2</v>
      </c>
      <c r="P14">
        <f t="shared" si="3"/>
        <v>1.0001307211172432</v>
      </c>
      <c r="Q14">
        <f t="shared" si="4"/>
        <v>-1.3072111724321545E-4</v>
      </c>
      <c r="Z14">
        <v>2022</v>
      </c>
      <c r="AA14">
        <v>3.94892166359798</v>
      </c>
      <c r="AB14">
        <f t="shared" si="5"/>
        <v>1.0416135268631048</v>
      </c>
      <c r="AC14">
        <v>1</v>
      </c>
    </row>
    <row r="15" spans="1:29" x14ac:dyDescent="0.25">
      <c r="A15">
        <v>2024</v>
      </c>
      <c r="B15">
        <v>293.29671100000002</v>
      </c>
      <c r="C15">
        <v>0</v>
      </c>
      <c r="D15">
        <f t="shared" si="0"/>
        <v>568018.98744518403</v>
      </c>
      <c r="E15">
        <v>3.6116250000000001</v>
      </c>
      <c r="H15" s="1">
        <v>2024</v>
      </c>
      <c r="I15" s="2">
        <v>3.5472548000000002</v>
      </c>
      <c r="K15">
        <v>2024</v>
      </c>
      <c r="L15">
        <v>3.5478725610542101</v>
      </c>
      <c r="N15">
        <f t="shared" si="1"/>
        <v>1.0181464833030884</v>
      </c>
      <c r="O15">
        <f t="shared" si="2"/>
        <v>-1.8146483303088434E-2</v>
      </c>
      <c r="P15">
        <f t="shared" si="3"/>
        <v>1.0001741518692737</v>
      </c>
      <c r="Q15">
        <f t="shared" si="4"/>
        <v>-1.7415186927371984E-4</v>
      </c>
      <c r="Z15">
        <v>2024</v>
      </c>
      <c r="AA15">
        <v>3.7098322323202799</v>
      </c>
      <c r="AB15">
        <f t="shared" si="5"/>
        <v>1.045831901424245</v>
      </c>
      <c r="AC15">
        <v>1</v>
      </c>
    </row>
    <row r="16" spans="1:29" x14ac:dyDescent="0.25">
      <c r="A16">
        <v>2026</v>
      </c>
      <c r="B16">
        <v>271.24939799999999</v>
      </c>
      <c r="C16">
        <v>0</v>
      </c>
      <c r="D16">
        <f t="shared" si="0"/>
        <v>525320.6143081357</v>
      </c>
      <c r="E16">
        <v>3.3401000000000001</v>
      </c>
      <c r="H16" s="1">
        <v>2026</v>
      </c>
      <c r="I16" s="2">
        <v>3.3020119999999999</v>
      </c>
      <c r="K16">
        <v>2026</v>
      </c>
      <c r="L16">
        <v>3.30274580254834</v>
      </c>
      <c r="N16">
        <f t="shared" si="1"/>
        <v>1.0115347854580783</v>
      </c>
      <c r="O16">
        <f t="shared" si="2"/>
        <v>-1.1534785458078289E-2</v>
      </c>
      <c r="P16">
        <f t="shared" si="3"/>
        <v>1.000222228916291</v>
      </c>
      <c r="Q16">
        <f t="shared" si="4"/>
        <v>-2.2222891629097852E-4</v>
      </c>
      <c r="Z16">
        <v>2026</v>
      </c>
      <c r="AA16">
        <v>3.4638397799904599</v>
      </c>
      <c r="AB16">
        <f t="shared" si="5"/>
        <v>1.0490088406675868</v>
      </c>
      <c r="AC16">
        <v>1</v>
      </c>
    </row>
    <row r="17" spans="1:29" x14ac:dyDescent="0.25">
      <c r="A17">
        <v>2028</v>
      </c>
      <c r="B17">
        <v>249.666844</v>
      </c>
      <c r="C17">
        <v>0</v>
      </c>
      <c r="D17">
        <f t="shared" si="0"/>
        <v>483522.32605675119</v>
      </c>
      <c r="E17">
        <v>3.075933</v>
      </c>
      <c r="H17" s="1">
        <v>2028</v>
      </c>
      <c r="I17" s="2">
        <v>3.0637310000000002</v>
      </c>
      <c r="K17">
        <v>2028</v>
      </c>
      <c r="L17">
        <v>3.0647601801806998</v>
      </c>
      <c r="N17">
        <f t="shared" si="1"/>
        <v>1.0039827256374663</v>
      </c>
      <c r="O17">
        <f t="shared" si="2"/>
        <v>-3.9827256374662667E-3</v>
      </c>
      <c r="P17">
        <f t="shared" si="3"/>
        <v>1.000335923806855</v>
      </c>
      <c r="Q17">
        <f t="shared" si="4"/>
        <v>-3.3592380685498746E-4</v>
      </c>
      <c r="Z17">
        <v>2028</v>
      </c>
      <c r="AA17">
        <v>3.2194833409485102</v>
      </c>
      <c r="AB17">
        <f t="shared" si="5"/>
        <v>1.0508374726594829</v>
      </c>
      <c r="AC17">
        <v>1</v>
      </c>
    </row>
    <row r="18" spans="1:29" x14ac:dyDescent="0.25">
      <c r="A18">
        <v>2030</v>
      </c>
      <c r="B18">
        <v>229.351641</v>
      </c>
      <c r="C18">
        <v>0</v>
      </c>
      <c r="D18">
        <f t="shared" si="0"/>
        <v>444178.47866596555</v>
      </c>
      <c r="E18">
        <v>2.8267829999999998</v>
      </c>
      <c r="H18" s="1">
        <v>2030</v>
      </c>
      <c r="I18" s="2">
        <v>2.8407819000000001</v>
      </c>
      <c r="K18">
        <v>2030</v>
      </c>
      <c r="L18">
        <v>2.8419894792908602</v>
      </c>
      <c r="N18">
        <f t="shared" si="1"/>
        <v>0.9950721665749841</v>
      </c>
      <c r="O18">
        <f t="shared" si="2"/>
        <v>4.9278334250159039E-3</v>
      </c>
      <c r="P18">
        <f t="shared" si="3"/>
        <v>1.0004250869420352</v>
      </c>
      <c r="Q18">
        <f t="shared" si="4"/>
        <v>-4.2508694203524655E-4</v>
      </c>
      <c r="Z18">
        <v>2030</v>
      </c>
      <c r="AA18">
        <v>2.98587269061913</v>
      </c>
      <c r="AB18">
        <f t="shared" si="5"/>
        <v>1.0510742449531694</v>
      </c>
      <c r="AC18">
        <v>1</v>
      </c>
    </row>
    <row r="19" spans="1:29" x14ac:dyDescent="0.25">
      <c r="A19">
        <v>2032</v>
      </c>
      <c r="B19">
        <v>211.19694699999999</v>
      </c>
      <c r="C19">
        <v>0</v>
      </c>
      <c r="D19">
        <f t="shared" si="0"/>
        <v>409018.824580185</v>
      </c>
      <c r="E19">
        <v>2.6018490000000001</v>
      </c>
      <c r="H19" s="1">
        <v>2032</v>
      </c>
      <c r="I19" s="2">
        <v>2.6407362999999999</v>
      </c>
      <c r="K19">
        <v>2032</v>
      </c>
      <c r="L19">
        <v>2.6418514170648799</v>
      </c>
      <c r="N19">
        <f t="shared" si="1"/>
        <v>0.98527406920562277</v>
      </c>
      <c r="O19">
        <f t="shared" si="2"/>
        <v>1.4725930794377229E-2</v>
      </c>
      <c r="P19">
        <f t="shared" si="3"/>
        <v>1.0004222750544536</v>
      </c>
      <c r="Q19">
        <f t="shared" si="4"/>
        <v>-4.2227505445358027E-4</v>
      </c>
      <c r="Z19">
        <v>2032</v>
      </c>
      <c r="AA19">
        <v>2.77076559710699</v>
      </c>
      <c r="AB19">
        <f t="shared" si="5"/>
        <v>1.0492397885797951</v>
      </c>
      <c r="AC19">
        <v>1</v>
      </c>
    </row>
    <row r="20" spans="1:29" x14ac:dyDescent="0.25">
      <c r="A20">
        <v>2034</v>
      </c>
      <c r="B20">
        <v>195.407061</v>
      </c>
      <c r="C20">
        <v>0</v>
      </c>
      <c r="D20">
        <f t="shared" si="0"/>
        <v>378439.02357588767</v>
      </c>
      <c r="E20">
        <v>2.4077389999999999</v>
      </c>
      <c r="H20" s="1">
        <v>2034</v>
      </c>
      <c r="I20" s="2">
        <v>2.4694262</v>
      </c>
      <c r="K20">
        <v>2034</v>
      </c>
      <c r="L20">
        <v>2.4708381362674201</v>
      </c>
      <c r="N20">
        <f t="shared" si="1"/>
        <v>0.97501962196724079</v>
      </c>
      <c r="O20">
        <f t="shared" si="2"/>
        <v>2.498037803275921E-2</v>
      </c>
      <c r="P20">
        <f t="shared" si="3"/>
        <v>1.0005717669422234</v>
      </c>
      <c r="Q20">
        <f t="shared" si="4"/>
        <v>-5.7176694222338398E-4</v>
      </c>
      <c r="Z20">
        <v>2034</v>
      </c>
      <c r="AA20">
        <v>2.58095203797805</v>
      </c>
      <c r="AB20">
        <f t="shared" si="5"/>
        <v>1.0451626527563569</v>
      </c>
      <c r="AC20">
        <v>1</v>
      </c>
    </row>
    <row r="21" spans="1:29" x14ac:dyDescent="0.25">
      <c r="A21">
        <v>2036</v>
      </c>
      <c r="B21">
        <v>182.863066</v>
      </c>
      <c r="C21">
        <v>0</v>
      </c>
      <c r="D21">
        <f t="shared" si="0"/>
        <v>354145.44280532992</v>
      </c>
      <c r="E21">
        <v>2.2513550000000002</v>
      </c>
      <c r="H21" s="1">
        <v>2036</v>
      </c>
      <c r="I21" s="2">
        <v>2.3331013</v>
      </c>
      <c r="K21">
        <v>2036</v>
      </c>
      <c r="L21">
        <v>2.33430556472572</v>
      </c>
      <c r="N21">
        <f t="shared" si="1"/>
        <v>0.96496238718824601</v>
      </c>
      <c r="O21">
        <f t="shared" si="2"/>
        <v>3.5037612811753993E-2</v>
      </c>
      <c r="P21">
        <f t="shared" si="3"/>
        <v>1.0005161647827807</v>
      </c>
      <c r="Q21">
        <f t="shared" si="4"/>
        <v>-5.1616478278071476E-4</v>
      </c>
      <c r="Z21">
        <v>2036</v>
      </c>
      <c r="AA21">
        <v>2.42246400329193</v>
      </c>
      <c r="AB21">
        <f t="shared" si="5"/>
        <v>1.0383021102821082</v>
      </c>
      <c r="AC21">
        <v>1</v>
      </c>
    </row>
    <row r="22" spans="1:29" x14ac:dyDescent="0.25">
      <c r="A22">
        <v>2038</v>
      </c>
      <c r="B22">
        <v>173.65998400000001</v>
      </c>
      <c r="C22">
        <v>0</v>
      </c>
      <c r="D22">
        <f t="shared" si="0"/>
        <v>336322.10854020406</v>
      </c>
      <c r="E22">
        <v>2.1371690000000001</v>
      </c>
      <c r="H22" s="1">
        <v>2038</v>
      </c>
      <c r="I22" s="2">
        <v>2.2351747</v>
      </c>
      <c r="K22">
        <v>2038</v>
      </c>
      <c r="L22">
        <v>2.23623096456926</v>
      </c>
      <c r="N22">
        <f t="shared" si="1"/>
        <v>0.95615300226868183</v>
      </c>
      <c r="O22">
        <f t="shared" si="2"/>
        <v>4.3846997731318171E-2</v>
      </c>
      <c r="P22">
        <f t="shared" si="3"/>
        <v>1.0004725646587087</v>
      </c>
      <c r="Q22">
        <f t="shared" si="4"/>
        <v>-4.7256465870870734E-4</v>
      </c>
      <c r="Z22">
        <v>2038</v>
      </c>
      <c r="AA22">
        <v>2.29991755190966</v>
      </c>
      <c r="AB22">
        <f t="shared" si="5"/>
        <v>1.0289654548745832</v>
      </c>
      <c r="AC22">
        <v>1</v>
      </c>
    </row>
    <row r="23" spans="1:29" x14ac:dyDescent="0.25">
      <c r="A23">
        <v>2040</v>
      </c>
      <c r="B23">
        <v>168.165773</v>
      </c>
      <c r="C23">
        <v>0</v>
      </c>
      <c r="D23">
        <f t="shared" si="0"/>
        <v>325681.63405827171</v>
      </c>
      <c r="E23">
        <v>2.0678160000000001</v>
      </c>
      <c r="H23" s="1">
        <v>2040</v>
      </c>
      <c r="I23" s="2">
        <v>2.1779768000000002</v>
      </c>
      <c r="K23">
        <v>2040</v>
      </c>
      <c r="L23">
        <v>2.1790906657066098</v>
      </c>
      <c r="N23">
        <f t="shared" si="1"/>
        <v>0.94942058152318243</v>
      </c>
      <c r="O23">
        <f t="shared" si="2"/>
        <v>5.0579418476817573E-2</v>
      </c>
      <c r="P23">
        <f t="shared" si="3"/>
        <v>1.0005114222091851</v>
      </c>
      <c r="Q23">
        <f t="shared" si="4"/>
        <v>-5.1142220918509729E-4</v>
      </c>
      <c r="Z23">
        <v>2040</v>
      </c>
      <c r="AA23">
        <v>2.2167247841098701</v>
      </c>
      <c r="AB23">
        <f t="shared" si="5"/>
        <v>1.0177908158203843</v>
      </c>
      <c r="AC2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7 Full 0</vt:lpstr>
      <vt:lpstr>Ex 7 Full 1</vt:lpstr>
      <vt:lpstr>Ex 7 Gauss 0-NEW</vt:lpstr>
      <vt:lpstr>Ex 7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DIMITRIOU, Paraskevi</cp:lastModifiedBy>
  <cp:revision>4</cp:revision>
  <dcterms:created xsi:type="dcterms:W3CDTF">2023-12-07T19:00:42Z</dcterms:created>
  <dcterms:modified xsi:type="dcterms:W3CDTF">2025-07-11T15:54:35Z</dcterms:modified>
  <dc:language>pt-PT</dc:language>
</cp:coreProperties>
</file>