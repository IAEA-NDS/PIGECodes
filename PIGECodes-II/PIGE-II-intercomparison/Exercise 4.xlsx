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aeacloud-my.sharepoint.com/personal/p_dimitriou_iaea_org/Documents/Desktop/PIGE_codes-II/Exercises/Results/PIGEcodes-II-round2/"/>
    </mc:Choice>
  </mc:AlternateContent>
  <xr:revisionPtr revIDLastSave="633" documentId="8_{9492B697-2761-4459-9B81-8A1F3EB980CA}" xr6:coauthVersionLast="47" xr6:coauthVersionMax="47" xr10:uidLastSave="{AA81BB9A-04A3-44CC-9793-024C0E2E6735}"/>
  <bookViews>
    <workbookView xWindow="-120" yWindow="-120" windowWidth="29040" windowHeight="17520" tabRatio="500" activeTab="3" xr2:uid="{00000000-000D-0000-FFFF-FFFF00000000}"/>
  </bookViews>
  <sheets>
    <sheet name="Ex 4 Full 0" sheetId="1" r:id="rId1"/>
    <sheet name="Ex 4 Full 1" sheetId="2" r:id="rId2"/>
    <sheet name="Ex 4 Gauss 0" sheetId="3" r:id="rId3"/>
    <sheet name="Ex 4 Gauss 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K14" i="1" l="1"/>
  <c r="K22" i="1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3" i="4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3" i="3"/>
  <c r="M17" i="4"/>
  <c r="N17" i="4" s="1"/>
  <c r="M21" i="4"/>
  <c r="N21" i="4" s="1"/>
  <c r="K7" i="2"/>
  <c r="L7" i="2" s="1"/>
  <c r="K15" i="2"/>
  <c r="L15" i="2" s="1"/>
  <c r="K23" i="2"/>
  <c r="L23" i="2" s="1"/>
  <c r="K22" i="2"/>
  <c r="L22" i="2" s="1"/>
  <c r="K21" i="2"/>
  <c r="K20" i="2"/>
  <c r="K16" i="2"/>
  <c r="L16" i="2" s="1"/>
  <c r="K14" i="2"/>
  <c r="L14" i="2" s="1"/>
  <c r="K13" i="2"/>
  <c r="K8" i="2"/>
  <c r="L8" i="2" s="1"/>
  <c r="K6" i="2"/>
  <c r="L6" i="2" s="1"/>
  <c r="K5" i="2"/>
  <c r="K23" i="1"/>
  <c r="K21" i="1"/>
  <c r="L21" i="1" s="1"/>
  <c r="K15" i="1"/>
  <c r="K13" i="1"/>
  <c r="L13" i="1" s="1"/>
  <c r="K3" i="1"/>
  <c r="O4" i="4"/>
  <c r="P4" i="4" s="1"/>
  <c r="O5" i="4"/>
  <c r="P5" i="4" s="1"/>
  <c r="O6" i="4"/>
  <c r="P6" i="4" s="1"/>
  <c r="O7" i="4"/>
  <c r="P7" i="4" s="1"/>
  <c r="O8" i="4"/>
  <c r="P8" i="4" s="1"/>
  <c r="O9" i="4"/>
  <c r="P9" i="4" s="1"/>
  <c r="O10" i="4"/>
  <c r="P10" i="4" s="1"/>
  <c r="O11" i="4"/>
  <c r="P11" i="4" s="1"/>
  <c r="O12" i="4"/>
  <c r="P12" i="4" s="1"/>
  <c r="O13" i="4"/>
  <c r="P13" i="4" s="1"/>
  <c r="O14" i="4"/>
  <c r="P14" i="4" s="1"/>
  <c r="O15" i="4"/>
  <c r="P15" i="4" s="1"/>
  <c r="O16" i="4"/>
  <c r="P16" i="4" s="1"/>
  <c r="O17" i="4"/>
  <c r="P17" i="4" s="1"/>
  <c r="O18" i="4"/>
  <c r="P18" i="4" s="1"/>
  <c r="O19" i="4"/>
  <c r="P19" i="4" s="1"/>
  <c r="O20" i="4"/>
  <c r="P20" i="4" s="1"/>
  <c r="O21" i="4"/>
  <c r="P21" i="4" s="1"/>
  <c r="O22" i="4"/>
  <c r="P22" i="4" s="1"/>
  <c r="O23" i="4"/>
  <c r="P23" i="4" s="1"/>
  <c r="O3" i="4"/>
  <c r="P3" i="4" s="1"/>
  <c r="D23" i="4"/>
  <c r="M23" i="4" s="1"/>
  <c r="N23" i="4" s="1"/>
  <c r="D22" i="4"/>
  <c r="M22" i="4" s="1"/>
  <c r="N22" i="4" s="1"/>
  <c r="D21" i="4"/>
  <c r="D20" i="4"/>
  <c r="M20" i="4" s="1"/>
  <c r="N20" i="4" s="1"/>
  <c r="D19" i="4"/>
  <c r="M19" i="4" s="1"/>
  <c r="N19" i="4" s="1"/>
  <c r="D18" i="4"/>
  <c r="M18" i="4" s="1"/>
  <c r="N18" i="4" s="1"/>
  <c r="D17" i="4"/>
  <c r="D16" i="4"/>
  <c r="M16" i="4" s="1"/>
  <c r="N16" i="4" s="1"/>
  <c r="D15" i="4"/>
  <c r="M15" i="4" s="1"/>
  <c r="N15" i="4" s="1"/>
  <c r="D14" i="4"/>
  <c r="M14" i="4" s="1"/>
  <c r="N14" i="4" s="1"/>
  <c r="D13" i="4"/>
  <c r="M13" i="4" s="1"/>
  <c r="N13" i="4" s="1"/>
  <c r="D12" i="4"/>
  <c r="M12" i="4" s="1"/>
  <c r="N12" i="4" s="1"/>
  <c r="D11" i="4"/>
  <c r="M11" i="4" s="1"/>
  <c r="N11" i="4" s="1"/>
  <c r="D10" i="4"/>
  <c r="M10" i="4" s="1"/>
  <c r="N10" i="4" s="1"/>
  <c r="D9" i="4"/>
  <c r="M9" i="4" s="1"/>
  <c r="N9" i="4" s="1"/>
  <c r="D8" i="4"/>
  <c r="M8" i="4" s="1"/>
  <c r="N8" i="4" s="1"/>
  <c r="D7" i="4"/>
  <c r="M7" i="4" s="1"/>
  <c r="N7" i="4" s="1"/>
  <c r="D6" i="4"/>
  <c r="M6" i="4" s="1"/>
  <c r="N6" i="4" s="1"/>
  <c r="D5" i="4"/>
  <c r="M5" i="4" s="1"/>
  <c r="N5" i="4" s="1"/>
  <c r="D4" i="4"/>
  <c r="M4" i="4" s="1"/>
  <c r="N4" i="4" s="1"/>
  <c r="D3" i="4"/>
  <c r="M3" i="4" s="1"/>
  <c r="N3" i="4" s="1"/>
  <c r="O4" i="3"/>
  <c r="P4" i="3" s="1"/>
  <c r="O5" i="3"/>
  <c r="P5" i="3" s="1"/>
  <c r="O6" i="3"/>
  <c r="P6" i="3" s="1"/>
  <c r="O7" i="3"/>
  <c r="P7" i="3" s="1"/>
  <c r="O8" i="3"/>
  <c r="P8" i="3" s="1"/>
  <c r="O9" i="3"/>
  <c r="P9" i="3" s="1"/>
  <c r="O10" i="3"/>
  <c r="P10" i="3" s="1"/>
  <c r="O11" i="3"/>
  <c r="P11" i="3" s="1"/>
  <c r="O12" i="3"/>
  <c r="P12" i="3" s="1"/>
  <c r="O13" i="3"/>
  <c r="P13" i="3" s="1"/>
  <c r="O14" i="3"/>
  <c r="P14" i="3" s="1"/>
  <c r="O15" i="3"/>
  <c r="P15" i="3" s="1"/>
  <c r="O16" i="3"/>
  <c r="P16" i="3" s="1"/>
  <c r="O17" i="3"/>
  <c r="P17" i="3" s="1"/>
  <c r="O18" i="3"/>
  <c r="P18" i="3" s="1"/>
  <c r="O19" i="3"/>
  <c r="P19" i="3" s="1"/>
  <c r="O20" i="3"/>
  <c r="P20" i="3" s="1"/>
  <c r="O21" i="3"/>
  <c r="P21" i="3" s="1"/>
  <c r="O22" i="3"/>
  <c r="P22" i="3" s="1"/>
  <c r="O23" i="3"/>
  <c r="P23" i="3" s="1"/>
  <c r="O3" i="3"/>
  <c r="P3" i="3" s="1"/>
  <c r="D23" i="3"/>
  <c r="E23" i="3" s="1"/>
  <c r="M23" i="3" s="1"/>
  <c r="N23" i="3" s="1"/>
  <c r="D22" i="3"/>
  <c r="E22" i="3" s="1"/>
  <c r="M22" i="3" s="1"/>
  <c r="N22" i="3" s="1"/>
  <c r="D21" i="3"/>
  <c r="E21" i="3" s="1"/>
  <c r="M21" i="3" s="1"/>
  <c r="N21" i="3" s="1"/>
  <c r="D20" i="3"/>
  <c r="E20" i="3" s="1"/>
  <c r="M20" i="3" s="1"/>
  <c r="N20" i="3" s="1"/>
  <c r="D19" i="3"/>
  <c r="E19" i="3" s="1"/>
  <c r="M19" i="3" s="1"/>
  <c r="N19" i="3" s="1"/>
  <c r="D18" i="3"/>
  <c r="E18" i="3" s="1"/>
  <c r="M18" i="3" s="1"/>
  <c r="N18" i="3" s="1"/>
  <c r="D17" i="3"/>
  <c r="E17" i="3" s="1"/>
  <c r="M17" i="3" s="1"/>
  <c r="N17" i="3" s="1"/>
  <c r="D16" i="3"/>
  <c r="E16" i="3" s="1"/>
  <c r="M16" i="3" s="1"/>
  <c r="N16" i="3" s="1"/>
  <c r="D15" i="3"/>
  <c r="E15" i="3" s="1"/>
  <c r="M15" i="3" s="1"/>
  <c r="N15" i="3" s="1"/>
  <c r="D14" i="3"/>
  <c r="E14" i="3" s="1"/>
  <c r="M14" i="3" s="1"/>
  <c r="N14" i="3" s="1"/>
  <c r="D13" i="3"/>
  <c r="E13" i="3" s="1"/>
  <c r="M13" i="3" s="1"/>
  <c r="N13" i="3" s="1"/>
  <c r="D12" i="3"/>
  <c r="E12" i="3" s="1"/>
  <c r="M12" i="3" s="1"/>
  <c r="N12" i="3" s="1"/>
  <c r="D11" i="3"/>
  <c r="E11" i="3" s="1"/>
  <c r="M11" i="3" s="1"/>
  <c r="N11" i="3" s="1"/>
  <c r="D10" i="3"/>
  <c r="E10" i="3" s="1"/>
  <c r="M10" i="3" s="1"/>
  <c r="N10" i="3" s="1"/>
  <c r="D9" i="3"/>
  <c r="E9" i="3" s="1"/>
  <c r="M9" i="3" s="1"/>
  <c r="N9" i="3" s="1"/>
  <c r="D8" i="3"/>
  <c r="E8" i="3" s="1"/>
  <c r="M8" i="3" s="1"/>
  <c r="N8" i="3" s="1"/>
  <c r="D7" i="3"/>
  <c r="E7" i="3" s="1"/>
  <c r="M7" i="3" s="1"/>
  <c r="N7" i="3" s="1"/>
  <c r="D6" i="3"/>
  <c r="E6" i="3" s="1"/>
  <c r="M6" i="3" s="1"/>
  <c r="N6" i="3" s="1"/>
  <c r="D5" i="3"/>
  <c r="E5" i="3" s="1"/>
  <c r="M5" i="3" s="1"/>
  <c r="N5" i="3" s="1"/>
  <c r="D4" i="3"/>
  <c r="E4" i="3" s="1"/>
  <c r="M4" i="3" s="1"/>
  <c r="N4" i="3" s="1"/>
  <c r="D3" i="3"/>
  <c r="E3" i="3" s="1"/>
  <c r="M3" i="3" s="1"/>
  <c r="N3" i="3" s="1"/>
  <c r="M4" i="2"/>
  <c r="N4" i="2" s="1"/>
  <c r="M5" i="2"/>
  <c r="N5" i="2" s="1"/>
  <c r="M6" i="2"/>
  <c r="N6" i="2" s="1"/>
  <c r="M7" i="2"/>
  <c r="N7" i="2" s="1"/>
  <c r="M8" i="2"/>
  <c r="N8" i="2" s="1"/>
  <c r="M9" i="2"/>
  <c r="N9" i="2" s="1"/>
  <c r="M10" i="2"/>
  <c r="N10" i="2" s="1"/>
  <c r="M11" i="2"/>
  <c r="N11" i="2" s="1"/>
  <c r="M12" i="2"/>
  <c r="N12" i="2" s="1"/>
  <c r="M13" i="2"/>
  <c r="N13" i="2" s="1"/>
  <c r="M14" i="2"/>
  <c r="N14" i="2" s="1"/>
  <c r="M15" i="2"/>
  <c r="N15" i="2" s="1"/>
  <c r="M16" i="2"/>
  <c r="N16" i="2" s="1"/>
  <c r="M17" i="2"/>
  <c r="N17" i="2" s="1"/>
  <c r="M18" i="2"/>
  <c r="N18" i="2" s="1"/>
  <c r="M19" i="2"/>
  <c r="N19" i="2" s="1"/>
  <c r="M20" i="2"/>
  <c r="N20" i="2" s="1"/>
  <c r="M21" i="2"/>
  <c r="N21" i="2" s="1"/>
  <c r="M22" i="2"/>
  <c r="N22" i="2" s="1"/>
  <c r="M23" i="2"/>
  <c r="N23" i="2" s="1"/>
  <c r="M3" i="2"/>
  <c r="N3" i="2" s="1"/>
  <c r="M4" i="1"/>
  <c r="N4" i="1" s="1"/>
  <c r="M5" i="1"/>
  <c r="N5" i="1" s="1"/>
  <c r="M6" i="1"/>
  <c r="N6" i="1" s="1"/>
  <c r="M7" i="1"/>
  <c r="N7" i="1" s="1"/>
  <c r="M8" i="1"/>
  <c r="N8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N14" i="1" s="1"/>
  <c r="M15" i="1"/>
  <c r="N15" i="1" s="1"/>
  <c r="M16" i="1"/>
  <c r="N16" i="1" s="1"/>
  <c r="M17" i="1"/>
  <c r="N17" i="1" s="1"/>
  <c r="M18" i="1"/>
  <c r="N18" i="1" s="1"/>
  <c r="M19" i="1"/>
  <c r="N19" i="1" s="1"/>
  <c r="M20" i="1"/>
  <c r="N20" i="1" s="1"/>
  <c r="M21" i="1"/>
  <c r="N21" i="1" s="1"/>
  <c r="M22" i="1"/>
  <c r="N22" i="1" s="1"/>
  <c r="M23" i="1"/>
  <c r="N23" i="1" s="1"/>
  <c r="M3" i="1"/>
  <c r="N3" i="1" s="1"/>
  <c r="K5" i="1" l="1"/>
  <c r="L5" i="1" s="1"/>
  <c r="K9" i="1"/>
  <c r="L9" i="1" s="1"/>
  <c r="K17" i="1"/>
  <c r="L17" i="1" s="1"/>
  <c r="K8" i="1"/>
  <c r="L8" i="1" s="1"/>
  <c r="K16" i="1"/>
  <c r="L16" i="1" s="1"/>
  <c r="K7" i="1"/>
  <c r="L7" i="1" s="1"/>
  <c r="K11" i="1"/>
  <c r="L11" i="1" s="1"/>
  <c r="K19" i="1"/>
  <c r="L19" i="1" s="1"/>
  <c r="K10" i="1"/>
  <c r="L10" i="1" s="1"/>
  <c r="K18" i="1"/>
  <c r="L18" i="1" s="1"/>
  <c r="K6" i="1"/>
  <c r="L6" i="1" s="1"/>
  <c r="K20" i="1"/>
  <c r="L20" i="1" s="1"/>
  <c r="K12" i="1"/>
  <c r="L12" i="1" s="1"/>
  <c r="K4" i="1"/>
  <c r="L4" i="1" s="1"/>
  <c r="K11" i="2"/>
  <c r="L11" i="2" s="1"/>
  <c r="K19" i="2"/>
  <c r="L19" i="2" s="1"/>
  <c r="K3" i="2"/>
  <c r="L3" i="2" s="1"/>
  <c r="K4" i="2"/>
  <c r="L4" i="2" s="1"/>
  <c r="K12" i="2"/>
  <c r="L12" i="2" s="1"/>
  <c r="L21" i="2"/>
  <c r="L13" i="2"/>
  <c r="L5" i="2"/>
  <c r="K9" i="2"/>
  <c r="L9" i="2" s="1"/>
  <c r="K17" i="2"/>
  <c r="L17" i="2" s="1"/>
  <c r="L20" i="2"/>
  <c r="K10" i="2"/>
  <c r="L10" i="2" s="1"/>
  <c r="K18" i="2"/>
  <c r="L18" i="2" s="1"/>
  <c r="L3" i="1"/>
  <c r="L23" i="1"/>
  <c r="L14" i="1"/>
  <c r="L15" i="1"/>
  <c r="L22" i="1"/>
</calcChain>
</file>

<file path=xl/sharedStrings.xml><?xml version="1.0" encoding="utf-8"?>
<sst xmlns="http://schemas.openxmlformats.org/spreadsheetml/2006/main" count="64" uniqueCount="14">
  <si>
    <t>Energy (keV)</t>
  </si>
  <si>
    <t>27Al (844 keV)</t>
  </si>
  <si>
    <t>28Si (1779 keV)</t>
  </si>
  <si>
    <t>Renormalization</t>
  </si>
  <si>
    <t>ERYA</t>
  </si>
  <si>
    <t>NDF</t>
  </si>
  <si>
    <t>SMNRA</t>
  </si>
  <si>
    <t>ERYA/NDF</t>
  </si>
  <si>
    <t>SMNRA/NDF</t>
  </si>
  <si>
    <t>REL</t>
  </si>
  <si>
    <t>Count/msr/uC</t>
  </si>
  <si>
    <t>SMNRA-asym</t>
  </si>
  <si>
    <t>VAVILOV</t>
  </si>
  <si>
    <t>YANG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</si>
</sst>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"/>
    <numFmt numFmtId="165" formatCode="0.00000000"/>
    <numFmt numFmtId="166" formatCode="0.00000000000"/>
  </numFmts>
  <fonts count="2" x14ac:knownFonts="1">
    <font>
      <sz val="12"/>
      <name val="Calibri"/>
      <family val="2"/>
      <charset val="1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1" fontId="0" fillId="0" borderId="0" xfId="0" applyNumberFormat="1"/>
    <xf numFmtId="166" fontId="0" fillId="0" borderId="0" xfId="0" applyNumberFormat="1"/>
    <xf numFmtId="0" fontId="1" fillId="0" borderId="0" xfId="1" applyAlignment="1">
      <alignment horizontal="center"/>
    </xf>
    <xf numFmtId="0" fontId="1" fillId="0" borderId="0" xfId="1"/>
  </cellXfs>
  <cellStyles count="2">
    <cellStyle name="Normal" xfId="0" builtinId="0"/>
    <cellStyle name="Normal 2" xfId="1" xr:uid="{B6C0CB08-A3EA-42CF-B8AB-CAB7CC15A8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/>
              <a:t>Ex 4 Full Straggling </a:t>
            </a:r>
            <a:r>
              <a:rPr lang="el-GR" sz="1800"/>
              <a:t>Δ</a:t>
            </a:r>
            <a:r>
              <a:rPr lang="en-GB" sz="1800"/>
              <a:t>E=0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4 Full 0'!$A$3:$A$23</c:f>
              <c:numCache>
                <c:formatCode>General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4 Full 0'!$B$3:$B$23</c:f>
              <c:numCache>
                <c:formatCode>General</c:formatCode>
                <c:ptCount val="21"/>
                <c:pt idx="0">
                  <c:v>4.7952070000000004</c:v>
                </c:pt>
                <c:pt idx="1">
                  <c:v>6.8495369999999998</c:v>
                </c:pt>
                <c:pt idx="2">
                  <c:v>7.2269399999999999</c:v>
                </c:pt>
                <c:pt idx="3">
                  <c:v>7.2811180000000002</c:v>
                </c:pt>
                <c:pt idx="4">
                  <c:v>7.2375509999999998</c:v>
                </c:pt>
                <c:pt idx="5">
                  <c:v>7.0102209999999996</c:v>
                </c:pt>
                <c:pt idx="6">
                  <c:v>6.6369049999999996</c:v>
                </c:pt>
                <c:pt idx="7">
                  <c:v>6.1860229999999996</c:v>
                </c:pt>
                <c:pt idx="8">
                  <c:v>5.7151500000000004</c:v>
                </c:pt>
                <c:pt idx="9">
                  <c:v>5.2818149999999999</c:v>
                </c:pt>
                <c:pt idx="10">
                  <c:v>4.9499789999999999</c:v>
                </c:pt>
                <c:pt idx="11">
                  <c:v>4.7377010000000004</c:v>
                </c:pt>
                <c:pt idx="12">
                  <c:v>4.5965769999999999</c:v>
                </c:pt>
                <c:pt idx="13">
                  <c:v>4.4177080000000002</c:v>
                </c:pt>
                <c:pt idx="14">
                  <c:v>4.0975250000000001</c:v>
                </c:pt>
                <c:pt idx="15">
                  <c:v>3.591008</c:v>
                </c:pt>
                <c:pt idx="16">
                  <c:v>2.9445350000000001</c:v>
                </c:pt>
                <c:pt idx="17">
                  <c:v>2.2679399999999998</c:v>
                </c:pt>
                <c:pt idx="18">
                  <c:v>1.671252</c:v>
                </c:pt>
                <c:pt idx="19">
                  <c:v>1.222888</c:v>
                </c:pt>
                <c:pt idx="20">
                  <c:v>0.93540800000000002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5EA-4780-B5B7-06CEF7E11930}"/>
            </c:ext>
          </c:extLst>
        </c:ser>
        <c:ser>
          <c:idx val="1"/>
          <c:order val="1"/>
          <c:tx>
            <c:v>NDF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4 Full 0'!$D$3:$D$23</c:f>
              <c:numCache>
                <c:formatCode>0.00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4 Full 0'!$E$3:$E$23</c:f>
              <c:numCache>
                <c:formatCode>0.00000000</c:formatCode>
                <c:ptCount val="21"/>
                <c:pt idx="0">
                  <c:v>5.0793790999999997</c:v>
                </c:pt>
                <c:pt idx="1">
                  <c:v>6.8898349000000003</c:v>
                </c:pt>
                <c:pt idx="2">
                  <c:v>7.1898704000000002</c:v>
                </c:pt>
                <c:pt idx="3">
                  <c:v>7.1974893</c:v>
                </c:pt>
                <c:pt idx="4">
                  <c:v>7.1663756000000003</c:v>
                </c:pt>
                <c:pt idx="5">
                  <c:v>6.9597726</c:v>
                </c:pt>
                <c:pt idx="6">
                  <c:v>6.6039833999999997</c:v>
                </c:pt>
                <c:pt idx="7">
                  <c:v>6.1644696999999997</c:v>
                </c:pt>
                <c:pt idx="8">
                  <c:v>5.7154002000000004</c:v>
                </c:pt>
                <c:pt idx="9">
                  <c:v>5.3245038999999998</c:v>
                </c:pt>
                <c:pt idx="10">
                  <c:v>5.0269341000000001</c:v>
                </c:pt>
                <c:pt idx="11">
                  <c:v>4.8174472000000002</c:v>
                </c:pt>
                <c:pt idx="12">
                  <c:v>4.6500864000000002</c:v>
                </c:pt>
                <c:pt idx="13">
                  <c:v>4.4415015999999996</c:v>
                </c:pt>
                <c:pt idx="14">
                  <c:v>4.1015357999999997</c:v>
                </c:pt>
                <c:pt idx="15">
                  <c:v>3.5876849000000002</c:v>
                </c:pt>
                <c:pt idx="16">
                  <c:v>2.9394124000000001</c:v>
                </c:pt>
                <c:pt idx="17">
                  <c:v>2.2624895999999999</c:v>
                </c:pt>
                <c:pt idx="18">
                  <c:v>1.6679299000000001</c:v>
                </c:pt>
                <c:pt idx="19">
                  <c:v>1.2250714</c:v>
                </c:pt>
                <c:pt idx="20">
                  <c:v>0.94466167999999995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5EA-4780-B5B7-06CEF7E11930}"/>
            </c:ext>
          </c:extLst>
        </c:ser>
        <c:ser>
          <c:idx val="2"/>
          <c:order val="2"/>
          <c:tx>
            <c:v>SIMNRA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4 Full 0'!$D$3:$D$23</c:f>
              <c:numCache>
                <c:formatCode>0.00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4 Full 0'!$H$3:$H$23</c:f>
              <c:numCache>
                <c:formatCode>General</c:formatCode>
                <c:ptCount val="21"/>
                <c:pt idx="0">
                  <c:v>4.9734030610095603</c:v>
                </c:pt>
                <c:pt idx="1">
                  <c:v>6.9293395605203898</c:v>
                </c:pt>
                <c:pt idx="2">
                  <c:v>7.21507806817415</c:v>
                </c:pt>
                <c:pt idx="3">
                  <c:v>7.2232123884488599</c:v>
                </c:pt>
                <c:pt idx="4">
                  <c:v>7.1927841604052603</c:v>
                </c:pt>
                <c:pt idx="5">
                  <c:v>6.9786923337381497</c:v>
                </c:pt>
                <c:pt idx="6">
                  <c:v>6.6044371698858004</c:v>
                </c:pt>
                <c:pt idx="7">
                  <c:v>6.1515832923471399</c:v>
                </c:pt>
                <c:pt idx="8">
                  <c:v>5.6973512630177598</c:v>
                </c:pt>
                <c:pt idx="9">
                  <c:v>5.3087137240621498</c:v>
                </c:pt>
                <c:pt idx="10">
                  <c:v>5.0186199785038799</c:v>
                </c:pt>
                <c:pt idx="11">
                  <c:v>4.8231244445877604</c:v>
                </c:pt>
                <c:pt idx="12">
                  <c:v>4.67898294286507</c:v>
                </c:pt>
                <c:pt idx="13">
                  <c:v>4.4890036385490202</c:v>
                </c:pt>
                <c:pt idx="14">
                  <c:v>4.1394588781150103</c:v>
                </c:pt>
                <c:pt idx="15">
                  <c:v>3.5908905801862701</c:v>
                </c:pt>
                <c:pt idx="16">
                  <c:v>2.9170209897596502</c:v>
                </c:pt>
                <c:pt idx="17">
                  <c:v>2.2318966536179499</c:v>
                </c:pt>
                <c:pt idx="18">
                  <c:v>1.6417736863885</c:v>
                </c:pt>
                <c:pt idx="19">
                  <c:v>1.20874772575039</c:v>
                </c:pt>
                <c:pt idx="20">
                  <c:v>0.93675751242222405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5EA-4780-B5B7-06CEF7E11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804528"/>
        <c:axId val="588811368"/>
      </c:scatterChart>
      <c:valAx>
        <c:axId val="588804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811368"/>
        <c:crossesAt val="0.1"/>
        <c:crossBetween val="midCat"/>
      </c:valAx>
      <c:valAx>
        <c:axId val="588811368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8045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4 Full 0'!$D$3:$D$23</c:f>
              <c:numCache>
                <c:formatCode>0.00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4 Full 0'!$K$3:$K$23</c:f>
              <c:numCache>
                <c:formatCode>General</c:formatCode>
                <c:ptCount val="21"/>
                <c:pt idx="0">
                  <c:v>0.94405377224157194</c:v>
                </c:pt>
                <c:pt idx="1">
                  <c:v>0.99415110803308215</c:v>
                </c:pt>
                <c:pt idx="2">
                  <c:v>1.0051558092062409</c:v>
                </c:pt>
                <c:pt idx="3">
                  <c:v>1.0116191489162756</c:v>
                </c:pt>
                <c:pt idx="4">
                  <c:v>1.0099318545346687</c:v>
                </c:pt>
                <c:pt idx="5">
                  <c:v>1.007248570161617</c:v>
                </c:pt>
                <c:pt idx="6">
                  <c:v>1.0049851124701494</c:v>
                </c:pt>
                <c:pt idx="7">
                  <c:v>1.0034963753654267</c:v>
                </c:pt>
                <c:pt idx="8">
                  <c:v>0.99995622353794233</c:v>
                </c:pt>
                <c:pt idx="9">
                  <c:v>0.99198255822481418</c:v>
                </c:pt>
                <c:pt idx="10">
                  <c:v>0.98469144443329781</c:v>
                </c:pt>
                <c:pt idx="11">
                  <c:v>0.98344637799040124</c:v>
                </c:pt>
                <c:pt idx="12">
                  <c:v>0.98849281596144101</c:v>
                </c:pt>
                <c:pt idx="13">
                  <c:v>0.99464289284506857</c:v>
                </c:pt>
                <c:pt idx="14">
                  <c:v>0.99902212239620103</c:v>
                </c:pt>
                <c:pt idx="15">
                  <c:v>1.0009262519124797</c:v>
                </c:pt>
                <c:pt idx="16">
                  <c:v>1.0017427292611272</c:v>
                </c:pt>
                <c:pt idx="17">
                  <c:v>1.002409027648127</c:v>
                </c:pt>
                <c:pt idx="18">
                  <c:v>1.0019917503727225</c:v>
                </c:pt>
                <c:pt idx="19">
                  <c:v>0.99821773653356038</c:v>
                </c:pt>
                <c:pt idx="20">
                  <c:v>0.99020423904566557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E4-4BC0-8B8B-AA346694963C}"/>
            </c:ext>
          </c:extLst>
        </c:ser>
        <c:ser>
          <c:idx val="1"/>
          <c:order val="1"/>
          <c:tx>
            <c:v>SIMNRA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4 Full 0'!$G$3:$G$23</c:f>
              <c:numCache>
                <c:formatCode>General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4 Full 0'!$M$3:$M$23</c:f>
              <c:numCache>
                <c:formatCode>General</c:formatCode>
                <c:ptCount val="21"/>
                <c:pt idx="0">
                  <c:v>0.97913602491484852</c:v>
                </c:pt>
                <c:pt idx="1">
                  <c:v>1.005733760110912</c:v>
                </c:pt>
                <c:pt idx="2">
                  <c:v>1.0035059975732177</c:v>
                </c:pt>
                <c:pt idx="3">
                  <c:v>1.003573897421266</c:v>
                </c:pt>
                <c:pt idx="4">
                  <c:v>1.0036850650704465</c:v>
                </c:pt>
                <c:pt idx="5">
                  <c:v>1.0027184413666259</c:v>
                </c:pt>
                <c:pt idx="6">
                  <c:v>1.0000687115424609</c:v>
                </c:pt>
                <c:pt idx="7">
                  <c:v>0.99790956752486593</c:v>
                </c:pt>
                <c:pt idx="8">
                  <c:v>0.99684205193850806</c:v>
                </c:pt>
                <c:pt idx="9">
                  <c:v>0.9970344324589846</c:v>
                </c:pt>
                <c:pt idx="10">
                  <c:v>0.99834608504294498</c:v>
                </c:pt>
                <c:pt idx="11">
                  <c:v>1.0011784757262643</c:v>
                </c:pt>
                <c:pt idx="12">
                  <c:v>1.0062141948298142</c:v>
                </c:pt>
                <c:pt idx="13">
                  <c:v>1.0106950402875057</c:v>
                </c:pt>
                <c:pt idx="14">
                  <c:v>1.0092460678058719</c:v>
                </c:pt>
                <c:pt idx="15">
                  <c:v>1.0008935233376459</c:v>
                </c:pt>
                <c:pt idx="16">
                  <c:v>0.99238235157463783</c:v>
                </c:pt>
                <c:pt idx="17">
                  <c:v>0.98647819358725453</c:v>
                </c:pt>
                <c:pt idx="18">
                  <c:v>0.98431815772863107</c:v>
                </c:pt>
                <c:pt idx="19">
                  <c:v>0.98667532827098081</c:v>
                </c:pt>
                <c:pt idx="20">
                  <c:v>0.99163280596099135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B7-42B7-8C89-E653738548E7}"/>
            </c:ext>
          </c:extLst>
        </c:ser>
        <c:ser>
          <c:idx val="2"/>
          <c:order val="2"/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'Ex 4 Full 0'!$G$3:$G$23</c:f>
              <c:numCache>
                <c:formatCode>General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4 Full 0'!$S$3:$S$23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86-4A5B-B3BE-B064B366E3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1443880"/>
        <c:axId val="601432720"/>
      </c:scatterChart>
      <c:valAx>
        <c:axId val="601443880"/>
        <c:scaling>
          <c:orientation val="minMax"/>
          <c:max val="1723.3"/>
          <c:min val="1683.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432720"/>
        <c:crosses val="autoZero"/>
        <c:crossBetween val="midCat"/>
      </c:valAx>
      <c:valAx>
        <c:axId val="601432720"/>
        <c:scaling>
          <c:orientation val="minMax"/>
          <c:min val="0.9600000000000000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ratio to NDF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443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/>
              <a:t>Ex</a:t>
            </a:r>
            <a:r>
              <a:rPr lang="en-GB" sz="1800" baseline="0"/>
              <a:t> 4 Full Straggling </a:t>
            </a:r>
            <a:r>
              <a:rPr lang="el-GR" sz="1800" baseline="0"/>
              <a:t>Δ</a:t>
            </a:r>
            <a:r>
              <a:rPr lang="en-GB" sz="1800" baseline="0"/>
              <a:t>E=1</a:t>
            </a:r>
            <a:endParaRPr lang="en-GB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4 Full 1'!$A$3:$A$23</c:f>
              <c:numCache>
                <c:formatCode>General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4 Full 1'!$B$3:$B$23</c:f>
              <c:numCache>
                <c:formatCode>General</c:formatCode>
                <c:ptCount val="21"/>
                <c:pt idx="0">
                  <c:v>4.8383459999999996</c:v>
                </c:pt>
                <c:pt idx="1">
                  <c:v>6.8634820000000003</c:v>
                </c:pt>
                <c:pt idx="2">
                  <c:v>7.2739380000000002</c:v>
                </c:pt>
                <c:pt idx="3">
                  <c:v>7.3225689999999997</c:v>
                </c:pt>
                <c:pt idx="4">
                  <c:v>7.2261559999999996</c:v>
                </c:pt>
                <c:pt idx="5">
                  <c:v>6.9524229999999996</c:v>
                </c:pt>
                <c:pt idx="6">
                  <c:v>6.5597399999999997</c:v>
                </c:pt>
                <c:pt idx="7">
                  <c:v>6.120228</c:v>
                </c:pt>
                <c:pt idx="8">
                  <c:v>5.6859419999999998</c:v>
                </c:pt>
                <c:pt idx="9">
                  <c:v>5.3034910000000002</c:v>
                </c:pt>
                <c:pt idx="10">
                  <c:v>5.0116880000000004</c:v>
                </c:pt>
                <c:pt idx="11">
                  <c:v>4.8136840000000003</c:v>
                </c:pt>
                <c:pt idx="12">
                  <c:v>4.6592500000000001</c:v>
                </c:pt>
                <c:pt idx="13">
                  <c:v>4.4507399999999997</c:v>
                </c:pt>
                <c:pt idx="14">
                  <c:v>4.0979080000000003</c:v>
                </c:pt>
                <c:pt idx="15">
                  <c:v>3.5697320000000001</c:v>
                </c:pt>
                <c:pt idx="16">
                  <c:v>2.915975</c:v>
                </c:pt>
                <c:pt idx="17">
                  <c:v>2.2430330000000001</c:v>
                </c:pt>
                <c:pt idx="18">
                  <c:v>1.655446</c:v>
                </c:pt>
                <c:pt idx="19">
                  <c:v>1.2164250000000001</c:v>
                </c:pt>
                <c:pt idx="20">
                  <c:v>0.93611999999999995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FF-420B-A12B-565C529EAAB2}"/>
            </c:ext>
          </c:extLst>
        </c:ser>
        <c:ser>
          <c:idx val="1"/>
          <c:order val="1"/>
          <c:tx>
            <c:v>NDF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4 Full 1'!$D$3:$D$23</c:f>
              <c:numCache>
                <c:formatCode>0.00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4 Full 1'!$E$3:$E$23</c:f>
              <c:numCache>
                <c:formatCode>0.0000000</c:formatCode>
                <c:ptCount val="21"/>
                <c:pt idx="0">
                  <c:v>5.0484719</c:v>
                </c:pt>
                <c:pt idx="1">
                  <c:v>6.8573155000000003</c:v>
                </c:pt>
                <c:pt idx="2">
                  <c:v>7.1827911999999996</c:v>
                </c:pt>
                <c:pt idx="3">
                  <c:v>7.1988028999999996</c:v>
                </c:pt>
                <c:pt idx="4">
                  <c:v>7.1622262000000001</c:v>
                </c:pt>
                <c:pt idx="5">
                  <c:v>6.9564576000000002</c:v>
                </c:pt>
                <c:pt idx="6">
                  <c:v>6.6019807000000004</c:v>
                </c:pt>
                <c:pt idx="7">
                  <c:v>6.1642422999999997</c:v>
                </c:pt>
                <c:pt idx="8">
                  <c:v>5.7167683</c:v>
                </c:pt>
                <c:pt idx="9">
                  <c:v>5.3268895000000001</c:v>
                </c:pt>
                <c:pt idx="10">
                  <c:v>5.0289130000000002</c:v>
                </c:pt>
                <c:pt idx="11">
                  <c:v>4.8184155999999998</c:v>
                </c:pt>
                <c:pt idx="12">
                  <c:v>4.6494255000000004</c:v>
                </c:pt>
                <c:pt idx="13">
                  <c:v>4.4384480000000002</c:v>
                </c:pt>
                <c:pt idx="14">
                  <c:v>4.0974879</c:v>
                </c:pt>
                <c:pt idx="15">
                  <c:v>3.5844847999999998</c:v>
                </c:pt>
                <c:pt idx="16">
                  <c:v>2.9387506999999999</c:v>
                </c:pt>
                <c:pt idx="17">
                  <c:v>2.2643366</c:v>
                </c:pt>
                <c:pt idx="18">
                  <c:v>1.6713928</c:v>
                </c:pt>
                <c:pt idx="19">
                  <c:v>1.2287846</c:v>
                </c:pt>
                <c:pt idx="20">
                  <c:v>0.94766355000000002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FF-420B-A12B-565C529EAAB2}"/>
            </c:ext>
          </c:extLst>
        </c:ser>
        <c:ser>
          <c:idx val="2"/>
          <c:order val="2"/>
          <c:tx>
            <c:v>SIMNRA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4 Full 1'!$D$3:$D$23</c:f>
              <c:numCache>
                <c:formatCode>0.00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4 Full 1'!$H$3:$H$23</c:f>
              <c:numCache>
                <c:formatCode>General</c:formatCode>
                <c:ptCount val="21"/>
                <c:pt idx="0">
                  <c:v>4.9962566654663902</c:v>
                </c:pt>
                <c:pt idx="1">
                  <c:v>6.8825206242808896</c:v>
                </c:pt>
                <c:pt idx="2">
                  <c:v>7.2074322918071898</c:v>
                </c:pt>
                <c:pt idx="3">
                  <c:v>7.2249418617435301</c:v>
                </c:pt>
                <c:pt idx="4">
                  <c:v>7.1887633212702502</c:v>
                </c:pt>
                <c:pt idx="5">
                  <c:v>6.97467340616413</c:v>
                </c:pt>
                <c:pt idx="6">
                  <c:v>6.6026954292018001</c:v>
                </c:pt>
                <c:pt idx="7">
                  <c:v>6.1514760099241803</c:v>
                </c:pt>
                <c:pt idx="8">
                  <c:v>5.6989558117631303</c:v>
                </c:pt>
                <c:pt idx="9">
                  <c:v>5.3113646284313401</c:v>
                </c:pt>
                <c:pt idx="10">
                  <c:v>5.0210050398822501</c:v>
                </c:pt>
                <c:pt idx="11">
                  <c:v>4.8242179607131304</c:v>
                </c:pt>
                <c:pt idx="12">
                  <c:v>4.6773865702597996</c:v>
                </c:pt>
                <c:pt idx="13">
                  <c:v>4.4855618765108396</c:v>
                </c:pt>
                <c:pt idx="14">
                  <c:v>4.1346610522653</c:v>
                </c:pt>
                <c:pt idx="15">
                  <c:v>3.5877410414942199</c:v>
                </c:pt>
                <c:pt idx="16">
                  <c:v>2.91688718101486</c:v>
                </c:pt>
                <c:pt idx="17">
                  <c:v>2.2344255917748099</c:v>
                </c:pt>
                <c:pt idx="18">
                  <c:v>1.6456070819442199</c:v>
                </c:pt>
                <c:pt idx="19">
                  <c:v>1.2125714692644201</c:v>
                </c:pt>
                <c:pt idx="20">
                  <c:v>0.93973523034164497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5FF-420B-A12B-565C529EA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3131960"/>
        <c:axId val="1013137000"/>
      </c:scatterChart>
      <c:valAx>
        <c:axId val="1013131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137000"/>
        <c:crosses val="autoZero"/>
        <c:crossBetween val="midCat"/>
      </c:valAx>
      <c:valAx>
        <c:axId val="1013137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131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4 Full 1'!$D$3:$D$23</c:f>
              <c:numCache>
                <c:formatCode>0.00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4 Full 1'!$K$3:$K$23</c:f>
              <c:numCache>
                <c:formatCode>General</c:formatCode>
                <c:ptCount val="21"/>
                <c:pt idx="0">
                  <c:v>0.9583783164168943</c:v>
                </c:pt>
                <c:pt idx="1">
                  <c:v>1.0008992586092911</c:v>
                </c:pt>
                <c:pt idx="2">
                  <c:v>1.012689607349299</c:v>
                </c:pt>
                <c:pt idx="3">
                  <c:v>1.0171925946187526</c:v>
                </c:pt>
                <c:pt idx="4">
                  <c:v>1.0089259677389133</c:v>
                </c:pt>
                <c:pt idx="5">
                  <c:v>0.99942002090259263</c:v>
                </c:pt>
                <c:pt idx="6">
                  <c:v>0.99360181407376713</c:v>
                </c:pt>
                <c:pt idx="7">
                  <c:v>0.99285973881980605</c:v>
                </c:pt>
                <c:pt idx="8">
                  <c:v>0.99460774018075904</c:v>
                </c:pt>
                <c:pt idx="9">
                  <c:v>0.99560747411786932</c:v>
                </c:pt>
                <c:pt idx="10">
                  <c:v>0.99657480652379549</c:v>
                </c:pt>
                <c:pt idx="11">
                  <c:v>0.9990180174578549</c:v>
                </c:pt>
                <c:pt idx="12">
                  <c:v>1.0021130567636796</c:v>
                </c:pt>
                <c:pt idx="13">
                  <c:v>1.0027694365237578</c:v>
                </c:pt>
                <c:pt idx="14">
                  <c:v>1.0001025262332075</c:v>
                </c:pt>
                <c:pt idx="15">
                  <c:v>0.99588426208419134</c:v>
                </c:pt>
                <c:pt idx="16">
                  <c:v>0.99224986998727049</c:v>
                </c:pt>
                <c:pt idx="17">
                  <c:v>0.99059168146643928</c:v>
                </c:pt>
                <c:pt idx="18">
                  <c:v>0.99045897529294125</c:v>
                </c:pt>
                <c:pt idx="19">
                  <c:v>0.98994160571348311</c:v>
                </c:pt>
                <c:pt idx="20">
                  <c:v>0.98781893637251317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37-4111-9B35-F9D2A02A51FB}"/>
            </c:ext>
          </c:extLst>
        </c:ser>
        <c:ser>
          <c:idx val="1"/>
          <c:order val="1"/>
          <c:tx>
            <c:v>SIMNRA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4 Full 1'!$G$3:$G$23</c:f>
              <c:numCache>
                <c:formatCode>General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4 Full 1'!$M$3:$M$23</c:f>
              <c:numCache>
                <c:formatCode>General</c:formatCode>
                <c:ptCount val="21"/>
                <c:pt idx="0">
                  <c:v>0.98965721993349909</c:v>
                </c:pt>
                <c:pt idx="1">
                  <c:v>1.0036756547486971</c:v>
                </c:pt>
                <c:pt idx="2">
                  <c:v>1.0034305733135038</c:v>
                </c:pt>
                <c:pt idx="3">
                  <c:v>1.0036310150599526</c:v>
                </c:pt>
                <c:pt idx="4">
                  <c:v>1.0037051498415743</c:v>
                </c:pt>
                <c:pt idx="5">
                  <c:v>1.0026185462790904</c:v>
                </c:pt>
                <c:pt idx="6">
                  <c:v>1.0001082598138766</c:v>
                </c:pt>
                <c:pt idx="7">
                  <c:v>0.99792897659525492</c:v>
                </c:pt>
                <c:pt idx="8">
                  <c:v>0.9968841682394457</c:v>
                </c:pt>
                <c:pt idx="9">
                  <c:v>0.9970855653062336</c:v>
                </c:pt>
                <c:pt idx="10">
                  <c:v>0.99842750110853973</c:v>
                </c:pt>
                <c:pt idx="11">
                  <c:v>1.0012042051152936</c:v>
                </c:pt>
                <c:pt idx="12">
                  <c:v>1.0060138763939328</c:v>
                </c:pt>
                <c:pt idx="13">
                  <c:v>1.0106149438972449</c:v>
                </c:pt>
                <c:pt idx="14">
                  <c:v>1.0090721810954708</c:v>
                </c:pt>
                <c:pt idx="15">
                  <c:v>1.0009084266431316</c:v>
                </c:pt>
                <c:pt idx="16">
                  <c:v>0.99256026753642634</c:v>
                </c:pt>
                <c:pt idx="17">
                  <c:v>0.98679038786671991</c:v>
                </c:pt>
                <c:pt idx="18">
                  <c:v>0.98457231713826932</c:v>
                </c:pt>
                <c:pt idx="19">
                  <c:v>0.98680555506996104</c:v>
                </c:pt>
                <c:pt idx="20">
                  <c:v>0.99163382441125325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A9-4679-8CD2-2D3BD66757E6}"/>
            </c:ext>
          </c:extLst>
        </c:ser>
        <c:ser>
          <c:idx val="2"/>
          <c:order val="2"/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'Ex 4 Full 1'!$G$3:$G$23</c:f>
              <c:numCache>
                <c:formatCode>General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4 Full 1'!$Z$3:$Z$23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7F-43E0-A168-623703299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3135920"/>
        <c:axId val="1013136640"/>
      </c:scatterChart>
      <c:valAx>
        <c:axId val="1013135920"/>
        <c:scaling>
          <c:orientation val="minMax"/>
          <c:max val="1723.3"/>
          <c:min val="1683.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</a:t>
                </a:r>
                <a:r>
                  <a:rPr lang="en-GB" sz="1600" baseline="0"/>
                  <a:t> energy )keV)</a:t>
                </a:r>
                <a:endParaRPr lang="en-GB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136640"/>
        <c:crosses val="autoZero"/>
        <c:crossBetween val="midCat"/>
      </c:valAx>
      <c:valAx>
        <c:axId val="1013136640"/>
        <c:scaling>
          <c:orientation val="minMax"/>
          <c:min val="0.95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ratio to NDF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135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/>
              <a:t>Ex 4 Gauss Straggling </a:t>
            </a:r>
            <a:r>
              <a:rPr lang="el-GR" sz="1800"/>
              <a:t>Δ</a:t>
            </a:r>
            <a:r>
              <a:rPr lang="en-GB" sz="1800"/>
              <a:t>E=0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4 Gauss 0'!$G$3:$G$23</c:f>
              <c:numCache>
                <c:formatCode>0.00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4 Gauss 0'!$E$3:$E$23</c:f>
              <c:numCache>
                <c:formatCode>General</c:formatCode>
                <c:ptCount val="21"/>
                <c:pt idx="0">
                  <c:v>4.9798132049766828</c:v>
                </c:pt>
                <c:pt idx="1">
                  <c:v>6.8140657379896741</c:v>
                </c:pt>
                <c:pt idx="2">
                  <c:v>7.1624371050813664</c:v>
                </c:pt>
                <c:pt idx="3">
                  <c:v>7.1819193994918615</c:v>
                </c:pt>
                <c:pt idx="4">
                  <c:v>7.1522734961808521</c:v>
                </c:pt>
                <c:pt idx="5">
                  <c:v>6.9735607566706221</c:v>
                </c:pt>
                <c:pt idx="6">
                  <c:v>6.6461019118885289</c:v>
                </c:pt>
                <c:pt idx="7">
                  <c:v>6.2179629407169745</c:v>
                </c:pt>
                <c:pt idx="8">
                  <c:v>5.7572880048818025</c:v>
                </c:pt>
                <c:pt idx="9">
                  <c:v>5.3394986400581592</c:v>
                </c:pt>
                <c:pt idx="10">
                  <c:v>5.013959189348637</c:v>
                </c:pt>
                <c:pt idx="11">
                  <c:v>4.7834732398870976</c:v>
                </c:pt>
                <c:pt idx="12">
                  <c:v>4.6082679614061721</c:v>
                </c:pt>
                <c:pt idx="13">
                  <c:v>4.4138430121029453</c:v>
                </c:pt>
                <c:pt idx="14">
                  <c:v>4.1151783283978114</c:v>
                </c:pt>
                <c:pt idx="15">
                  <c:v>3.6555898084849336</c:v>
                </c:pt>
                <c:pt idx="16">
                  <c:v>3.0408173610625413</c:v>
                </c:pt>
                <c:pt idx="17">
                  <c:v>2.3543490297226861</c:v>
                </c:pt>
                <c:pt idx="18">
                  <c:v>1.7169595943940288</c:v>
                </c:pt>
                <c:pt idx="19">
                  <c:v>1.2277048863370945</c:v>
                </c:pt>
                <c:pt idx="20">
                  <c:v>0.92039849583068645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52-43E0-9AA7-182EBDBCD526}"/>
            </c:ext>
          </c:extLst>
        </c:ser>
        <c:ser>
          <c:idx val="1"/>
          <c:order val="1"/>
          <c:tx>
            <c:v>NDF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4 Gauss 0'!$G$3:$G$23</c:f>
              <c:numCache>
                <c:formatCode>0.00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4 Gauss 0'!$H$3:$H$23</c:f>
              <c:numCache>
                <c:formatCode>0.0000000</c:formatCode>
                <c:ptCount val="21"/>
                <c:pt idx="0">
                  <c:v>5.0314417000000002</c:v>
                </c:pt>
                <c:pt idx="1">
                  <c:v>6.8375440000000003</c:v>
                </c:pt>
                <c:pt idx="2">
                  <c:v>7.1715135999999999</c:v>
                </c:pt>
                <c:pt idx="3">
                  <c:v>7.1832089000000003</c:v>
                </c:pt>
                <c:pt idx="4">
                  <c:v>7.1552958000000002</c:v>
                </c:pt>
                <c:pt idx="5">
                  <c:v>6.9717039999999999</c:v>
                </c:pt>
                <c:pt idx="6">
                  <c:v>6.6377496999999996</c:v>
                </c:pt>
                <c:pt idx="7">
                  <c:v>6.2092885999999998</c:v>
                </c:pt>
                <c:pt idx="8">
                  <c:v>5.7513446999999998</c:v>
                </c:pt>
                <c:pt idx="9">
                  <c:v>5.3371005</c:v>
                </c:pt>
                <c:pt idx="10">
                  <c:v>5.0141977999999998</c:v>
                </c:pt>
                <c:pt idx="11">
                  <c:v>4.7848682</c:v>
                </c:pt>
                <c:pt idx="12">
                  <c:v>4.6073556</c:v>
                </c:pt>
                <c:pt idx="13">
                  <c:v>4.4059758000000002</c:v>
                </c:pt>
                <c:pt idx="14">
                  <c:v>4.0974025999999997</c:v>
                </c:pt>
                <c:pt idx="15">
                  <c:v>3.6281948000000002</c:v>
                </c:pt>
                <c:pt idx="16">
                  <c:v>3.0090140999999999</c:v>
                </c:pt>
                <c:pt idx="17">
                  <c:v>2.3249316000000002</c:v>
                </c:pt>
                <c:pt idx="18">
                  <c:v>1.6951655000000001</c:v>
                </c:pt>
                <c:pt idx="19">
                  <c:v>1.2152780999999999</c:v>
                </c:pt>
                <c:pt idx="20">
                  <c:v>0.91523677000000003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52-43E0-9AA7-182EBDBCD526}"/>
            </c:ext>
          </c:extLst>
        </c:ser>
        <c:ser>
          <c:idx val="2"/>
          <c:order val="2"/>
          <c:tx>
            <c:v>SIMNRA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4 Gauss 0'!$G$3:$G$23</c:f>
              <c:numCache>
                <c:formatCode>0.00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4 Gauss 0'!$K$3:$K$23</c:f>
              <c:numCache>
                <c:formatCode>General</c:formatCode>
                <c:ptCount val="21"/>
                <c:pt idx="0">
                  <c:v>5.0312062769531103</c:v>
                </c:pt>
                <c:pt idx="1">
                  <c:v>6.8377281362072697</c:v>
                </c:pt>
                <c:pt idx="2">
                  <c:v>7.1724945122398402</c:v>
                </c:pt>
                <c:pt idx="3">
                  <c:v>7.1872267930035099</c:v>
                </c:pt>
                <c:pt idx="4">
                  <c:v>7.1534008589047504</c:v>
                </c:pt>
                <c:pt idx="5">
                  <c:v>6.9690644310906604</c:v>
                </c:pt>
                <c:pt idx="6">
                  <c:v>6.6378819390096604</c:v>
                </c:pt>
                <c:pt idx="7">
                  <c:v>6.2091824607454802</c:v>
                </c:pt>
                <c:pt idx="8">
                  <c:v>5.7512059937477398</c:v>
                </c:pt>
                <c:pt idx="9">
                  <c:v>5.3371732090790296</c:v>
                </c:pt>
                <c:pt idx="10">
                  <c:v>5.0144533347575102</c:v>
                </c:pt>
                <c:pt idx="11">
                  <c:v>4.7853139766471502</c:v>
                </c:pt>
                <c:pt idx="12">
                  <c:v>4.6073741747824197</c:v>
                </c:pt>
                <c:pt idx="13">
                  <c:v>4.40514652303749</c:v>
                </c:pt>
                <c:pt idx="14">
                  <c:v>4.0959578732855597</c:v>
                </c:pt>
                <c:pt idx="15">
                  <c:v>3.6259606651407998</c:v>
                </c:pt>
                <c:pt idx="16">
                  <c:v>3.0066930789051001</c:v>
                </c:pt>
                <c:pt idx="17">
                  <c:v>2.3229419012274999</c:v>
                </c:pt>
                <c:pt idx="18">
                  <c:v>1.69379547165593</c:v>
                </c:pt>
                <c:pt idx="19">
                  <c:v>1.21452966812996</c:v>
                </c:pt>
                <c:pt idx="20">
                  <c:v>0.91496170982504599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E52-43E0-9AA7-182EBDBCD5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7923992"/>
        <c:axId val="927930112"/>
      </c:scatterChart>
      <c:valAx>
        <c:axId val="927923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930112"/>
        <c:crossesAt val="0.30000000000000004"/>
        <c:crossBetween val="midCat"/>
      </c:valAx>
      <c:valAx>
        <c:axId val="927930112"/>
        <c:scaling>
          <c:orientation val="minMax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923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4 Gauss 0'!$G$3:$G$23</c:f>
              <c:numCache>
                <c:formatCode>0.00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4 Gauss 0'!$M$3:$M$23</c:f>
              <c:numCache>
                <c:formatCode>General</c:formatCode>
                <c:ptCount val="21"/>
                <c:pt idx="0">
                  <c:v>0.98973882674158431</c:v>
                </c:pt>
                <c:pt idx="1">
                  <c:v>0.99656627262503517</c:v>
                </c:pt>
                <c:pt idx="2">
                  <c:v>0.99873436830425399</c:v>
                </c:pt>
                <c:pt idx="3">
                  <c:v>0.9998204840585746</c:v>
                </c:pt>
                <c:pt idx="4">
                  <c:v>0.99957761301508341</c:v>
                </c:pt>
                <c:pt idx="5">
                  <c:v>1.0002663275248953</c:v>
                </c:pt>
                <c:pt idx="6">
                  <c:v>1.001258289671352</c:v>
                </c:pt>
                <c:pt idx="7">
                  <c:v>1.0013969942896477</c:v>
                </c:pt>
                <c:pt idx="8">
                  <c:v>1.0010333765739694</c:v>
                </c:pt>
                <c:pt idx="9">
                  <c:v>1.0004493338767293</c:v>
                </c:pt>
                <c:pt idx="10">
                  <c:v>0.99995241299588089</c:v>
                </c:pt>
                <c:pt idx="11">
                  <c:v>0.99970846425552484</c:v>
                </c:pt>
                <c:pt idx="12">
                  <c:v>1.000198022789075</c:v>
                </c:pt>
                <c:pt idx="13">
                  <c:v>1.0017855776926747</c:v>
                </c:pt>
                <c:pt idx="14">
                  <c:v>1.0043382918724686</c:v>
                </c:pt>
                <c:pt idx="15">
                  <c:v>1.0075505892034611</c:v>
                </c:pt>
                <c:pt idx="16">
                  <c:v>1.0105693293569284</c:v>
                </c:pt>
                <c:pt idx="17">
                  <c:v>1.0126530301892263</c:v>
                </c:pt>
                <c:pt idx="18">
                  <c:v>1.0128566174771896</c:v>
                </c:pt>
                <c:pt idx="19">
                  <c:v>1.0102254671890283</c:v>
                </c:pt>
                <c:pt idx="20">
                  <c:v>1.0056397710405434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39-4615-B852-F339E44D8676}"/>
            </c:ext>
          </c:extLst>
        </c:ser>
        <c:ser>
          <c:idx val="1"/>
          <c:order val="1"/>
          <c:tx>
            <c:v>SIMNRA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4 Gauss 0'!$J$3:$J$23</c:f>
              <c:numCache>
                <c:formatCode>General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4 Gauss 0'!$O$3:$O$23</c:f>
              <c:numCache>
                <c:formatCode>General</c:formatCode>
                <c:ptCount val="21"/>
                <c:pt idx="0">
                  <c:v>0.99995320962441248</c:v>
                </c:pt>
                <c:pt idx="1">
                  <c:v>1.0000269301678013</c:v>
                </c:pt>
                <c:pt idx="2">
                  <c:v>1.0001367789694828</c:v>
                </c:pt>
                <c:pt idx="3">
                  <c:v>1.0005593451421841</c:v>
                </c:pt>
                <c:pt idx="4">
                  <c:v>0.99973516942580487</c:v>
                </c:pt>
                <c:pt idx="5">
                  <c:v>0.99962138827045155</c:v>
                </c:pt>
                <c:pt idx="6">
                  <c:v>1.0000199222651709</c:v>
                </c:pt>
                <c:pt idx="7">
                  <c:v>0.99998290637440823</c:v>
                </c:pt>
                <c:pt idx="8">
                  <c:v>0.99997588281358618</c:v>
                </c:pt>
                <c:pt idx="9">
                  <c:v>1.0000136233295644</c:v>
                </c:pt>
                <c:pt idx="10">
                  <c:v>1.0000509622411606</c:v>
                </c:pt>
                <c:pt idx="11">
                  <c:v>1.0000931638299149</c:v>
                </c:pt>
                <c:pt idx="12">
                  <c:v>1.0000040315495551</c:v>
                </c:pt>
                <c:pt idx="13">
                  <c:v>0.99981178358662115</c:v>
                </c:pt>
                <c:pt idx="14">
                  <c:v>0.99964740425692122</c:v>
                </c:pt>
                <c:pt idx="15">
                  <c:v>0.99938422962868467</c:v>
                </c:pt>
                <c:pt idx="16">
                  <c:v>0.99922864399508804</c:v>
                </c:pt>
                <c:pt idx="17">
                  <c:v>0.99914419040435409</c:v>
                </c:pt>
                <c:pt idx="18">
                  <c:v>0.99919180260330331</c:v>
                </c:pt>
                <c:pt idx="19">
                  <c:v>0.99938414765308459</c:v>
                </c:pt>
                <c:pt idx="20">
                  <c:v>0.99969946555473943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99-4666-8EBA-1DE54A0EDEDD}"/>
            </c:ext>
          </c:extLst>
        </c:ser>
        <c:ser>
          <c:idx val="2"/>
          <c:order val="2"/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'Ex 4 Gauss 0'!$AA$3:$AA$23</c:f>
              <c:numCache>
                <c:formatCode>General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4 Gauss 0'!$AE$3:$AE$23</c:f>
              <c:numCache>
                <c:formatCode>0.00E+00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63-47CF-B2EA-24AFE4BF5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6376784"/>
        <c:axId val="976255824"/>
      </c:scatterChart>
      <c:valAx>
        <c:axId val="976376784"/>
        <c:scaling>
          <c:orientation val="minMax"/>
          <c:max val="1723.3"/>
          <c:min val="1683.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</a:t>
                </a:r>
                <a:r>
                  <a:rPr lang="en-GB" sz="1600" baseline="0"/>
                  <a:t> energy (keV)</a:t>
                </a:r>
                <a:endParaRPr lang="en-GB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255824"/>
        <c:crossesAt val="0.60000000000000009"/>
        <c:crossBetween val="midCat"/>
      </c:valAx>
      <c:valAx>
        <c:axId val="976255824"/>
        <c:scaling>
          <c:orientation val="minMax"/>
          <c:max val="1.014"/>
          <c:min val="0.9889999999999999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ratio to NDF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3767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SMNRA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4 Gauss 0'!$G$3:$G$23</c:f>
              <c:numCache>
                <c:formatCode>0.00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4 Gauss 0'!$O$3:$O$23</c:f>
              <c:numCache>
                <c:formatCode>General</c:formatCode>
                <c:ptCount val="21"/>
                <c:pt idx="0">
                  <c:v>0.99995320962441248</c:v>
                </c:pt>
                <c:pt idx="1">
                  <c:v>1.0000269301678013</c:v>
                </c:pt>
                <c:pt idx="2">
                  <c:v>1.0001367789694828</c:v>
                </c:pt>
                <c:pt idx="3">
                  <c:v>1.0005593451421841</c:v>
                </c:pt>
                <c:pt idx="4">
                  <c:v>0.99973516942580487</c:v>
                </c:pt>
                <c:pt idx="5">
                  <c:v>0.99962138827045155</c:v>
                </c:pt>
                <c:pt idx="6">
                  <c:v>1.0000199222651709</c:v>
                </c:pt>
                <c:pt idx="7">
                  <c:v>0.99998290637440823</c:v>
                </c:pt>
                <c:pt idx="8">
                  <c:v>0.99997588281358618</c:v>
                </c:pt>
                <c:pt idx="9">
                  <c:v>1.0000136233295644</c:v>
                </c:pt>
                <c:pt idx="10">
                  <c:v>1.0000509622411606</c:v>
                </c:pt>
                <c:pt idx="11">
                  <c:v>1.0000931638299149</c:v>
                </c:pt>
                <c:pt idx="12">
                  <c:v>1.0000040315495551</c:v>
                </c:pt>
                <c:pt idx="13">
                  <c:v>0.99981178358662115</c:v>
                </c:pt>
                <c:pt idx="14">
                  <c:v>0.99964740425692122</c:v>
                </c:pt>
                <c:pt idx="15">
                  <c:v>0.99938422962868467</c:v>
                </c:pt>
                <c:pt idx="16">
                  <c:v>0.99922864399508804</c:v>
                </c:pt>
                <c:pt idx="17">
                  <c:v>0.99914419040435409</c:v>
                </c:pt>
                <c:pt idx="18">
                  <c:v>0.99919180260330331</c:v>
                </c:pt>
                <c:pt idx="19">
                  <c:v>0.99938414765308459</c:v>
                </c:pt>
                <c:pt idx="20">
                  <c:v>0.99969946555473943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77-4F34-A69E-51738F47F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3109640"/>
        <c:axId val="1013125840"/>
      </c:scatterChart>
      <c:valAx>
        <c:axId val="1013109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</a:t>
                </a:r>
                <a:r>
                  <a:rPr lang="en-GB" sz="1600" baseline="0"/>
                  <a:t> energy (keV)</a:t>
                </a:r>
                <a:endParaRPr lang="en-GB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125840"/>
        <c:crosses val="autoZero"/>
        <c:crossBetween val="midCat"/>
      </c:valAx>
      <c:valAx>
        <c:axId val="101312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ratio to NDF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109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/>
              <a:t>Ex</a:t>
            </a:r>
            <a:r>
              <a:rPr lang="en-GB" sz="1800" baseline="0"/>
              <a:t> 4 Gauss Straggling </a:t>
            </a:r>
            <a:r>
              <a:rPr lang="el-GR" sz="1800" baseline="0"/>
              <a:t>Δ</a:t>
            </a:r>
            <a:r>
              <a:rPr lang="en-GB" sz="1800" baseline="0"/>
              <a:t>E=1</a:t>
            </a:r>
            <a:endParaRPr lang="en-GB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4 Gauss 1'!$A$3:$A$23</c:f>
              <c:numCache>
                <c:formatCode>General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4 Gauss 1'!$E$3:$E$23</c:f>
              <c:numCache>
                <c:formatCode>General</c:formatCode>
                <c:ptCount val="21"/>
                <c:pt idx="0">
                  <c:v>4.987552</c:v>
                </c:pt>
                <c:pt idx="1">
                  <c:v>6.7899649999999996</c:v>
                </c:pt>
                <c:pt idx="2">
                  <c:v>7.1618320000000004</c:v>
                </c:pt>
                <c:pt idx="3">
                  <c:v>7.1871809999999998</c:v>
                </c:pt>
                <c:pt idx="4">
                  <c:v>7.1524020000000004</c:v>
                </c:pt>
                <c:pt idx="5">
                  <c:v>6.9724930000000001</c:v>
                </c:pt>
                <c:pt idx="6">
                  <c:v>6.6443989999999999</c:v>
                </c:pt>
                <c:pt idx="7">
                  <c:v>6.2166550000000003</c:v>
                </c:pt>
                <c:pt idx="8">
                  <c:v>5.7581110000000004</c:v>
                </c:pt>
                <c:pt idx="9">
                  <c:v>5.3430359999999997</c:v>
                </c:pt>
                <c:pt idx="10">
                  <c:v>5.0183629999999999</c:v>
                </c:pt>
                <c:pt idx="11">
                  <c:v>4.787947</c:v>
                </c:pt>
                <c:pt idx="12">
                  <c:v>4.6101910000000004</c:v>
                </c:pt>
                <c:pt idx="13">
                  <c:v>4.4104559999999999</c:v>
                </c:pt>
                <c:pt idx="14">
                  <c:v>4.1050490000000002</c:v>
                </c:pt>
                <c:pt idx="15">
                  <c:v>3.638979</c:v>
                </c:pt>
                <c:pt idx="16">
                  <c:v>3.0219040000000001</c:v>
                </c:pt>
                <c:pt idx="17">
                  <c:v>2.3374619999999999</c:v>
                </c:pt>
                <c:pt idx="18">
                  <c:v>1.7052799999999999</c:v>
                </c:pt>
                <c:pt idx="19">
                  <c:v>1.221808</c:v>
                </c:pt>
                <c:pt idx="20">
                  <c:v>0.91842500000000005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B4-40DB-B801-AD890494D78D}"/>
            </c:ext>
          </c:extLst>
        </c:ser>
        <c:ser>
          <c:idx val="1"/>
          <c:order val="1"/>
          <c:tx>
            <c:v>NDF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4 Gauss 1'!$G$3:$G$23</c:f>
              <c:numCache>
                <c:formatCode>0.00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4 Gauss 1'!$H$3:$H$23</c:f>
              <c:numCache>
                <c:formatCode>0.0000000</c:formatCode>
                <c:ptCount val="21"/>
                <c:pt idx="0">
                  <c:v>5.0128240999999996</c:v>
                </c:pt>
                <c:pt idx="1">
                  <c:v>6.8067441000000004</c:v>
                </c:pt>
                <c:pt idx="2">
                  <c:v>7.1652326999999998</c:v>
                </c:pt>
                <c:pt idx="3">
                  <c:v>7.1838702999999997</c:v>
                </c:pt>
                <c:pt idx="4">
                  <c:v>7.1509384999999996</c:v>
                </c:pt>
                <c:pt idx="5">
                  <c:v>6.9677129000000004</c:v>
                </c:pt>
                <c:pt idx="6">
                  <c:v>6.6351037000000002</c:v>
                </c:pt>
                <c:pt idx="7">
                  <c:v>6.2086553999999996</c:v>
                </c:pt>
                <c:pt idx="8">
                  <c:v>5.7522301999999996</c:v>
                </c:pt>
                <c:pt idx="9">
                  <c:v>5.3391957000000003</c:v>
                </c:pt>
                <c:pt idx="10">
                  <c:v>5.0162759000000001</c:v>
                </c:pt>
                <c:pt idx="11">
                  <c:v>4.7858229000000003</c:v>
                </c:pt>
                <c:pt idx="12">
                  <c:v>4.6067333000000001</c:v>
                </c:pt>
                <c:pt idx="13">
                  <c:v>4.4032669000000002</c:v>
                </c:pt>
                <c:pt idx="14">
                  <c:v>4.0936798999999997</c:v>
                </c:pt>
                <c:pt idx="15">
                  <c:v>3.6247468</c:v>
                </c:pt>
                <c:pt idx="16">
                  <c:v>3.0075612</c:v>
                </c:pt>
                <c:pt idx="17">
                  <c:v>2.3262049999999999</c:v>
                </c:pt>
                <c:pt idx="18">
                  <c:v>1.6987174</c:v>
                </c:pt>
                <c:pt idx="19">
                  <c:v>1.2194149000000001</c:v>
                </c:pt>
                <c:pt idx="20">
                  <c:v>0.91871667000000001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B4-40DB-B801-AD890494D78D}"/>
            </c:ext>
          </c:extLst>
        </c:ser>
        <c:ser>
          <c:idx val="2"/>
          <c:order val="2"/>
          <c:tx>
            <c:v>SIMNRA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4 Gauss 1'!$G$3:$G$23</c:f>
              <c:numCache>
                <c:formatCode>0.00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4 Gauss 1'!$K$3:$K$23</c:f>
              <c:numCache>
                <c:formatCode>General</c:formatCode>
                <c:ptCount val="21"/>
                <c:pt idx="0">
                  <c:v>5.0132932591699202</c:v>
                </c:pt>
                <c:pt idx="1">
                  <c:v>6.8068775144498499</c:v>
                </c:pt>
                <c:pt idx="2">
                  <c:v>7.1666031395360896</c:v>
                </c:pt>
                <c:pt idx="3">
                  <c:v>7.1880629573729902</c:v>
                </c:pt>
                <c:pt idx="4">
                  <c:v>7.1498716471401398</c:v>
                </c:pt>
                <c:pt idx="5">
                  <c:v>6.9658833536778202</c:v>
                </c:pt>
                <c:pt idx="6">
                  <c:v>6.6355557379682004</c:v>
                </c:pt>
                <c:pt idx="7">
                  <c:v>6.2083318257943798</c:v>
                </c:pt>
                <c:pt idx="8">
                  <c:v>5.7520497148118803</c:v>
                </c:pt>
                <c:pt idx="9">
                  <c:v>5.3392129313192997</c:v>
                </c:pt>
                <c:pt idx="10">
                  <c:v>5.0165803717942001</c:v>
                </c:pt>
                <c:pt idx="11">
                  <c:v>4.78658600370263</c:v>
                </c:pt>
                <c:pt idx="12">
                  <c:v>4.6070994977370301</c:v>
                </c:pt>
                <c:pt idx="13">
                  <c:v>4.4030616968217302</c:v>
                </c:pt>
                <c:pt idx="14">
                  <c:v>4.09247981440733</c:v>
                </c:pt>
                <c:pt idx="15">
                  <c:v>3.6224738803902801</c:v>
                </c:pt>
                <c:pt idx="16">
                  <c:v>3.00497945856916</c:v>
                </c:pt>
                <c:pt idx="17">
                  <c:v>2.3239540612476701</c:v>
                </c:pt>
                <c:pt idx="18">
                  <c:v>1.69707375330165</c:v>
                </c:pt>
                <c:pt idx="19">
                  <c:v>1.2185231672110399</c:v>
                </c:pt>
                <c:pt idx="20">
                  <c:v>0.91832067687712904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FB4-40DB-B801-AD890494D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6270584"/>
        <c:axId val="823405472"/>
      </c:scatterChart>
      <c:valAx>
        <c:axId val="976270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405472"/>
        <c:crossesAt val="0.30000000000000004"/>
        <c:crossBetween val="midCat"/>
      </c:valAx>
      <c:valAx>
        <c:axId val="823405472"/>
        <c:scaling>
          <c:orientation val="minMax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270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4 Gauss 1'!$G$3:$G$23</c:f>
              <c:numCache>
                <c:formatCode>0.00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4 Gauss 1'!$M$3:$M$23</c:f>
              <c:numCache>
                <c:formatCode>General</c:formatCode>
                <c:ptCount val="21"/>
                <c:pt idx="0">
                  <c:v>0.99495851051306594</c:v>
                </c:pt>
                <c:pt idx="1">
                  <c:v>0.99753493009969318</c:v>
                </c:pt>
                <c:pt idx="2">
                  <c:v>0.99952538875673924</c:v>
                </c:pt>
                <c:pt idx="3">
                  <c:v>1.0004608518614262</c:v>
                </c:pt>
                <c:pt idx="4">
                  <c:v>1.0002046584514748</c:v>
                </c:pt>
                <c:pt idx="5">
                  <c:v>1.00068603572917</c:v>
                </c:pt>
                <c:pt idx="6">
                  <c:v>1.0014009276147409</c:v>
                </c:pt>
                <c:pt idx="7">
                  <c:v>1.0012884593337232</c:v>
                </c:pt>
                <c:pt idx="8">
                  <c:v>1.0010223512960243</c:v>
                </c:pt>
                <c:pt idx="9">
                  <c:v>1.0007192656377064</c:v>
                </c:pt>
                <c:pt idx="10">
                  <c:v>1.0004160656314778</c:v>
                </c:pt>
                <c:pt idx="11">
                  <c:v>1.000443831718052</c:v>
                </c:pt>
                <c:pt idx="12">
                  <c:v>1.0007505752503625</c:v>
                </c:pt>
                <c:pt idx="13">
                  <c:v>1.0016326741401935</c:v>
                </c:pt>
                <c:pt idx="14">
                  <c:v>1.0027772322892174</c:v>
                </c:pt>
                <c:pt idx="15">
                  <c:v>1.003926398390089</c:v>
                </c:pt>
                <c:pt idx="16">
                  <c:v>1.0047689137630849</c:v>
                </c:pt>
                <c:pt idx="17">
                  <c:v>1.0048392123652043</c:v>
                </c:pt>
                <c:pt idx="18">
                  <c:v>1.0038632676630026</c:v>
                </c:pt>
                <c:pt idx="19">
                  <c:v>1.001962498572061</c:v>
                </c:pt>
                <c:pt idx="20">
                  <c:v>0.99968252453718953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1F-47C7-A560-0B63DDCEE9E0}"/>
            </c:ext>
          </c:extLst>
        </c:ser>
        <c:ser>
          <c:idx val="1"/>
          <c:order val="1"/>
          <c:tx>
            <c:v>SIMNRA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4 Gauss 1'!$J$3:$J$23</c:f>
              <c:numCache>
                <c:formatCode>General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4 Gauss 1'!$O$3:$O$23</c:f>
              <c:numCache>
                <c:formatCode>General</c:formatCode>
                <c:ptCount val="21"/>
                <c:pt idx="0">
                  <c:v>1.0000935917878946</c:v>
                </c:pt>
                <c:pt idx="1">
                  <c:v>1.0000196003328301</c:v>
                </c:pt>
                <c:pt idx="2">
                  <c:v>1.0001912623906952</c:v>
                </c:pt>
                <c:pt idx="3">
                  <c:v>1.000583620972805</c:v>
                </c:pt>
                <c:pt idx="4">
                  <c:v>0.99985080939238113</c:v>
                </c:pt>
                <c:pt idx="5">
                  <c:v>0.99973742512809616</c:v>
                </c:pt>
                <c:pt idx="6">
                  <c:v>1.0000681282446573</c:v>
                </c:pt>
                <c:pt idx="7">
                  <c:v>0.9999478833684956</c:v>
                </c:pt>
                <c:pt idx="8">
                  <c:v>0.99996862344137072</c:v>
                </c:pt>
                <c:pt idx="9">
                  <c:v>1.0000032273249133</c:v>
                </c:pt>
                <c:pt idx="10">
                  <c:v>1.000060696779896</c:v>
                </c:pt>
                <c:pt idx="11">
                  <c:v>1.0001594508862059</c:v>
                </c:pt>
                <c:pt idx="12">
                  <c:v>1.0000794918466476</c:v>
                </c:pt>
                <c:pt idx="13">
                  <c:v>0.99995339751531531</c:v>
                </c:pt>
                <c:pt idx="14">
                  <c:v>0.9997068443009749</c:v>
                </c:pt>
                <c:pt idx="15">
                  <c:v>0.99937294389508258</c:v>
                </c:pt>
                <c:pt idx="16">
                  <c:v>0.99914158307706591</c:v>
                </c:pt>
                <c:pt idx="17">
                  <c:v>0.99903235581028771</c:v>
                </c:pt>
                <c:pt idx="18">
                  <c:v>0.99903241898955641</c:v>
                </c:pt>
                <c:pt idx="19">
                  <c:v>0.99926872077013318</c:v>
                </c:pt>
                <c:pt idx="20">
                  <c:v>0.99956897144048673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3A-4CE3-9ACD-8BF533D18B00}"/>
            </c:ext>
          </c:extLst>
        </c:ser>
        <c:ser>
          <c:idx val="2"/>
          <c:order val="2"/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'Ex 4 Gauss 1'!$AA$3:$AA$23</c:f>
              <c:numCache>
                <c:formatCode>General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4 Gauss 1'!$Z$3:$Z$23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FD-4FCC-ADC4-D04664CBC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1162024"/>
        <c:axId val="1111163104"/>
      </c:scatterChart>
      <c:valAx>
        <c:axId val="1111162024"/>
        <c:scaling>
          <c:orientation val="minMax"/>
          <c:max val="1723.3"/>
          <c:min val="1683.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163104"/>
        <c:crosses val="autoZero"/>
        <c:crossBetween val="midCat"/>
      </c:valAx>
      <c:valAx>
        <c:axId val="1111163104"/>
        <c:scaling>
          <c:orientation val="minMax"/>
          <c:max val="1.0069999999999999"/>
          <c:min val="0.9939999999999999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ratio</a:t>
                </a:r>
                <a:r>
                  <a:rPr lang="en-GB" sz="1600" baseline="0"/>
                  <a:t> to NDF</a:t>
                </a:r>
                <a:endParaRPr lang="en-GB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162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SMNRA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4 Gauss 1'!$G$3:$G$23</c:f>
              <c:numCache>
                <c:formatCode>0.00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4 Gauss 1'!$O$3:$O$23</c:f>
              <c:numCache>
                <c:formatCode>General</c:formatCode>
                <c:ptCount val="21"/>
                <c:pt idx="0">
                  <c:v>1.0000935917878946</c:v>
                </c:pt>
                <c:pt idx="1">
                  <c:v>1.0000196003328301</c:v>
                </c:pt>
                <c:pt idx="2">
                  <c:v>1.0001912623906952</c:v>
                </c:pt>
                <c:pt idx="3">
                  <c:v>1.000583620972805</c:v>
                </c:pt>
                <c:pt idx="4">
                  <c:v>0.99985080939238113</c:v>
                </c:pt>
                <c:pt idx="5">
                  <c:v>0.99973742512809616</c:v>
                </c:pt>
                <c:pt idx="6">
                  <c:v>1.0000681282446573</c:v>
                </c:pt>
                <c:pt idx="7">
                  <c:v>0.9999478833684956</c:v>
                </c:pt>
                <c:pt idx="8">
                  <c:v>0.99996862344137072</c:v>
                </c:pt>
                <c:pt idx="9">
                  <c:v>1.0000032273249133</c:v>
                </c:pt>
                <c:pt idx="10">
                  <c:v>1.000060696779896</c:v>
                </c:pt>
                <c:pt idx="11">
                  <c:v>1.0001594508862059</c:v>
                </c:pt>
                <c:pt idx="12">
                  <c:v>1.0000794918466476</c:v>
                </c:pt>
                <c:pt idx="13">
                  <c:v>0.99995339751531531</c:v>
                </c:pt>
                <c:pt idx="14">
                  <c:v>0.9997068443009749</c:v>
                </c:pt>
                <c:pt idx="15">
                  <c:v>0.99937294389508258</c:v>
                </c:pt>
                <c:pt idx="16">
                  <c:v>0.99914158307706591</c:v>
                </c:pt>
                <c:pt idx="17">
                  <c:v>0.99903235581028771</c:v>
                </c:pt>
                <c:pt idx="18">
                  <c:v>0.99903241898955641</c:v>
                </c:pt>
                <c:pt idx="19">
                  <c:v>0.99926872077013318</c:v>
                </c:pt>
                <c:pt idx="20">
                  <c:v>0.99956897144048673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71-4F90-A36C-DB326406F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1201624"/>
        <c:axId val="1111208824"/>
      </c:scatterChart>
      <c:valAx>
        <c:axId val="1111201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208824"/>
        <c:crosses val="autoZero"/>
        <c:crossBetween val="midCat"/>
      </c:valAx>
      <c:valAx>
        <c:axId val="1111208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ratio to NDF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201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258622</xdr:colOff>
      <xdr:row>25</xdr:row>
      <xdr:rowOff>143286</xdr:rowOff>
    </xdr:from>
    <xdr:to>
      <xdr:col>6</xdr:col>
      <xdr:colOff>1052763</xdr:colOff>
      <xdr:row>53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AE0234-1487-BF4E-D040-B484C534D4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317181</xdr:colOff>
      <xdr:row>25</xdr:row>
      <xdr:rowOff>169908</xdr:rowOff>
    </xdr:from>
    <xdr:to>
      <xdr:col>12</xdr:col>
      <xdr:colOff>962526</xdr:colOff>
      <xdr:row>53</xdr:row>
      <xdr:rowOff>20052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355C25-4B4D-63FB-A537-B87FA6B9A0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257174</xdr:colOff>
      <xdr:row>24</xdr:row>
      <xdr:rowOff>127000</xdr:rowOff>
    </xdr:from>
    <xdr:to>
      <xdr:col>7</xdr:col>
      <xdr:colOff>190500</xdr:colOff>
      <xdr:row>51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F04B3D-62EE-AF69-22BA-C0492115B9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257174</xdr:colOff>
      <xdr:row>24</xdr:row>
      <xdr:rowOff>155574</xdr:rowOff>
    </xdr:from>
    <xdr:to>
      <xdr:col>16</xdr:col>
      <xdr:colOff>0</xdr:colOff>
      <xdr:row>51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9087C6-4834-D3DC-0D8A-4FB026FBFC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22098</xdr:colOff>
      <xdr:row>24</xdr:row>
      <xdr:rowOff>46446</xdr:rowOff>
    </xdr:from>
    <xdr:to>
      <xdr:col>7</xdr:col>
      <xdr:colOff>813370</xdr:colOff>
      <xdr:row>46</xdr:row>
      <xdr:rowOff>21404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6568DF-3354-EE1B-BE40-9C302441BC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906800</xdr:colOff>
      <xdr:row>24</xdr:row>
      <xdr:rowOff>71382</xdr:rowOff>
    </xdr:from>
    <xdr:to>
      <xdr:col>15</xdr:col>
      <xdr:colOff>652836</xdr:colOff>
      <xdr:row>46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176171-F7F7-1346-7561-4828A7C2C1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552450</xdr:colOff>
      <xdr:row>35</xdr:row>
      <xdr:rowOff>114300</xdr:rowOff>
    </xdr:from>
    <xdr:to>
      <xdr:col>24</xdr:col>
      <xdr:colOff>209550</xdr:colOff>
      <xdr:row>53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C23A36-1D2B-A276-470E-46212294A2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73428</xdr:colOff>
      <xdr:row>24</xdr:row>
      <xdr:rowOff>128254</xdr:rowOff>
    </xdr:from>
    <xdr:to>
      <xdr:col>6</xdr:col>
      <xdr:colOff>1207238</xdr:colOff>
      <xdr:row>48</xdr:row>
      <xdr:rowOff>88605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4D68DF-A4A0-51A8-DA30-39C4ADB212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41752</xdr:colOff>
      <xdr:row>24</xdr:row>
      <xdr:rowOff>169454</xdr:rowOff>
    </xdr:from>
    <xdr:to>
      <xdr:col>13</xdr:col>
      <xdr:colOff>498401</xdr:colOff>
      <xdr:row>48</xdr:row>
      <xdr:rowOff>44302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4C9670-1B29-FA97-EE3F-11A95020D8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650910</xdr:colOff>
      <xdr:row>27</xdr:row>
      <xdr:rowOff>104773</xdr:rowOff>
    </xdr:from>
    <xdr:to>
      <xdr:col>21</xdr:col>
      <xdr:colOff>331825</xdr:colOff>
      <xdr:row>44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A3A191F-1355-3E39-3B35-7B7B11384D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"/>
  <sheetViews>
    <sheetView topLeftCell="A23" zoomScale="95" zoomScaleNormal="95" workbookViewId="0">
      <selection activeCell="M61" sqref="M61"/>
    </sheetView>
  </sheetViews>
  <sheetFormatPr defaultColWidth="20.625" defaultRowHeight="15.75" x14ac:dyDescent="0.25"/>
  <cols>
    <col min="1" max="1" width="13.5" customWidth="1"/>
    <col min="2" max="2" width="14.75" customWidth="1"/>
    <col min="3" max="3" width="10.25" customWidth="1"/>
    <col min="4" max="4" width="14" style="1" customWidth="1"/>
    <col min="5" max="5" width="14.5" style="3" customWidth="1"/>
    <col min="6" max="6" width="9.375" customWidth="1"/>
    <col min="7" max="7" width="14.625" customWidth="1"/>
    <col min="8" max="8" width="15.625" customWidth="1"/>
    <col min="9" max="10" width="14" customWidth="1"/>
    <col min="12" max="12" width="15.25" customWidth="1"/>
    <col min="19" max="19" width="10" customWidth="1"/>
  </cols>
  <sheetData>
    <row r="1" spans="1:19" x14ac:dyDescent="0.25">
      <c r="A1" t="s">
        <v>4</v>
      </c>
      <c r="E1" s="1" t="s">
        <v>5</v>
      </c>
      <c r="G1" t="s">
        <v>6</v>
      </c>
      <c r="H1" t="s">
        <v>12</v>
      </c>
      <c r="I1" t="s">
        <v>13</v>
      </c>
      <c r="K1" t="s">
        <v>7</v>
      </c>
      <c r="L1" t="s">
        <v>9</v>
      </c>
      <c r="M1" t="s">
        <v>8</v>
      </c>
      <c r="N1" t="s">
        <v>9</v>
      </c>
    </row>
    <row r="2" spans="1:19" x14ac:dyDescent="0.25">
      <c r="A2" t="s">
        <v>0</v>
      </c>
      <c r="B2" t="s">
        <v>10</v>
      </c>
      <c r="D2" t="s">
        <v>0</v>
      </c>
      <c r="E2" t="s">
        <v>10</v>
      </c>
      <c r="G2" t="s">
        <v>0</v>
      </c>
      <c r="H2" t="s">
        <v>10</v>
      </c>
    </row>
    <row r="3" spans="1:19" x14ac:dyDescent="0.25">
      <c r="A3">
        <v>1683.3</v>
      </c>
      <c r="B3" s="6">
        <v>4.7952070000000004</v>
      </c>
      <c r="D3" s="1">
        <v>1683.3</v>
      </c>
      <c r="E3" s="3">
        <v>5.0793790999999997</v>
      </c>
      <c r="G3">
        <v>1683.3</v>
      </c>
      <c r="H3">
        <v>4.9734030610095603</v>
      </c>
      <c r="I3">
        <v>4.9756553095289</v>
      </c>
      <c r="K3">
        <f>B3/E3</f>
        <v>0.94405377224157194</v>
      </c>
      <c r="L3">
        <f>1-K3</f>
        <v>5.5946227758428058E-2</v>
      </c>
      <c r="M3">
        <f>H3/E3</f>
        <v>0.97913602491484852</v>
      </c>
      <c r="N3">
        <f>1-M3</f>
        <v>2.0863975085151476E-2</v>
      </c>
      <c r="S3">
        <v>1</v>
      </c>
    </row>
    <row r="4" spans="1:19" x14ac:dyDescent="0.25">
      <c r="A4">
        <v>1685.3</v>
      </c>
      <c r="B4" s="6">
        <v>6.8495369999999998</v>
      </c>
      <c r="D4" s="1">
        <v>1685.3</v>
      </c>
      <c r="E4" s="3">
        <v>6.8898349000000003</v>
      </c>
      <c r="G4">
        <v>1685.3</v>
      </c>
      <c r="H4">
        <v>6.9293395605203898</v>
      </c>
      <c r="I4">
        <v>6.9232366823784997</v>
      </c>
      <c r="K4">
        <f t="shared" ref="K4:K23" si="0">B4/E4</f>
        <v>0.99415110803308215</v>
      </c>
      <c r="L4">
        <f t="shared" ref="L4:L23" si="1">1-K4</f>
        <v>5.8488919669178463E-3</v>
      </c>
      <c r="M4">
        <f t="shared" ref="M4:M23" si="2">H4/E4</f>
        <v>1.005733760110912</v>
      </c>
      <c r="N4">
        <f t="shared" ref="N4:N23" si="3">1-M4</f>
        <v>-5.7337601109119785E-3</v>
      </c>
      <c r="S4">
        <v>1</v>
      </c>
    </row>
    <row r="5" spans="1:19" x14ac:dyDescent="0.25">
      <c r="A5">
        <v>1687.3</v>
      </c>
      <c r="B5" s="6">
        <v>7.2269399999999999</v>
      </c>
      <c r="D5" s="1">
        <v>1687.3</v>
      </c>
      <c r="E5" s="3">
        <v>7.1898704000000002</v>
      </c>
      <c r="G5">
        <v>1687.3</v>
      </c>
      <c r="H5">
        <v>7.21507806817415</v>
      </c>
      <c r="I5">
        <v>7.21272115945062</v>
      </c>
      <c r="K5">
        <f t="shared" si="0"/>
        <v>1.0051558092062409</v>
      </c>
      <c r="L5">
        <f t="shared" si="1"/>
        <v>-5.1558092062409244E-3</v>
      </c>
      <c r="M5">
        <f t="shared" si="2"/>
        <v>1.0035059975732177</v>
      </c>
      <c r="N5">
        <f t="shared" si="3"/>
        <v>-3.5059975732176785E-3</v>
      </c>
      <c r="S5">
        <v>1</v>
      </c>
    </row>
    <row r="6" spans="1:19" x14ac:dyDescent="0.25">
      <c r="A6">
        <v>1689.3</v>
      </c>
      <c r="B6" s="6">
        <v>7.2811180000000002</v>
      </c>
      <c r="D6" s="1">
        <v>1689.3</v>
      </c>
      <c r="E6" s="3">
        <v>7.1974893</v>
      </c>
      <c r="G6">
        <v>1689.3</v>
      </c>
      <c r="H6">
        <v>7.2232123884488599</v>
      </c>
      <c r="I6">
        <v>7.2231120355332701</v>
      </c>
      <c r="K6">
        <f t="shared" si="0"/>
        <v>1.0116191489162756</v>
      </c>
      <c r="L6">
        <f t="shared" si="1"/>
        <v>-1.1619148916275579E-2</v>
      </c>
      <c r="M6">
        <f t="shared" si="2"/>
        <v>1.003573897421266</v>
      </c>
      <c r="N6">
        <f t="shared" si="3"/>
        <v>-3.5738974212660146E-3</v>
      </c>
      <c r="S6">
        <v>1</v>
      </c>
    </row>
    <row r="7" spans="1:19" x14ac:dyDescent="0.25">
      <c r="A7">
        <v>1691.3</v>
      </c>
      <c r="B7" s="6">
        <v>7.2375509999999998</v>
      </c>
      <c r="D7" s="1">
        <v>1691.3</v>
      </c>
      <c r="E7" s="3">
        <v>7.1663756000000003</v>
      </c>
      <c r="G7">
        <v>1691.3</v>
      </c>
      <c r="H7">
        <v>7.1927841604052603</v>
      </c>
      <c r="I7">
        <v>7.1945527329205801</v>
      </c>
      <c r="K7">
        <f t="shared" si="0"/>
        <v>1.0099318545346687</v>
      </c>
      <c r="L7">
        <f t="shared" si="1"/>
        <v>-9.9318545346687159E-3</v>
      </c>
      <c r="M7">
        <f t="shared" si="2"/>
        <v>1.0036850650704465</v>
      </c>
      <c r="N7">
        <f t="shared" si="3"/>
        <v>-3.6850650704465249E-3</v>
      </c>
      <c r="S7">
        <v>1</v>
      </c>
    </row>
    <row r="8" spans="1:19" x14ac:dyDescent="0.25">
      <c r="A8">
        <v>1693.3</v>
      </c>
      <c r="B8" s="6">
        <v>7.0102209999999996</v>
      </c>
      <c r="D8" s="1">
        <v>1693.3</v>
      </c>
      <c r="E8" s="3">
        <v>6.9597726</v>
      </c>
      <c r="G8">
        <v>1693.3</v>
      </c>
      <c r="H8">
        <v>6.9786923337381497</v>
      </c>
      <c r="I8">
        <v>6.9827360665720803</v>
      </c>
      <c r="K8">
        <f t="shared" si="0"/>
        <v>1.007248570161617</v>
      </c>
      <c r="L8">
        <f t="shared" si="1"/>
        <v>-7.2485701616169518E-3</v>
      </c>
      <c r="M8">
        <f t="shared" si="2"/>
        <v>1.0027184413666259</v>
      </c>
      <c r="N8">
        <f t="shared" si="3"/>
        <v>-2.7184413666259122E-3</v>
      </c>
      <c r="S8">
        <v>1</v>
      </c>
    </row>
    <row r="9" spans="1:19" x14ac:dyDescent="0.25">
      <c r="A9">
        <v>1695.3</v>
      </c>
      <c r="B9" s="6">
        <v>6.6369049999999996</v>
      </c>
      <c r="D9" s="1">
        <v>1695.3</v>
      </c>
      <c r="E9" s="3">
        <v>6.6039833999999997</v>
      </c>
      <c r="G9">
        <v>1695.3</v>
      </c>
      <c r="H9">
        <v>6.6044371698858004</v>
      </c>
      <c r="I9">
        <v>6.6097353085308903</v>
      </c>
      <c r="K9">
        <f t="shared" si="0"/>
        <v>1.0049851124701494</v>
      </c>
      <c r="L9">
        <f t="shared" si="1"/>
        <v>-4.9851124701494332E-3</v>
      </c>
      <c r="M9">
        <f t="shared" si="2"/>
        <v>1.0000687115424609</v>
      </c>
      <c r="N9">
        <f t="shared" si="3"/>
        <v>-6.8711542460908603E-5</v>
      </c>
      <c r="S9">
        <v>1</v>
      </c>
    </row>
    <row r="10" spans="1:19" x14ac:dyDescent="0.25">
      <c r="A10">
        <v>1697.3</v>
      </c>
      <c r="B10" s="6">
        <v>6.1860229999999996</v>
      </c>
      <c r="D10" s="1">
        <v>1697.3</v>
      </c>
      <c r="E10" s="3">
        <v>6.1644696999999997</v>
      </c>
      <c r="G10">
        <v>1697.3</v>
      </c>
      <c r="H10">
        <v>6.1515832923471399</v>
      </c>
      <c r="I10">
        <v>6.1558691783406001</v>
      </c>
      <c r="K10">
        <f t="shared" si="0"/>
        <v>1.0034963753654267</v>
      </c>
      <c r="L10">
        <f t="shared" si="1"/>
        <v>-3.4963753654266849E-3</v>
      </c>
      <c r="M10">
        <f t="shared" si="2"/>
        <v>0.99790956752486593</v>
      </c>
      <c r="N10">
        <f t="shared" si="3"/>
        <v>2.0904324751340742E-3</v>
      </c>
      <c r="S10">
        <v>1</v>
      </c>
    </row>
    <row r="11" spans="1:19" x14ac:dyDescent="0.25">
      <c r="A11">
        <v>1699.3</v>
      </c>
      <c r="B11" s="6">
        <v>5.7151500000000004</v>
      </c>
      <c r="D11" s="1">
        <v>1699.3</v>
      </c>
      <c r="E11" s="3">
        <v>5.7154002000000004</v>
      </c>
      <c r="G11">
        <v>1699.3</v>
      </c>
      <c r="H11">
        <v>5.6973512630177598</v>
      </c>
      <c r="I11">
        <v>5.6991165057640298</v>
      </c>
      <c r="K11">
        <f t="shared" si="0"/>
        <v>0.99995622353794233</v>
      </c>
      <c r="L11">
        <f t="shared" si="1"/>
        <v>4.3776462057665277E-5</v>
      </c>
      <c r="M11">
        <f t="shared" si="2"/>
        <v>0.99684205193850806</v>
      </c>
      <c r="N11">
        <f t="shared" si="3"/>
        <v>3.1579480614919442E-3</v>
      </c>
      <c r="S11">
        <v>1</v>
      </c>
    </row>
    <row r="12" spans="1:19" x14ac:dyDescent="0.25">
      <c r="A12">
        <v>1701.3</v>
      </c>
      <c r="B12" s="6">
        <v>5.2818149999999999</v>
      </c>
      <c r="D12" s="1">
        <v>1701.3</v>
      </c>
      <c r="E12" s="3">
        <v>5.3245038999999998</v>
      </c>
      <c r="G12">
        <v>1701.3</v>
      </c>
      <c r="H12">
        <v>5.3087137240621498</v>
      </c>
      <c r="I12">
        <v>5.3078338003901697</v>
      </c>
      <c r="K12">
        <f t="shared" si="0"/>
        <v>0.99198255822481418</v>
      </c>
      <c r="L12">
        <f t="shared" si="1"/>
        <v>8.0174417751858185E-3</v>
      </c>
      <c r="M12">
        <f t="shared" si="2"/>
        <v>0.9970344324589846</v>
      </c>
      <c r="N12">
        <f t="shared" si="3"/>
        <v>2.9655675410154014E-3</v>
      </c>
      <c r="S12">
        <v>1</v>
      </c>
    </row>
    <row r="13" spans="1:19" x14ac:dyDescent="0.25">
      <c r="A13">
        <v>1703.3</v>
      </c>
      <c r="B13" s="6">
        <v>4.9499789999999999</v>
      </c>
      <c r="D13" s="1">
        <v>1703.3</v>
      </c>
      <c r="E13" s="3">
        <v>5.0269341000000001</v>
      </c>
      <c r="G13">
        <v>1703.3</v>
      </c>
      <c r="H13">
        <v>5.0186199785038799</v>
      </c>
      <c r="I13">
        <v>5.0160605699264398</v>
      </c>
      <c r="K13">
        <f t="shared" si="0"/>
        <v>0.98469144443329781</v>
      </c>
      <c r="L13">
        <f t="shared" si="1"/>
        <v>1.5308555566702187E-2</v>
      </c>
      <c r="M13">
        <f t="shared" si="2"/>
        <v>0.99834608504294498</v>
      </c>
      <c r="N13">
        <f t="shared" si="3"/>
        <v>1.6539149570550249E-3</v>
      </c>
      <c r="S13">
        <v>1</v>
      </c>
    </row>
    <row r="14" spans="1:19" x14ac:dyDescent="0.25">
      <c r="A14">
        <v>1705.3</v>
      </c>
      <c r="B14" s="6">
        <v>4.7377010000000004</v>
      </c>
      <c r="D14" s="1">
        <v>1705.3</v>
      </c>
      <c r="E14" s="3">
        <v>4.8174472000000002</v>
      </c>
      <c r="G14">
        <v>1705.3</v>
      </c>
      <c r="H14">
        <v>4.8231244445877604</v>
      </c>
      <c r="I14">
        <v>4.8199453967896204</v>
      </c>
      <c r="K14">
        <f t="shared" si="0"/>
        <v>0.98344637799040124</v>
      </c>
      <c r="L14">
        <f t="shared" si="1"/>
        <v>1.6553622009598756E-2</v>
      </c>
      <c r="M14">
        <f t="shared" si="2"/>
        <v>1.0011784757262643</v>
      </c>
      <c r="N14">
        <f t="shared" si="3"/>
        <v>-1.1784757262642831E-3</v>
      </c>
      <c r="S14">
        <v>1</v>
      </c>
    </row>
    <row r="15" spans="1:19" x14ac:dyDescent="0.25">
      <c r="A15">
        <v>1707.3</v>
      </c>
      <c r="B15" s="6">
        <v>4.5965769999999999</v>
      </c>
      <c r="D15" s="1">
        <v>1707.3</v>
      </c>
      <c r="E15" s="3">
        <v>4.6500864000000002</v>
      </c>
      <c r="G15">
        <v>1707.3</v>
      </c>
      <c r="H15">
        <v>4.67898294286507</v>
      </c>
      <c r="I15">
        <v>4.6761934370434197</v>
      </c>
      <c r="K15">
        <f t="shared" si="0"/>
        <v>0.98849281596144101</v>
      </c>
      <c r="L15">
        <f t="shared" si="1"/>
        <v>1.1507184038558993E-2</v>
      </c>
      <c r="M15">
        <f t="shared" si="2"/>
        <v>1.0062141948298142</v>
      </c>
      <c r="N15">
        <f t="shared" si="3"/>
        <v>-6.2141948298142236E-3</v>
      </c>
      <c r="S15">
        <v>1</v>
      </c>
    </row>
    <row r="16" spans="1:19" x14ac:dyDescent="0.25">
      <c r="A16">
        <v>1709.3</v>
      </c>
      <c r="B16" s="6">
        <v>4.4177080000000002</v>
      </c>
      <c r="D16" s="1">
        <v>1709.3</v>
      </c>
      <c r="E16" s="3">
        <v>4.4415015999999996</v>
      </c>
      <c r="G16">
        <v>1709.3</v>
      </c>
      <c r="H16">
        <v>4.4890036385490202</v>
      </c>
      <c r="I16">
        <v>4.4885122776454303</v>
      </c>
      <c r="K16">
        <f t="shared" si="0"/>
        <v>0.99464289284506857</v>
      </c>
      <c r="L16">
        <f t="shared" si="1"/>
        <v>5.3571071549314286E-3</v>
      </c>
      <c r="M16">
        <f t="shared" si="2"/>
        <v>1.0106950402875057</v>
      </c>
      <c r="N16">
        <f t="shared" si="3"/>
        <v>-1.0695040287505675E-2</v>
      </c>
      <c r="S16">
        <v>1</v>
      </c>
    </row>
    <row r="17" spans="1:19" x14ac:dyDescent="0.25">
      <c r="A17">
        <v>1711.3</v>
      </c>
      <c r="B17" s="6">
        <v>4.0975250000000001</v>
      </c>
      <c r="D17" s="1">
        <v>1711.3</v>
      </c>
      <c r="E17" s="3">
        <v>4.1015357999999997</v>
      </c>
      <c r="G17">
        <v>1711.3</v>
      </c>
      <c r="H17">
        <v>4.1394588781150103</v>
      </c>
      <c r="I17">
        <v>4.1434859881806698</v>
      </c>
      <c r="K17">
        <f t="shared" si="0"/>
        <v>0.99902212239620103</v>
      </c>
      <c r="L17">
        <f t="shared" si="1"/>
        <v>9.7787760379897115E-4</v>
      </c>
      <c r="M17">
        <f t="shared" si="2"/>
        <v>1.0092460678058719</v>
      </c>
      <c r="N17">
        <f t="shared" si="3"/>
        <v>-9.2460678058718937E-3</v>
      </c>
      <c r="S17">
        <v>1</v>
      </c>
    </row>
    <row r="18" spans="1:19" x14ac:dyDescent="0.25">
      <c r="A18">
        <v>1713.3</v>
      </c>
      <c r="B18" s="6">
        <v>3.591008</v>
      </c>
      <c r="D18" s="1">
        <v>1713.3</v>
      </c>
      <c r="E18" s="3">
        <v>3.5876849000000002</v>
      </c>
      <c r="G18">
        <v>1713.3</v>
      </c>
      <c r="H18">
        <v>3.5908905801862701</v>
      </c>
      <c r="I18">
        <v>3.59858502265784</v>
      </c>
      <c r="K18">
        <f t="shared" si="0"/>
        <v>1.0009262519124797</v>
      </c>
      <c r="L18">
        <f t="shared" si="1"/>
        <v>-9.2625191247974747E-4</v>
      </c>
      <c r="M18">
        <f t="shared" si="2"/>
        <v>1.0008935233376459</v>
      </c>
      <c r="N18">
        <f t="shared" si="3"/>
        <v>-8.935233376459184E-4</v>
      </c>
      <c r="S18">
        <v>1</v>
      </c>
    </row>
    <row r="19" spans="1:19" x14ac:dyDescent="0.25">
      <c r="A19">
        <v>1715.3</v>
      </c>
      <c r="B19" s="6">
        <v>2.9445350000000001</v>
      </c>
      <c r="D19" s="1">
        <v>1715.3</v>
      </c>
      <c r="E19" s="3">
        <v>2.9394124000000001</v>
      </c>
      <c r="G19">
        <v>1715.3</v>
      </c>
      <c r="H19">
        <v>2.9170209897596502</v>
      </c>
      <c r="I19">
        <v>2.92423782646418</v>
      </c>
      <c r="K19">
        <f t="shared" si="0"/>
        <v>1.0017427292611272</v>
      </c>
      <c r="L19">
        <f t="shared" si="1"/>
        <v>-1.7427292611271739E-3</v>
      </c>
      <c r="M19">
        <f t="shared" si="2"/>
        <v>0.99238235157463783</v>
      </c>
      <c r="N19">
        <f t="shared" si="3"/>
        <v>7.6176484253621668E-3</v>
      </c>
      <c r="S19">
        <v>1</v>
      </c>
    </row>
    <row r="20" spans="1:19" x14ac:dyDescent="0.25">
      <c r="A20">
        <v>1717.3</v>
      </c>
      <c r="B20" s="6">
        <v>2.2679399999999998</v>
      </c>
      <c r="D20" s="1">
        <v>1717.3</v>
      </c>
      <c r="E20" s="3">
        <v>2.2624895999999999</v>
      </c>
      <c r="G20">
        <v>1717.3</v>
      </c>
      <c r="H20">
        <v>2.2318966536179499</v>
      </c>
      <c r="I20">
        <v>2.2353961182936199</v>
      </c>
      <c r="K20">
        <f t="shared" si="0"/>
        <v>1.002409027648127</v>
      </c>
      <c r="L20">
        <f t="shared" si="1"/>
        <v>-2.4090276481270045E-3</v>
      </c>
      <c r="M20">
        <f t="shared" si="2"/>
        <v>0.98647819358725453</v>
      </c>
      <c r="N20">
        <f t="shared" si="3"/>
        <v>1.3521806412745474E-2</v>
      </c>
      <c r="S20">
        <v>1</v>
      </c>
    </row>
    <row r="21" spans="1:19" x14ac:dyDescent="0.25">
      <c r="A21">
        <v>1719.3</v>
      </c>
      <c r="B21" s="6">
        <v>1.671252</v>
      </c>
      <c r="D21" s="1">
        <v>1719.3</v>
      </c>
      <c r="E21" s="3">
        <v>1.6679299000000001</v>
      </c>
      <c r="G21">
        <v>1719.3</v>
      </c>
      <c r="H21">
        <v>1.6417736863885</v>
      </c>
      <c r="I21">
        <v>1.64093296186052</v>
      </c>
      <c r="K21">
        <f t="shared" si="0"/>
        <v>1.0019917503727225</v>
      </c>
      <c r="L21">
        <f t="shared" si="1"/>
        <v>-1.9917503727224783E-3</v>
      </c>
      <c r="M21">
        <f t="shared" si="2"/>
        <v>0.98431815772863107</v>
      </c>
      <c r="N21">
        <f t="shared" si="3"/>
        <v>1.5681842271368929E-2</v>
      </c>
      <c r="S21">
        <v>1</v>
      </c>
    </row>
    <row r="22" spans="1:19" x14ac:dyDescent="0.25">
      <c r="A22">
        <v>1721.3</v>
      </c>
      <c r="B22" s="6">
        <v>1.222888</v>
      </c>
      <c r="D22" s="1">
        <v>1721.3</v>
      </c>
      <c r="E22" s="3">
        <v>1.2250714</v>
      </c>
      <c r="G22">
        <v>1721.3</v>
      </c>
      <c r="H22">
        <v>1.20874772575039</v>
      </c>
      <c r="I22">
        <v>1.2051649437693199</v>
      </c>
      <c r="K22">
        <f t="shared" si="0"/>
        <v>0.99821773653356038</v>
      </c>
      <c r="L22">
        <f t="shared" si="1"/>
        <v>1.7822634664396153E-3</v>
      </c>
      <c r="M22">
        <f t="shared" si="2"/>
        <v>0.98667532827098081</v>
      </c>
      <c r="N22">
        <f t="shared" si="3"/>
        <v>1.3324671729019189E-2</v>
      </c>
      <c r="S22">
        <v>1</v>
      </c>
    </row>
    <row r="23" spans="1:19" x14ac:dyDescent="0.25">
      <c r="A23">
        <v>1723.3</v>
      </c>
      <c r="B23" s="6">
        <v>0.93540800000000002</v>
      </c>
      <c r="D23" s="1">
        <v>1723.3</v>
      </c>
      <c r="E23" s="3">
        <v>0.94466167999999995</v>
      </c>
      <c r="G23">
        <v>1723.3</v>
      </c>
      <c r="H23">
        <v>0.93675751242222405</v>
      </c>
      <c r="I23">
        <v>0.93248392612997599</v>
      </c>
      <c r="K23">
        <f t="shared" si="0"/>
        <v>0.99020423904566557</v>
      </c>
      <c r="L23">
        <f t="shared" si="1"/>
        <v>9.7957609543344315E-3</v>
      </c>
      <c r="M23">
        <f t="shared" si="2"/>
        <v>0.99163280596099135</v>
      </c>
      <c r="N23">
        <f t="shared" si="3"/>
        <v>8.3671940390086519E-3</v>
      </c>
      <c r="S23">
        <v>1</v>
      </c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1320A-3B23-4A6E-BACD-E66243B7BFB4}">
  <dimension ref="A1:Z23"/>
  <sheetViews>
    <sheetView zoomScale="75" zoomScaleNormal="75" workbookViewId="0">
      <selection activeCell="Q36" sqref="Q36"/>
    </sheetView>
  </sheetViews>
  <sheetFormatPr defaultRowHeight="15.75" x14ac:dyDescent="0.25"/>
  <cols>
    <col min="1" max="1" width="12.375" customWidth="1"/>
    <col min="2" max="2" width="14.25" customWidth="1"/>
    <col min="3" max="3" width="11.875" customWidth="1"/>
    <col min="4" max="4" width="14.25" style="1" customWidth="1"/>
    <col min="5" max="5" width="13.875" style="2" customWidth="1"/>
    <col min="7" max="7" width="15" customWidth="1"/>
    <col min="8" max="8" width="14.125" customWidth="1"/>
    <col min="9" max="10" width="15" customWidth="1"/>
  </cols>
  <sheetData>
    <row r="1" spans="1:26" x14ac:dyDescent="0.25">
      <c r="A1" t="s">
        <v>4</v>
      </c>
      <c r="E1" s="2" t="s">
        <v>5</v>
      </c>
      <c r="G1" t="s">
        <v>6</v>
      </c>
      <c r="H1" t="s">
        <v>12</v>
      </c>
      <c r="I1" t="s">
        <v>13</v>
      </c>
      <c r="K1" t="s">
        <v>7</v>
      </c>
      <c r="L1" t="s">
        <v>9</v>
      </c>
      <c r="M1" t="s">
        <v>8</v>
      </c>
      <c r="N1" t="s">
        <v>9</v>
      </c>
    </row>
    <row r="2" spans="1:26" x14ac:dyDescent="0.25">
      <c r="A2" t="s">
        <v>0</v>
      </c>
      <c r="B2" t="s">
        <v>10</v>
      </c>
      <c r="D2" t="s">
        <v>0</v>
      </c>
      <c r="E2" t="s">
        <v>10</v>
      </c>
      <c r="G2" t="s">
        <v>0</v>
      </c>
      <c r="H2" t="s">
        <v>10</v>
      </c>
      <c r="K2" s="1"/>
    </row>
    <row r="3" spans="1:26" x14ac:dyDescent="0.25">
      <c r="A3">
        <v>1683.3</v>
      </c>
      <c r="B3" s="7">
        <v>4.8383459999999996</v>
      </c>
      <c r="D3" s="1">
        <v>1683.3</v>
      </c>
      <c r="E3" s="2">
        <v>5.0484719</v>
      </c>
      <c r="G3">
        <v>1683.3</v>
      </c>
      <c r="H3">
        <v>4.9962566654663902</v>
      </c>
      <c r="I3">
        <v>4.9951635934750103</v>
      </c>
      <c r="K3">
        <f>B3/E3</f>
        <v>0.9583783164168943</v>
      </c>
      <c r="L3">
        <f>1-K3</f>
        <v>4.1621683583105695E-2</v>
      </c>
      <c r="M3">
        <f>H3/E3</f>
        <v>0.98965721993349909</v>
      </c>
      <c r="N3">
        <f>1-M3</f>
        <v>1.0342780066500912E-2</v>
      </c>
      <c r="X3">
        <v>1683.3</v>
      </c>
      <c r="Y3">
        <v>4.8168069999999998</v>
      </c>
      <c r="Z3">
        <v>1</v>
      </c>
    </row>
    <row r="4" spans="1:26" x14ac:dyDescent="0.25">
      <c r="A4">
        <v>1685.3</v>
      </c>
      <c r="B4" s="7">
        <v>6.8634820000000003</v>
      </c>
      <c r="D4" s="1">
        <v>1685.3</v>
      </c>
      <c r="E4" s="2">
        <v>6.8573155000000003</v>
      </c>
      <c r="G4">
        <v>1685.3</v>
      </c>
      <c r="H4">
        <v>6.8825206242808896</v>
      </c>
      <c r="I4">
        <v>6.8774677435363296</v>
      </c>
      <c r="K4">
        <f t="shared" ref="K4:K23" si="0">B4/E4</f>
        <v>1.0008992586092911</v>
      </c>
      <c r="L4">
        <f t="shared" ref="L4:L23" si="1">1-K4</f>
        <v>-8.9925860929107593E-4</v>
      </c>
      <c r="M4">
        <f t="shared" ref="M4:M23" si="2">H4/E4</f>
        <v>1.0036756547486971</v>
      </c>
      <c r="N4">
        <f t="shared" ref="N4:N23" si="3">1-M4</f>
        <v>-3.6756547486971325E-3</v>
      </c>
      <c r="X4">
        <v>1685.3</v>
      </c>
      <c r="Y4">
        <v>6.8255509999999999</v>
      </c>
      <c r="Z4">
        <v>1</v>
      </c>
    </row>
    <row r="5" spans="1:26" x14ac:dyDescent="0.25">
      <c r="A5">
        <v>1687.3</v>
      </c>
      <c r="B5" s="7">
        <v>7.2739380000000002</v>
      </c>
      <c r="D5" s="1">
        <v>1687.3</v>
      </c>
      <c r="E5" s="2">
        <v>7.1827911999999996</v>
      </c>
      <c r="G5">
        <v>1687.3</v>
      </c>
      <c r="H5">
        <v>7.2074322918071898</v>
      </c>
      <c r="I5">
        <v>7.2054955982402804</v>
      </c>
      <c r="K5">
        <f t="shared" si="0"/>
        <v>1.012689607349299</v>
      </c>
      <c r="L5">
        <f t="shared" si="1"/>
        <v>-1.2689607349299026E-2</v>
      </c>
      <c r="M5">
        <f t="shared" si="2"/>
        <v>1.0034305733135038</v>
      </c>
      <c r="N5">
        <f t="shared" si="3"/>
        <v>-3.4305733135038263E-3</v>
      </c>
      <c r="X5">
        <v>1687.3</v>
      </c>
      <c r="Y5">
        <v>7.2630990000000004</v>
      </c>
      <c r="Z5">
        <v>1</v>
      </c>
    </row>
    <row r="6" spans="1:26" x14ac:dyDescent="0.25">
      <c r="A6">
        <v>1689.3</v>
      </c>
      <c r="B6" s="7">
        <v>7.3225689999999997</v>
      </c>
      <c r="D6" s="1">
        <v>1689.3</v>
      </c>
      <c r="E6" s="2">
        <v>7.1988028999999996</v>
      </c>
      <c r="G6">
        <v>1689.3</v>
      </c>
      <c r="H6">
        <v>7.2249418617435301</v>
      </c>
      <c r="I6">
        <v>7.2248681808513604</v>
      </c>
      <c r="K6">
        <f t="shared" si="0"/>
        <v>1.0171925946187526</v>
      </c>
      <c r="L6">
        <f t="shared" si="1"/>
        <v>-1.7192594618752555E-2</v>
      </c>
      <c r="M6">
        <f t="shared" si="2"/>
        <v>1.0036310150599526</v>
      </c>
      <c r="N6">
        <f t="shared" si="3"/>
        <v>-3.6310150599525581E-3</v>
      </c>
      <c r="X6">
        <v>1689.3</v>
      </c>
      <c r="Y6">
        <v>7.3353010000000003</v>
      </c>
      <c r="Z6">
        <v>1</v>
      </c>
    </row>
    <row r="7" spans="1:26" x14ac:dyDescent="0.25">
      <c r="A7">
        <v>1691.3</v>
      </c>
      <c r="B7" s="7">
        <v>7.2261559999999996</v>
      </c>
      <c r="D7" s="1">
        <v>1691.3</v>
      </c>
      <c r="E7" s="2">
        <v>7.1622262000000001</v>
      </c>
      <c r="G7">
        <v>1691.3</v>
      </c>
      <c r="H7">
        <v>7.1887633212702502</v>
      </c>
      <c r="I7">
        <v>7.1904309521716501</v>
      </c>
      <c r="K7">
        <f t="shared" si="0"/>
        <v>1.0089259677389133</v>
      </c>
      <c r="L7">
        <f t="shared" si="1"/>
        <v>-8.9259677389132985E-3</v>
      </c>
      <c r="M7">
        <f t="shared" si="2"/>
        <v>1.0037051498415743</v>
      </c>
      <c r="N7">
        <f t="shared" si="3"/>
        <v>-3.7051498415743289E-3</v>
      </c>
      <c r="X7">
        <v>1691.3</v>
      </c>
      <c r="Y7">
        <v>7.2414449999999997</v>
      </c>
      <c r="Z7">
        <v>1</v>
      </c>
    </row>
    <row r="8" spans="1:26" x14ac:dyDescent="0.25">
      <c r="A8">
        <v>1693.3</v>
      </c>
      <c r="B8" s="7">
        <v>6.9524229999999996</v>
      </c>
      <c r="D8" s="1">
        <v>1693.3</v>
      </c>
      <c r="E8" s="2">
        <v>6.9564576000000002</v>
      </c>
      <c r="G8">
        <v>1693.3</v>
      </c>
      <c r="H8">
        <v>6.97467340616413</v>
      </c>
      <c r="I8">
        <v>6.9787418938691399</v>
      </c>
      <c r="K8">
        <f t="shared" si="0"/>
        <v>0.99942002090259263</v>
      </c>
      <c r="L8">
        <f t="shared" si="1"/>
        <v>5.7997909740736819E-4</v>
      </c>
      <c r="M8">
        <f t="shared" si="2"/>
        <v>1.0026185462790904</v>
      </c>
      <c r="N8">
        <f t="shared" si="3"/>
        <v>-2.6185462790904168E-3</v>
      </c>
      <c r="X8">
        <v>1693.3</v>
      </c>
      <c r="Y8">
        <v>6.9983040000000001</v>
      </c>
      <c r="Z8">
        <v>1</v>
      </c>
    </row>
    <row r="9" spans="1:26" x14ac:dyDescent="0.25">
      <c r="A9">
        <v>1695.3</v>
      </c>
      <c r="B9" s="7">
        <v>6.5597399999999997</v>
      </c>
      <c r="D9" s="1">
        <v>1695.3</v>
      </c>
      <c r="E9" s="2">
        <v>6.6019807000000004</v>
      </c>
      <c r="G9">
        <v>1695.3</v>
      </c>
      <c r="H9">
        <v>6.6026954292018001</v>
      </c>
      <c r="I9">
        <v>6.6079557039280203</v>
      </c>
      <c r="K9">
        <f t="shared" si="0"/>
        <v>0.99360181407376713</v>
      </c>
      <c r="L9">
        <f t="shared" si="1"/>
        <v>6.3981859262328689E-3</v>
      </c>
      <c r="M9">
        <f t="shared" si="2"/>
        <v>1.0001082598138766</v>
      </c>
      <c r="N9">
        <f t="shared" si="3"/>
        <v>-1.0825981387663219E-4</v>
      </c>
      <c r="X9">
        <v>1695.3</v>
      </c>
      <c r="Y9">
        <v>6.6264960000000004</v>
      </c>
      <c r="Z9">
        <v>1</v>
      </c>
    </row>
    <row r="10" spans="1:26" x14ac:dyDescent="0.25">
      <c r="A10">
        <v>1697.3</v>
      </c>
      <c r="B10" s="7">
        <v>6.120228</v>
      </c>
      <c r="D10" s="1">
        <v>1697.3</v>
      </c>
      <c r="E10" s="2">
        <v>6.1642422999999997</v>
      </c>
      <c r="G10">
        <v>1697.3</v>
      </c>
      <c r="H10">
        <v>6.1514760099241803</v>
      </c>
      <c r="I10">
        <v>6.1557529112668803</v>
      </c>
      <c r="K10">
        <f t="shared" si="0"/>
        <v>0.99285973881980605</v>
      </c>
      <c r="L10">
        <f t="shared" si="1"/>
        <v>7.140261180193952E-3</v>
      </c>
      <c r="M10">
        <f t="shared" si="2"/>
        <v>0.99792897659525492</v>
      </c>
      <c r="N10">
        <f t="shared" si="3"/>
        <v>2.071023404745076E-3</v>
      </c>
      <c r="X10">
        <v>1697.3</v>
      </c>
      <c r="Y10">
        <v>6.1948340000000002</v>
      </c>
      <c r="Z10">
        <v>1</v>
      </c>
    </row>
    <row r="11" spans="1:26" x14ac:dyDescent="0.25">
      <c r="A11">
        <v>1699.3</v>
      </c>
      <c r="B11" s="7">
        <v>5.6859419999999998</v>
      </c>
      <c r="D11" s="1">
        <v>1699.3</v>
      </c>
      <c r="E11" s="2">
        <v>5.7167683</v>
      </c>
      <c r="G11">
        <v>1699.3</v>
      </c>
      <c r="H11">
        <v>5.6989558117631303</v>
      </c>
      <c r="I11">
        <v>5.7007465162053199</v>
      </c>
      <c r="K11">
        <f t="shared" si="0"/>
        <v>0.99460774018075904</v>
      </c>
      <c r="L11">
        <f t="shared" si="1"/>
        <v>5.3922598192409632E-3</v>
      </c>
      <c r="M11">
        <f t="shared" si="2"/>
        <v>0.9968841682394457</v>
      </c>
      <c r="N11">
        <f t="shared" si="3"/>
        <v>3.1158317605542996E-3</v>
      </c>
      <c r="X11">
        <v>1699.3</v>
      </c>
      <c r="Y11">
        <v>5.7565419999999996</v>
      </c>
      <c r="Z11">
        <v>1</v>
      </c>
    </row>
    <row r="12" spans="1:26" x14ac:dyDescent="0.25">
      <c r="A12">
        <v>1701.3</v>
      </c>
      <c r="B12" s="7">
        <v>5.3034910000000002</v>
      </c>
      <c r="D12" s="1">
        <v>1701.3</v>
      </c>
      <c r="E12" s="2">
        <v>5.3268895000000001</v>
      </c>
      <c r="G12">
        <v>1701.3</v>
      </c>
      <c r="H12">
        <v>5.3113646284313401</v>
      </c>
      <c r="I12">
        <v>5.3104999077631296</v>
      </c>
      <c r="K12">
        <f t="shared" si="0"/>
        <v>0.99560747411786932</v>
      </c>
      <c r="L12">
        <f t="shared" si="1"/>
        <v>4.3925258821306823E-3</v>
      </c>
      <c r="M12">
        <f t="shared" si="2"/>
        <v>0.9970855653062336</v>
      </c>
      <c r="N12">
        <f t="shared" si="3"/>
        <v>2.914434693766399E-3</v>
      </c>
      <c r="X12">
        <v>1701.3</v>
      </c>
      <c r="Y12">
        <v>5.3623940000000001</v>
      </c>
      <c r="Z12">
        <v>1</v>
      </c>
    </row>
    <row r="13" spans="1:26" x14ac:dyDescent="0.25">
      <c r="A13">
        <v>1703.3</v>
      </c>
      <c r="B13" s="7">
        <v>5.0116880000000004</v>
      </c>
      <c r="D13" s="1">
        <v>1703.3</v>
      </c>
      <c r="E13" s="2">
        <v>5.0289130000000002</v>
      </c>
      <c r="G13">
        <v>1703.3</v>
      </c>
      <c r="H13">
        <v>5.0210050398822501</v>
      </c>
      <c r="I13">
        <v>5.0184494823343</v>
      </c>
      <c r="K13">
        <f t="shared" si="0"/>
        <v>0.99657480652379549</v>
      </c>
      <c r="L13">
        <f t="shared" si="1"/>
        <v>3.4251934762045133E-3</v>
      </c>
      <c r="M13">
        <f t="shared" si="2"/>
        <v>0.99842750110853973</v>
      </c>
      <c r="N13">
        <f t="shared" si="3"/>
        <v>1.5724988914602722E-3</v>
      </c>
      <c r="X13">
        <v>1703.3</v>
      </c>
      <c r="Y13">
        <v>5.0554810000000003</v>
      </c>
      <c r="Z13">
        <v>1</v>
      </c>
    </row>
    <row r="14" spans="1:26" x14ac:dyDescent="0.25">
      <c r="A14">
        <v>1705.3</v>
      </c>
      <c r="B14" s="7">
        <v>4.8136840000000003</v>
      </c>
      <c r="D14" s="1">
        <v>1705.3</v>
      </c>
      <c r="E14" s="2">
        <v>4.8184155999999998</v>
      </c>
      <c r="G14">
        <v>1705.3</v>
      </c>
      <c r="H14">
        <v>4.8242179607131304</v>
      </c>
      <c r="I14">
        <v>4.8210609649074199</v>
      </c>
      <c r="K14">
        <f t="shared" si="0"/>
        <v>0.9990180174578549</v>
      </c>
      <c r="L14">
        <f t="shared" si="1"/>
        <v>9.8198254214509895E-4</v>
      </c>
      <c r="M14">
        <f t="shared" si="2"/>
        <v>1.0012042051152936</v>
      </c>
      <c r="N14">
        <f t="shared" si="3"/>
        <v>-1.2042051152936217E-3</v>
      </c>
      <c r="X14">
        <v>1705.3</v>
      </c>
      <c r="Y14">
        <v>4.845701</v>
      </c>
      <c r="Z14">
        <v>1</v>
      </c>
    </row>
    <row r="15" spans="1:26" x14ac:dyDescent="0.25">
      <c r="A15">
        <v>1707.3</v>
      </c>
      <c r="B15" s="7">
        <v>4.6592500000000001</v>
      </c>
      <c r="D15" s="1">
        <v>1707.3</v>
      </c>
      <c r="E15" s="2">
        <v>4.6494255000000004</v>
      </c>
      <c r="G15">
        <v>1707.3</v>
      </c>
      <c r="H15">
        <v>4.6773865702597996</v>
      </c>
      <c r="I15">
        <v>4.6747029378424401</v>
      </c>
      <c r="K15">
        <f t="shared" si="0"/>
        <v>1.0021130567636796</v>
      </c>
      <c r="L15">
        <f t="shared" si="1"/>
        <v>-2.1130567636795661E-3</v>
      </c>
      <c r="M15">
        <f t="shared" si="2"/>
        <v>1.0060138763939328</v>
      </c>
      <c r="N15">
        <f t="shared" si="3"/>
        <v>-6.0138763939328044E-3</v>
      </c>
      <c r="X15">
        <v>1707.3</v>
      </c>
      <c r="Y15">
        <v>4.69339</v>
      </c>
      <c r="Z15">
        <v>1</v>
      </c>
    </row>
    <row r="16" spans="1:26" x14ac:dyDescent="0.25">
      <c r="A16">
        <v>1709.3</v>
      </c>
      <c r="B16" s="7">
        <v>4.4507399999999997</v>
      </c>
      <c r="D16" s="1">
        <v>1709.3</v>
      </c>
      <c r="E16" s="2">
        <v>4.4384480000000002</v>
      </c>
      <c r="G16">
        <v>1709.3</v>
      </c>
      <c r="H16">
        <v>4.4855618765108396</v>
      </c>
      <c r="I16">
        <v>4.4851375259246504</v>
      </c>
      <c r="K16">
        <f t="shared" si="0"/>
        <v>1.0027694365237578</v>
      </c>
      <c r="L16">
        <f t="shared" si="1"/>
        <v>-2.7694365237578289E-3</v>
      </c>
      <c r="M16">
        <f t="shared" si="2"/>
        <v>1.0106149438972449</v>
      </c>
      <c r="N16">
        <f t="shared" si="3"/>
        <v>-1.0614943897244933E-2</v>
      </c>
      <c r="X16">
        <v>1709.3</v>
      </c>
      <c r="Y16">
        <v>4.5053809999999999</v>
      </c>
      <c r="Z16">
        <v>1</v>
      </c>
    </row>
    <row r="17" spans="1:26" x14ac:dyDescent="0.25">
      <c r="A17">
        <v>1711.3</v>
      </c>
      <c r="B17" s="7">
        <v>4.0979080000000003</v>
      </c>
      <c r="D17" s="1">
        <v>1711.3</v>
      </c>
      <c r="E17" s="2">
        <v>4.0974879</v>
      </c>
      <c r="G17">
        <v>1711.3</v>
      </c>
      <c r="H17">
        <v>4.1346610522653</v>
      </c>
      <c r="I17">
        <v>4.1387309543002599</v>
      </c>
      <c r="K17">
        <f t="shared" si="0"/>
        <v>1.0001025262332075</v>
      </c>
      <c r="L17">
        <f t="shared" si="1"/>
        <v>-1.0252623320750054E-4</v>
      </c>
      <c r="M17">
        <f t="shared" si="2"/>
        <v>1.0090721810954708</v>
      </c>
      <c r="N17">
        <f t="shared" si="3"/>
        <v>-9.0721810954708104E-3</v>
      </c>
      <c r="X17">
        <v>1711.3</v>
      </c>
      <c r="Y17">
        <v>4.1838870000000004</v>
      </c>
      <c r="Z17">
        <v>1</v>
      </c>
    </row>
    <row r="18" spans="1:26" x14ac:dyDescent="0.25">
      <c r="A18">
        <v>1713.3</v>
      </c>
      <c r="B18" s="7">
        <v>3.5697320000000001</v>
      </c>
      <c r="D18" s="1">
        <v>1713.3</v>
      </c>
      <c r="E18" s="2">
        <v>3.5844847999999998</v>
      </c>
      <c r="G18">
        <v>1713.3</v>
      </c>
      <c r="H18">
        <v>3.5877410414942199</v>
      </c>
      <c r="I18">
        <v>3.5954007505329701</v>
      </c>
      <c r="K18">
        <f t="shared" si="0"/>
        <v>0.99588426208419134</v>
      </c>
      <c r="L18">
        <f t="shared" si="1"/>
        <v>4.1157379158086593E-3</v>
      </c>
      <c r="M18">
        <f t="shared" si="2"/>
        <v>1.0009084266431316</v>
      </c>
      <c r="N18">
        <f t="shared" si="3"/>
        <v>-9.0842664313162125E-4</v>
      </c>
      <c r="X18">
        <v>1713.3</v>
      </c>
      <c r="Y18">
        <v>3.683862</v>
      </c>
      <c r="Z18">
        <v>1</v>
      </c>
    </row>
    <row r="19" spans="1:26" x14ac:dyDescent="0.25">
      <c r="A19">
        <v>1715.3</v>
      </c>
      <c r="B19" s="7">
        <v>2.915975</v>
      </c>
      <c r="D19" s="1">
        <v>1715.3</v>
      </c>
      <c r="E19" s="2">
        <v>2.9387506999999999</v>
      </c>
      <c r="G19">
        <v>1715.3</v>
      </c>
      <c r="H19">
        <v>2.91688718101486</v>
      </c>
      <c r="I19">
        <v>2.9240544801873098</v>
      </c>
      <c r="K19">
        <f t="shared" si="0"/>
        <v>0.99224986998727049</v>
      </c>
      <c r="L19">
        <f t="shared" si="1"/>
        <v>7.7501300127295059E-3</v>
      </c>
      <c r="M19">
        <f t="shared" si="2"/>
        <v>0.99256026753642634</v>
      </c>
      <c r="N19">
        <f t="shared" si="3"/>
        <v>7.4397324635736561E-3</v>
      </c>
      <c r="X19">
        <v>1715.3</v>
      </c>
      <c r="Y19">
        <v>3.0424000000000002</v>
      </c>
      <c r="Z19">
        <v>1</v>
      </c>
    </row>
    <row r="20" spans="1:26" x14ac:dyDescent="0.25">
      <c r="A20">
        <v>1717.3</v>
      </c>
      <c r="B20" s="7">
        <v>2.2430330000000001</v>
      </c>
      <c r="D20" s="1">
        <v>1717.3</v>
      </c>
      <c r="E20" s="2">
        <v>2.2643366</v>
      </c>
      <c r="G20">
        <v>1717.3</v>
      </c>
      <c r="H20">
        <v>2.2344255917748099</v>
      </c>
      <c r="I20">
        <v>2.2378931020853301</v>
      </c>
      <c r="K20">
        <f t="shared" si="0"/>
        <v>0.99059168146643928</v>
      </c>
      <c r="L20">
        <f t="shared" si="1"/>
        <v>9.4083185335607222E-3</v>
      </c>
      <c r="M20">
        <f t="shared" si="2"/>
        <v>0.98679038786671991</v>
      </c>
      <c r="N20">
        <f t="shared" si="3"/>
        <v>1.3209612133280091E-2</v>
      </c>
      <c r="X20">
        <v>1717.3</v>
      </c>
      <c r="Y20">
        <v>2.362625</v>
      </c>
      <c r="Z20">
        <v>1</v>
      </c>
    </row>
    <row r="21" spans="1:26" x14ac:dyDescent="0.25">
      <c r="A21">
        <v>1719.3</v>
      </c>
      <c r="B21" s="7">
        <v>1.655446</v>
      </c>
      <c r="D21" s="1">
        <v>1719.3</v>
      </c>
      <c r="E21" s="2">
        <v>1.6713928</v>
      </c>
      <c r="G21">
        <v>1719.3</v>
      </c>
      <c r="H21">
        <v>1.6456070819442199</v>
      </c>
      <c r="I21">
        <v>1.6447676196344201</v>
      </c>
      <c r="K21">
        <f t="shared" si="0"/>
        <v>0.99045897529294125</v>
      </c>
      <c r="L21">
        <f t="shared" si="1"/>
        <v>9.5410247070587539E-3</v>
      </c>
      <c r="M21">
        <f t="shared" si="2"/>
        <v>0.98457231713826932</v>
      </c>
      <c r="N21">
        <f t="shared" si="3"/>
        <v>1.5427682861730685E-2</v>
      </c>
      <c r="X21">
        <v>1719.3</v>
      </c>
      <c r="Y21">
        <v>1.7546850000000001</v>
      </c>
      <c r="Z21">
        <v>1</v>
      </c>
    </row>
    <row r="22" spans="1:26" x14ac:dyDescent="0.25">
      <c r="A22">
        <v>1721.3</v>
      </c>
      <c r="B22" s="7">
        <v>1.2164250000000001</v>
      </c>
      <c r="D22" s="1">
        <v>1721.3</v>
      </c>
      <c r="E22" s="2">
        <v>1.2287846</v>
      </c>
      <c r="G22">
        <v>1721.3</v>
      </c>
      <c r="H22">
        <v>1.2125714692644201</v>
      </c>
      <c r="I22">
        <v>1.2090104703587301</v>
      </c>
      <c r="K22">
        <f t="shared" si="0"/>
        <v>0.98994160571348311</v>
      </c>
      <c r="L22">
        <f t="shared" si="1"/>
        <v>1.0058394286516892E-2</v>
      </c>
      <c r="M22">
        <f t="shared" si="2"/>
        <v>0.98680555506996104</v>
      </c>
      <c r="N22">
        <f t="shared" si="3"/>
        <v>1.3194444930038962E-2</v>
      </c>
      <c r="X22">
        <v>1721.3</v>
      </c>
      <c r="Y22">
        <v>1.290451</v>
      </c>
      <c r="Z22">
        <v>1</v>
      </c>
    </row>
    <row r="23" spans="1:26" x14ac:dyDescent="0.25">
      <c r="A23">
        <v>1723.3</v>
      </c>
      <c r="B23" s="7">
        <v>0.93611999999999995</v>
      </c>
      <c r="D23" s="1">
        <v>1723.3</v>
      </c>
      <c r="E23" s="2">
        <v>0.94766355000000002</v>
      </c>
      <c r="G23">
        <v>1723.3</v>
      </c>
      <c r="H23">
        <v>0.93973523034164497</v>
      </c>
      <c r="I23">
        <v>0.93549110625281695</v>
      </c>
      <c r="K23">
        <f t="shared" si="0"/>
        <v>0.98781893637251317</v>
      </c>
      <c r="L23">
        <f t="shared" si="1"/>
        <v>1.2181063627486832E-2</v>
      </c>
      <c r="M23">
        <f t="shared" si="2"/>
        <v>0.99163382441125325</v>
      </c>
      <c r="N23">
        <f t="shared" si="3"/>
        <v>8.3661755887467493E-3</v>
      </c>
      <c r="X23">
        <v>1723.3</v>
      </c>
      <c r="Y23">
        <v>0.98738000000000004</v>
      </c>
      <c r="Z23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669E8-6F88-4752-8B3E-3D424D72AE1C}">
  <dimension ref="A1:AG23"/>
  <sheetViews>
    <sheetView topLeftCell="A5" zoomScale="89" zoomScaleNormal="89" workbookViewId="0">
      <selection activeCell="O3" sqref="O3"/>
    </sheetView>
  </sheetViews>
  <sheetFormatPr defaultRowHeight="15.75" x14ac:dyDescent="0.25"/>
  <cols>
    <col min="1" max="1" width="13.875" customWidth="1"/>
    <col min="5" max="5" width="14.375" customWidth="1"/>
    <col min="7" max="7" width="14" style="1" customWidth="1"/>
    <col min="8" max="8" width="14" style="2" customWidth="1"/>
    <col min="10" max="10" width="15" customWidth="1"/>
    <col min="11" max="11" width="14.125" customWidth="1"/>
    <col min="27" max="27" width="9.125" customWidth="1"/>
    <col min="28" max="28" width="13.5" customWidth="1"/>
    <col min="31" max="31" width="19" customWidth="1"/>
    <col min="33" max="33" width="13.5" bestFit="1" customWidth="1"/>
  </cols>
  <sheetData>
    <row r="1" spans="1:33" x14ac:dyDescent="0.25">
      <c r="B1" t="s">
        <v>4</v>
      </c>
      <c r="H1" s="2" t="s">
        <v>5</v>
      </c>
      <c r="K1" t="s">
        <v>6</v>
      </c>
      <c r="M1" t="s">
        <v>7</v>
      </c>
      <c r="N1" t="s">
        <v>9</v>
      </c>
      <c r="O1" t="s">
        <v>8</v>
      </c>
      <c r="P1" t="s">
        <v>9</v>
      </c>
      <c r="AB1" t="s">
        <v>11</v>
      </c>
    </row>
    <row r="2" spans="1:33" x14ac:dyDescent="0.25">
      <c r="A2" t="s">
        <v>0</v>
      </c>
      <c r="B2" t="s">
        <v>1</v>
      </c>
      <c r="C2" t="s">
        <v>2</v>
      </c>
      <c r="D2" t="s">
        <v>3</v>
      </c>
      <c r="E2" t="s">
        <v>10</v>
      </c>
      <c r="G2" t="s">
        <v>0</v>
      </c>
      <c r="H2" t="s">
        <v>10</v>
      </c>
      <c r="J2" t="s">
        <v>0</v>
      </c>
      <c r="K2" t="s">
        <v>10</v>
      </c>
    </row>
    <row r="3" spans="1:33" x14ac:dyDescent="0.25">
      <c r="A3">
        <v>1683.3</v>
      </c>
      <c r="B3">
        <v>406.04776099999998</v>
      </c>
      <c r="C3">
        <v>0</v>
      </c>
      <c r="D3">
        <f t="shared" ref="D3:D23" si="0">B3*4*PI()/(0.0064886478302)</f>
        <v>786380.58119105233</v>
      </c>
      <c r="E3">
        <f>D3/(4000*PI())/(4*PI())</f>
        <v>4.9798132049766828</v>
      </c>
      <c r="G3" s="1">
        <v>1683.3</v>
      </c>
      <c r="H3" s="2">
        <v>5.0314417000000002</v>
      </c>
      <c r="J3">
        <v>1683.3</v>
      </c>
      <c r="K3">
        <v>5.0312062769531103</v>
      </c>
      <c r="M3">
        <f>E3/H3</f>
        <v>0.98973882674158431</v>
      </c>
      <c r="N3">
        <f>1-M3</f>
        <v>1.026117325841569E-2</v>
      </c>
      <c r="O3">
        <f>K3/H3</f>
        <v>0.99995320962441248</v>
      </c>
      <c r="P3">
        <f>1-O3</f>
        <v>4.6790375587524302E-5</v>
      </c>
      <c r="AA3">
        <v>1683.3</v>
      </c>
      <c r="AB3">
        <v>3.8420181665010702</v>
      </c>
      <c r="AC3">
        <f>AB3/H3</f>
        <v>0.76360184527251307</v>
      </c>
      <c r="AE3" s="4">
        <v>1</v>
      </c>
      <c r="AF3" s="4"/>
      <c r="AG3" s="5">
        <v>5.0309037999999999</v>
      </c>
    </row>
    <row r="4" spans="1:33" x14ac:dyDescent="0.25">
      <c r="A4">
        <v>1685.3</v>
      </c>
      <c r="B4">
        <v>555.61042599999996</v>
      </c>
      <c r="C4">
        <v>0</v>
      </c>
      <c r="D4">
        <f t="shared" si="0"/>
        <v>1076034.1311516014</v>
      </c>
      <c r="E4">
        <f t="shared" ref="E4:E23" si="1">D4/(4000*PI())/(4*PI())</f>
        <v>6.8140657379896741</v>
      </c>
      <c r="G4" s="1">
        <v>1685.3</v>
      </c>
      <c r="H4" s="2">
        <v>6.8375440000000003</v>
      </c>
      <c r="J4">
        <v>1685.3</v>
      </c>
      <c r="K4">
        <v>6.8377281362072697</v>
      </c>
      <c r="M4">
        <f t="shared" ref="M4:M23" si="2">E4/H4</f>
        <v>0.99656627262503517</v>
      </c>
      <c r="N4">
        <f t="shared" ref="N4:N23" si="3">1-M4</f>
        <v>3.4337273749648345E-3</v>
      </c>
      <c r="O4">
        <f t="shared" ref="O4:O23" si="4">K4/H4</f>
        <v>1.0000269301678013</v>
      </c>
      <c r="P4">
        <f t="shared" ref="P4:P23" si="5">1-O4</f>
        <v>-2.6930167801308968E-5</v>
      </c>
      <c r="AA4">
        <v>1685.3</v>
      </c>
      <c r="AB4">
        <v>5.62008176906697</v>
      </c>
      <c r="AC4">
        <f t="shared" ref="AC4:AC23" si="6">AB4/H4</f>
        <v>0.82194451239611321</v>
      </c>
      <c r="AE4" s="4">
        <v>1</v>
      </c>
      <c r="AF4" s="4"/>
      <c r="AG4" s="5">
        <v>6.8366512999999998</v>
      </c>
    </row>
    <row r="5" spans="1:33" x14ac:dyDescent="0.25">
      <c r="A5">
        <v>1687.3</v>
      </c>
      <c r="B5">
        <v>584.01619300000004</v>
      </c>
      <c r="C5">
        <v>0</v>
      </c>
      <c r="D5">
        <f t="shared" si="0"/>
        <v>1131046.7323973884</v>
      </c>
      <c r="E5">
        <f t="shared" si="1"/>
        <v>7.1624371050813664</v>
      </c>
      <c r="G5" s="1">
        <v>1687.3</v>
      </c>
      <c r="H5" s="2">
        <v>7.1715135999999999</v>
      </c>
      <c r="J5">
        <v>1687.3</v>
      </c>
      <c r="K5">
        <v>7.1724945122398402</v>
      </c>
      <c r="M5">
        <f t="shared" si="2"/>
        <v>0.99873436830425399</v>
      </c>
      <c r="N5">
        <f t="shared" si="3"/>
        <v>1.2656316957460056E-3</v>
      </c>
      <c r="O5">
        <f t="shared" si="4"/>
        <v>1.0001367789694828</v>
      </c>
      <c r="P5">
        <f t="shared" si="5"/>
        <v>-1.3677896948283141E-4</v>
      </c>
      <c r="AA5">
        <v>1687.3</v>
      </c>
      <c r="AB5">
        <v>6.5796968632439903</v>
      </c>
      <c r="AC5">
        <f t="shared" si="6"/>
        <v>0.91747673228200954</v>
      </c>
      <c r="AE5" s="4">
        <v>1</v>
      </c>
      <c r="AF5" s="4"/>
      <c r="AG5" s="5">
        <v>7.1716889999999998</v>
      </c>
    </row>
    <row r="6" spans="1:33" x14ac:dyDescent="0.25">
      <c r="A6">
        <v>1689.3</v>
      </c>
      <c r="B6">
        <v>585.60475499999995</v>
      </c>
      <c r="C6">
        <v>0</v>
      </c>
      <c r="D6">
        <f t="shared" si="0"/>
        <v>1134123.2530159026</v>
      </c>
      <c r="E6">
        <f t="shared" si="1"/>
        <v>7.1819193994918615</v>
      </c>
      <c r="G6" s="1">
        <v>1689.3</v>
      </c>
      <c r="H6" s="2">
        <v>7.1832089000000003</v>
      </c>
      <c r="J6">
        <v>1689.3</v>
      </c>
      <c r="K6">
        <v>7.1872267930035099</v>
      </c>
      <c r="M6">
        <f t="shared" si="2"/>
        <v>0.9998204840585746</v>
      </c>
      <c r="N6">
        <f t="shared" si="3"/>
        <v>1.7951594142540106E-4</v>
      </c>
      <c r="O6">
        <f t="shared" si="4"/>
        <v>1.0005593451421841</v>
      </c>
      <c r="P6">
        <f t="shared" si="5"/>
        <v>-5.5934514218414222E-4</v>
      </c>
      <c r="AA6">
        <v>1689.3</v>
      </c>
      <c r="AB6">
        <v>6.9739780495268704</v>
      </c>
      <c r="AC6">
        <f t="shared" si="6"/>
        <v>0.97087223086702523</v>
      </c>
      <c r="AE6" s="4">
        <v>1</v>
      </c>
      <c r="AF6" s="4"/>
      <c r="AG6" s="5">
        <v>7.1868834000000001</v>
      </c>
    </row>
    <row r="7" spans="1:33" x14ac:dyDescent="0.25">
      <c r="A7">
        <v>1691.3</v>
      </c>
      <c r="B7">
        <v>583.18746499999997</v>
      </c>
      <c r="C7">
        <v>0</v>
      </c>
      <c r="D7">
        <f t="shared" si="0"/>
        <v>1129441.7596112208</v>
      </c>
      <c r="E7">
        <f t="shared" si="1"/>
        <v>7.1522734961808521</v>
      </c>
      <c r="G7" s="1">
        <v>1691.3</v>
      </c>
      <c r="H7" s="2">
        <v>7.1552958000000002</v>
      </c>
      <c r="J7">
        <v>1691.3</v>
      </c>
      <c r="K7">
        <v>7.1534008589047504</v>
      </c>
      <c r="M7">
        <f t="shared" si="2"/>
        <v>0.99957761301508341</v>
      </c>
      <c r="N7">
        <f t="shared" si="3"/>
        <v>4.2238698491658955E-4</v>
      </c>
      <c r="O7">
        <f t="shared" si="4"/>
        <v>0.99973516942580487</v>
      </c>
      <c r="P7">
        <f t="shared" si="5"/>
        <v>2.6483057419512956E-4</v>
      </c>
      <c r="AA7">
        <v>1691.3</v>
      </c>
      <c r="AB7">
        <v>7.1268250220726301</v>
      </c>
      <c r="AC7">
        <f t="shared" si="6"/>
        <v>0.9960210201334555</v>
      </c>
      <c r="AE7" s="4">
        <v>1</v>
      </c>
      <c r="AF7" s="4"/>
      <c r="AG7" s="5">
        <v>7.1531276999999998</v>
      </c>
    </row>
    <row r="8" spans="1:33" x14ac:dyDescent="0.25">
      <c r="A8">
        <v>1693.3</v>
      </c>
      <c r="B8">
        <v>568.61545100000001</v>
      </c>
      <c r="C8">
        <v>0</v>
      </c>
      <c r="D8">
        <f t="shared" si="0"/>
        <v>1101220.5749648064</v>
      </c>
      <c r="E8">
        <f t="shared" si="1"/>
        <v>6.9735607566706221</v>
      </c>
      <c r="G8" s="1">
        <v>1693.3</v>
      </c>
      <c r="H8" s="2">
        <v>6.9717039999999999</v>
      </c>
      <c r="J8">
        <v>1693.3</v>
      </c>
      <c r="K8">
        <v>6.9690644310906604</v>
      </c>
      <c r="M8">
        <f t="shared" si="2"/>
        <v>1.0002663275248953</v>
      </c>
      <c r="N8">
        <f t="shared" si="3"/>
        <v>-2.6632752489530453E-4</v>
      </c>
      <c r="O8">
        <f t="shared" si="4"/>
        <v>0.99962138827045155</v>
      </c>
      <c r="P8">
        <f t="shared" si="5"/>
        <v>3.7861172954845035E-4</v>
      </c>
      <c r="AA8">
        <v>1693.3</v>
      </c>
      <c r="AB8">
        <v>7.1090591486812196</v>
      </c>
      <c r="AC8">
        <f t="shared" si="6"/>
        <v>1.0197018044198691</v>
      </c>
      <c r="AE8" s="4">
        <v>1</v>
      </c>
      <c r="AF8" s="4"/>
      <c r="AG8" s="5">
        <v>6.9690174999999996</v>
      </c>
    </row>
    <row r="9" spans="1:33" x14ac:dyDescent="0.25">
      <c r="A9">
        <v>1695.3</v>
      </c>
      <c r="B9">
        <v>541.91486499999996</v>
      </c>
      <c r="C9">
        <v>0</v>
      </c>
      <c r="D9">
        <f t="shared" si="0"/>
        <v>1049510.3468746147</v>
      </c>
      <c r="E9">
        <f t="shared" si="1"/>
        <v>6.6461019118885289</v>
      </c>
      <c r="G9" s="1">
        <v>1695.3</v>
      </c>
      <c r="H9" s="2">
        <v>6.6377496999999996</v>
      </c>
      <c r="J9">
        <v>1695.3</v>
      </c>
      <c r="K9">
        <v>6.6378819390096604</v>
      </c>
      <c r="M9">
        <f t="shared" si="2"/>
        <v>1.001258289671352</v>
      </c>
      <c r="N9">
        <f t="shared" si="3"/>
        <v>-1.2582896713519975E-3</v>
      </c>
      <c r="O9">
        <f t="shared" si="4"/>
        <v>1.0000199222651709</v>
      </c>
      <c r="P9">
        <f t="shared" si="5"/>
        <v>-1.9922265170890796E-5</v>
      </c>
      <c r="AA9">
        <v>1695.3</v>
      </c>
      <c r="AB9">
        <v>6.8924566969417898</v>
      </c>
      <c r="AC9">
        <f t="shared" si="6"/>
        <v>1.038372491951872</v>
      </c>
      <c r="AE9" s="4">
        <v>1</v>
      </c>
      <c r="AF9" s="4"/>
      <c r="AG9" s="5">
        <v>6.6382456000000003</v>
      </c>
    </row>
    <row r="10" spans="1:33" x14ac:dyDescent="0.25">
      <c r="A10">
        <v>1697.3</v>
      </c>
      <c r="B10">
        <v>507.00494700000002</v>
      </c>
      <c r="C10">
        <v>0</v>
      </c>
      <c r="D10">
        <f t="shared" si="0"/>
        <v>981901.35048817238</v>
      </c>
      <c r="E10">
        <f t="shared" si="1"/>
        <v>6.2179629407169745</v>
      </c>
      <c r="G10" s="1">
        <v>1697.3</v>
      </c>
      <c r="H10" s="2">
        <v>6.2092885999999998</v>
      </c>
      <c r="J10">
        <v>1697.3</v>
      </c>
      <c r="K10">
        <v>6.2091824607454802</v>
      </c>
      <c r="M10">
        <f t="shared" si="2"/>
        <v>1.0013969942896477</v>
      </c>
      <c r="N10">
        <f t="shared" si="3"/>
        <v>-1.3969942896476795E-3</v>
      </c>
      <c r="O10">
        <f t="shared" si="4"/>
        <v>0.99998290637440823</v>
      </c>
      <c r="P10">
        <f t="shared" si="5"/>
        <v>1.7093625591768635E-5</v>
      </c>
      <c r="AA10">
        <v>1697.3</v>
      </c>
      <c r="AB10">
        <v>6.5188015018916703</v>
      </c>
      <c r="AC10">
        <f t="shared" si="6"/>
        <v>1.049846757306734</v>
      </c>
      <c r="AE10" s="4">
        <v>1</v>
      </c>
      <c r="AF10" s="4"/>
      <c r="AG10" s="5">
        <v>6.209403</v>
      </c>
    </row>
    <row r="11" spans="1:33" x14ac:dyDescent="0.25">
      <c r="A11">
        <v>1699.3</v>
      </c>
      <c r="B11">
        <v>469.44208700000001</v>
      </c>
      <c r="C11">
        <v>0</v>
      </c>
      <c r="D11">
        <f t="shared" si="0"/>
        <v>909154.48050112638</v>
      </c>
      <c r="E11">
        <f t="shared" si="1"/>
        <v>5.7572880048818025</v>
      </c>
      <c r="G11" s="1">
        <v>1699.3</v>
      </c>
      <c r="H11" s="2">
        <v>5.7513446999999998</v>
      </c>
      <c r="J11">
        <v>1699.3</v>
      </c>
      <c r="K11">
        <v>5.7512059937477398</v>
      </c>
      <c r="M11">
        <f t="shared" si="2"/>
        <v>1.0010333765739694</v>
      </c>
      <c r="N11">
        <f t="shared" si="3"/>
        <v>-1.0333765739694023E-3</v>
      </c>
      <c r="O11">
        <f t="shared" si="4"/>
        <v>0.99997588281358618</v>
      </c>
      <c r="P11">
        <f t="shared" si="5"/>
        <v>2.4117186413818992E-5</v>
      </c>
      <c r="AA11">
        <v>1699.3</v>
      </c>
      <c r="AB11">
        <v>6.0707392172809804</v>
      </c>
      <c r="AC11">
        <f t="shared" si="6"/>
        <v>1.0555338853678828</v>
      </c>
      <c r="AE11" s="4">
        <v>1</v>
      </c>
      <c r="AF11" s="4"/>
      <c r="AG11" s="5">
        <v>5.7510795999999997</v>
      </c>
    </row>
    <row r="12" spans="1:33" x14ac:dyDescent="0.25">
      <c r="A12">
        <v>1701.3</v>
      </c>
      <c r="B12">
        <v>435.37606299999999</v>
      </c>
      <c r="C12">
        <v>0</v>
      </c>
      <c r="D12">
        <f t="shared" si="0"/>
        <v>843179.82844045828</v>
      </c>
      <c r="E12">
        <f t="shared" si="1"/>
        <v>5.3394986400581592</v>
      </c>
      <c r="G12" s="1">
        <v>1701.3</v>
      </c>
      <c r="H12" s="2">
        <v>5.3371005</v>
      </c>
      <c r="J12">
        <v>1701.3</v>
      </c>
      <c r="K12">
        <v>5.3371732090790296</v>
      </c>
      <c r="M12">
        <f t="shared" si="2"/>
        <v>1.0004493338767293</v>
      </c>
      <c r="N12">
        <f t="shared" si="3"/>
        <v>-4.4933387672929648E-4</v>
      </c>
      <c r="O12">
        <f t="shared" si="4"/>
        <v>1.0000136233295644</v>
      </c>
      <c r="P12">
        <f t="shared" si="5"/>
        <v>-1.3623329564449449E-5</v>
      </c>
      <c r="AA12">
        <v>1701.3</v>
      </c>
      <c r="AB12">
        <v>5.6342248042530496</v>
      </c>
      <c r="AC12">
        <f t="shared" si="6"/>
        <v>1.0556714838427812</v>
      </c>
      <c r="AE12" s="4">
        <v>1</v>
      </c>
      <c r="AF12" s="4"/>
      <c r="AG12" s="5">
        <v>5.3369207000000003</v>
      </c>
    </row>
    <row r="13" spans="1:33" x14ac:dyDescent="0.25">
      <c r="A13">
        <v>1703.3</v>
      </c>
      <c r="B13">
        <v>408.83198199999998</v>
      </c>
      <c r="C13">
        <v>0</v>
      </c>
      <c r="D13">
        <f t="shared" si="0"/>
        <v>791772.69891324383</v>
      </c>
      <c r="E13">
        <f t="shared" si="1"/>
        <v>5.013959189348637</v>
      </c>
      <c r="G13" s="1">
        <v>1703.3</v>
      </c>
      <c r="H13" s="2">
        <v>5.0141977999999998</v>
      </c>
      <c r="J13">
        <v>1703.3</v>
      </c>
      <c r="K13">
        <v>5.0144533347575102</v>
      </c>
      <c r="M13">
        <f t="shared" si="2"/>
        <v>0.99995241299588089</v>
      </c>
      <c r="N13">
        <f t="shared" si="3"/>
        <v>4.7587004119109544E-5</v>
      </c>
      <c r="O13">
        <f t="shared" si="4"/>
        <v>1.0000509622411606</v>
      </c>
      <c r="P13">
        <f t="shared" si="5"/>
        <v>-5.0962241160634747E-5</v>
      </c>
      <c r="AA13">
        <v>1703.3</v>
      </c>
      <c r="AB13">
        <v>5.2668026110801103</v>
      </c>
      <c r="AC13">
        <f t="shared" si="6"/>
        <v>1.0503779111147371</v>
      </c>
      <c r="AE13" s="4">
        <v>1</v>
      </c>
      <c r="AF13" s="4"/>
      <c r="AG13" s="5">
        <v>5.0140108999999997</v>
      </c>
    </row>
    <row r="14" spans="1:33" x14ac:dyDescent="0.25">
      <c r="A14">
        <v>1705.3</v>
      </c>
      <c r="B14">
        <v>390.03844500000002</v>
      </c>
      <c r="C14">
        <v>0</v>
      </c>
      <c r="D14">
        <f t="shared" si="0"/>
        <v>755375.81665412581</v>
      </c>
      <c r="E14">
        <f t="shared" si="1"/>
        <v>4.7834732398870976</v>
      </c>
      <c r="G14" s="1">
        <v>1705.3</v>
      </c>
      <c r="H14" s="2">
        <v>4.7848682</v>
      </c>
      <c r="J14">
        <v>1705.3</v>
      </c>
      <c r="K14">
        <v>4.7853139766471502</v>
      </c>
      <c r="M14">
        <f t="shared" si="2"/>
        <v>0.99970846425552484</v>
      </c>
      <c r="N14">
        <f t="shared" si="3"/>
        <v>2.9153574447515762E-4</v>
      </c>
      <c r="O14">
        <f t="shared" si="4"/>
        <v>1.0000931638299149</v>
      </c>
      <c r="P14">
        <f t="shared" si="5"/>
        <v>-9.316382991486627E-5</v>
      </c>
      <c r="AA14">
        <v>1705.3</v>
      </c>
      <c r="AB14">
        <v>4.9927612397129097</v>
      </c>
      <c r="AC14">
        <f t="shared" si="6"/>
        <v>1.0434480180066212</v>
      </c>
      <c r="AE14" s="4">
        <v>1</v>
      </c>
      <c r="AF14" s="4"/>
      <c r="AG14" s="5">
        <v>4.7850957000000003</v>
      </c>
    </row>
    <row r="15" spans="1:33" x14ac:dyDescent="0.25">
      <c r="A15">
        <v>1707.3</v>
      </c>
      <c r="B15">
        <v>375.75242500000002</v>
      </c>
      <c r="C15">
        <v>0</v>
      </c>
      <c r="D15">
        <f t="shared" si="0"/>
        <v>727708.50805269508</v>
      </c>
      <c r="E15">
        <f t="shared" si="1"/>
        <v>4.6082679614061721</v>
      </c>
      <c r="G15" s="1">
        <v>1707.3</v>
      </c>
      <c r="H15" s="2">
        <v>4.6073556</v>
      </c>
      <c r="J15">
        <v>1707.3</v>
      </c>
      <c r="K15">
        <v>4.6073741747824197</v>
      </c>
      <c r="M15">
        <f t="shared" si="2"/>
        <v>1.000198022789075</v>
      </c>
      <c r="N15">
        <f t="shared" si="3"/>
        <v>-1.9802278907499193E-4</v>
      </c>
      <c r="O15">
        <f t="shared" si="4"/>
        <v>1.0000040315495551</v>
      </c>
      <c r="P15">
        <f t="shared" si="5"/>
        <v>-4.0315495550835578E-6</v>
      </c>
      <c r="AA15">
        <v>1707.3</v>
      </c>
      <c r="AB15">
        <v>4.8044161458157104</v>
      </c>
      <c r="AC15">
        <f t="shared" si="6"/>
        <v>1.0427708566310163</v>
      </c>
      <c r="AE15" s="4">
        <v>1</v>
      </c>
      <c r="AF15" s="4"/>
      <c r="AG15" s="5">
        <v>4.6072310999999999</v>
      </c>
    </row>
    <row r="16" spans="1:33" x14ac:dyDescent="0.25">
      <c r="A16">
        <v>1709.3</v>
      </c>
      <c r="B16">
        <v>359.89925699999998</v>
      </c>
      <c r="C16">
        <v>0</v>
      </c>
      <c r="D16">
        <f t="shared" si="0"/>
        <v>697006.15068749979</v>
      </c>
      <c r="E16">
        <f t="shared" si="1"/>
        <v>4.4138430121029453</v>
      </c>
      <c r="G16" s="1">
        <v>1709.3</v>
      </c>
      <c r="H16" s="2">
        <v>4.4059758000000002</v>
      </c>
      <c r="J16">
        <v>1709.3</v>
      </c>
      <c r="K16">
        <v>4.40514652303749</v>
      </c>
      <c r="M16">
        <f t="shared" si="2"/>
        <v>1.0017855776926747</v>
      </c>
      <c r="N16">
        <f t="shared" si="3"/>
        <v>-1.7855776926747335E-3</v>
      </c>
      <c r="O16">
        <f t="shared" si="4"/>
        <v>0.99981178358662115</v>
      </c>
      <c r="P16">
        <f t="shared" si="5"/>
        <v>1.8821641337884998E-4</v>
      </c>
      <c r="AA16">
        <v>1709.3</v>
      </c>
      <c r="AB16">
        <v>4.6566086924532</v>
      </c>
      <c r="AC16">
        <f t="shared" si="6"/>
        <v>1.0568847637459107</v>
      </c>
      <c r="AE16" s="4">
        <v>1</v>
      </c>
      <c r="AF16" s="4"/>
      <c r="AG16" s="5">
        <v>4.4054937000000001</v>
      </c>
    </row>
    <row r="17" spans="1:33" x14ac:dyDescent="0.25">
      <c r="A17">
        <v>1711.3</v>
      </c>
      <c r="B17">
        <v>335.54651100000001</v>
      </c>
      <c r="C17">
        <v>0</v>
      </c>
      <c r="D17">
        <f t="shared" si="0"/>
        <v>649842.91425956134</v>
      </c>
      <c r="E17">
        <f t="shared" si="1"/>
        <v>4.1151783283978114</v>
      </c>
      <c r="G17" s="1">
        <v>1711.3</v>
      </c>
      <c r="H17" s="2">
        <v>4.0974025999999997</v>
      </c>
      <c r="J17">
        <v>1711.3</v>
      </c>
      <c r="K17">
        <v>4.0959578732855597</v>
      </c>
      <c r="M17">
        <f t="shared" si="2"/>
        <v>1.0043382918724686</v>
      </c>
      <c r="N17">
        <f t="shared" si="3"/>
        <v>-4.3382918724685915E-3</v>
      </c>
      <c r="O17">
        <f t="shared" si="4"/>
        <v>0.99964740425692122</v>
      </c>
      <c r="P17">
        <f t="shared" si="5"/>
        <v>3.5259574307877628E-4</v>
      </c>
      <c r="AA17">
        <v>1711.3</v>
      </c>
      <c r="AB17">
        <v>4.4604826642666104</v>
      </c>
      <c r="AC17">
        <f t="shared" si="6"/>
        <v>1.0886122501768829</v>
      </c>
      <c r="AE17" s="4">
        <v>1</v>
      </c>
      <c r="AF17" s="4"/>
      <c r="AG17" s="5">
        <v>4.0969962999999998</v>
      </c>
    </row>
    <row r="18" spans="1:33" x14ac:dyDescent="0.25">
      <c r="A18">
        <v>1713.3</v>
      </c>
      <c r="B18">
        <v>298.07223599999998</v>
      </c>
      <c r="C18">
        <v>0</v>
      </c>
      <c r="D18">
        <f t="shared" si="0"/>
        <v>577267.60419840482</v>
      </c>
      <c r="E18">
        <f t="shared" si="1"/>
        <v>3.6555898084849336</v>
      </c>
      <c r="G18" s="1">
        <v>1713.3</v>
      </c>
      <c r="H18" s="2">
        <v>3.6281948000000002</v>
      </c>
      <c r="J18">
        <v>1713.3</v>
      </c>
      <c r="K18">
        <v>3.6259606651407998</v>
      </c>
      <c r="M18">
        <f t="shared" si="2"/>
        <v>1.0075505892034611</v>
      </c>
      <c r="N18">
        <f t="shared" si="3"/>
        <v>-7.5505892034610778E-3</v>
      </c>
      <c r="O18">
        <f t="shared" si="4"/>
        <v>0.99938422962868467</v>
      </c>
      <c r="P18">
        <f t="shared" si="5"/>
        <v>6.157703713153273E-4</v>
      </c>
      <c r="AA18">
        <v>1713.3</v>
      </c>
      <c r="AB18">
        <v>4.0992501698358996</v>
      </c>
      <c r="AC18">
        <f t="shared" si="6"/>
        <v>1.1298318849461719</v>
      </c>
      <c r="AE18" s="4">
        <v>1</v>
      </c>
      <c r="AF18" s="4"/>
      <c r="AG18" s="5">
        <v>3.6275172000000002</v>
      </c>
    </row>
    <row r="19" spans="1:33" x14ac:dyDescent="0.25">
      <c r="A19">
        <v>1715.3</v>
      </c>
      <c r="B19">
        <v>247.944457</v>
      </c>
      <c r="C19">
        <v>0</v>
      </c>
      <c r="D19">
        <f t="shared" si="0"/>
        <v>480186.6305544285</v>
      </c>
      <c r="E19">
        <f t="shared" si="1"/>
        <v>3.0408173610625413</v>
      </c>
      <c r="G19" s="1">
        <v>1715.3</v>
      </c>
      <c r="H19" s="2">
        <v>3.0090140999999999</v>
      </c>
      <c r="J19">
        <v>1715.3</v>
      </c>
      <c r="K19">
        <v>3.0066930789051001</v>
      </c>
      <c r="M19">
        <f t="shared" si="2"/>
        <v>1.0105693293569284</v>
      </c>
      <c r="N19">
        <f t="shared" si="3"/>
        <v>-1.0569329356928447E-2</v>
      </c>
      <c r="O19">
        <f t="shared" si="4"/>
        <v>0.99922864399508804</v>
      </c>
      <c r="P19">
        <f t="shared" si="5"/>
        <v>7.7135600491196055E-4</v>
      </c>
      <c r="AA19">
        <v>1715.3</v>
      </c>
      <c r="AB19">
        <v>3.5236975014182801</v>
      </c>
      <c r="AC19">
        <f t="shared" si="6"/>
        <v>1.1710471883193503</v>
      </c>
      <c r="AE19" s="4">
        <v>1</v>
      </c>
      <c r="AF19" s="4"/>
      <c r="AG19" s="5">
        <v>3.0084233</v>
      </c>
    </row>
    <row r="20" spans="1:33" x14ac:dyDescent="0.25">
      <c r="A20">
        <v>1717.3</v>
      </c>
      <c r="B20">
        <v>191.970685</v>
      </c>
      <c r="C20">
        <v>0</v>
      </c>
      <c r="D20">
        <f t="shared" si="0"/>
        <v>371783.89672722371</v>
      </c>
      <c r="E20">
        <f t="shared" si="1"/>
        <v>2.3543490297226861</v>
      </c>
      <c r="G20" s="1">
        <v>1717.3</v>
      </c>
      <c r="H20" s="2">
        <v>2.3249316000000002</v>
      </c>
      <c r="J20">
        <v>1717.3</v>
      </c>
      <c r="K20">
        <v>2.3229419012274999</v>
      </c>
      <c r="M20">
        <f t="shared" si="2"/>
        <v>1.0126530301892263</v>
      </c>
      <c r="N20">
        <f t="shared" si="3"/>
        <v>-1.2653030189226255E-2</v>
      </c>
      <c r="O20">
        <f t="shared" si="4"/>
        <v>0.99914419040435409</v>
      </c>
      <c r="P20">
        <f t="shared" si="5"/>
        <v>8.5580959564590664E-4</v>
      </c>
      <c r="AA20">
        <v>1717.3</v>
      </c>
      <c r="AB20">
        <v>2.82940920677119</v>
      </c>
      <c r="AC20">
        <f t="shared" si="6"/>
        <v>1.2169859994036769</v>
      </c>
      <c r="AE20" s="4">
        <v>1</v>
      </c>
      <c r="AF20" s="4"/>
      <c r="AG20" s="5">
        <v>2.3248289</v>
      </c>
    </row>
    <row r="21" spans="1:33" x14ac:dyDescent="0.25">
      <c r="A21">
        <v>1719.3</v>
      </c>
      <c r="B21">
        <v>139.99874500000001</v>
      </c>
      <c r="C21">
        <v>0</v>
      </c>
      <c r="D21">
        <f t="shared" si="0"/>
        <v>271131.39150918246</v>
      </c>
      <c r="E21">
        <f t="shared" si="1"/>
        <v>1.7169595943940288</v>
      </c>
      <c r="G21" s="1">
        <v>1719.3</v>
      </c>
      <c r="H21" s="2">
        <v>1.6951655000000001</v>
      </c>
      <c r="J21">
        <v>1719.3</v>
      </c>
      <c r="K21">
        <v>1.69379547165593</v>
      </c>
      <c r="M21">
        <f t="shared" si="2"/>
        <v>1.0128566174771896</v>
      </c>
      <c r="N21">
        <f t="shared" si="3"/>
        <v>-1.285661747718958E-2</v>
      </c>
      <c r="O21">
        <f t="shared" si="4"/>
        <v>0.99919180260330331</v>
      </c>
      <c r="P21">
        <f t="shared" si="5"/>
        <v>8.08197396696686E-4</v>
      </c>
      <c r="AA21">
        <v>1719.3</v>
      </c>
      <c r="AB21">
        <v>2.1595961994839201</v>
      </c>
      <c r="AC21">
        <f t="shared" si="6"/>
        <v>1.2739736618542084</v>
      </c>
      <c r="AE21" s="4">
        <v>1</v>
      </c>
      <c r="AF21" s="4"/>
      <c r="AG21" s="5">
        <v>1.6951776000000001</v>
      </c>
    </row>
    <row r="22" spans="1:33" x14ac:dyDescent="0.25">
      <c r="A22">
        <v>1721.3</v>
      </c>
      <c r="B22">
        <v>100.105526</v>
      </c>
      <c r="C22">
        <v>0</v>
      </c>
      <c r="D22">
        <f t="shared" si="0"/>
        <v>193871.38479090395</v>
      </c>
      <c r="E22">
        <f t="shared" si="1"/>
        <v>1.2277048863370945</v>
      </c>
      <c r="G22" s="1">
        <v>1721.3</v>
      </c>
      <c r="H22" s="2">
        <v>1.2152780999999999</v>
      </c>
      <c r="J22">
        <v>1721.3</v>
      </c>
      <c r="K22">
        <v>1.21452966812996</v>
      </c>
      <c r="M22">
        <f t="shared" si="2"/>
        <v>1.0102254671890283</v>
      </c>
      <c r="N22">
        <f t="shared" si="3"/>
        <v>-1.0225467189028281E-2</v>
      </c>
      <c r="O22">
        <f t="shared" si="4"/>
        <v>0.99938414765308459</v>
      </c>
      <c r="P22">
        <f t="shared" si="5"/>
        <v>6.1585234691541313E-4</v>
      </c>
      <c r="AA22">
        <v>1721.3</v>
      </c>
      <c r="AB22">
        <v>1.6005814308897801</v>
      </c>
      <c r="AC22">
        <f t="shared" si="6"/>
        <v>1.3170495139258909</v>
      </c>
      <c r="AE22" s="4">
        <v>1</v>
      </c>
      <c r="AF22" s="4"/>
      <c r="AG22" s="5">
        <v>1.2155985</v>
      </c>
    </row>
    <row r="23" spans="1:33" x14ac:dyDescent="0.25">
      <c r="A23">
        <v>1723.3</v>
      </c>
      <c r="B23">
        <v>75.048146000000003</v>
      </c>
      <c r="C23">
        <v>0</v>
      </c>
      <c r="D23">
        <f t="shared" si="0"/>
        <v>145343.50472330509</v>
      </c>
      <c r="E23">
        <f t="shared" si="1"/>
        <v>0.92039849583068645</v>
      </c>
      <c r="G23" s="1">
        <v>1723.3</v>
      </c>
      <c r="H23" s="2">
        <v>0.91523677000000003</v>
      </c>
      <c r="J23">
        <v>1723.3</v>
      </c>
      <c r="K23">
        <v>0.91496170982504599</v>
      </c>
      <c r="M23">
        <f t="shared" si="2"/>
        <v>1.0056397710405434</v>
      </c>
      <c r="N23">
        <f t="shared" si="3"/>
        <v>-5.6397710405433621E-3</v>
      </c>
      <c r="O23">
        <f t="shared" si="4"/>
        <v>0.99969946555473943</v>
      </c>
      <c r="P23">
        <f t="shared" si="5"/>
        <v>3.005344452605696E-4</v>
      </c>
      <c r="AA23">
        <v>1723.3</v>
      </c>
      <c r="AB23">
        <v>1.19129779756286</v>
      </c>
      <c r="AC23">
        <f t="shared" si="6"/>
        <v>1.3016279902771608</v>
      </c>
      <c r="AE23" s="4">
        <v>1</v>
      </c>
      <c r="AF23" s="4"/>
      <c r="AG23" s="5">
        <v>0.91549575000000005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648C3-4ECE-4BDE-9E39-D9FD6B6176C9}">
  <dimension ref="A1:AG23"/>
  <sheetViews>
    <sheetView tabSelected="1" topLeftCell="A5" zoomScale="86" zoomScaleNormal="86" workbookViewId="0">
      <selection activeCell="P42" sqref="P42"/>
    </sheetView>
  </sheetViews>
  <sheetFormatPr defaultRowHeight="15.75" x14ac:dyDescent="0.25"/>
  <cols>
    <col min="1" max="1" width="14" customWidth="1"/>
    <col min="2" max="2" width="9" customWidth="1"/>
    <col min="5" max="5" width="13.625" customWidth="1"/>
    <col min="7" max="7" width="16.25" style="1" customWidth="1"/>
    <col min="8" max="8" width="15.375" style="2" customWidth="1"/>
    <col min="10" max="10" width="16.75" customWidth="1"/>
    <col min="11" max="11" width="14.75" customWidth="1"/>
    <col min="27" max="27" width="13.75" customWidth="1"/>
    <col min="28" max="29" width="14" customWidth="1"/>
    <col min="31" max="31" width="8.125" customWidth="1"/>
    <col min="33" max="33" width="9.75" bestFit="1" customWidth="1"/>
  </cols>
  <sheetData>
    <row r="1" spans="1:33" x14ac:dyDescent="0.25">
      <c r="B1" t="s">
        <v>4</v>
      </c>
      <c r="H1" s="2" t="s">
        <v>5</v>
      </c>
      <c r="K1" t="s">
        <v>6</v>
      </c>
      <c r="M1" t="s">
        <v>7</v>
      </c>
      <c r="N1" t="s">
        <v>9</v>
      </c>
      <c r="O1" t="s">
        <v>8</v>
      </c>
      <c r="P1" t="s">
        <v>9</v>
      </c>
      <c r="AB1" t="s">
        <v>11</v>
      </c>
    </row>
    <row r="2" spans="1:33" x14ac:dyDescent="0.25">
      <c r="A2" t="s">
        <v>0</v>
      </c>
      <c r="B2" t="s">
        <v>1</v>
      </c>
      <c r="C2" t="s">
        <v>2</v>
      </c>
      <c r="D2" t="s">
        <v>3</v>
      </c>
      <c r="E2" t="s">
        <v>10</v>
      </c>
      <c r="G2" t="s">
        <v>0</v>
      </c>
      <c r="H2" t="s">
        <v>10</v>
      </c>
      <c r="J2" t="s">
        <v>0</v>
      </c>
      <c r="K2" t="s">
        <v>10</v>
      </c>
    </row>
    <row r="3" spans="1:33" x14ac:dyDescent="0.25">
      <c r="A3">
        <v>1683.3</v>
      </c>
      <c r="B3">
        <v>408.04774700000002</v>
      </c>
      <c r="C3">
        <v>0</v>
      </c>
      <c r="D3">
        <f t="shared" ref="D3:D23" si="0">B3*4*PI()/(0.0064886478302)</f>
        <v>790253.89439238771</v>
      </c>
      <c r="E3">
        <v>4.987552</v>
      </c>
      <c r="G3" s="1">
        <v>1683.3</v>
      </c>
      <c r="H3" s="2">
        <v>5.0128240999999996</v>
      </c>
      <c r="J3">
        <v>1683.3</v>
      </c>
      <c r="K3">
        <v>5.0132932591699202</v>
      </c>
      <c r="M3">
        <f>E3/H3</f>
        <v>0.99495851051306594</v>
      </c>
      <c r="N3">
        <f>1-M3</f>
        <v>5.0414894869340587E-3</v>
      </c>
      <c r="O3">
        <f>K3/H3</f>
        <v>1.0000935917878946</v>
      </c>
      <c r="P3">
        <f>1-O3</f>
        <v>-9.3591787894586886E-5</v>
      </c>
      <c r="Z3">
        <v>1</v>
      </c>
      <c r="AA3">
        <v>1683.3</v>
      </c>
      <c r="AB3">
        <v>3.9212690100234502</v>
      </c>
      <c r="AC3">
        <f>AB3/H3</f>
        <v>0.78224747802809413</v>
      </c>
      <c r="AE3" s="4">
        <v>1683.3</v>
      </c>
      <c r="AF3" s="4">
        <v>0</v>
      </c>
      <c r="AG3" s="2">
        <v>5.0127749000000001</v>
      </c>
    </row>
    <row r="4" spans="1:33" x14ac:dyDescent="0.25">
      <c r="A4">
        <v>1685.3</v>
      </c>
      <c r="B4">
        <v>541.18559400000004</v>
      </c>
      <c r="C4">
        <v>0</v>
      </c>
      <c r="D4">
        <f t="shared" si="0"/>
        <v>1048097.9894922875</v>
      </c>
      <c r="E4">
        <v>6.7899649999999996</v>
      </c>
      <c r="G4" s="1">
        <v>1685.3</v>
      </c>
      <c r="H4" s="2">
        <v>6.8067441000000004</v>
      </c>
      <c r="J4">
        <v>1685.3</v>
      </c>
      <c r="K4">
        <v>6.8068775144498499</v>
      </c>
      <c r="M4">
        <f t="shared" ref="M4:M23" si="1">E4/H4</f>
        <v>0.99753493009969318</v>
      </c>
      <c r="N4">
        <f t="shared" ref="N4:N23" si="2">1-M4</f>
        <v>2.4650699003068155E-3</v>
      </c>
      <c r="O4">
        <f t="shared" ref="O4:O23" si="3">K4/H4</f>
        <v>1.0000196003328301</v>
      </c>
      <c r="P4">
        <f t="shared" ref="P4:P23" si="4">1-O4</f>
        <v>-1.9600332830105316E-5</v>
      </c>
      <c r="Z4">
        <v>1</v>
      </c>
      <c r="AA4">
        <v>1685.3</v>
      </c>
      <c r="AB4">
        <v>5.5264258988380996</v>
      </c>
      <c r="AC4">
        <f t="shared" ref="AC4:AC23" si="5">AB4/H4</f>
        <v>0.81190446087698509</v>
      </c>
      <c r="AE4" s="4">
        <v>1685.3</v>
      </c>
      <c r="AF4" s="4">
        <v>0</v>
      </c>
      <c r="AG4" s="2">
        <v>6.8058839000000004</v>
      </c>
    </row>
    <row r="5" spans="1:33" x14ac:dyDescent="0.25">
      <c r="A5">
        <v>1687.3</v>
      </c>
      <c r="B5">
        <v>580.99332500000003</v>
      </c>
      <c r="C5">
        <v>0</v>
      </c>
      <c r="D5">
        <f t="shared" si="0"/>
        <v>1125192.4341521538</v>
      </c>
      <c r="E5">
        <v>7.1618320000000004</v>
      </c>
      <c r="G5" s="1">
        <v>1687.3</v>
      </c>
      <c r="H5" s="2">
        <v>7.1652326999999998</v>
      </c>
      <c r="J5">
        <v>1687.3</v>
      </c>
      <c r="K5">
        <v>7.1666031395360896</v>
      </c>
      <c r="M5">
        <f t="shared" si="1"/>
        <v>0.99952538875673924</v>
      </c>
      <c r="N5">
        <f t="shared" si="2"/>
        <v>4.7461124326075854E-4</v>
      </c>
      <c r="O5">
        <f t="shared" si="3"/>
        <v>1.0001912623906952</v>
      </c>
      <c r="P5">
        <f t="shared" si="4"/>
        <v>-1.9126239069522377E-4</v>
      </c>
      <c r="Z5">
        <v>1</v>
      </c>
      <c r="AA5">
        <v>1687.3</v>
      </c>
      <c r="AB5">
        <v>6.5800798729400496</v>
      </c>
      <c r="AC5">
        <f t="shared" si="5"/>
        <v>0.91833442798585585</v>
      </c>
      <c r="AE5" s="4">
        <v>1687.3</v>
      </c>
      <c r="AF5" s="4">
        <v>0</v>
      </c>
      <c r="AG5" s="2">
        <v>7.1657371999999997</v>
      </c>
    </row>
    <row r="6" spans="1:33" x14ac:dyDescent="0.25">
      <c r="A6">
        <v>1689.3</v>
      </c>
      <c r="B6">
        <v>585.55233199999998</v>
      </c>
      <c r="C6">
        <v>0</v>
      </c>
      <c r="D6">
        <f t="shared" si="0"/>
        <v>1134021.7269562434</v>
      </c>
      <c r="E6">
        <v>7.1871809999999998</v>
      </c>
      <c r="G6" s="1">
        <v>1689.3</v>
      </c>
      <c r="H6" s="2">
        <v>7.1838702999999997</v>
      </c>
      <c r="J6">
        <v>1689.3</v>
      </c>
      <c r="K6">
        <v>7.1880629573729902</v>
      </c>
      <c r="M6">
        <f t="shared" si="1"/>
        <v>1.0004608518614262</v>
      </c>
      <c r="N6">
        <f t="shared" si="2"/>
        <v>-4.608518614261925E-4</v>
      </c>
      <c r="O6">
        <f t="shared" si="3"/>
        <v>1.000583620972805</v>
      </c>
      <c r="P6">
        <f t="shared" si="4"/>
        <v>-5.8362097280495462E-4</v>
      </c>
      <c r="Z6">
        <v>1</v>
      </c>
      <c r="AA6">
        <v>1689.3</v>
      </c>
      <c r="AB6">
        <v>6.9889923909665903</v>
      </c>
      <c r="AC6">
        <f t="shared" si="5"/>
        <v>0.9728728525300061</v>
      </c>
      <c r="AE6" s="4">
        <v>1689.3</v>
      </c>
      <c r="AF6" s="4">
        <v>0</v>
      </c>
      <c r="AG6" s="2">
        <v>7.1875195999999999</v>
      </c>
    </row>
    <row r="7" spans="1:33" x14ac:dyDescent="0.25">
      <c r="A7">
        <v>1691.3</v>
      </c>
      <c r="B7">
        <v>581.84616600000004</v>
      </c>
      <c r="C7">
        <v>0</v>
      </c>
      <c r="D7">
        <f t="shared" si="0"/>
        <v>1126844.1058658259</v>
      </c>
      <c r="E7">
        <v>7.1524020000000004</v>
      </c>
      <c r="G7" s="1">
        <v>1691.3</v>
      </c>
      <c r="H7" s="2">
        <v>7.1509384999999996</v>
      </c>
      <c r="J7">
        <v>1691.3</v>
      </c>
      <c r="K7">
        <v>7.1498716471401398</v>
      </c>
      <c r="M7">
        <f t="shared" si="1"/>
        <v>1.0002046584514748</v>
      </c>
      <c r="N7">
        <f t="shared" si="2"/>
        <v>-2.0465845147477069E-4</v>
      </c>
      <c r="O7">
        <f t="shared" si="3"/>
        <v>0.99985080939238113</v>
      </c>
      <c r="P7">
        <f t="shared" si="4"/>
        <v>1.4919060761886538E-4</v>
      </c>
      <c r="Z7">
        <v>1</v>
      </c>
      <c r="AA7">
        <v>1691.3</v>
      </c>
      <c r="AB7">
        <v>7.1303813899295703</v>
      </c>
      <c r="AC7">
        <f t="shared" si="5"/>
        <v>0.99712525704557109</v>
      </c>
      <c r="AE7" s="4">
        <v>1691.3</v>
      </c>
      <c r="AF7" s="4">
        <v>0</v>
      </c>
      <c r="AG7" s="2">
        <v>7.1493878000000004</v>
      </c>
    </row>
    <row r="8" spans="1:33" x14ac:dyDescent="0.25">
      <c r="A8">
        <v>1693.3</v>
      </c>
      <c r="B8">
        <v>567.22909100000004</v>
      </c>
      <c r="C8">
        <v>0</v>
      </c>
      <c r="D8">
        <f t="shared" si="0"/>
        <v>1098535.6529254506</v>
      </c>
      <c r="E8">
        <v>6.9724930000000001</v>
      </c>
      <c r="G8" s="1">
        <v>1693.3</v>
      </c>
      <c r="H8" s="2">
        <v>6.9677129000000004</v>
      </c>
      <c r="J8">
        <v>1693.3</v>
      </c>
      <c r="K8">
        <v>6.9658833536778202</v>
      </c>
      <c r="M8">
        <f t="shared" si="1"/>
        <v>1.00068603572917</v>
      </c>
      <c r="N8">
        <f t="shared" si="2"/>
        <v>-6.8603572917003142E-4</v>
      </c>
      <c r="O8">
        <f t="shared" si="3"/>
        <v>0.99973742512809616</v>
      </c>
      <c r="P8">
        <f t="shared" si="4"/>
        <v>2.6257487190384232E-4</v>
      </c>
      <c r="Z8">
        <v>1</v>
      </c>
      <c r="AA8">
        <v>1693.3</v>
      </c>
      <c r="AB8">
        <v>7.1068577313793897</v>
      </c>
      <c r="AC8">
        <f t="shared" si="5"/>
        <v>1.0199699432764213</v>
      </c>
      <c r="AE8" s="4">
        <v>1693.3</v>
      </c>
      <c r="AF8" s="4">
        <v>0</v>
      </c>
      <c r="AG8" s="2">
        <v>6.9657283000000003</v>
      </c>
    </row>
    <row r="9" spans="1:33" x14ac:dyDescent="0.25">
      <c r="A9">
        <v>1695.3</v>
      </c>
      <c r="B9">
        <v>540.94629699999996</v>
      </c>
      <c r="C9">
        <v>0</v>
      </c>
      <c r="D9">
        <f t="shared" si="0"/>
        <v>1047634.5501336419</v>
      </c>
      <c r="E9">
        <v>6.6443989999999999</v>
      </c>
      <c r="G9" s="1">
        <v>1695.3</v>
      </c>
      <c r="H9" s="2">
        <v>6.6351037000000002</v>
      </c>
      <c r="J9">
        <v>1695.3</v>
      </c>
      <c r="K9">
        <v>6.6355557379682004</v>
      </c>
      <c r="M9">
        <f t="shared" si="1"/>
        <v>1.0014009276147409</v>
      </c>
      <c r="N9">
        <f t="shared" si="2"/>
        <v>-1.4009276147408656E-3</v>
      </c>
      <c r="O9">
        <f t="shared" si="3"/>
        <v>1.0000681282446573</v>
      </c>
      <c r="P9">
        <f t="shared" si="4"/>
        <v>-6.8128244657295056E-5</v>
      </c>
      <c r="Z9">
        <v>1</v>
      </c>
      <c r="AA9">
        <v>1695.3</v>
      </c>
      <c r="AB9">
        <v>6.8910527586542001</v>
      </c>
      <c r="AC9">
        <f t="shared" si="5"/>
        <v>1.038574989966502</v>
      </c>
      <c r="AE9" s="4">
        <v>1695.3</v>
      </c>
      <c r="AF9" s="4">
        <v>0</v>
      </c>
      <c r="AG9" s="2">
        <v>6.6357793999999997</v>
      </c>
    </row>
    <row r="10" spans="1:33" x14ac:dyDescent="0.25">
      <c r="A10">
        <v>1697.3</v>
      </c>
      <c r="B10">
        <v>506.68006100000002</v>
      </c>
      <c r="C10">
        <v>0</v>
      </c>
      <c r="D10">
        <f t="shared" si="0"/>
        <v>981272.15346742875</v>
      </c>
      <c r="E10">
        <v>6.2166550000000003</v>
      </c>
      <c r="G10" s="1">
        <v>1697.3</v>
      </c>
      <c r="H10" s="2">
        <v>6.2086553999999996</v>
      </c>
      <c r="J10">
        <v>1697.3</v>
      </c>
      <c r="K10">
        <v>6.2083318257943798</v>
      </c>
      <c r="M10">
        <f t="shared" si="1"/>
        <v>1.0012884593337232</v>
      </c>
      <c r="N10">
        <f t="shared" si="2"/>
        <v>-1.2884593337232353E-3</v>
      </c>
      <c r="O10">
        <f t="shared" si="3"/>
        <v>0.9999478833684956</v>
      </c>
      <c r="P10">
        <f t="shared" si="4"/>
        <v>5.2116631504395272E-5</v>
      </c>
      <c r="Z10">
        <v>1</v>
      </c>
      <c r="AA10">
        <v>1697.3</v>
      </c>
      <c r="AB10">
        <v>6.5167491001409896</v>
      </c>
      <c r="AC10">
        <f t="shared" si="5"/>
        <v>1.0496232566138217</v>
      </c>
      <c r="AE10" s="4">
        <v>1697.3</v>
      </c>
      <c r="AF10" s="4">
        <v>0</v>
      </c>
      <c r="AG10" s="2">
        <v>6.2086500999999998</v>
      </c>
    </row>
    <row r="11" spans="1:33" x14ac:dyDescent="0.25">
      <c r="A11">
        <v>1699.3</v>
      </c>
      <c r="B11">
        <v>469.913273</v>
      </c>
      <c r="C11">
        <v>0</v>
      </c>
      <c r="D11">
        <f t="shared" si="0"/>
        <v>910067.01236589171</v>
      </c>
      <c r="E11">
        <v>5.7581110000000004</v>
      </c>
      <c r="G11" s="1">
        <v>1699.3</v>
      </c>
      <c r="H11" s="2">
        <v>5.7522301999999996</v>
      </c>
      <c r="J11">
        <v>1699.3</v>
      </c>
      <c r="K11">
        <v>5.7520497148118803</v>
      </c>
      <c r="M11">
        <f t="shared" si="1"/>
        <v>1.0010223512960243</v>
      </c>
      <c r="N11">
        <f t="shared" si="2"/>
        <v>-1.0223512960243486E-3</v>
      </c>
      <c r="O11">
        <f t="shared" si="3"/>
        <v>0.99996862344137072</v>
      </c>
      <c r="P11">
        <f t="shared" si="4"/>
        <v>3.1376558629281348E-5</v>
      </c>
      <c r="Z11">
        <v>1</v>
      </c>
      <c r="AA11">
        <v>1699.3</v>
      </c>
      <c r="AB11">
        <v>6.0709684931006702</v>
      </c>
      <c r="AC11">
        <f t="shared" si="5"/>
        <v>1.0554112547687453</v>
      </c>
      <c r="AE11" s="4">
        <v>1699.3</v>
      </c>
      <c r="AF11" s="4">
        <v>0</v>
      </c>
      <c r="AG11" s="2">
        <v>5.7522840000000004</v>
      </c>
    </row>
    <row r="12" spans="1:33" x14ac:dyDescent="0.25">
      <c r="A12">
        <v>1701.3</v>
      </c>
      <c r="B12">
        <v>436.40795200000002</v>
      </c>
      <c r="C12">
        <v>0</v>
      </c>
      <c r="D12">
        <f t="shared" si="0"/>
        <v>845178.25707246503</v>
      </c>
      <c r="E12">
        <v>5.3430359999999997</v>
      </c>
      <c r="G12" s="1">
        <v>1701.3</v>
      </c>
      <c r="H12" s="2">
        <v>5.3391957000000003</v>
      </c>
      <c r="J12">
        <v>1701.3</v>
      </c>
      <c r="K12">
        <v>5.3392129313192997</v>
      </c>
      <c r="M12">
        <f t="shared" si="1"/>
        <v>1.0007192656377064</v>
      </c>
      <c r="N12">
        <f t="shared" si="2"/>
        <v>-7.1926563770641216E-4</v>
      </c>
      <c r="O12">
        <f t="shared" si="3"/>
        <v>1.0000032273249133</v>
      </c>
      <c r="P12">
        <f t="shared" si="4"/>
        <v>-3.2273249133130122E-6</v>
      </c>
      <c r="Z12">
        <v>1</v>
      </c>
      <c r="AA12">
        <v>1701.3</v>
      </c>
      <c r="AB12">
        <v>5.6357916676685997</v>
      </c>
      <c r="AC12">
        <f t="shared" si="5"/>
        <v>1.0555506829743289</v>
      </c>
      <c r="AE12" s="4">
        <v>1701.3</v>
      </c>
      <c r="AF12" s="4">
        <v>0</v>
      </c>
      <c r="AG12" s="2">
        <v>5.3394016999999998</v>
      </c>
    </row>
    <row r="13" spans="1:33" x14ac:dyDescent="0.25">
      <c r="A13">
        <v>1703.3</v>
      </c>
      <c r="B13">
        <v>409.90806800000001</v>
      </c>
      <c r="C13">
        <v>0</v>
      </c>
      <c r="D13">
        <f t="shared" si="0"/>
        <v>793856.72255619545</v>
      </c>
      <c r="E13">
        <v>5.0183629999999999</v>
      </c>
      <c r="G13" s="1">
        <v>1703.3</v>
      </c>
      <c r="H13" s="2">
        <v>5.0162759000000001</v>
      </c>
      <c r="J13">
        <v>1703.3</v>
      </c>
      <c r="K13">
        <v>5.0165803717942001</v>
      </c>
      <c r="M13">
        <f t="shared" si="1"/>
        <v>1.0004160656314778</v>
      </c>
      <c r="N13">
        <f t="shared" si="2"/>
        <v>-4.1606563147777997E-4</v>
      </c>
      <c r="O13">
        <f t="shared" si="3"/>
        <v>1.000060696779896</v>
      </c>
      <c r="P13">
        <f t="shared" si="4"/>
        <v>-6.0696779895952346E-5</v>
      </c>
      <c r="Z13">
        <v>1</v>
      </c>
      <c r="AA13">
        <v>1703.3</v>
      </c>
      <c r="AB13">
        <v>5.2682428637648497</v>
      </c>
      <c r="AC13">
        <f t="shared" si="5"/>
        <v>1.0502298854345011</v>
      </c>
      <c r="AE13" s="4">
        <v>1703.3</v>
      </c>
      <c r="AF13" s="4">
        <v>0</v>
      </c>
      <c r="AG13" s="2">
        <v>5.0163888999999999</v>
      </c>
    </row>
    <row r="14" spans="1:33" x14ac:dyDescent="0.25">
      <c r="A14">
        <v>1705.3</v>
      </c>
      <c r="B14">
        <v>390.75809299999997</v>
      </c>
      <c r="C14">
        <v>0</v>
      </c>
      <c r="D14">
        <f t="shared" si="0"/>
        <v>756769.53745952866</v>
      </c>
      <c r="E14">
        <v>4.787947</v>
      </c>
      <c r="G14" s="1">
        <v>1705.3</v>
      </c>
      <c r="H14" s="2">
        <v>4.7858229000000003</v>
      </c>
      <c r="J14">
        <v>1705.3</v>
      </c>
      <c r="K14">
        <v>4.78658600370263</v>
      </c>
      <c r="M14">
        <f t="shared" si="1"/>
        <v>1.000443831718052</v>
      </c>
      <c r="N14">
        <f t="shared" si="2"/>
        <v>-4.4383171805195687E-4</v>
      </c>
      <c r="O14">
        <f t="shared" si="3"/>
        <v>1.0001594508862059</v>
      </c>
      <c r="P14">
        <f t="shared" si="4"/>
        <v>-1.5945088620594738E-4</v>
      </c>
      <c r="Z14">
        <v>1</v>
      </c>
      <c r="AA14">
        <v>1705.3</v>
      </c>
      <c r="AB14">
        <v>4.99461428966094</v>
      </c>
      <c r="AC14">
        <f t="shared" si="5"/>
        <v>1.0436270614319931</v>
      </c>
      <c r="AE14" s="4">
        <v>1705.3</v>
      </c>
      <c r="AF14" s="4">
        <v>0</v>
      </c>
      <c r="AG14" s="2">
        <v>4.7860364999999998</v>
      </c>
    </row>
    <row r="15" spans="1:33" x14ac:dyDescent="0.25">
      <c r="A15">
        <v>1707.3</v>
      </c>
      <c r="B15">
        <v>375.658432</v>
      </c>
      <c r="C15">
        <v>0</v>
      </c>
      <c r="D15">
        <f t="shared" si="0"/>
        <v>727526.47461459448</v>
      </c>
      <c r="E15">
        <v>4.6101910000000004</v>
      </c>
      <c r="G15" s="1">
        <v>1707.3</v>
      </c>
      <c r="H15" s="2">
        <v>4.6067333000000001</v>
      </c>
      <c r="J15">
        <v>1707.3</v>
      </c>
      <c r="K15">
        <v>4.6070994977370301</v>
      </c>
      <c r="M15">
        <f t="shared" si="1"/>
        <v>1.0007505752503625</v>
      </c>
      <c r="N15">
        <f t="shared" si="2"/>
        <v>-7.5057525036248407E-4</v>
      </c>
      <c r="O15">
        <f t="shared" si="3"/>
        <v>1.0000794918466476</v>
      </c>
      <c r="P15">
        <f t="shared" si="4"/>
        <v>-7.9491846647572473E-5</v>
      </c>
      <c r="Z15">
        <v>1</v>
      </c>
      <c r="AA15">
        <v>1707.3</v>
      </c>
      <c r="AB15">
        <v>4.8055335056745498</v>
      </c>
      <c r="AC15">
        <f t="shared" si="5"/>
        <v>1.0431542684866411</v>
      </c>
      <c r="AE15" s="4">
        <v>1707.3</v>
      </c>
      <c r="AF15" s="4">
        <v>0</v>
      </c>
      <c r="AG15" s="2">
        <v>4.6066932999999999</v>
      </c>
    </row>
    <row r="16" spans="1:33" x14ac:dyDescent="0.25">
      <c r="A16">
        <v>1709.3</v>
      </c>
      <c r="B16">
        <v>358.70155499999998</v>
      </c>
      <c r="C16">
        <v>0</v>
      </c>
      <c r="D16">
        <f t="shared" si="0"/>
        <v>694686.59696669085</v>
      </c>
      <c r="E16">
        <v>4.4104559999999999</v>
      </c>
      <c r="G16" s="1">
        <v>1709.3</v>
      </c>
      <c r="H16" s="2">
        <v>4.4032669000000002</v>
      </c>
      <c r="J16">
        <v>1709.3</v>
      </c>
      <c r="K16">
        <v>4.4030616968217302</v>
      </c>
      <c r="M16">
        <f t="shared" si="1"/>
        <v>1.0016326741401935</v>
      </c>
      <c r="N16">
        <f t="shared" si="2"/>
        <v>-1.6326741401935241E-3</v>
      </c>
      <c r="O16">
        <f t="shared" si="3"/>
        <v>0.99995339751531531</v>
      </c>
      <c r="P16">
        <f t="shared" si="4"/>
        <v>4.6602484684687973E-5</v>
      </c>
      <c r="Z16">
        <v>1</v>
      </c>
      <c r="AA16">
        <v>1709.3</v>
      </c>
      <c r="AB16">
        <v>4.6570031233431903</v>
      </c>
      <c r="AC16">
        <f t="shared" si="5"/>
        <v>1.0576245385768439</v>
      </c>
      <c r="AE16" s="4">
        <v>1709.3</v>
      </c>
      <c r="AF16" s="4">
        <v>0</v>
      </c>
      <c r="AG16" s="2">
        <v>4.4030127999999999</v>
      </c>
    </row>
    <row r="17" spans="1:33" x14ac:dyDescent="0.25">
      <c r="A17">
        <v>1711.3</v>
      </c>
      <c r="B17">
        <v>333.40763299999998</v>
      </c>
      <c r="C17">
        <v>0</v>
      </c>
      <c r="D17">
        <f t="shared" si="0"/>
        <v>645700.61306672997</v>
      </c>
      <c r="E17">
        <v>4.1050490000000002</v>
      </c>
      <c r="G17" s="1">
        <v>1711.3</v>
      </c>
      <c r="H17" s="2">
        <v>4.0936798999999997</v>
      </c>
      <c r="J17">
        <v>1711.3</v>
      </c>
      <c r="K17">
        <v>4.09247981440733</v>
      </c>
      <c r="M17">
        <f t="shared" si="1"/>
        <v>1.0027772322892174</v>
      </c>
      <c r="N17">
        <f t="shared" si="2"/>
        <v>-2.7772322892174461E-3</v>
      </c>
      <c r="O17">
        <f t="shared" si="3"/>
        <v>0.9997068443009749</v>
      </c>
      <c r="P17">
        <f t="shared" si="4"/>
        <v>2.9315569902510497E-4</v>
      </c>
      <c r="Z17">
        <v>1</v>
      </c>
      <c r="AA17">
        <v>1711.3</v>
      </c>
      <c r="AB17">
        <v>4.4570918366397398</v>
      </c>
      <c r="AC17">
        <f t="shared" si="5"/>
        <v>1.0887739016037234</v>
      </c>
      <c r="AE17" s="4">
        <v>1711.3</v>
      </c>
      <c r="AF17" s="4">
        <v>0</v>
      </c>
      <c r="AG17" s="2">
        <v>4.0932193000000003</v>
      </c>
    </row>
    <row r="18" spans="1:33" x14ac:dyDescent="0.25">
      <c r="A18">
        <v>1713.3</v>
      </c>
      <c r="B18">
        <v>295.57179000000002</v>
      </c>
      <c r="C18">
        <v>0</v>
      </c>
      <c r="D18">
        <f t="shared" si="0"/>
        <v>572425.06505011779</v>
      </c>
      <c r="E18">
        <v>3.638979</v>
      </c>
      <c r="G18" s="1">
        <v>1713.3</v>
      </c>
      <c r="H18" s="2">
        <v>3.6247468</v>
      </c>
      <c r="J18">
        <v>1713.3</v>
      </c>
      <c r="K18">
        <v>3.6224738803902801</v>
      </c>
      <c r="M18">
        <f t="shared" si="1"/>
        <v>1.003926398390089</v>
      </c>
      <c r="N18">
        <f t="shared" si="2"/>
        <v>-3.9263983900890143E-3</v>
      </c>
      <c r="O18">
        <f t="shared" si="3"/>
        <v>0.99937294389508258</v>
      </c>
      <c r="P18">
        <f t="shared" si="4"/>
        <v>6.2705610491742281E-4</v>
      </c>
      <c r="Z18">
        <v>1</v>
      </c>
      <c r="AA18">
        <v>1713.3</v>
      </c>
      <c r="AB18">
        <v>4.0943722929846604</v>
      </c>
      <c r="AC18">
        <f t="shared" si="5"/>
        <v>1.1295609097398638</v>
      </c>
      <c r="AE18" s="4">
        <v>1713.3</v>
      </c>
      <c r="AF18" s="4">
        <v>0</v>
      </c>
      <c r="AG18" s="2">
        <v>3.6238155000000001</v>
      </c>
    </row>
    <row r="19" spans="1:33" x14ac:dyDescent="0.25">
      <c r="A19">
        <v>1715.3</v>
      </c>
      <c r="B19">
        <v>245.98922899999999</v>
      </c>
      <c r="C19">
        <v>0</v>
      </c>
      <c r="D19">
        <f t="shared" si="0"/>
        <v>476399.9988359962</v>
      </c>
      <c r="E19">
        <v>3.0219040000000001</v>
      </c>
      <c r="G19" s="1">
        <v>1715.3</v>
      </c>
      <c r="H19" s="2">
        <v>3.0075612</v>
      </c>
      <c r="J19">
        <v>1715.3</v>
      </c>
      <c r="K19">
        <v>3.00497945856916</v>
      </c>
      <c r="M19">
        <f t="shared" si="1"/>
        <v>1.0047689137630849</v>
      </c>
      <c r="N19">
        <f t="shared" si="2"/>
        <v>-4.7689137630848588E-3</v>
      </c>
      <c r="O19">
        <f t="shared" si="3"/>
        <v>0.99914158307706591</v>
      </c>
      <c r="P19">
        <f t="shared" si="4"/>
        <v>8.58416922934091E-4</v>
      </c>
      <c r="Z19">
        <v>1</v>
      </c>
      <c r="AA19">
        <v>1715.3</v>
      </c>
      <c r="AB19">
        <v>3.51978829197034</v>
      </c>
      <c r="AC19">
        <f t="shared" si="5"/>
        <v>1.1703131068356447</v>
      </c>
      <c r="AE19" s="4">
        <v>1715.3</v>
      </c>
      <c r="AF19" s="4">
        <v>0</v>
      </c>
      <c r="AG19" s="2">
        <v>3.0068106999999999</v>
      </c>
    </row>
    <row r="20" spans="1:33" x14ac:dyDescent="0.25">
      <c r="A20">
        <v>1717.3</v>
      </c>
      <c r="B20">
        <v>191.21716000000001</v>
      </c>
      <c r="C20">
        <v>0</v>
      </c>
      <c r="D20">
        <f t="shared" si="0"/>
        <v>370324.56734689994</v>
      </c>
      <c r="E20">
        <v>2.3374619999999999</v>
      </c>
      <c r="G20" s="1">
        <v>1717.3</v>
      </c>
      <c r="H20" s="2">
        <v>2.3262049999999999</v>
      </c>
      <c r="J20">
        <v>1717.3</v>
      </c>
      <c r="K20">
        <v>2.3239540612476701</v>
      </c>
      <c r="M20">
        <f t="shared" si="1"/>
        <v>1.0048392123652043</v>
      </c>
      <c r="N20">
        <f t="shared" si="2"/>
        <v>-4.8392123652043484E-3</v>
      </c>
      <c r="O20">
        <f t="shared" si="3"/>
        <v>0.99903235581028771</v>
      </c>
      <c r="P20">
        <f t="shared" si="4"/>
        <v>9.6764418971229116E-4</v>
      </c>
      <c r="Z20">
        <v>1</v>
      </c>
      <c r="AA20">
        <v>1717.3</v>
      </c>
      <c r="AB20">
        <v>2.82819641355686</v>
      </c>
      <c r="AC20">
        <f t="shared" si="5"/>
        <v>1.2157984414773677</v>
      </c>
      <c r="AE20" s="4">
        <v>1717.3</v>
      </c>
      <c r="AF20" s="4">
        <v>0</v>
      </c>
      <c r="AG20" s="2">
        <v>2.3260348</v>
      </c>
    </row>
    <row r="21" spans="1:33" x14ac:dyDescent="0.25">
      <c r="A21">
        <v>1719.3</v>
      </c>
      <c r="B21">
        <v>140.49516199999999</v>
      </c>
      <c r="C21">
        <v>0</v>
      </c>
      <c r="D21">
        <f t="shared" si="0"/>
        <v>272092.78749868798</v>
      </c>
      <c r="E21">
        <v>1.7052799999999999</v>
      </c>
      <c r="G21" s="1">
        <v>1719.3</v>
      </c>
      <c r="H21" s="2">
        <v>1.6987174</v>
      </c>
      <c r="J21">
        <v>1719.3</v>
      </c>
      <c r="K21">
        <v>1.69707375330165</v>
      </c>
      <c r="M21">
        <f t="shared" si="1"/>
        <v>1.0038632676630026</v>
      </c>
      <c r="N21">
        <f t="shared" si="2"/>
        <v>-3.8632676630026008E-3</v>
      </c>
      <c r="O21">
        <f t="shared" si="3"/>
        <v>0.99903241898955641</v>
      </c>
      <c r="P21">
        <f t="shared" si="4"/>
        <v>9.6758101044358558E-4</v>
      </c>
      <c r="Z21">
        <v>1</v>
      </c>
      <c r="AA21">
        <v>1719.3</v>
      </c>
      <c r="AB21">
        <v>2.1609867796668998</v>
      </c>
      <c r="AC21">
        <f t="shared" si="5"/>
        <v>1.2721284774423927</v>
      </c>
      <c r="AE21" s="4">
        <v>1719.3</v>
      </c>
      <c r="AF21" s="4">
        <v>0</v>
      </c>
      <c r="AG21" s="2">
        <v>1.6986273999999999</v>
      </c>
    </row>
    <row r="22" spans="1:33" x14ac:dyDescent="0.25">
      <c r="A22">
        <v>1721.3</v>
      </c>
      <c r="B22">
        <v>101.27953100000001</v>
      </c>
      <c r="C22">
        <v>0</v>
      </c>
      <c r="D22">
        <f t="shared" si="0"/>
        <v>196145.04523899395</v>
      </c>
      <c r="E22">
        <v>1.221808</v>
      </c>
      <c r="G22" s="1">
        <v>1721.3</v>
      </c>
      <c r="H22" s="2">
        <v>1.2194149000000001</v>
      </c>
      <c r="J22">
        <v>1721.3</v>
      </c>
      <c r="K22">
        <v>1.2185231672110399</v>
      </c>
      <c r="M22">
        <f t="shared" si="1"/>
        <v>1.001962498572061</v>
      </c>
      <c r="N22">
        <f t="shared" si="2"/>
        <v>-1.9624985720609889E-3</v>
      </c>
      <c r="O22">
        <f t="shared" si="3"/>
        <v>0.99926872077013318</v>
      </c>
      <c r="P22">
        <f t="shared" si="4"/>
        <v>7.3127922986682137E-4</v>
      </c>
      <c r="Z22">
        <v>1</v>
      </c>
      <c r="AA22">
        <v>1721.3</v>
      </c>
      <c r="AB22">
        <v>1.60361818101875</v>
      </c>
      <c r="AC22">
        <f t="shared" si="5"/>
        <v>1.3150718274959161</v>
      </c>
      <c r="AE22" s="4">
        <v>1721.3</v>
      </c>
      <c r="AF22" s="4">
        <v>0</v>
      </c>
      <c r="AG22" s="2">
        <v>1.2196496999999999</v>
      </c>
    </row>
    <row r="23" spans="1:33" x14ac:dyDescent="0.25">
      <c r="A23">
        <v>1723.3</v>
      </c>
      <c r="B23">
        <v>76.271472000000003</v>
      </c>
      <c r="C23">
        <v>0</v>
      </c>
      <c r="D23">
        <f t="shared" si="0"/>
        <v>147712.68368022615</v>
      </c>
      <c r="E23">
        <v>0.91842500000000005</v>
      </c>
      <c r="G23" s="1">
        <v>1723.3</v>
      </c>
      <c r="H23" s="2">
        <v>0.91871667000000001</v>
      </c>
      <c r="J23">
        <v>1723.3</v>
      </c>
      <c r="K23">
        <v>0.91832067687712904</v>
      </c>
      <c r="M23">
        <f t="shared" si="1"/>
        <v>0.99968252453718953</v>
      </c>
      <c r="N23">
        <f t="shared" si="2"/>
        <v>3.1747546281046812E-4</v>
      </c>
      <c r="O23">
        <f t="shared" si="3"/>
        <v>0.99956897144048673</v>
      </c>
      <c r="P23">
        <f t="shared" si="4"/>
        <v>4.3102855951326902E-4</v>
      </c>
      <c r="Z23">
        <v>1</v>
      </c>
      <c r="AA23">
        <v>1723.3</v>
      </c>
      <c r="AB23">
        <v>1.1946118455300201</v>
      </c>
      <c r="AC23">
        <f t="shared" si="5"/>
        <v>1.3003049629327179</v>
      </c>
      <c r="AE23" s="4">
        <v>1723.3</v>
      </c>
      <c r="AF23" s="4">
        <v>0</v>
      </c>
      <c r="AG23" s="2">
        <v>0.91892868000000005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 4 Full 0</vt:lpstr>
      <vt:lpstr>Ex 4 Full 1</vt:lpstr>
      <vt:lpstr>Ex 4 Gauss 0</vt:lpstr>
      <vt:lpstr>Ex 4 Gauss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ERYA-Profiling</dc:creator>
  <dc:description/>
  <cp:lastModifiedBy>DIMITRIOU, Paraskevi</cp:lastModifiedBy>
  <cp:revision>2</cp:revision>
  <dcterms:created xsi:type="dcterms:W3CDTF">2023-12-06T13:46:37Z</dcterms:created>
  <dcterms:modified xsi:type="dcterms:W3CDTF">2024-04-22T15:51:34Z</dcterms:modified>
  <dc:language>pt-PT</dc:language>
</cp:coreProperties>
</file>