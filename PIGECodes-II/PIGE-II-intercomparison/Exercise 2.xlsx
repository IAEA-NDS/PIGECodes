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6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aeacloud-my.sharepoint.com/personal/p_dimitriou_iaea_org/Documents/Desktop/PIGE_codes-II/Exercises/Results/PIGEcodes-II-round2/"/>
    </mc:Choice>
  </mc:AlternateContent>
  <xr:revisionPtr revIDLastSave="1499" documentId="8_{A92B3DAB-DB72-4E8D-BA48-A6475B5623B1}" xr6:coauthVersionLast="47" xr6:coauthVersionMax="47" xr10:uidLastSave="{96ADD720-D827-4859-88D7-4739216835AA}"/>
  <bookViews>
    <workbookView xWindow="28680" yWindow="-120" windowWidth="29040" windowHeight="17520" tabRatio="500" firstSheet="2" activeTab="2" xr2:uid="{00000000-000D-0000-FFFF-FFFF00000000}"/>
  </bookViews>
  <sheets>
    <sheet name="Ex 2 full 0" sheetId="1" r:id="rId1"/>
    <sheet name="Ex 2 full 1" sheetId="2" r:id="rId2"/>
    <sheet name="Ex 2 Gauss 0" sheetId="4" r:id="rId3"/>
    <sheet name="Ex 2 Gauss 1" sheetId="5" r:id="rId4"/>
    <sheet name="Ex 2 FULL 0 50 eV" sheetId="6" r:id="rId5"/>
    <sheet name="Ex 2 FULL 1 50 eV" sheetId="7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R2" i="7" l="1"/>
  <c r="R3" i="7"/>
  <c r="R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R38" i="7"/>
  <c r="R39" i="7"/>
  <c r="R40" i="7"/>
  <c r="R41" i="7"/>
  <c r="R42" i="7"/>
  <c r="R43" i="7"/>
  <c r="R44" i="7"/>
  <c r="R45" i="7"/>
  <c r="R46" i="7"/>
  <c r="R47" i="7"/>
  <c r="R48" i="7"/>
  <c r="R49" i="7"/>
  <c r="R50" i="7"/>
  <c r="R51" i="7"/>
  <c r="R52" i="7"/>
  <c r="R53" i="7"/>
  <c r="R54" i="7"/>
  <c r="R55" i="7"/>
  <c r="R56" i="7"/>
  <c r="R57" i="7"/>
  <c r="R58" i="7"/>
  <c r="R59" i="7"/>
  <c r="R60" i="7"/>
  <c r="R61" i="7"/>
  <c r="R62" i="7"/>
  <c r="R63" i="7"/>
  <c r="R64" i="7"/>
  <c r="R65" i="7"/>
  <c r="R66" i="7"/>
  <c r="R67" i="7"/>
  <c r="R68" i="7"/>
  <c r="R69" i="7"/>
  <c r="R70" i="7"/>
  <c r="R71" i="7"/>
  <c r="R72" i="7"/>
  <c r="R73" i="7"/>
  <c r="R74" i="7"/>
  <c r="R75" i="7"/>
  <c r="R76" i="7"/>
  <c r="R77" i="7"/>
  <c r="R78" i="7"/>
  <c r="R79" i="7"/>
  <c r="R80" i="7"/>
  <c r="R81" i="7"/>
  <c r="R82" i="7"/>
  <c r="R83" i="7"/>
  <c r="R84" i="7"/>
  <c r="R85" i="7"/>
  <c r="R86" i="7"/>
  <c r="R87" i="7"/>
  <c r="R88" i="7"/>
  <c r="R89" i="7"/>
  <c r="R90" i="7"/>
  <c r="R91" i="7"/>
  <c r="R92" i="7"/>
  <c r="R93" i="7"/>
  <c r="R94" i="7"/>
  <c r="R95" i="7"/>
  <c r="R96" i="7"/>
  <c r="R97" i="7"/>
  <c r="R98" i="7"/>
  <c r="R99" i="7"/>
  <c r="R100" i="7"/>
  <c r="R101" i="7"/>
  <c r="R102" i="7"/>
  <c r="R103" i="7"/>
  <c r="R104" i="7"/>
  <c r="R105" i="7"/>
  <c r="R106" i="7"/>
  <c r="R107" i="7"/>
  <c r="R108" i="7"/>
  <c r="R109" i="7"/>
  <c r="R110" i="7"/>
  <c r="R111" i="7"/>
  <c r="R112" i="7"/>
  <c r="R113" i="7"/>
  <c r="R114" i="7"/>
  <c r="R115" i="7"/>
  <c r="R116" i="7"/>
  <c r="R117" i="7"/>
  <c r="R118" i="7"/>
  <c r="R119" i="7"/>
  <c r="R120" i="7"/>
  <c r="R121" i="7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3" i="6"/>
  <c r="R34" i="6"/>
  <c r="R35" i="6"/>
  <c r="R36" i="6"/>
  <c r="R37" i="6"/>
  <c r="R38" i="6"/>
  <c r="R39" i="6"/>
  <c r="R40" i="6"/>
  <c r="R41" i="6"/>
  <c r="R42" i="6"/>
  <c r="R43" i="6"/>
  <c r="R44" i="6"/>
  <c r="R45" i="6"/>
  <c r="R46" i="6"/>
  <c r="R47" i="6"/>
  <c r="R48" i="6"/>
  <c r="R49" i="6"/>
  <c r="R50" i="6"/>
  <c r="R51" i="6"/>
  <c r="R52" i="6"/>
  <c r="R53" i="6"/>
  <c r="R54" i="6"/>
  <c r="R55" i="6"/>
  <c r="R56" i="6"/>
  <c r="R57" i="6"/>
  <c r="R58" i="6"/>
  <c r="R59" i="6"/>
  <c r="R60" i="6"/>
  <c r="R61" i="6"/>
  <c r="R62" i="6"/>
  <c r="R63" i="6"/>
  <c r="R64" i="6"/>
  <c r="R65" i="6"/>
  <c r="R66" i="6"/>
  <c r="R67" i="6"/>
  <c r="R68" i="6"/>
  <c r="R69" i="6"/>
  <c r="R70" i="6"/>
  <c r="R71" i="6"/>
  <c r="R72" i="6"/>
  <c r="R73" i="6"/>
  <c r="R74" i="6"/>
  <c r="R75" i="6"/>
  <c r="R76" i="6"/>
  <c r="R77" i="6"/>
  <c r="R78" i="6"/>
  <c r="R79" i="6"/>
  <c r="R80" i="6"/>
  <c r="R81" i="6"/>
  <c r="R82" i="6"/>
  <c r="R83" i="6"/>
  <c r="R84" i="6"/>
  <c r="R85" i="6"/>
  <c r="R86" i="6"/>
  <c r="R87" i="6"/>
  <c r="R88" i="6"/>
  <c r="R89" i="6"/>
  <c r="R90" i="6"/>
  <c r="R91" i="6"/>
  <c r="R92" i="6"/>
  <c r="R93" i="6"/>
  <c r="R94" i="6"/>
  <c r="R95" i="6"/>
  <c r="R96" i="6"/>
  <c r="R97" i="6"/>
  <c r="R98" i="6"/>
  <c r="R99" i="6"/>
  <c r="R100" i="6"/>
  <c r="R101" i="6"/>
  <c r="R102" i="6"/>
  <c r="R103" i="6"/>
  <c r="R104" i="6"/>
  <c r="R105" i="6"/>
  <c r="R106" i="6"/>
  <c r="R107" i="6"/>
  <c r="R108" i="6"/>
  <c r="R109" i="6"/>
  <c r="R110" i="6"/>
  <c r="R111" i="6"/>
  <c r="R112" i="6"/>
  <c r="R113" i="6"/>
  <c r="R114" i="6"/>
  <c r="R115" i="6"/>
  <c r="R116" i="6"/>
  <c r="R117" i="6"/>
  <c r="R118" i="6"/>
  <c r="R119" i="6"/>
  <c r="R120" i="6"/>
  <c r="R121" i="6"/>
  <c r="R122" i="6"/>
  <c r="R3" i="6"/>
  <c r="U4" i="4" l="1"/>
  <c r="U5" i="4"/>
  <c r="U6" i="4"/>
  <c r="U7" i="4"/>
  <c r="U8" i="4"/>
  <c r="U9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U32" i="4"/>
  <c r="U33" i="4"/>
  <c r="U34" i="4"/>
  <c r="U35" i="4"/>
  <c r="U36" i="4"/>
  <c r="U37" i="4"/>
  <c r="U38" i="4"/>
  <c r="U39" i="4"/>
  <c r="U40" i="4"/>
  <c r="U41" i="4"/>
  <c r="U42" i="4"/>
  <c r="U43" i="4"/>
  <c r="U44" i="4"/>
  <c r="U45" i="4"/>
  <c r="U46" i="4"/>
  <c r="U47" i="4"/>
  <c r="U48" i="4"/>
  <c r="U49" i="4"/>
  <c r="U50" i="4"/>
  <c r="U51" i="4"/>
  <c r="U52" i="4"/>
  <c r="U53" i="4"/>
  <c r="U54" i="4"/>
  <c r="U55" i="4"/>
  <c r="U56" i="4"/>
  <c r="U57" i="4"/>
  <c r="U58" i="4"/>
  <c r="U59" i="4"/>
  <c r="U60" i="4"/>
  <c r="U61" i="4"/>
  <c r="U62" i="4"/>
  <c r="U63" i="4"/>
  <c r="U64" i="4"/>
  <c r="U65" i="4"/>
  <c r="U66" i="4"/>
  <c r="U67" i="4"/>
  <c r="U68" i="4"/>
  <c r="U69" i="4"/>
  <c r="U70" i="4"/>
  <c r="U71" i="4"/>
  <c r="U72" i="4"/>
  <c r="U73" i="4"/>
  <c r="U74" i="4"/>
  <c r="U75" i="4"/>
  <c r="U76" i="4"/>
  <c r="U77" i="4"/>
  <c r="U78" i="4"/>
  <c r="U79" i="4"/>
  <c r="U80" i="4"/>
  <c r="U81" i="4"/>
  <c r="U82" i="4"/>
  <c r="U83" i="4"/>
  <c r="U84" i="4"/>
  <c r="U85" i="4"/>
  <c r="U86" i="4"/>
  <c r="U87" i="4"/>
  <c r="U88" i="4"/>
  <c r="U89" i="4"/>
  <c r="U90" i="4"/>
  <c r="U91" i="4"/>
  <c r="U92" i="4"/>
  <c r="U93" i="4"/>
  <c r="U94" i="4"/>
  <c r="U95" i="4"/>
  <c r="U96" i="4"/>
  <c r="U97" i="4"/>
  <c r="U98" i="4"/>
  <c r="U99" i="4"/>
  <c r="U100" i="4"/>
  <c r="U101" i="4"/>
  <c r="U102" i="4"/>
  <c r="U103" i="4"/>
  <c r="U104" i="4"/>
  <c r="U105" i="4"/>
  <c r="U106" i="4"/>
  <c r="U107" i="4"/>
  <c r="U108" i="4"/>
  <c r="U109" i="4"/>
  <c r="U110" i="4"/>
  <c r="U111" i="4"/>
  <c r="U112" i="4"/>
  <c r="U113" i="4"/>
  <c r="U114" i="4"/>
  <c r="U115" i="4"/>
  <c r="U116" i="4"/>
  <c r="U117" i="4"/>
  <c r="U118" i="4"/>
  <c r="U119" i="4"/>
  <c r="U120" i="4"/>
  <c r="U121" i="4"/>
  <c r="U122" i="4"/>
  <c r="U123" i="4"/>
  <c r="U3" i="4"/>
  <c r="T4" i="5"/>
  <c r="T5" i="5"/>
  <c r="T6" i="5"/>
  <c r="T7" i="5"/>
  <c r="T8" i="5"/>
  <c r="T9" i="5"/>
  <c r="T10" i="5"/>
  <c r="T11" i="5"/>
  <c r="T12" i="5"/>
  <c r="T13" i="5"/>
  <c r="T14" i="5"/>
  <c r="T15" i="5"/>
  <c r="T16" i="5"/>
  <c r="T17" i="5"/>
  <c r="T18" i="5"/>
  <c r="T19" i="5"/>
  <c r="T20" i="5"/>
  <c r="T21" i="5"/>
  <c r="T22" i="5"/>
  <c r="T23" i="5"/>
  <c r="T24" i="5"/>
  <c r="T25" i="5"/>
  <c r="T26" i="5"/>
  <c r="T27" i="5"/>
  <c r="T28" i="5"/>
  <c r="T29" i="5"/>
  <c r="T30" i="5"/>
  <c r="T31" i="5"/>
  <c r="T32" i="5"/>
  <c r="T33" i="5"/>
  <c r="T34" i="5"/>
  <c r="T35" i="5"/>
  <c r="T36" i="5"/>
  <c r="T37" i="5"/>
  <c r="T38" i="5"/>
  <c r="T39" i="5"/>
  <c r="T40" i="5"/>
  <c r="T41" i="5"/>
  <c r="T42" i="5"/>
  <c r="T43" i="5"/>
  <c r="T44" i="5"/>
  <c r="T45" i="5"/>
  <c r="T46" i="5"/>
  <c r="T47" i="5"/>
  <c r="T48" i="5"/>
  <c r="T49" i="5"/>
  <c r="T50" i="5"/>
  <c r="T51" i="5"/>
  <c r="T52" i="5"/>
  <c r="T53" i="5"/>
  <c r="T54" i="5"/>
  <c r="T55" i="5"/>
  <c r="T56" i="5"/>
  <c r="T57" i="5"/>
  <c r="T58" i="5"/>
  <c r="T59" i="5"/>
  <c r="T60" i="5"/>
  <c r="T61" i="5"/>
  <c r="T62" i="5"/>
  <c r="T63" i="5"/>
  <c r="T64" i="5"/>
  <c r="T65" i="5"/>
  <c r="T66" i="5"/>
  <c r="T67" i="5"/>
  <c r="T68" i="5"/>
  <c r="T69" i="5"/>
  <c r="T70" i="5"/>
  <c r="T71" i="5"/>
  <c r="T72" i="5"/>
  <c r="T73" i="5"/>
  <c r="T74" i="5"/>
  <c r="T75" i="5"/>
  <c r="T76" i="5"/>
  <c r="T77" i="5"/>
  <c r="T78" i="5"/>
  <c r="T79" i="5"/>
  <c r="T80" i="5"/>
  <c r="T81" i="5"/>
  <c r="T82" i="5"/>
  <c r="T83" i="5"/>
  <c r="T84" i="5"/>
  <c r="T85" i="5"/>
  <c r="T86" i="5"/>
  <c r="T87" i="5"/>
  <c r="T88" i="5"/>
  <c r="T89" i="5"/>
  <c r="T90" i="5"/>
  <c r="T91" i="5"/>
  <c r="T92" i="5"/>
  <c r="T93" i="5"/>
  <c r="T94" i="5"/>
  <c r="T95" i="5"/>
  <c r="T96" i="5"/>
  <c r="T97" i="5"/>
  <c r="T98" i="5"/>
  <c r="T99" i="5"/>
  <c r="T100" i="5"/>
  <c r="T101" i="5"/>
  <c r="T102" i="5"/>
  <c r="T103" i="5"/>
  <c r="T104" i="5"/>
  <c r="T105" i="5"/>
  <c r="T106" i="5"/>
  <c r="T107" i="5"/>
  <c r="T108" i="5"/>
  <c r="T109" i="5"/>
  <c r="T110" i="5"/>
  <c r="T111" i="5"/>
  <c r="T112" i="5"/>
  <c r="T113" i="5"/>
  <c r="T114" i="5"/>
  <c r="T115" i="5"/>
  <c r="T116" i="5"/>
  <c r="T117" i="5"/>
  <c r="T118" i="5"/>
  <c r="T119" i="5"/>
  <c r="T120" i="5"/>
  <c r="T121" i="5"/>
  <c r="T122" i="5"/>
  <c r="T123" i="5"/>
  <c r="T3" i="5"/>
  <c r="S4" i="5"/>
  <c r="S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28" i="5"/>
  <c r="S29" i="5"/>
  <c r="S30" i="5"/>
  <c r="S31" i="5"/>
  <c r="S32" i="5"/>
  <c r="S33" i="5"/>
  <c r="S34" i="5"/>
  <c r="S35" i="5"/>
  <c r="S36" i="5"/>
  <c r="S37" i="5"/>
  <c r="S38" i="5"/>
  <c r="S39" i="5"/>
  <c r="S40" i="5"/>
  <c r="S41" i="5"/>
  <c r="S42" i="5"/>
  <c r="S43" i="5"/>
  <c r="S44" i="5"/>
  <c r="S45" i="5"/>
  <c r="S46" i="5"/>
  <c r="S47" i="5"/>
  <c r="S48" i="5"/>
  <c r="S49" i="5"/>
  <c r="S50" i="5"/>
  <c r="S51" i="5"/>
  <c r="S52" i="5"/>
  <c r="S53" i="5"/>
  <c r="S54" i="5"/>
  <c r="S55" i="5"/>
  <c r="S56" i="5"/>
  <c r="S57" i="5"/>
  <c r="S58" i="5"/>
  <c r="S59" i="5"/>
  <c r="S60" i="5"/>
  <c r="S61" i="5"/>
  <c r="S62" i="5"/>
  <c r="S63" i="5"/>
  <c r="S64" i="5"/>
  <c r="S65" i="5"/>
  <c r="S66" i="5"/>
  <c r="S67" i="5"/>
  <c r="S68" i="5"/>
  <c r="S69" i="5"/>
  <c r="S70" i="5"/>
  <c r="S71" i="5"/>
  <c r="S72" i="5"/>
  <c r="S73" i="5"/>
  <c r="S74" i="5"/>
  <c r="S75" i="5"/>
  <c r="S76" i="5"/>
  <c r="S77" i="5"/>
  <c r="S78" i="5"/>
  <c r="S79" i="5"/>
  <c r="S80" i="5"/>
  <c r="S81" i="5"/>
  <c r="S82" i="5"/>
  <c r="S83" i="5"/>
  <c r="S84" i="5"/>
  <c r="S85" i="5"/>
  <c r="S86" i="5"/>
  <c r="S87" i="5"/>
  <c r="S88" i="5"/>
  <c r="S89" i="5"/>
  <c r="S90" i="5"/>
  <c r="S91" i="5"/>
  <c r="S92" i="5"/>
  <c r="S93" i="5"/>
  <c r="S94" i="5"/>
  <c r="S95" i="5"/>
  <c r="S96" i="5"/>
  <c r="S97" i="5"/>
  <c r="S98" i="5"/>
  <c r="S99" i="5"/>
  <c r="S100" i="5"/>
  <c r="S101" i="5"/>
  <c r="S102" i="5"/>
  <c r="S103" i="5"/>
  <c r="S104" i="5"/>
  <c r="S105" i="5"/>
  <c r="S106" i="5"/>
  <c r="S107" i="5"/>
  <c r="S108" i="5"/>
  <c r="S109" i="5"/>
  <c r="S110" i="5"/>
  <c r="S111" i="5"/>
  <c r="S112" i="5"/>
  <c r="S113" i="5"/>
  <c r="S114" i="5"/>
  <c r="S115" i="5"/>
  <c r="S116" i="5"/>
  <c r="S117" i="5"/>
  <c r="S118" i="5"/>
  <c r="S119" i="5"/>
  <c r="S120" i="5"/>
  <c r="S121" i="5"/>
  <c r="S122" i="5"/>
  <c r="S123" i="5"/>
  <c r="S3" i="5"/>
  <c r="T4" i="4"/>
  <c r="T5" i="4"/>
  <c r="T6" i="4"/>
  <c r="T7" i="4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T31" i="4"/>
  <c r="T32" i="4"/>
  <c r="T33" i="4"/>
  <c r="T34" i="4"/>
  <c r="T35" i="4"/>
  <c r="T36" i="4"/>
  <c r="T37" i="4"/>
  <c r="T38" i="4"/>
  <c r="T39" i="4"/>
  <c r="T40" i="4"/>
  <c r="T41" i="4"/>
  <c r="T42" i="4"/>
  <c r="T43" i="4"/>
  <c r="T44" i="4"/>
  <c r="T45" i="4"/>
  <c r="T46" i="4"/>
  <c r="T47" i="4"/>
  <c r="T48" i="4"/>
  <c r="T49" i="4"/>
  <c r="T50" i="4"/>
  <c r="T51" i="4"/>
  <c r="T52" i="4"/>
  <c r="T53" i="4"/>
  <c r="T54" i="4"/>
  <c r="T55" i="4"/>
  <c r="T56" i="4"/>
  <c r="T57" i="4"/>
  <c r="T58" i="4"/>
  <c r="T59" i="4"/>
  <c r="T60" i="4"/>
  <c r="T61" i="4"/>
  <c r="T62" i="4"/>
  <c r="T63" i="4"/>
  <c r="T64" i="4"/>
  <c r="T65" i="4"/>
  <c r="T66" i="4"/>
  <c r="T67" i="4"/>
  <c r="T68" i="4"/>
  <c r="T69" i="4"/>
  <c r="T70" i="4"/>
  <c r="T71" i="4"/>
  <c r="T72" i="4"/>
  <c r="T73" i="4"/>
  <c r="T74" i="4"/>
  <c r="T75" i="4"/>
  <c r="T76" i="4"/>
  <c r="T77" i="4"/>
  <c r="T78" i="4"/>
  <c r="T79" i="4"/>
  <c r="T80" i="4"/>
  <c r="T81" i="4"/>
  <c r="T82" i="4"/>
  <c r="T83" i="4"/>
  <c r="T84" i="4"/>
  <c r="T85" i="4"/>
  <c r="T86" i="4"/>
  <c r="T87" i="4"/>
  <c r="T88" i="4"/>
  <c r="T89" i="4"/>
  <c r="T90" i="4"/>
  <c r="T91" i="4"/>
  <c r="T92" i="4"/>
  <c r="T93" i="4"/>
  <c r="T94" i="4"/>
  <c r="T95" i="4"/>
  <c r="T96" i="4"/>
  <c r="T97" i="4"/>
  <c r="T98" i="4"/>
  <c r="T99" i="4"/>
  <c r="T100" i="4"/>
  <c r="T101" i="4"/>
  <c r="T102" i="4"/>
  <c r="T103" i="4"/>
  <c r="T104" i="4"/>
  <c r="T105" i="4"/>
  <c r="T106" i="4"/>
  <c r="T107" i="4"/>
  <c r="T108" i="4"/>
  <c r="T109" i="4"/>
  <c r="T110" i="4"/>
  <c r="T111" i="4"/>
  <c r="T112" i="4"/>
  <c r="T113" i="4"/>
  <c r="T114" i="4"/>
  <c r="T115" i="4"/>
  <c r="T116" i="4"/>
  <c r="T117" i="4"/>
  <c r="T118" i="4"/>
  <c r="T119" i="4"/>
  <c r="T120" i="4"/>
  <c r="T121" i="4"/>
  <c r="T122" i="4"/>
  <c r="T123" i="4"/>
  <c r="T3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4" i="4"/>
  <c r="S45" i="4"/>
  <c r="S46" i="4"/>
  <c r="S47" i="4"/>
  <c r="S48" i="4"/>
  <c r="S49" i="4"/>
  <c r="S50" i="4"/>
  <c r="S51" i="4"/>
  <c r="S52" i="4"/>
  <c r="S53" i="4"/>
  <c r="S54" i="4"/>
  <c r="S55" i="4"/>
  <c r="S56" i="4"/>
  <c r="S57" i="4"/>
  <c r="S58" i="4"/>
  <c r="S59" i="4"/>
  <c r="S60" i="4"/>
  <c r="S61" i="4"/>
  <c r="S62" i="4"/>
  <c r="S63" i="4"/>
  <c r="S64" i="4"/>
  <c r="S65" i="4"/>
  <c r="S66" i="4"/>
  <c r="S67" i="4"/>
  <c r="S68" i="4"/>
  <c r="S69" i="4"/>
  <c r="S70" i="4"/>
  <c r="S71" i="4"/>
  <c r="S72" i="4"/>
  <c r="S73" i="4"/>
  <c r="S74" i="4"/>
  <c r="S75" i="4"/>
  <c r="S76" i="4"/>
  <c r="S77" i="4"/>
  <c r="S78" i="4"/>
  <c r="S79" i="4"/>
  <c r="S80" i="4"/>
  <c r="S81" i="4"/>
  <c r="S82" i="4"/>
  <c r="S83" i="4"/>
  <c r="S84" i="4"/>
  <c r="S85" i="4"/>
  <c r="S86" i="4"/>
  <c r="S87" i="4"/>
  <c r="S88" i="4"/>
  <c r="S89" i="4"/>
  <c r="S90" i="4"/>
  <c r="S91" i="4"/>
  <c r="S92" i="4"/>
  <c r="S93" i="4"/>
  <c r="S94" i="4"/>
  <c r="S95" i="4"/>
  <c r="S96" i="4"/>
  <c r="S97" i="4"/>
  <c r="S98" i="4"/>
  <c r="S99" i="4"/>
  <c r="S100" i="4"/>
  <c r="S101" i="4"/>
  <c r="S102" i="4"/>
  <c r="S103" i="4"/>
  <c r="S104" i="4"/>
  <c r="S105" i="4"/>
  <c r="S106" i="4"/>
  <c r="S107" i="4"/>
  <c r="S108" i="4"/>
  <c r="S109" i="4"/>
  <c r="S110" i="4"/>
  <c r="S111" i="4"/>
  <c r="S112" i="4"/>
  <c r="S113" i="4"/>
  <c r="S114" i="4"/>
  <c r="S115" i="4"/>
  <c r="S116" i="4"/>
  <c r="S117" i="4"/>
  <c r="S118" i="4"/>
  <c r="S119" i="4"/>
  <c r="S120" i="4"/>
  <c r="S121" i="4"/>
  <c r="S122" i="4"/>
  <c r="S123" i="4"/>
  <c r="S3" i="4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C569" i="6"/>
  <c r="C570" i="6"/>
  <c r="C571" i="6"/>
  <c r="C572" i="6"/>
  <c r="C573" i="6"/>
  <c r="C574" i="6"/>
  <c r="C575" i="6"/>
  <c r="C576" i="6"/>
  <c r="C577" i="6"/>
  <c r="C578" i="6"/>
  <c r="C579" i="6"/>
  <c r="C580" i="6"/>
  <c r="C581" i="6"/>
  <c r="C582" i="6"/>
  <c r="C583" i="6"/>
  <c r="C584" i="6"/>
  <c r="C585" i="6"/>
  <c r="C586" i="6"/>
  <c r="C587" i="6"/>
  <c r="C588" i="6"/>
  <c r="C589" i="6"/>
  <c r="C590" i="6"/>
  <c r="C591" i="6"/>
  <c r="C592" i="6"/>
  <c r="C593" i="6"/>
  <c r="C594" i="6"/>
  <c r="C595" i="6"/>
  <c r="C596" i="6"/>
  <c r="C597" i="6"/>
  <c r="C598" i="6"/>
  <c r="C599" i="6"/>
  <c r="C600" i="6"/>
  <c r="C601" i="6"/>
  <c r="C602" i="6"/>
  <c r="C603" i="6"/>
  <c r="C604" i="6"/>
  <c r="C605" i="6"/>
  <c r="C606" i="6"/>
  <c r="C607" i="6"/>
  <c r="C608" i="6"/>
  <c r="C609" i="6"/>
  <c r="C610" i="6"/>
  <c r="C611" i="6"/>
  <c r="C612" i="6"/>
  <c r="C613" i="6"/>
  <c r="C614" i="6"/>
  <c r="C615" i="6"/>
  <c r="C616" i="6"/>
  <c r="C617" i="6"/>
  <c r="C618" i="6"/>
  <c r="C619" i="6"/>
  <c r="C620" i="6"/>
  <c r="C621" i="6"/>
  <c r="C622" i="6"/>
  <c r="C623" i="6"/>
  <c r="C624" i="6"/>
  <c r="C625" i="6"/>
  <c r="C626" i="6"/>
  <c r="C627" i="6"/>
  <c r="C628" i="6"/>
  <c r="C629" i="6"/>
  <c r="C630" i="6"/>
  <c r="C631" i="6"/>
  <c r="C632" i="6"/>
  <c r="C633" i="6"/>
  <c r="C634" i="6"/>
  <c r="C635" i="6"/>
  <c r="C636" i="6"/>
  <c r="C637" i="6"/>
  <c r="C638" i="6"/>
  <c r="C639" i="6"/>
  <c r="C640" i="6"/>
  <c r="C641" i="6"/>
  <c r="C642" i="6"/>
  <c r="C643" i="6"/>
  <c r="C644" i="6"/>
  <c r="C645" i="6"/>
  <c r="C646" i="6"/>
  <c r="C647" i="6"/>
  <c r="C648" i="6"/>
  <c r="C649" i="6"/>
  <c r="C650" i="6"/>
  <c r="C651" i="6"/>
  <c r="C652" i="6"/>
  <c r="C653" i="6"/>
  <c r="C654" i="6"/>
  <c r="C655" i="6"/>
  <c r="C656" i="6"/>
  <c r="C657" i="6"/>
  <c r="C658" i="6"/>
  <c r="C659" i="6"/>
  <c r="C660" i="6"/>
  <c r="C661" i="6"/>
  <c r="C662" i="6"/>
  <c r="C663" i="6"/>
  <c r="C664" i="6"/>
  <c r="C665" i="6"/>
  <c r="C666" i="6"/>
  <c r="C667" i="6"/>
  <c r="C668" i="6"/>
  <c r="C669" i="6"/>
  <c r="C670" i="6"/>
  <c r="C671" i="6"/>
  <c r="C672" i="6"/>
  <c r="C673" i="6"/>
  <c r="C674" i="6"/>
  <c r="C675" i="6"/>
  <c r="C676" i="6"/>
  <c r="C677" i="6"/>
  <c r="C678" i="6"/>
  <c r="C679" i="6"/>
  <c r="C680" i="6"/>
  <c r="C681" i="6"/>
  <c r="C682" i="6"/>
  <c r="C683" i="6"/>
  <c r="C684" i="6"/>
  <c r="C685" i="6"/>
  <c r="C3" i="7" l="1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85" i="7"/>
  <c r="C186" i="7"/>
  <c r="C187" i="7"/>
  <c r="C188" i="7"/>
  <c r="C189" i="7"/>
  <c r="C190" i="7"/>
  <c r="C191" i="7"/>
  <c r="C192" i="7"/>
  <c r="C193" i="7"/>
  <c r="C194" i="7"/>
  <c r="C195" i="7"/>
  <c r="C196" i="7"/>
  <c r="C197" i="7"/>
  <c r="C198" i="7"/>
  <c r="C199" i="7"/>
  <c r="C200" i="7"/>
  <c r="C201" i="7"/>
  <c r="C202" i="7"/>
  <c r="C203" i="7"/>
  <c r="C204" i="7"/>
  <c r="C205" i="7"/>
  <c r="C206" i="7"/>
  <c r="C207" i="7"/>
  <c r="C208" i="7"/>
  <c r="C209" i="7"/>
  <c r="C210" i="7"/>
  <c r="C211" i="7"/>
  <c r="C212" i="7"/>
  <c r="C213" i="7"/>
  <c r="C214" i="7"/>
  <c r="C215" i="7"/>
  <c r="C216" i="7"/>
  <c r="C217" i="7"/>
  <c r="C218" i="7"/>
  <c r="C219" i="7"/>
  <c r="C220" i="7"/>
  <c r="C221" i="7"/>
  <c r="C222" i="7"/>
  <c r="C223" i="7"/>
  <c r="C224" i="7"/>
  <c r="C225" i="7"/>
  <c r="C226" i="7"/>
  <c r="C227" i="7"/>
  <c r="C228" i="7"/>
  <c r="C229" i="7"/>
  <c r="C230" i="7"/>
  <c r="C231" i="7"/>
  <c r="C232" i="7"/>
  <c r="C233" i="7"/>
  <c r="C234" i="7"/>
  <c r="C235" i="7"/>
  <c r="C236" i="7"/>
  <c r="C237" i="7"/>
  <c r="C238" i="7"/>
  <c r="C239" i="7"/>
  <c r="C240" i="7"/>
  <c r="C241" i="7"/>
  <c r="C242" i="7"/>
  <c r="C243" i="7"/>
  <c r="C244" i="7"/>
  <c r="C245" i="7"/>
  <c r="C246" i="7"/>
  <c r="C247" i="7"/>
  <c r="C248" i="7"/>
  <c r="C249" i="7"/>
  <c r="C250" i="7"/>
  <c r="C251" i="7"/>
  <c r="C252" i="7"/>
  <c r="C253" i="7"/>
  <c r="C254" i="7"/>
  <c r="C255" i="7"/>
  <c r="C256" i="7"/>
  <c r="C257" i="7"/>
  <c r="C258" i="7"/>
  <c r="C259" i="7"/>
  <c r="C260" i="7"/>
  <c r="C261" i="7"/>
  <c r="C262" i="7"/>
  <c r="C263" i="7"/>
  <c r="C264" i="7"/>
  <c r="C265" i="7"/>
  <c r="C266" i="7"/>
  <c r="C267" i="7"/>
  <c r="C268" i="7"/>
  <c r="C269" i="7"/>
  <c r="C270" i="7"/>
  <c r="C271" i="7"/>
  <c r="C272" i="7"/>
  <c r="C273" i="7"/>
  <c r="C274" i="7"/>
  <c r="C275" i="7"/>
  <c r="C276" i="7"/>
  <c r="C277" i="7"/>
  <c r="C278" i="7"/>
  <c r="C279" i="7"/>
  <c r="C280" i="7"/>
  <c r="C281" i="7"/>
  <c r="C282" i="7"/>
  <c r="C283" i="7"/>
  <c r="C284" i="7"/>
  <c r="C285" i="7"/>
  <c r="C286" i="7"/>
  <c r="C287" i="7"/>
  <c r="C288" i="7"/>
  <c r="C289" i="7"/>
  <c r="C290" i="7"/>
  <c r="C291" i="7"/>
  <c r="C292" i="7"/>
  <c r="C293" i="7"/>
  <c r="C294" i="7"/>
  <c r="C295" i="7"/>
  <c r="C296" i="7"/>
  <c r="C297" i="7"/>
  <c r="C298" i="7"/>
  <c r="C299" i="7"/>
  <c r="C300" i="7"/>
  <c r="C301" i="7"/>
  <c r="C302" i="7"/>
  <c r="C303" i="7"/>
  <c r="C304" i="7"/>
  <c r="C305" i="7"/>
  <c r="C306" i="7"/>
  <c r="C307" i="7"/>
  <c r="C308" i="7"/>
  <c r="C309" i="7"/>
  <c r="C310" i="7"/>
  <c r="C311" i="7"/>
  <c r="C312" i="7"/>
  <c r="C313" i="7"/>
  <c r="C314" i="7"/>
  <c r="C315" i="7"/>
  <c r="C316" i="7"/>
  <c r="C317" i="7"/>
  <c r="C318" i="7"/>
  <c r="C319" i="7"/>
  <c r="C320" i="7"/>
  <c r="C321" i="7"/>
  <c r="C322" i="7"/>
  <c r="C323" i="7"/>
  <c r="C324" i="7"/>
  <c r="C325" i="7"/>
  <c r="C326" i="7"/>
  <c r="C327" i="7"/>
  <c r="C328" i="7"/>
  <c r="C329" i="7"/>
  <c r="C330" i="7"/>
  <c r="C331" i="7"/>
  <c r="C332" i="7"/>
  <c r="C333" i="7"/>
  <c r="C334" i="7"/>
  <c r="C335" i="7"/>
  <c r="C336" i="7"/>
  <c r="C337" i="7"/>
  <c r="C338" i="7"/>
  <c r="C339" i="7"/>
  <c r="C340" i="7"/>
  <c r="C341" i="7"/>
  <c r="C342" i="7"/>
  <c r="C343" i="7"/>
  <c r="C344" i="7"/>
  <c r="C345" i="7"/>
  <c r="C346" i="7"/>
  <c r="C347" i="7"/>
  <c r="C348" i="7"/>
  <c r="C349" i="7"/>
  <c r="C350" i="7"/>
  <c r="C351" i="7"/>
  <c r="C352" i="7"/>
  <c r="C353" i="7"/>
  <c r="C354" i="7"/>
  <c r="C355" i="7"/>
  <c r="C356" i="7"/>
  <c r="C357" i="7"/>
  <c r="C358" i="7"/>
  <c r="C359" i="7"/>
  <c r="C360" i="7"/>
  <c r="C361" i="7"/>
  <c r="C362" i="7"/>
  <c r="C363" i="7"/>
  <c r="C364" i="7"/>
  <c r="C365" i="7"/>
  <c r="C366" i="7"/>
  <c r="C367" i="7"/>
  <c r="C368" i="7"/>
  <c r="C369" i="7"/>
  <c r="C370" i="7"/>
  <c r="C371" i="7"/>
  <c r="C372" i="7"/>
  <c r="C373" i="7"/>
  <c r="C374" i="7"/>
  <c r="C375" i="7"/>
  <c r="C376" i="7"/>
  <c r="C377" i="7"/>
  <c r="C378" i="7"/>
  <c r="C379" i="7"/>
  <c r="C380" i="7"/>
  <c r="C381" i="7"/>
  <c r="C382" i="7"/>
  <c r="C383" i="7"/>
  <c r="C384" i="7"/>
  <c r="C385" i="7"/>
  <c r="C386" i="7"/>
  <c r="C387" i="7"/>
  <c r="C388" i="7"/>
  <c r="C389" i="7"/>
  <c r="C390" i="7"/>
  <c r="C391" i="7"/>
  <c r="C392" i="7"/>
  <c r="C393" i="7"/>
  <c r="C394" i="7"/>
  <c r="C395" i="7"/>
  <c r="C396" i="7"/>
  <c r="C397" i="7"/>
  <c r="C398" i="7"/>
  <c r="C399" i="7"/>
  <c r="C400" i="7"/>
  <c r="C401" i="7"/>
  <c r="C402" i="7"/>
  <c r="C403" i="7"/>
  <c r="C404" i="7"/>
  <c r="C405" i="7"/>
  <c r="C406" i="7"/>
  <c r="C407" i="7"/>
  <c r="C408" i="7"/>
  <c r="C409" i="7"/>
  <c r="C410" i="7"/>
  <c r="C411" i="7"/>
  <c r="C412" i="7"/>
  <c r="C413" i="7"/>
  <c r="C414" i="7"/>
  <c r="C415" i="7"/>
  <c r="C416" i="7"/>
  <c r="C417" i="7"/>
  <c r="C418" i="7"/>
  <c r="C419" i="7"/>
  <c r="C420" i="7"/>
  <c r="C421" i="7"/>
  <c r="C422" i="7"/>
  <c r="C423" i="7"/>
  <c r="C424" i="7"/>
  <c r="C425" i="7"/>
  <c r="C426" i="7"/>
  <c r="C427" i="7"/>
  <c r="C428" i="7"/>
  <c r="C429" i="7"/>
  <c r="C430" i="7"/>
  <c r="C431" i="7"/>
  <c r="C432" i="7"/>
  <c r="C433" i="7"/>
  <c r="C434" i="7"/>
  <c r="C435" i="7"/>
  <c r="C436" i="7"/>
  <c r="C437" i="7"/>
  <c r="C438" i="7"/>
  <c r="C439" i="7"/>
  <c r="C440" i="7"/>
  <c r="C441" i="7"/>
  <c r="C442" i="7"/>
  <c r="C443" i="7"/>
  <c r="C444" i="7"/>
  <c r="C445" i="7"/>
  <c r="C446" i="7"/>
  <c r="C447" i="7"/>
  <c r="C448" i="7"/>
  <c r="C449" i="7"/>
  <c r="C450" i="7"/>
  <c r="C451" i="7"/>
  <c r="C452" i="7"/>
  <c r="C453" i="7"/>
  <c r="C454" i="7"/>
  <c r="C455" i="7"/>
  <c r="C456" i="7"/>
  <c r="C457" i="7"/>
  <c r="C458" i="7"/>
  <c r="C459" i="7"/>
  <c r="C460" i="7"/>
  <c r="C461" i="7"/>
  <c r="C462" i="7"/>
  <c r="C463" i="7"/>
  <c r="C464" i="7"/>
  <c r="C465" i="7"/>
  <c r="C466" i="7"/>
  <c r="C467" i="7"/>
  <c r="C468" i="7"/>
  <c r="C469" i="7"/>
  <c r="C470" i="7"/>
  <c r="C471" i="7"/>
  <c r="C472" i="7"/>
  <c r="C473" i="7"/>
  <c r="C474" i="7"/>
  <c r="C475" i="7"/>
  <c r="C476" i="7"/>
  <c r="C477" i="7"/>
  <c r="C478" i="7"/>
  <c r="C479" i="7"/>
  <c r="C480" i="7"/>
  <c r="C481" i="7"/>
  <c r="C482" i="7"/>
  <c r="C483" i="7"/>
  <c r="C484" i="7"/>
  <c r="C485" i="7"/>
  <c r="C486" i="7"/>
  <c r="C487" i="7"/>
  <c r="C488" i="7"/>
  <c r="C489" i="7"/>
  <c r="C490" i="7"/>
  <c r="C491" i="7"/>
  <c r="C492" i="7"/>
  <c r="C493" i="7"/>
  <c r="C494" i="7"/>
  <c r="C495" i="7"/>
  <c r="C496" i="7"/>
  <c r="C497" i="7"/>
  <c r="C498" i="7"/>
  <c r="C499" i="7"/>
  <c r="C500" i="7"/>
  <c r="C501" i="7"/>
  <c r="C502" i="7"/>
  <c r="C503" i="7"/>
  <c r="C504" i="7"/>
  <c r="C505" i="7"/>
  <c r="C506" i="7"/>
  <c r="C507" i="7"/>
  <c r="C508" i="7"/>
  <c r="C509" i="7"/>
  <c r="C510" i="7"/>
  <c r="C511" i="7"/>
  <c r="C512" i="7"/>
  <c r="C513" i="7"/>
  <c r="C514" i="7"/>
  <c r="C515" i="7"/>
  <c r="C516" i="7"/>
  <c r="C517" i="7"/>
  <c r="C518" i="7"/>
  <c r="C519" i="7"/>
  <c r="C520" i="7"/>
  <c r="C521" i="7"/>
  <c r="C522" i="7"/>
  <c r="C523" i="7"/>
  <c r="C524" i="7"/>
  <c r="C525" i="7"/>
  <c r="C526" i="7"/>
  <c r="C527" i="7"/>
  <c r="C528" i="7"/>
  <c r="C529" i="7"/>
  <c r="C530" i="7"/>
  <c r="C531" i="7"/>
  <c r="C532" i="7"/>
  <c r="C533" i="7"/>
  <c r="C534" i="7"/>
  <c r="C535" i="7"/>
  <c r="C536" i="7"/>
  <c r="C537" i="7"/>
  <c r="C538" i="7"/>
  <c r="C539" i="7"/>
  <c r="C540" i="7"/>
  <c r="C541" i="7"/>
  <c r="C542" i="7"/>
  <c r="C543" i="7"/>
  <c r="C544" i="7"/>
  <c r="C545" i="7"/>
  <c r="C546" i="7"/>
  <c r="C547" i="7"/>
  <c r="C548" i="7"/>
  <c r="C549" i="7"/>
  <c r="C550" i="7"/>
  <c r="C551" i="7"/>
  <c r="C552" i="7"/>
  <c r="C553" i="7"/>
  <c r="C554" i="7"/>
  <c r="C555" i="7"/>
  <c r="C556" i="7"/>
  <c r="C557" i="7"/>
  <c r="C558" i="7"/>
  <c r="C559" i="7"/>
  <c r="C560" i="7"/>
  <c r="C561" i="7"/>
  <c r="C562" i="7"/>
  <c r="C563" i="7"/>
  <c r="C564" i="7"/>
  <c r="C565" i="7"/>
  <c r="C566" i="7"/>
  <c r="C567" i="7"/>
  <c r="C568" i="7"/>
  <c r="C569" i="7"/>
  <c r="C570" i="7"/>
  <c r="C571" i="7"/>
  <c r="C572" i="7"/>
  <c r="C573" i="7"/>
  <c r="C574" i="7"/>
  <c r="C575" i="7"/>
  <c r="C576" i="7"/>
  <c r="C577" i="7"/>
  <c r="C578" i="7"/>
  <c r="C579" i="7"/>
  <c r="C580" i="7"/>
  <c r="C581" i="7"/>
  <c r="C582" i="7"/>
  <c r="C583" i="7"/>
  <c r="C584" i="7"/>
  <c r="C585" i="7"/>
  <c r="C586" i="7"/>
  <c r="C587" i="7"/>
  <c r="C588" i="7"/>
  <c r="C589" i="7"/>
  <c r="C590" i="7"/>
  <c r="C591" i="7"/>
  <c r="C592" i="7"/>
  <c r="C593" i="7"/>
  <c r="C594" i="7"/>
  <c r="C595" i="7"/>
  <c r="C596" i="7"/>
  <c r="C597" i="7"/>
  <c r="C598" i="7"/>
  <c r="C599" i="7"/>
  <c r="C600" i="7"/>
  <c r="C601" i="7"/>
  <c r="C602" i="7"/>
  <c r="C603" i="7"/>
  <c r="C604" i="7"/>
  <c r="C605" i="7"/>
  <c r="C606" i="7"/>
  <c r="C607" i="7"/>
  <c r="C608" i="7"/>
  <c r="C609" i="7"/>
  <c r="C610" i="7"/>
  <c r="C611" i="7"/>
  <c r="C612" i="7"/>
  <c r="C613" i="7"/>
  <c r="C614" i="7"/>
  <c r="C615" i="7"/>
  <c r="C616" i="7"/>
  <c r="C617" i="7"/>
  <c r="C618" i="7"/>
  <c r="C619" i="7"/>
  <c r="C620" i="7"/>
  <c r="C621" i="7"/>
  <c r="C622" i="7"/>
  <c r="C623" i="7"/>
  <c r="C624" i="7"/>
  <c r="C625" i="7"/>
  <c r="C626" i="7"/>
  <c r="C627" i="7"/>
  <c r="C628" i="7"/>
  <c r="C629" i="7"/>
  <c r="C630" i="7"/>
  <c r="C631" i="7"/>
  <c r="C632" i="7"/>
  <c r="C633" i="7"/>
  <c r="C634" i="7"/>
  <c r="C635" i="7"/>
  <c r="C636" i="7"/>
  <c r="C637" i="7"/>
  <c r="C638" i="7"/>
  <c r="C639" i="7"/>
  <c r="C2" i="7"/>
  <c r="C3" i="6"/>
  <c r="P4" i="4" l="1"/>
  <c r="Q4" i="4" s="1"/>
  <c r="P5" i="4"/>
  <c r="P6" i="4"/>
  <c r="Q6" i="4" s="1"/>
  <c r="P7" i="4"/>
  <c r="Q7" i="4" s="1"/>
  <c r="P8" i="4"/>
  <c r="P9" i="4"/>
  <c r="Q9" i="4" s="1"/>
  <c r="P10" i="4"/>
  <c r="Q10" i="4" s="1"/>
  <c r="P11" i="4"/>
  <c r="Q11" i="4" s="1"/>
  <c r="P12" i="4"/>
  <c r="Q12" i="4" s="1"/>
  <c r="P13" i="4"/>
  <c r="Q13" i="4" s="1"/>
  <c r="P14" i="4"/>
  <c r="Q14" i="4" s="1"/>
  <c r="P15" i="4"/>
  <c r="Q15" i="4" s="1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3" i="4"/>
  <c r="Q3" i="4" s="1"/>
  <c r="P4" i="5"/>
  <c r="P5" i="5"/>
  <c r="P6" i="5"/>
  <c r="P7" i="5"/>
  <c r="P8" i="5"/>
  <c r="Q8" i="5" s="1"/>
  <c r="P9" i="5"/>
  <c r="Q9" i="5" s="1"/>
  <c r="P10" i="5"/>
  <c r="Q10" i="5" s="1"/>
  <c r="P11" i="5"/>
  <c r="Q11" i="5" s="1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68" i="5"/>
  <c r="P69" i="5"/>
  <c r="P70" i="5"/>
  <c r="P71" i="5"/>
  <c r="P72" i="5"/>
  <c r="P73" i="5"/>
  <c r="P74" i="5"/>
  <c r="P75" i="5"/>
  <c r="P76" i="5"/>
  <c r="P77" i="5"/>
  <c r="P78" i="5"/>
  <c r="P79" i="5"/>
  <c r="P80" i="5"/>
  <c r="P81" i="5"/>
  <c r="P82" i="5"/>
  <c r="P83" i="5"/>
  <c r="P84" i="5"/>
  <c r="P85" i="5"/>
  <c r="P86" i="5"/>
  <c r="P87" i="5"/>
  <c r="P88" i="5"/>
  <c r="P89" i="5"/>
  <c r="P90" i="5"/>
  <c r="P91" i="5"/>
  <c r="P92" i="5"/>
  <c r="P93" i="5"/>
  <c r="P94" i="5"/>
  <c r="P95" i="5"/>
  <c r="P96" i="5"/>
  <c r="P97" i="5"/>
  <c r="P98" i="5"/>
  <c r="P99" i="5"/>
  <c r="P100" i="5"/>
  <c r="P101" i="5"/>
  <c r="P102" i="5"/>
  <c r="P103" i="5"/>
  <c r="P104" i="5"/>
  <c r="P105" i="5"/>
  <c r="P106" i="5"/>
  <c r="P107" i="5"/>
  <c r="P108" i="5"/>
  <c r="P109" i="5"/>
  <c r="P110" i="5"/>
  <c r="P111" i="5"/>
  <c r="P112" i="5"/>
  <c r="P113" i="5"/>
  <c r="P114" i="5"/>
  <c r="P115" i="5"/>
  <c r="P116" i="5"/>
  <c r="P117" i="5"/>
  <c r="P118" i="5"/>
  <c r="P119" i="5"/>
  <c r="P120" i="5"/>
  <c r="P121" i="5"/>
  <c r="P122" i="5"/>
  <c r="P123" i="5"/>
  <c r="P3" i="5"/>
  <c r="Q3" i="5" s="1"/>
  <c r="AC4" i="5"/>
  <c r="AC5" i="5"/>
  <c r="AC6" i="5"/>
  <c r="AC7" i="5"/>
  <c r="AC8" i="5"/>
  <c r="AC9" i="5"/>
  <c r="AC10" i="5"/>
  <c r="AC11" i="5"/>
  <c r="AC12" i="5"/>
  <c r="AC13" i="5"/>
  <c r="AC14" i="5"/>
  <c r="AC15" i="5"/>
  <c r="AC3" i="5"/>
  <c r="AD4" i="4"/>
  <c r="AD5" i="4"/>
  <c r="AD6" i="4"/>
  <c r="AD7" i="4"/>
  <c r="AD8" i="4"/>
  <c r="AD9" i="4"/>
  <c r="AD10" i="4"/>
  <c r="AD11" i="4"/>
  <c r="AD12" i="4"/>
  <c r="AD13" i="4"/>
  <c r="AD14" i="4"/>
  <c r="AD15" i="4"/>
  <c r="AD3" i="4"/>
  <c r="Q4" i="5"/>
  <c r="Q5" i="5"/>
  <c r="Q6" i="5"/>
  <c r="Q7" i="5"/>
  <c r="Q12" i="5"/>
  <c r="Q13" i="5"/>
  <c r="Q14" i="5"/>
  <c r="Q15" i="5"/>
  <c r="N6" i="5"/>
  <c r="O6" i="5" s="1"/>
  <c r="N7" i="5"/>
  <c r="O7" i="5" s="1"/>
  <c r="N14" i="5"/>
  <c r="O14" i="5" s="1"/>
  <c r="N15" i="5"/>
  <c r="O15" i="5" s="1"/>
  <c r="N3" i="5"/>
  <c r="O3" i="5" s="1"/>
  <c r="C15" i="5"/>
  <c r="C14" i="5"/>
  <c r="C13" i="5"/>
  <c r="N13" i="5" s="1"/>
  <c r="O13" i="5" s="1"/>
  <c r="C12" i="5"/>
  <c r="N12" i="5" s="1"/>
  <c r="O12" i="5" s="1"/>
  <c r="C11" i="5"/>
  <c r="N11" i="5" s="1"/>
  <c r="O11" i="5" s="1"/>
  <c r="C10" i="5"/>
  <c r="N10" i="5" s="1"/>
  <c r="O10" i="5" s="1"/>
  <c r="C9" i="5"/>
  <c r="N9" i="5" s="1"/>
  <c r="O9" i="5" s="1"/>
  <c r="C8" i="5"/>
  <c r="N8" i="5" s="1"/>
  <c r="O8" i="5" s="1"/>
  <c r="C7" i="5"/>
  <c r="C6" i="5"/>
  <c r="C5" i="5"/>
  <c r="N5" i="5" s="1"/>
  <c r="O5" i="5" s="1"/>
  <c r="C4" i="5"/>
  <c r="N4" i="5" s="1"/>
  <c r="O4" i="5" s="1"/>
  <c r="C3" i="5"/>
  <c r="Q5" i="4"/>
  <c r="Q8" i="4"/>
  <c r="C15" i="4"/>
  <c r="N15" i="4" s="1"/>
  <c r="O15" i="4" s="1"/>
  <c r="C14" i="4"/>
  <c r="N14" i="4" s="1"/>
  <c r="O14" i="4" s="1"/>
  <c r="C13" i="4"/>
  <c r="N13" i="4" s="1"/>
  <c r="O13" i="4" s="1"/>
  <c r="C12" i="4"/>
  <c r="C11" i="4"/>
  <c r="N11" i="4" s="1"/>
  <c r="O11" i="4" s="1"/>
  <c r="C10" i="4"/>
  <c r="C9" i="4"/>
  <c r="N9" i="4" s="1"/>
  <c r="O9" i="4" s="1"/>
  <c r="C8" i="4"/>
  <c r="N8" i="4" s="1"/>
  <c r="O8" i="4" s="1"/>
  <c r="C7" i="4"/>
  <c r="N7" i="4" s="1"/>
  <c r="O7" i="4" s="1"/>
  <c r="C6" i="4"/>
  <c r="N6" i="4" s="1"/>
  <c r="O6" i="4" s="1"/>
  <c r="C5" i="4"/>
  <c r="N5" i="4" s="1"/>
  <c r="O5" i="4" s="1"/>
  <c r="C4" i="4"/>
  <c r="C3" i="4"/>
  <c r="N3" i="4" s="1"/>
  <c r="O3" i="4" s="1"/>
  <c r="M4" i="2"/>
  <c r="N4" i="2" s="1"/>
  <c r="M5" i="2"/>
  <c r="N5" i="2" s="1"/>
  <c r="M6" i="2"/>
  <c r="N6" i="2" s="1"/>
  <c r="M7" i="2"/>
  <c r="N7" i="2" s="1"/>
  <c r="M8" i="2"/>
  <c r="N8" i="2" s="1"/>
  <c r="M9" i="2"/>
  <c r="N9" i="2" s="1"/>
  <c r="M10" i="2"/>
  <c r="N10" i="2" s="1"/>
  <c r="M11" i="2"/>
  <c r="N11" i="2" s="1"/>
  <c r="M12" i="2"/>
  <c r="N12" i="2" s="1"/>
  <c r="M13" i="2"/>
  <c r="N13" i="2" s="1"/>
  <c r="M14" i="2"/>
  <c r="N14" i="2" s="1"/>
  <c r="M15" i="2"/>
  <c r="N15" i="2" s="1"/>
  <c r="M3" i="2"/>
  <c r="N3" i="2" s="1"/>
  <c r="J9" i="2"/>
  <c r="K9" i="2" s="1"/>
  <c r="J11" i="2"/>
  <c r="K11" i="2" s="1"/>
  <c r="J14" i="2"/>
  <c r="K14" i="2" s="1"/>
  <c r="J13" i="2"/>
  <c r="K13" i="2" s="1"/>
  <c r="J8" i="2"/>
  <c r="K8" i="2" s="1"/>
  <c r="J6" i="2"/>
  <c r="K6" i="2" s="1"/>
  <c r="J5" i="2"/>
  <c r="K5" i="2" s="1"/>
  <c r="M4" i="1"/>
  <c r="N4" i="1" s="1"/>
  <c r="M5" i="1"/>
  <c r="N5" i="1" s="1"/>
  <c r="M6" i="1"/>
  <c r="N6" i="1" s="1"/>
  <c r="M7" i="1"/>
  <c r="N7" i="1" s="1"/>
  <c r="M8" i="1"/>
  <c r="N8" i="1" s="1"/>
  <c r="M9" i="1"/>
  <c r="N9" i="1" s="1"/>
  <c r="M10" i="1"/>
  <c r="N10" i="1" s="1"/>
  <c r="M11" i="1"/>
  <c r="N11" i="1" s="1"/>
  <c r="M12" i="1"/>
  <c r="N12" i="1" s="1"/>
  <c r="M13" i="1"/>
  <c r="N13" i="1" s="1"/>
  <c r="M14" i="1"/>
  <c r="N14" i="1" s="1"/>
  <c r="M15" i="1"/>
  <c r="N15" i="1" s="1"/>
  <c r="M3" i="1"/>
  <c r="N3" i="1" s="1"/>
  <c r="K5" i="1"/>
  <c r="L5" i="1" s="1"/>
  <c r="K6" i="1"/>
  <c r="L6" i="1" s="1"/>
  <c r="K7" i="1"/>
  <c r="L7" i="1" s="1"/>
  <c r="K13" i="1"/>
  <c r="L13" i="1" s="1"/>
  <c r="K14" i="1"/>
  <c r="L14" i="1" s="1"/>
  <c r="K15" i="1"/>
  <c r="L15" i="1" s="1"/>
  <c r="K12" i="1"/>
  <c r="L12" i="1" s="1"/>
  <c r="K11" i="1"/>
  <c r="L11" i="1" s="1"/>
  <c r="K4" i="1"/>
  <c r="L4" i="1" s="1"/>
  <c r="K3" i="1"/>
  <c r="L3" i="1" s="1"/>
  <c r="K8" i="1" l="1"/>
  <c r="L8" i="1" s="1"/>
  <c r="K9" i="1"/>
  <c r="L9" i="1" s="1"/>
  <c r="K10" i="1"/>
  <c r="L10" i="1" s="1"/>
  <c r="N4" i="4"/>
  <c r="O4" i="4" s="1"/>
  <c r="N12" i="4"/>
  <c r="O12" i="4" s="1"/>
  <c r="N10" i="4"/>
  <c r="O10" i="4" s="1"/>
  <c r="J10" i="2"/>
  <c r="K10" i="2" s="1"/>
  <c r="J15" i="2"/>
  <c r="K15" i="2" s="1"/>
  <c r="J3" i="2"/>
  <c r="K3" i="2" s="1"/>
  <c r="J4" i="2"/>
  <c r="K4" i="2" s="1"/>
  <c r="J12" i="2"/>
  <c r="K12" i="2" s="1"/>
  <c r="J7" i="2"/>
  <c r="K7" i="2" s="1"/>
</calcChain>
</file>

<file path=xl/sharedStrings.xml><?xml version="1.0" encoding="utf-8"?>
<sst xmlns="http://schemas.openxmlformats.org/spreadsheetml/2006/main" count="85" uniqueCount="23">
  <si>
    <t>ERYA</t>
  </si>
  <si>
    <t>NDF</t>
  </si>
  <si>
    <t>SMNRA</t>
  </si>
  <si>
    <t>Vavilov</t>
  </si>
  <si>
    <t>Yang</t>
  </si>
  <si>
    <t>ERYA/NDF</t>
  </si>
  <si>
    <t>REL</t>
  </si>
  <si>
    <t>SMNRA/NDF</t>
  </si>
  <si>
    <t>Energy (keV)</t>
  </si>
  <si>
    <t>Count/msr/uC</t>
  </si>
  <si>
    <t>round 3</t>
  </si>
  <si>
    <t>RELATIVE</t>
  </si>
  <si>
    <t>SMNRA-asym</t>
  </si>
  <si>
    <t>27Al (844 keV)</t>
  </si>
  <si>
    <t>Renormalization</t>
  </si>
  <si>
    <t>keV</t>
  </si>
  <si>
    <t>Gauss 0</t>
  </si>
  <si>
    <t xml:space="preserve">ERYA </t>
  </si>
  <si>
    <t>SPACES</t>
  </si>
  <si>
    <t>DE=1.1775</t>
  </si>
  <si>
    <t>DE=1</t>
  </si>
  <si>
    <t>DE=1.775</t>
  </si>
  <si>
    <t>POWERMEIS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</si>
</sst>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00000"/>
    <numFmt numFmtId="165" formatCode="0.000000000"/>
    <numFmt numFmtId="166" formatCode="0.0000000000"/>
    <numFmt numFmtId="167" formatCode="0.000000000000"/>
    <numFmt numFmtId="168" formatCode="0.00000000000000"/>
    <numFmt numFmtId="169" formatCode="0.00000000000"/>
    <numFmt numFmtId="170" formatCode="0.0000000000000"/>
  </numFmts>
  <fonts count="3" x14ac:knownFonts="1">
    <font>
      <sz val="12"/>
      <name val="Calibri"/>
      <family val="2"/>
      <charset val="1"/>
    </font>
    <font>
      <sz val="12"/>
      <name val="Calibri"/>
      <family val="2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2" borderId="0" applyNumberFormat="0" applyBorder="0" applyAlignment="0" applyProtection="0"/>
  </cellStyleXfs>
  <cellXfs count="19">
    <xf numFmtId="0" fontId="0" fillId="0" borderId="0" xfId="0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0" fontId="0" fillId="0" borderId="0" xfId="1" applyFont="1"/>
    <xf numFmtId="11" fontId="0" fillId="0" borderId="0" xfId="0" applyNumberFormat="1"/>
    <xf numFmtId="0" fontId="1" fillId="0" borderId="0" xfId="1"/>
    <xf numFmtId="0" fontId="0" fillId="0" borderId="0" xfId="0" applyAlignment="1">
      <alignment horizontal="center"/>
    </xf>
    <xf numFmtId="0" fontId="2" fillId="2" borderId="0" xfId="2"/>
    <xf numFmtId="0" fontId="2" fillId="2" borderId="0" xfId="2" applyAlignment="1">
      <alignment horizontal="center"/>
    </xf>
    <xf numFmtId="165" fontId="2" fillId="2" borderId="0" xfId="2" applyNumberFormat="1"/>
    <xf numFmtId="166" fontId="2" fillId="2" borderId="0" xfId="2" applyNumberFormat="1"/>
    <xf numFmtId="167" fontId="2" fillId="2" borderId="0" xfId="2" applyNumberFormat="1"/>
    <xf numFmtId="169" fontId="2" fillId="2" borderId="0" xfId="2" applyNumberFormat="1"/>
  </cellXfs>
  <cellStyles count="3">
    <cellStyle name="Good" xfId="2" builtinId="26"/>
    <cellStyle name="Normal" xfId="0" builtinId="0"/>
    <cellStyle name="Normal 2" xfId="1" xr:uid="{2328B26C-FADA-41B0-BCC4-AF682C4B2F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2000"/>
              <a:t>Ex</a:t>
            </a:r>
            <a:r>
              <a:rPr lang="en-GB" sz="2000" baseline="0"/>
              <a:t> 2 Full Straggling </a:t>
            </a:r>
            <a:r>
              <a:rPr lang="el-GR" sz="2000" baseline="0"/>
              <a:t>Δ</a:t>
            </a:r>
            <a:r>
              <a:rPr lang="en-GB" sz="2000" baseline="0"/>
              <a:t>E=0</a:t>
            </a:r>
            <a:endParaRPr lang="en-GB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ERYA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 2 full 0'!$D$3:$D$15</c:f>
              <c:numCache>
                <c:formatCode>0.00</c:formatCode>
                <c:ptCount val="13"/>
                <c:pt idx="0">
                  <c:v>1682</c:v>
                </c:pt>
                <c:pt idx="1">
                  <c:v>1682.5</c:v>
                </c:pt>
                <c:pt idx="2">
                  <c:v>1683</c:v>
                </c:pt>
                <c:pt idx="3">
                  <c:v>1683.5</c:v>
                </c:pt>
                <c:pt idx="4">
                  <c:v>1684</c:v>
                </c:pt>
                <c:pt idx="5">
                  <c:v>1684.5</c:v>
                </c:pt>
                <c:pt idx="6">
                  <c:v>1685</c:v>
                </c:pt>
                <c:pt idx="7">
                  <c:v>1685.5</c:v>
                </c:pt>
                <c:pt idx="8">
                  <c:v>1686</c:v>
                </c:pt>
                <c:pt idx="9">
                  <c:v>1686.5</c:v>
                </c:pt>
                <c:pt idx="10">
                  <c:v>1687</c:v>
                </c:pt>
                <c:pt idx="11">
                  <c:v>1687.5</c:v>
                </c:pt>
                <c:pt idx="12">
                  <c:v>1688</c:v>
                </c:pt>
              </c:numCache>
            </c:numRef>
          </c:xVal>
          <c:yVal>
            <c:numRef>
              <c:f>'Ex 2 full 0'!$B$3:$B$15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4.0499999999999998E-4</c:v>
                </c:pt>
                <c:pt idx="3">
                  <c:v>1.7538999999999999E-2</c:v>
                </c:pt>
                <c:pt idx="4">
                  <c:v>1.5028E-2</c:v>
                </c:pt>
                <c:pt idx="5">
                  <c:v>1.3826E-2</c:v>
                </c:pt>
                <c:pt idx="6">
                  <c:v>1.3287999999999999E-2</c:v>
                </c:pt>
                <c:pt idx="7">
                  <c:v>1.2956000000000001E-2</c:v>
                </c:pt>
                <c:pt idx="8">
                  <c:v>1.2874E-2</c:v>
                </c:pt>
                <c:pt idx="9">
                  <c:v>1.3102000000000001E-2</c:v>
                </c:pt>
                <c:pt idx="10">
                  <c:v>1.3453E-2</c:v>
                </c:pt>
                <c:pt idx="11">
                  <c:v>1.3635E-2</c:v>
                </c:pt>
                <c:pt idx="12">
                  <c:v>1.3642E-2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CD2-4E60-8764-294661D7491D}"/>
            </c:ext>
          </c:extLst>
        </c:ser>
        <c:ser>
          <c:idx val="1"/>
          <c:order val="1"/>
          <c:tx>
            <c:v>NDF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 2 full 0'!$D$3:$D$15</c:f>
              <c:numCache>
                <c:formatCode>0.00</c:formatCode>
                <c:ptCount val="13"/>
                <c:pt idx="0">
                  <c:v>1682</c:v>
                </c:pt>
                <c:pt idx="1">
                  <c:v>1682.5</c:v>
                </c:pt>
                <c:pt idx="2">
                  <c:v>1683</c:v>
                </c:pt>
                <c:pt idx="3">
                  <c:v>1683.5</c:v>
                </c:pt>
                <c:pt idx="4">
                  <c:v>1684</c:v>
                </c:pt>
                <c:pt idx="5">
                  <c:v>1684.5</c:v>
                </c:pt>
                <c:pt idx="6">
                  <c:v>1685</c:v>
                </c:pt>
                <c:pt idx="7">
                  <c:v>1685.5</c:v>
                </c:pt>
                <c:pt idx="8">
                  <c:v>1686</c:v>
                </c:pt>
                <c:pt idx="9">
                  <c:v>1686.5</c:v>
                </c:pt>
                <c:pt idx="10">
                  <c:v>1687</c:v>
                </c:pt>
                <c:pt idx="11">
                  <c:v>1687.5</c:v>
                </c:pt>
                <c:pt idx="12">
                  <c:v>1688</c:v>
                </c:pt>
              </c:numCache>
            </c:numRef>
          </c:xVal>
          <c:yVal>
            <c:numRef>
              <c:f>'Ex 2 full 0'!$E$3:$E$15</c:f>
              <c:numCache>
                <c:formatCode>0.000000000</c:formatCode>
                <c:ptCount val="13"/>
                <c:pt idx="0">
                  <c:v>5.4422971000000001E-3</c:v>
                </c:pt>
                <c:pt idx="1">
                  <c:v>7.7473739999999996E-3</c:v>
                </c:pt>
                <c:pt idx="2">
                  <c:v>2.2732236999999999E-2</c:v>
                </c:pt>
                <c:pt idx="3">
                  <c:v>0.23283738000000001</c:v>
                </c:pt>
                <c:pt idx="4">
                  <c:v>0.18214452</c:v>
                </c:pt>
                <c:pt idx="5">
                  <c:v>0.17810574000000001</c:v>
                </c:pt>
                <c:pt idx="6">
                  <c:v>0.17740154</c:v>
                </c:pt>
                <c:pt idx="7">
                  <c:v>0.17734931000000001</c:v>
                </c:pt>
                <c:pt idx="8">
                  <c:v>0.17741129</c:v>
                </c:pt>
                <c:pt idx="9">
                  <c:v>0.17748866999999999</c:v>
                </c:pt>
                <c:pt idx="10">
                  <c:v>0.17754585000000001</c:v>
                </c:pt>
                <c:pt idx="11">
                  <c:v>0.17758246</c:v>
                </c:pt>
                <c:pt idx="12">
                  <c:v>0.17757782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CD2-4E60-8764-294661D7491D}"/>
            </c:ext>
          </c:extLst>
        </c:ser>
        <c:ser>
          <c:idx val="2"/>
          <c:order val="2"/>
          <c:tx>
            <c:v>SMNRA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'Ex 2 full 0'!$D$3:$D$15</c:f>
              <c:numCache>
                <c:formatCode>0.00</c:formatCode>
                <c:ptCount val="13"/>
                <c:pt idx="0">
                  <c:v>1682</c:v>
                </c:pt>
                <c:pt idx="1">
                  <c:v>1682.5</c:v>
                </c:pt>
                <c:pt idx="2">
                  <c:v>1683</c:v>
                </c:pt>
                <c:pt idx="3">
                  <c:v>1683.5</c:v>
                </c:pt>
                <c:pt idx="4">
                  <c:v>1684</c:v>
                </c:pt>
                <c:pt idx="5">
                  <c:v>1684.5</c:v>
                </c:pt>
                <c:pt idx="6">
                  <c:v>1685</c:v>
                </c:pt>
                <c:pt idx="7">
                  <c:v>1685.5</c:v>
                </c:pt>
                <c:pt idx="8">
                  <c:v>1686</c:v>
                </c:pt>
                <c:pt idx="9">
                  <c:v>1686.5</c:v>
                </c:pt>
                <c:pt idx="10">
                  <c:v>1687</c:v>
                </c:pt>
                <c:pt idx="11">
                  <c:v>1687.5</c:v>
                </c:pt>
                <c:pt idx="12">
                  <c:v>1688</c:v>
                </c:pt>
              </c:numCache>
            </c:numRef>
          </c:xVal>
          <c:yVal>
            <c:numRef>
              <c:f>'Ex 2 full 0'!$H$3:$H$15</c:f>
              <c:numCache>
                <c:formatCode>0.00000000</c:formatCode>
                <c:ptCount val="13"/>
                <c:pt idx="0">
                  <c:v>9.0029265274522898E-4</c:v>
                </c:pt>
                <c:pt idx="1">
                  <c:v>1.5609055712896801E-3</c:v>
                </c:pt>
                <c:pt idx="2">
                  <c:v>3.7751434579460798E-3</c:v>
                </c:pt>
                <c:pt idx="3">
                  <c:v>6.4144789881577E-2</c:v>
                </c:pt>
                <c:pt idx="4">
                  <c:v>9.2058050207282693E-2</c:v>
                </c:pt>
                <c:pt idx="5">
                  <c:v>0.113084359477653</c:v>
                </c:pt>
                <c:pt idx="6">
                  <c:v>0.12621375262416001</c:v>
                </c:pt>
                <c:pt idx="7">
                  <c:v>0.133729474203653</c:v>
                </c:pt>
                <c:pt idx="8">
                  <c:v>0.140119884797821</c:v>
                </c:pt>
                <c:pt idx="9">
                  <c:v>0.151397119608842</c:v>
                </c:pt>
                <c:pt idx="10">
                  <c:v>0.157204289270408</c:v>
                </c:pt>
                <c:pt idx="11">
                  <c:v>0.16128638011652499</c:v>
                </c:pt>
                <c:pt idx="12">
                  <c:v>0.16420906599395699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CD2-4E60-8764-294661D749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4000128"/>
        <c:axId val="1173992208"/>
      </c:scatterChart>
      <c:valAx>
        <c:axId val="1174000128"/>
        <c:scaling>
          <c:orientation val="minMax"/>
          <c:max val="168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beam</a:t>
                </a:r>
                <a:r>
                  <a:rPr lang="en-GB" sz="1600" baseline="0"/>
                  <a:t> energy (keV)</a:t>
                </a:r>
                <a:endParaRPr lang="en-GB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0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3992208"/>
        <c:crossesAt val="1.0000000000000004E-6"/>
        <c:crossBetween val="midCat"/>
      </c:valAx>
      <c:valAx>
        <c:axId val="1173992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yield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0001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ERYA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 2 full 0'!$D$3:$D$15</c:f>
              <c:numCache>
                <c:formatCode>0.00</c:formatCode>
                <c:ptCount val="13"/>
                <c:pt idx="0">
                  <c:v>1682</c:v>
                </c:pt>
                <c:pt idx="1">
                  <c:v>1682.5</c:v>
                </c:pt>
                <c:pt idx="2">
                  <c:v>1683</c:v>
                </c:pt>
                <c:pt idx="3">
                  <c:v>1683.5</c:v>
                </c:pt>
                <c:pt idx="4">
                  <c:v>1684</c:v>
                </c:pt>
                <c:pt idx="5">
                  <c:v>1684.5</c:v>
                </c:pt>
                <c:pt idx="6">
                  <c:v>1685</c:v>
                </c:pt>
                <c:pt idx="7">
                  <c:v>1685.5</c:v>
                </c:pt>
                <c:pt idx="8">
                  <c:v>1686</c:v>
                </c:pt>
                <c:pt idx="9">
                  <c:v>1686.5</c:v>
                </c:pt>
                <c:pt idx="10">
                  <c:v>1687</c:v>
                </c:pt>
                <c:pt idx="11">
                  <c:v>1687.5</c:v>
                </c:pt>
                <c:pt idx="12">
                  <c:v>1688</c:v>
                </c:pt>
              </c:numCache>
            </c:numRef>
          </c:xVal>
          <c:yVal>
            <c:numRef>
              <c:f>'Ex 2 full 0'!$K$3:$K$15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1.7816108463060632E-2</c:v>
                </c:pt>
                <c:pt idx="3">
                  <c:v>7.5327252007388157E-2</c:v>
                </c:pt>
                <c:pt idx="4">
                  <c:v>8.2505913436209874E-2</c:v>
                </c:pt>
                <c:pt idx="5">
                  <c:v>7.7628042757072274E-2</c:v>
                </c:pt>
                <c:pt idx="6">
                  <c:v>7.4903521130650838E-2</c:v>
                </c:pt>
                <c:pt idx="7">
                  <c:v>7.3053568688820944E-2</c:v>
                </c:pt>
                <c:pt idx="8">
                  <c:v>7.2565844033939439E-2</c:v>
                </c:pt>
                <c:pt idx="9">
                  <c:v>7.3818796433597719E-2</c:v>
                </c:pt>
                <c:pt idx="10">
                  <c:v>7.5771976647159026E-2</c:v>
                </c:pt>
                <c:pt idx="11">
                  <c:v>7.6781231659928575E-2</c:v>
                </c:pt>
                <c:pt idx="12">
                  <c:v>7.6822657244018419E-2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C99-4CE8-8AED-386756664A7D}"/>
            </c:ext>
          </c:extLst>
        </c:ser>
        <c:ser>
          <c:idx val="1"/>
          <c:order val="1"/>
          <c:tx>
            <c:v>SMNRA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 2 full 0'!$G$3:$G$15</c:f>
              <c:numCache>
                <c:formatCode>General</c:formatCode>
                <c:ptCount val="13"/>
                <c:pt idx="0">
                  <c:v>1682</c:v>
                </c:pt>
                <c:pt idx="1">
                  <c:v>1682.5</c:v>
                </c:pt>
                <c:pt idx="2">
                  <c:v>1683</c:v>
                </c:pt>
                <c:pt idx="3">
                  <c:v>1683.5</c:v>
                </c:pt>
                <c:pt idx="4">
                  <c:v>1684</c:v>
                </c:pt>
                <c:pt idx="5">
                  <c:v>1684.5</c:v>
                </c:pt>
                <c:pt idx="6">
                  <c:v>1685</c:v>
                </c:pt>
                <c:pt idx="7">
                  <c:v>1685.5</c:v>
                </c:pt>
                <c:pt idx="8">
                  <c:v>1686</c:v>
                </c:pt>
                <c:pt idx="9">
                  <c:v>1686.5</c:v>
                </c:pt>
                <c:pt idx="10">
                  <c:v>1687</c:v>
                </c:pt>
                <c:pt idx="11">
                  <c:v>1687.5</c:v>
                </c:pt>
                <c:pt idx="12">
                  <c:v>1688</c:v>
                </c:pt>
              </c:numCache>
            </c:numRef>
          </c:xVal>
          <c:yVal>
            <c:numRef>
              <c:f>'Ex 2 full 0'!$M$3:$M$15</c:f>
              <c:numCache>
                <c:formatCode>General</c:formatCode>
                <c:ptCount val="13"/>
                <c:pt idx="0">
                  <c:v>0.16542512034949891</c:v>
                </c:pt>
                <c:pt idx="1">
                  <c:v>0.20147543816649102</c:v>
                </c:pt>
                <c:pt idx="2">
                  <c:v>0.1660700378034102</c:v>
                </c:pt>
                <c:pt idx="3">
                  <c:v>0.27549180411485902</c:v>
                </c:pt>
                <c:pt idx="4">
                  <c:v>0.50541213212059688</c:v>
                </c:pt>
                <c:pt idx="5">
                  <c:v>0.63492821442842318</c:v>
                </c:pt>
                <c:pt idx="6">
                  <c:v>0.71145804384877387</c:v>
                </c:pt>
                <c:pt idx="7">
                  <c:v>0.75404564135971541</c:v>
                </c:pt>
                <c:pt idx="8">
                  <c:v>0.78980252495667558</c:v>
                </c:pt>
                <c:pt idx="9">
                  <c:v>0.85299596649657705</c:v>
                </c:pt>
                <c:pt idx="10">
                  <c:v>0.88542925261507377</c:v>
                </c:pt>
                <c:pt idx="11">
                  <c:v>0.90823373049638456</c:v>
                </c:pt>
                <c:pt idx="12">
                  <c:v>0.92471608218840051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D0-4929-9D2A-15A1750D7F86}"/>
            </c:ext>
          </c:extLst>
        </c:ser>
        <c:ser>
          <c:idx val="2"/>
          <c:order val="2"/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'Ex 2 full 0'!$G$3:$G$15</c:f>
              <c:numCache>
                <c:formatCode>General</c:formatCode>
                <c:ptCount val="13"/>
                <c:pt idx="0">
                  <c:v>1682</c:v>
                </c:pt>
                <c:pt idx="1">
                  <c:v>1682.5</c:v>
                </c:pt>
                <c:pt idx="2">
                  <c:v>1683</c:v>
                </c:pt>
                <c:pt idx="3">
                  <c:v>1683.5</c:v>
                </c:pt>
                <c:pt idx="4">
                  <c:v>1684</c:v>
                </c:pt>
                <c:pt idx="5">
                  <c:v>1684.5</c:v>
                </c:pt>
                <c:pt idx="6">
                  <c:v>1685</c:v>
                </c:pt>
                <c:pt idx="7">
                  <c:v>1685.5</c:v>
                </c:pt>
                <c:pt idx="8">
                  <c:v>1686</c:v>
                </c:pt>
                <c:pt idx="9">
                  <c:v>1686.5</c:v>
                </c:pt>
                <c:pt idx="10">
                  <c:v>1687</c:v>
                </c:pt>
                <c:pt idx="11">
                  <c:v>1687.5</c:v>
                </c:pt>
                <c:pt idx="12">
                  <c:v>1688</c:v>
                </c:pt>
              </c:numCache>
            </c:numRef>
          </c:xVal>
          <c:yVal>
            <c:numRef>
              <c:f>'Ex 2 full 0'!$S$3:$S$15</c:f>
              <c:numCache>
                <c:formatCode>General</c:formatCode>
                <c:ptCount val="1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11-4739-9531-2EDFDCE30D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4006248"/>
        <c:axId val="1174006968"/>
      </c:scatterChart>
      <c:valAx>
        <c:axId val="1174006248"/>
        <c:scaling>
          <c:orientation val="minMax"/>
          <c:max val="1688"/>
          <c:min val="168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beam</a:t>
                </a:r>
                <a:r>
                  <a:rPr lang="en-GB" sz="1600" baseline="0"/>
                  <a:t> energy (keV)</a:t>
                </a:r>
                <a:endParaRPr lang="en-GB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0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006968"/>
        <c:crosses val="autoZero"/>
        <c:crossBetween val="midCat"/>
      </c:valAx>
      <c:valAx>
        <c:axId val="1174006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ratio</a:t>
                </a:r>
                <a:r>
                  <a:rPr lang="en-GB" sz="1600" baseline="0"/>
                  <a:t> over NDF</a:t>
                </a:r>
                <a:endParaRPr lang="en-GB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0062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 2 Full Straggling </a:t>
            </a:r>
            <a:r>
              <a:rPr lang="el-GR"/>
              <a:t>Δ</a:t>
            </a:r>
            <a:r>
              <a:rPr lang="en-US"/>
              <a:t>E=1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ERYA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 2 full 1'!$D$3:$D$15</c:f>
              <c:numCache>
                <c:formatCode>0.00</c:formatCode>
                <c:ptCount val="13"/>
                <c:pt idx="0">
                  <c:v>1682</c:v>
                </c:pt>
                <c:pt idx="1">
                  <c:v>1682.5</c:v>
                </c:pt>
                <c:pt idx="2">
                  <c:v>1683</c:v>
                </c:pt>
                <c:pt idx="3">
                  <c:v>1683.5</c:v>
                </c:pt>
                <c:pt idx="4">
                  <c:v>1684</c:v>
                </c:pt>
                <c:pt idx="5">
                  <c:v>1684.5</c:v>
                </c:pt>
                <c:pt idx="6">
                  <c:v>1685</c:v>
                </c:pt>
                <c:pt idx="7">
                  <c:v>1685.5</c:v>
                </c:pt>
                <c:pt idx="8">
                  <c:v>1686</c:v>
                </c:pt>
                <c:pt idx="9">
                  <c:v>1686.5</c:v>
                </c:pt>
                <c:pt idx="10">
                  <c:v>1687</c:v>
                </c:pt>
                <c:pt idx="11">
                  <c:v>1687.5</c:v>
                </c:pt>
                <c:pt idx="12">
                  <c:v>1688</c:v>
                </c:pt>
              </c:numCache>
            </c:numRef>
          </c:xVal>
          <c:yVal>
            <c:numRef>
              <c:f>'Ex 2 full 1'!$B$3:$B$15</c:f>
              <c:numCache>
                <c:formatCode>General</c:formatCode>
                <c:ptCount val="13"/>
                <c:pt idx="0">
                  <c:v>1.5E-5</c:v>
                </c:pt>
                <c:pt idx="1">
                  <c:v>6.9200000000000002E-4</c:v>
                </c:pt>
                <c:pt idx="2">
                  <c:v>4.568E-3</c:v>
                </c:pt>
                <c:pt idx="3">
                  <c:v>1.1334E-2</c:v>
                </c:pt>
                <c:pt idx="4">
                  <c:v>1.4267999999999999E-2</c:v>
                </c:pt>
                <c:pt idx="5">
                  <c:v>1.3917000000000001E-2</c:v>
                </c:pt>
                <c:pt idx="6">
                  <c:v>1.337E-2</c:v>
                </c:pt>
                <c:pt idx="7">
                  <c:v>1.307E-2</c:v>
                </c:pt>
                <c:pt idx="8">
                  <c:v>1.3009E-2</c:v>
                </c:pt>
                <c:pt idx="9">
                  <c:v>1.3169E-2</c:v>
                </c:pt>
                <c:pt idx="10">
                  <c:v>1.3429999999999999E-2</c:v>
                </c:pt>
                <c:pt idx="11">
                  <c:v>1.3579000000000001E-2</c:v>
                </c:pt>
                <c:pt idx="12">
                  <c:v>1.3599E-2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9C-49D0-A58F-D7F3C8044F70}"/>
            </c:ext>
          </c:extLst>
        </c:ser>
        <c:ser>
          <c:idx val="1"/>
          <c:order val="1"/>
          <c:tx>
            <c:v>NDF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 2 full 1'!$D$3:$D$15</c:f>
              <c:numCache>
                <c:formatCode>0.00</c:formatCode>
                <c:ptCount val="13"/>
                <c:pt idx="0">
                  <c:v>1682</c:v>
                </c:pt>
                <c:pt idx="1">
                  <c:v>1682.5</c:v>
                </c:pt>
                <c:pt idx="2">
                  <c:v>1683</c:v>
                </c:pt>
                <c:pt idx="3">
                  <c:v>1683.5</c:v>
                </c:pt>
                <c:pt idx="4">
                  <c:v>1684</c:v>
                </c:pt>
                <c:pt idx="5">
                  <c:v>1684.5</c:v>
                </c:pt>
                <c:pt idx="6">
                  <c:v>1685</c:v>
                </c:pt>
                <c:pt idx="7">
                  <c:v>1685.5</c:v>
                </c:pt>
                <c:pt idx="8">
                  <c:v>1686</c:v>
                </c:pt>
                <c:pt idx="9">
                  <c:v>1686.5</c:v>
                </c:pt>
                <c:pt idx="10">
                  <c:v>1687</c:v>
                </c:pt>
                <c:pt idx="11">
                  <c:v>1687.5</c:v>
                </c:pt>
                <c:pt idx="12">
                  <c:v>1688</c:v>
                </c:pt>
              </c:numCache>
            </c:numRef>
          </c:xVal>
          <c:yVal>
            <c:numRef>
              <c:f>'Ex 2 full 1'!$E$3:$E$15</c:f>
              <c:numCache>
                <c:formatCode>0.000000000</c:formatCode>
                <c:ptCount val="13"/>
                <c:pt idx="0">
                  <c:v>6.4759264E-3</c:v>
                </c:pt>
                <c:pt idx="1">
                  <c:v>2.2272344999999999E-2</c:v>
                </c:pt>
                <c:pt idx="2">
                  <c:v>9.5235765E-2</c:v>
                </c:pt>
                <c:pt idx="3">
                  <c:v>0.18134236000000001</c:v>
                </c:pt>
                <c:pt idx="4">
                  <c:v>0.18902777000000001</c:v>
                </c:pt>
                <c:pt idx="5">
                  <c:v>0.17972827999999999</c:v>
                </c:pt>
                <c:pt idx="6">
                  <c:v>0.17764573</c:v>
                </c:pt>
                <c:pt idx="7">
                  <c:v>0.17738830999999999</c:v>
                </c:pt>
                <c:pt idx="8">
                  <c:v>0.17740726000000001</c:v>
                </c:pt>
                <c:pt idx="9">
                  <c:v>0.17748517</c:v>
                </c:pt>
                <c:pt idx="10">
                  <c:v>0.17753740000000001</c:v>
                </c:pt>
                <c:pt idx="11">
                  <c:v>0.17757313999999999</c:v>
                </c:pt>
                <c:pt idx="12">
                  <c:v>0.17757359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19C-49D0-A58F-D7F3C8044F70}"/>
            </c:ext>
          </c:extLst>
        </c:ser>
        <c:ser>
          <c:idx val="2"/>
          <c:order val="2"/>
          <c:tx>
            <c:v>SMNRA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'Ex 2 full 1'!$D$3:$D$15</c:f>
              <c:numCache>
                <c:formatCode>0.00</c:formatCode>
                <c:ptCount val="13"/>
                <c:pt idx="0">
                  <c:v>1682</c:v>
                </c:pt>
                <c:pt idx="1">
                  <c:v>1682.5</c:v>
                </c:pt>
                <c:pt idx="2">
                  <c:v>1683</c:v>
                </c:pt>
                <c:pt idx="3">
                  <c:v>1683.5</c:v>
                </c:pt>
                <c:pt idx="4">
                  <c:v>1684</c:v>
                </c:pt>
                <c:pt idx="5">
                  <c:v>1684.5</c:v>
                </c:pt>
                <c:pt idx="6">
                  <c:v>1685</c:v>
                </c:pt>
                <c:pt idx="7">
                  <c:v>1685.5</c:v>
                </c:pt>
                <c:pt idx="8">
                  <c:v>1686</c:v>
                </c:pt>
                <c:pt idx="9">
                  <c:v>1686.5</c:v>
                </c:pt>
                <c:pt idx="10">
                  <c:v>1687</c:v>
                </c:pt>
                <c:pt idx="11">
                  <c:v>1687.5</c:v>
                </c:pt>
                <c:pt idx="12">
                  <c:v>1688</c:v>
                </c:pt>
              </c:numCache>
            </c:numRef>
          </c:xVal>
          <c:yVal>
            <c:numRef>
              <c:f>'Ex 2 full 1'!$H$3:$H$15</c:f>
              <c:numCache>
                <c:formatCode>0.000000000</c:formatCode>
                <c:ptCount val="13"/>
                <c:pt idx="0">
                  <c:v>1.2466904743202601E-3</c:v>
                </c:pt>
                <c:pt idx="1">
                  <c:v>5.0417868961885404E-3</c:v>
                </c:pt>
                <c:pt idx="2">
                  <c:v>2.5651520453456901E-2</c:v>
                </c:pt>
                <c:pt idx="3">
                  <c:v>6.2433647031302698E-2</c:v>
                </c:pt>
                <c:pt idx="4">
                  <c:v>8.12647689611702E-2</c:v>
                </c:pt>
                <c:pt idx="5">
                  <c:v>9.9317199260597802E-2</c:v>
                </c:pt>
                <c:pt idx="6">
                  <c:v>0.11916302112659</c:v>
                </c:pt>
                <c:pt idx="7">
                  <c:v>0.13111390491025901</c:v>
                </c:pt>
                <c:pt idx="8">
                  <c:v>0.144082498113179</c:v>
                </c:pt>
                <c:pt idx="9">
                  <c:v>0.154893562746582</c:v>
                </c:pt>
                <c:pt idx="10">
                  <c:v>0.159737121060293</c:v>
                </c:pt>
                <c:pt idx="11">
                  <c:v>0.16311548281416999</c:v>
                </c:pt>
                <c:pt idx="12">
                  <c:v>0.16551129516947299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19C-49D0-A58F-D7F3C8044F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6038424"/>
        <c:axId val="1046036624"/>
      </c:scatterChart>
      <c:valAx>
        <c:axId val="1046038424"/>
        <c:scaling>
          <c:orientation val="minMax"/>
          <c:max val="168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beam</a:t>
                </a:r>
                <a:r>
                  <a:rPr lang="en-GB" sz="1600" baseline="0"/>
                  <a:t> energy (keV)</a:t>
                </a:r>
                <a:endParaRPr lang="en-GB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0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6036624"/>
        <c:crossesAt val="1.0000000000000002E-3"/>
        <c:crossBetween val="midCat"/>
      </c:valAx>
      <c:valAx>
        <c:axId val="1046036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yield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6038424"/>
        <c:crossesAt val="1681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 horizontalDpi="1200" verticalDpi="120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ERYA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 2 full 1'!$D$3:$D$15</c:f>
              <c:numCache>
                <c:formatCode>0.00</c:formatCode>
                <c:ptCount val="13"/>
                <c:pt idx="0">
                  <c:v>1682</c:v>
                </c:pt>
                <c:pt idx="1">
                  <c:v>1682.5</c:v>
                </c:pt>
                <c:pt idx="2">
                  <c:v>1683</c:v>
                </c:pt>
                <c:pt idx="3">
                  <c:v>1683.5</c:v>
                </c:pt>
                <c:pt idx="4">
                  <c:v>1684</c:v>
                </c:pt>
                <c:pt idx="5">
                  <c:v>1684.5</c:v>
                </c:pt>
                <c:pt idx="6">
                  <c:v>1685</c:v>
                </c:pt>
                <c:pt idx="7">
                  <c:v>1685.5</c:v>
                </c:pt>
                <c:pt idx="8">
                  <c:v>1686</c:v>
                </c:pt>
                <c:pt idx="9">
                  <c:v>1686.5</c:v>
                </c:pt>
                <c:pt idx="10">
                  <c:v>1687</c:v>
                </c:pt>
                <c:pt idx="11">
                  <c:v>1687.5</c:v>
                </c:pt>
                <c:pt idx="12">
                  <c:v>1688</c:v>
                </c:pt>
              </c:numCache>
            </c:numRef>
          </c:xVal>
          <c:yVal>
            <c:numRef>
              <c:f>'Ex 2 full 1'!$J$3:$J$15</c:f>
              <c:numCache>
                <c:formatCode>General</c:formatCode>
                <c:ptCount val="13"/>
                <c:pt idx="0">
                  <c:v>2.3162709199412768E-3</c:v>
                </c:pt>
                <c:pt idx="1">
                  <c:v>3.1069921016399486E-2</c:v>
                </c:pt>
                <c:pt idx="2">
                  <c:v>4.7965173587884762E-2</c:v>
                </c:pt>
                <c:pt idx="3">
                  <c:v>6.2500565229216168E-2</c:v>
                </c:pt>
                <c:pt idx="4">
                  <c:v>7.5480972980848257E-2</c:v>
                </c:pt>
                <c:pt idx="5">
                  <c:v>7.7433556922705774E-2</c:v>
                </c:pt>
                <c:pt idx="6">
                  <c:v>7.5262152374841768E-2</c:v>
                </c:pt>
                <c:pt idx="7">
                  <c:v>7.3680165282593885E-2</c:v>
                </c:pt>
                <c:pt idx="8">
                  <c:v>7.3328453412785918E-2</c:v>
                </c:pt>
                <c:pt idx="9">
                  <c:v>7.4197748465406999E-2</c:v>
                </c:pt>
                <c:pt idx="10">
                  <c:v>7.5646032892224394E-2</c:v>
                </c:pt>
                <c:pt idx="11">
                  <c:v>7.6469898544340664E-2</c:v>
                </c:pt>
                <c:pt idx="12">
                  <c:v>7.6582334118491385E-2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DF-4834-AA84-A30D16E73CDD}"/>
            </c:ext>
          </c:extLst>
        </c:ser>
        <c:ser>
          <c:idx val="1"/>
          <c:order val="1"/>
          <c:tx>
            <c:v>NDF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 2 full 1'!$G$3:$G$15</c:f>
              <c:numCache>
                <c:formatCode>General</c:formatCode>
                <c:ptCount val="13"/>
                <c:pt idx="0">
                  <c:v>1682</c:v>
                </c:pt>
                <c:pt idx="1">
                  <c:v>1682.5</c:v>
                </c:pt>
                <c:pt idx="2">
                  <c:v>1683</c:v>
                </c:pt>
                <c:pt idx="3">
                  <c:v>1683.5</c:v>
                </c:pt>
                <c:pt idx="4">
                  <c:v>1684</c:v>
                </c:pt>
                <c:pt idx="5">
                  <c:v>1684.5</c:v>
                </c:pt>
                <c:pt idx="6">
                  <c:v>1685</c:v>
                </c:pt>
                <c:pt idx="7">
                  <c:v>1685.5</c:v>
                </c:pt>
                <c:pt idx="8">
                  <c:v>1686</c:v>
                </c:pt>
                <c:pt idx="9">
                  <c:v>1686.5</c:v>
                </c:pt>
                <c:pt idx="10">
                  <c:v>1687</c:v>
                </c:pt>
                <c:pt idx="11">
                  <c:v>1687.5</c:v>
                </c:pt>
                <c:pt idx="12">
                  <c:v>1688</c:v>
                </c:pt>
              </c:numCache>
            </c:numRef>
          </c:xVal>
          <c:yVal>
            <c:numRef>
              <c:f>'Ex 2 full 1'!$M$3:$M$15</c:f>
              <c:numCache>
                <c:formatCode>General</c:formatCode>
                <c:ptCount val="13"/>
                <c:pt idx="0">
                  <c:v>0.1925115261223877</c:v>
                </c:pt>
                <c:pt idx="1">
                  <c:v>0.22636982752325993</c:v>
                </c:pt>
                <c:pt idx="2">
                  <c:v>0.26934755502259999</c:v>
                </c:pt>
                <c:pt idx="3">
                  <c:v>0.34428606218261798</c:v>
                </c:pt>
                <c:pt idx="4">
                  <c:v>0.42990915547049091</c:v>
                </c:pt>
                <c:pt idx="5">
                  <c:v>0.55259639306957042</c:v>
                </c:pt>
                <c:pt idx="6">
                  <c:v>0.6707902358620722</c:v>
                </c:pt>
                <c:pt idx="7">
                  <c:v>0.73913497969657083</c:v>
                </c:pt>
                <c:pt idx="8">
                  <c:v>0.81215671846337623</c:v>
                </c:pt>
                <c:pt idx="9">
                  <c:v>0.87271270465347617</c:v>
                </c:pt>
                <c:pt idx="10">
                  <c:v>0.89973786402354095</c:v>
                </c:pt>
                <c:pt idx="11">
                  <c:v>0.91858195904048323</c:v>
                </c:pt>
                <c:pt idx="12">
                  <c:v>0.93207157195770496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3DF-4834-AA84-A30D16E73CDD}"/>
            </c:ext>
          </c:extLst>
        </c:ser>
        <c:ser>
          <c:idx val="2"/>
          <c:order val="2"/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'Ex 2 full 1'!$A$3:$A$15</c:f>
              <c:numCache>
                <c:formatCode>General</c:formatCode>
                <c:ptCount val="13"/>
                <c:pt idx="0">
                  <c:v>1682</c:v>
                </c:pt>
                <c:pt idx="1">
                  <c:v>1682.5</c:v>
                </c:pt>
                <c:pt idx="2">
                  <c:v>1683</c:v>
                </c:pt>
                <c:pt idx="3">
                  <c:v>1683.5</c:v>
                </c:pt>
                <c:pt idx="4">
                  <c:v>1684</c:v>
                </c:pt>
                <c:pt idx="5">
                  <c:v>1684.5</c:v>
                </c:pt>
                <c:pt idx="6">
                  <c:v>1685</c:v>
                </c:pt>
                <c:pt idx="7">
                  <c:v>1685.5</c:v>
                </c:pt>
                <c:pt idx="8">
                  <c:v>1686</c:v>
                </c:pt>
                <c:pt idx="9">
                  <c:v>1686.5</c:v>
                </c:pt>
                <c:pt idx="10">
                  <c:v>1687</c:v>
                </c:pt>
                <c:pt idx="11">
                  <c:v>1687.5</c:v>
                </c:pt>
                <c:pt idx="12">
                  <c:v>1688</c:v>
                </c:pt>
              </c:numCache>
            </c:numRef>
          </c:xVal>
          <c:yVal>
            <c:numRef>
              <c:f>'Ex 2 full 1'!$Y$3:$Y$15</c:f>
              <c:numCache>
                <c:formatCode>General</c:formatCode>
                <c:ptCount val="1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B7-4112-B02A-839323C535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1202280"/>
        <c:axId val="981199400"/>
      </c:scatterChart>
      <c:valAx>
        <c:axId val="981202280"/>
        <c:scaling>
          <c:orientation val="minMax"/>
          <c:max val="1688"/>
          <c:min val="168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beam</a:t>
                </a:r>
                <a:r>
                  <a:rPr lang="en-GB" sz="1600" baseline="0"/>
                  <a:t> energy (keV)</a:t>
                </a:r>
                <a:endParaRPr lang="en-GB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0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1199400"/>
        <c:crossesAt val="0.1"/>
        <c:crossBetween val="midCat"/>
      </c:valAx>
      <c:valAx>
        <c:axId val="981199400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ratio</a:t>
                </a:r>
                <a:r>
                  <a:rPr lang="en-GB" sz="1600" baseline="0"/>
                  <a:t> over NDF</a:t>
                </a:r>
                <a:endParaRPr lang="en-GB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1202280"/>
        <c:crossesAt val="1681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Ex 2 Gauss Straggling </a:t>
            </a:r>
            <a:r>
              <a:rPr lang="el-GR" sz="1800"/>
              <a:t>Δ</a:t>
            </a:r>
            <a:r>
              <a:rPr lang="en-US" sz="1800"/>
              <a:t>E=0</a:t>
            </a:r>
          </a:p>
        </c:rich>
      </c:tx>
      <c:layout>
        <c:manualLayout>
          <c:xMode val="edge"/>
          <c:yMode val="edge"/>
          <c:x val="0.17894121490522774"/>
          <c:y val="3.05346741661749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ERYA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 2 Gauss 0'!$A$3:$A$15</c:f>
              <c:numCache>
                <c:formatCode>General</c:formatCode>
                <c:ptCount val="13"/>
                <c:pt idx="0">
                  <c:v>1682</c:v>
                </c:pt>
                <c:pt idx="1">
                  <c:v>1682.5</c:v>
                </c:pt>
                <c:pt idx="2">
                  <c:v>1683</c:v>
                </c:pt>
                <c:pt idx="3">
                  <c:v>1683.5</c:v>
                </c:pt>
                <c:pt idx="4">
                  <c:v>1684</c:v>
                </c:pt>
                <c:pt idx="5">
                  <c:v>1684.5</c:v>
                </c:pt>
                <c:pt idx="6">
                  <c:v>1685</c:v>
                </c:pt>
                <c:pt idx="7">
                  <c:v>1685.5</c:v>
                </c:pt>
                <c:pt idx="8">
                  <c:v>1686</c:v>
                </c:pt>
                <c:pt idx="9">
                  <c:v>1686.5</c:v>
                </c:pt>
                <c:pt idx="10">
                  <c:v>1687</c:v>
                </c:pt>
                <c:pt idx="11">
                  <c:v>1687.5</c:v>
                </c:pt>
                <c:pt idx="12">
                  <c:v>1688</c:v>
                </c:pt>
              </c:numCache>
            </c:numRef>
          </c:xVal>
          <c:yVal>
            <c:numRef>
              <c:f>'Ex 2 Gauss 0'!$D$3:$D$15</c:f>
              <c:numCache>
                <c:formatCode>General</c:formatCode>
                <c:ptCount val="13"/>
                <c:pt idx="0">
                  <c:v>4.3839999999999999E-3</c:v>
                </c:pt>
                <c:pt idx="1">
                  <c:v>1.5667E-2</c:v>
                </c:pt>
                <c:pt idx="2">
                  <c:v>6.4353999999999995E-2</c:v>
                </c:pt>
                <c:pt idx="3">
                  <c:v>0.157611</c:v>
                </c:pt>
                <c:pt idx="4">
                  <c:v>0.17284099999999999</c:v>
                </c:pt>
                <c:pt idx="5">
                  <c:v>0.17313700000000001</c:v>
                </c:pt>
                <c:pt idx="6">
                  <c:v>0.173564</c:v>
                </c:pt>
                <c:pt idx="7">
                  <c:v>0.17402599999999999</c:v>
                </c:pt>
                <c:pt idx="8">
                  <c:v>0.17427400000000001</c:v>
                </c:pt>
                <c:pt idx="9">
                  <c:v>0.17512900000000001</c:v>
                </c:pt>
                <c:pt idx="10">
                  <c:v>0.174258</c:v>
                </c:pt>
                <c:pt idx="11">
                  <c:v>0.174869</c:v>
                </c:pt>
                <c:pt idx="12">
                  <c:v>0.17565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84-4EEC-9D48-8AA6AE73D43F}"/>
            </c:ext>
          </c:extLst>
        </c:ser>
        <c:ser>
          <c:idx val="1"/>
          <c:order val="1"/>
          <c:tx>
            <c:v>NDF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 2 Gauss 0'!$H$3:$H$123</c:f>
              <c:numCache>
                <c:formatCode>0.00</c:formatCode>
                <c:ptCount val="121"/>
                <c:pt idx="0">
                  <c:v>1682</c:v>
                </c:pt>
                <c:pt idx="1">
                  <c:v>1682.05</c:v>
                </c:pt>
                <c:pt idx="2">
                  <c:v>1682.1</c:v>
                </c:pt>
                <c:pt idx="3">
                  <c:v>1682.15</c:v>
                </c:pt>
                <c:pt idx="4">
                  <c:v>1682.2</c:v>
                </c:pt>
                <c:pt idx="5">
                  <c:v>1682.25</c:v>
                </c:pt>
                <c:pt idx="6">
                  <c:v>1682.3</c:v>
                </c:pt>
                <c:pt idx="7">
                  <c:v>1682.35</c:v>
                </c:pt>
                <c:pt idx="8">
                  <c:v>1682.4</c:v>
                </c:pt>
                <c:pt idx="9">
                  <c:v>1682.45</c:v>
                </c:pt>
                <c:pt idx="10">
                  <c:v>1682.5</c:v>
                </c:pt>
                <c:pt idx="11">
                  <c:v>1682.55</c:v>
                </c:pt>
                <c:pt idx="12">
                  <c:v>1682.6</c:v>
                </c:pt>
                <c:pt idx="13">
                  <c:v>1682.65</c:v>
                </c:pt>
                <c:pt idx="14">
                  <c:v>1682.7</c:v>
                </c:pt>
                <c:pt idx="15">
                  <c:v>1682.75</c:v>
                </c:pt>
                <c:pt idx="16">
                  <c:v>1682.8</c:v>
                </c:pt>
                <c:pt idx="17">
                  <c:v>1682.85</c:v>
                </c:pt>
                <c:pt idx="18">
                  <c:v>1682.9</c:v>
                </c:pt>
                <c:pt idx="19">
                  <c:v>1682.95</c:v>
                </c:pt>
                <c:pt idx="20">
                  <c:v>1683</c:v>
                </c:pt>
                <c:pt idx="21">
                  <c:v>1683.05</c:v>
                </c:pt>
                <c:pt idx="22">
                  <c:v>1683.1</c:v>
                </c:pt>
                <c:pt idx="23">
                  <c:v>1683.15</c:v>
                </c:pt>
                <c:pt idx="24">
                  <c:v>1683.2</c:v>
                </c:pt>
                <c:pt idx="25">
                  <c:v>1683.25</c:v>
                </c:pt>
                <c:pt idx="26">
                  <c:v>1683.3</c:v>
                </c:pt>
                <c:pt idx="27">
                  <c:v>1683.35</c:v>
                </c:pt>
                <c:pt idx="28">
                  <c:v>1683.4</c:v>
                </c:pt>
                <c:pt idx="29">
                  <c:v>1683.45</c:v>
                </c:pt>
                <c:pt idx="30">
                  <c:v>1683.5</c:v>
                </c:pt>
                <c:pt idx="31">
                  <c:v>1683.55</c:v>
                </c:pt>
                <c:pt idx="32">
                  <c:v>1683.6</c:v>
                </c:pt>
                <c:pt idx="33">
                  <c:v>1683.65</c:v>
                </c:pt>
                <c:pt idx="34">
                  <c:v>1683.7</c:v>
                </c:pt>
                <c:pt idx="35">
                  <c:v>1683.75</c:v>
                </c:pt>
                <c:pt idx="36">
                  <c:v>1683.8</c:v>
                </c:pt>
                <c:pt idx="37">
                  <c:v>1683.85</c:v>
                </c:pt>
                <c:pt idx="38">
                  <c:v>1683.9</c:v>
                </c:pt>
                <c:pt idx="39">
                  <c:v>1683.95</c:v>
                </c:pt>
                <c:pt idx="40">
                  <c:v>1684</c:v>
                </c:pt>
                <c:pt idx="41">
                  <c:v>1684.05</c:v>
                </c:pt>
                <c:pt idx="42">
                  <c:v>1684.1</c:v>
                </c:pt>
                <c:pt idx="43">
                  <c:v>1684.15</c:v>
                </c:pt>
                <c:pt idx="44">
                  <c:v>1684.2</c:v>
                </c:pt>
                <c:pt idx="45">
                  <c:v>1684.25</c:v>
                </c:pt>
                <c:pt idx="46">
                  <c:v>1684.3</c:v>
                </c:pt>
                <c:pt idx="47">
                  <c:v>1684.35</c:v>
                </c:pt>
                <c:pt idx="48">
                  <c:v>1684.4</c:v>
                </c:pt>
                <c:pt idx="49">
                  <c:v>1684.45</c:v>
                </c:pt>
                <c:pt idx="50">
                  <c:v>1684.5</c:v>
                </c:pt>
                <c:pt idx="51">
                  <c:v>1684.55</c:v>
                </c:pt>
                <c:pt idx="52">
                  <c:v>1684.6</c:v>
                </c:pt>
                <c:pt idx="53">
                  <c:v>1684.65</c:v>
                </c:pt>
                <c:pt idx="54">
                  <c:v>1684.7</c:v>
                </c:pt>
                <c:pt idx="55">
                  <c:v>1684.75</c:v>
                </c:pt>
                <c:pt idx="56">
                  <c:v>1684.8</c:v>
                </c:pt>
                <c:pt idx="57">
                  <c:v>1684.85</c:v>
                </c:pt>
                <c:pt idx="58">
                  <c:v>1684.9</c:v>
                </c:pt>
                <c:pt idx="59">
                  <c:v>1684.95</c:v>
                </c:pt>
                <c:pt idx="60">
                  <c:v>1685</c:v>
                </c:pt>
                <c:pt idx="61">
                  <c:v>1685.05</c:v>
                </c:pt>
                <c:pt idx="62">
                  <c:v>1685.1</c:v>
                </c:pt>
                <c:pt idx="63">
                  <c:v>1685.15</c:v>
                </c:pt>
                <c:pt idx="64">
                  <c:v>1685.2</c:v>
                </c:pt>
                <c:pt idx="65">
                  <c:v>1685.25</c:v>
                </c:pt>
                <c:pt idx="66">
                  <c:v>1685.3</c:v>
                </c:pt>
                <c:pt idx="67">
                  <c:v>1685.35</c:v>
                </c:pt>
                <c:pt idx="68">
                  <c:v>1685.4</c:v>
                </c:pt>
                <c:pt idx="69">
                  <c:v>1685.45</c:v>
                </c:pt>
                <c:pt idx="70">
                  <c:v>1685.5</c:v>
                </c:pt>
                <c:pt idx="71">
                  <c:v>1685.55</c:v>
                </c:pt>
                <c:pt idx="72">
                  <c:v>1685.6</c:v>
                </c:pt>
                <c:pt idx="73">
                  <c:v>1685.65</c:v>
                </c:pt>
                <c:pt idx="74">
                  <c:v>1685.7</c:v>
                </c:pt>
                <c:pt idx="75">
                  <c:v>1685.75</c:v>
                </c:pt>
                <c:pt idx="76">
                  <c:v>1685.8</c:v>
                </c:pt>
                <c:pt idx="77">
                  <c:v>1685.85</c:v>
                </c:pt>
                <c:pt idx="78">
                  <c:v>1685.9</c:v>
                </c:pt>
                <c:pt idx="79">
                  <c:v>1685.95</c:v>
                </c:pt>
                <c:pt idx="80">
                  <c:v>1686</c:v>
                </c:pt>
                <c:pt idx="81">
                  <c:v>1686.05</c:v>
                </c:pt>
                <c:pt idx="82">
                  <c:v>1686.1</c:v>
                </c:pt>
                <c:pt idx="83">
                  <c:v>1686.15</c:v>
                </c:pt>
                <c:pt idx="84">
                  <c:v>1686.2</c:v>
                </c:pt>
                <c:pt idx="85">
                  <c:v>1686.25</c:v>
                </c:pt>
                <c:pt idx="86">
                  <c:v>1686.3</c:v>
                </c:pt>
                <c:pt idx="87">
                  <c:v>1686.35</c:v>
                </c:pt>
                <c:pt idx="88">
                  <c:v>1686.4</c:v>
                </c:pt>
                <c:pt idx="89">
                  <c:v>1686.45</c:v>
                </c:pt>
                <c:pt idx="90">
                  <c:v>1686.5</c:v>
                </c:pt>
                <c:pt idx="91">
                  <c:v>1686.55</c:v>
                </c:pt>
                <c:pt idx="92">
                  <c:v>1686.6</c:v>
                </c:pt>
                <c:pt idx="93">
                  <c:v>1686.65</c:v>
                </c:pt>
                <c:pt idx="94">
                  <c:v>1686.7</c:v>
                </c:pt>
                <c:pt idx="95">
                  <c:v>1686.75</c:v>
                </c:pt>
                <c:pt idx="96">
                  <c:v>1686.8</c:v>
                </c:pt>
                <c:pt idx="97">
                  <c:v>1686.85</c:v>
                </c:pt>
                <c:pt idx="98">
                  <c:v>1686.9</c:v>
                </c:pt>
                <c:pt idx="99">
                  <c:v>1686.95</c:v>
                </c:pt>
                <c:pt idx="100">
                  <c:v>1687</c:v>
                </c:pt>
                <c:pt idx="101">
                  <c:v>1687.05</c:v>
                </c:pt>
                <c:pt idx="102">
                  <c:v>1687.1</c:v>
                </c:pt>
                <c:pt idx="103">
                  <c:v>1687.15</c:v>
                </c:pt>
                <c:pt idx="104">
                  <c:v>1687.2</c:v>
                </c:pt>
                <c:pt idx="105">
                  <c:v>1687.25</c:v>
                </c:pt>
                <c:pt idx="106">
                  <c:v>1687.3</c:v>
                </c:pt>
                <c:pt idx="107">
                  <c:v>1687.35</c:v>
                </c:pt>
                <c:pt idx="108">
                  <c:v>1687.4</c:v>
                </c:pt>
                <c:pt idx="109">
                  <c:v>1687.45</c:v>
                </c:pt>
                <c:pt idx="110">
                  <c:v>1687.5</c:v>
                </c:pt>
                <c:pt idx="111">
                  <c:v>1687.55</c:v>
                </c:pt>
                <c:pt idx="112">
                  <c:v>1687.6</c:v>
                </c:pt>
                <c:pt idx="113">
                  <c:v>1687.65</c:v>
                </c:pt>
                <c:pt idx="114">
                  <c:v>1687.7</c:v>
                </c:pt>
                <c:pt idx="115">
                  <c:v>1687.75</c:v>
                </c:pt>
                <c:pt idx="116">
                  <c:v>1687.8</c:v>
                </c:pt>
                <c:pt idx="117">
                  <c:v>1687.85</c:v>
                </c:pt>
                <c:pt idx="118">
                  <c:v>1687.9</c:v>
                </c:pt>
                <c:pt idx="119">
                  <c:v>1687.95</c:v>
                </c:pt>
                <c:pt idx="120">
                  <c:v>1688</c:v>
                </c:pt>
              </c:numCache>
            </c:numRef>
          </c:xVal>
          <c:yVal>
            <c:numRef>
              <c:f>'Ex 2 Gauss 0'!$I$3:$I$123</c:f>
              <c:numCache>
                <c:formatCode>0.0000000000</c:formatCode>
                <c:ptCount val="121"/>
                <c:pt idx="0">
                  <c:v>4.8863748E-3</c:v>
                </c:pt>
                <c:pt idx="1">
                  <c:v>5.4723899999999997E-3</c:v>
                </c:pt>
                <c:pt idx="2">
                  <c:v>6.1453795E-3</c:v>
                </c:pt>
                <c:pt idx="3">
                  <c:v>6.9197412000000002E-3</c:v>
                </c:pt>
                <c:pt idx="4">
                  <c:v>7.8169777999999995E-3</c:v>
                </c:pt>
                <c:pt idx="5">
                  <c:v>8.8531523999999997E-3</c:v>
                </c:pt>
                <c:pt idx="6">
                  <c:v>1.0055578000000001E-2</c:v>
                </c:pt>
                <c:pt idx="7">
                  <c:v>1.1445398000000001E-2</c:v>
                </c:pt>
                <c:pt idx="8">
                  <c:v>1.305446E-2</c:v>
                </c:pt>
                <c:pt idx="9">
                  <c:v>1.4917026999999999E-2</c:v>
                </c:pt>
                <c:pt idx="10">
                  <c:v>1.7097009E-2</c:v>
                </c:pt>
                <c:pt idx="11">
                  <c:v>1.9626012000000002E-2</c:v>
                </c:pt>
                <c:pt idx="12">
                  <c:v>2.2546904E-2</c:v>
                </c:pt>
                <c:pt idx="13">
                  <c:v>2.5949628999999998E-2</c:v>
                </c:pt>
                <c:pt idx="14">
                  <c:v>2.9892879000000001E-2</c:v>
                </c:pt>
                <c:pt idx="15">
                  <c:v>3.4494244E-2</c:v>
                </c:pt>
                <c:pt idx="16">
                  <c:v>3.9826385999999998E-2</c:v>
                </c:pt>
                <c:pt idx="17">
                  <c:v>4.6020078999999998E-2</c:v>
                </c:pt>
                <c:pt idx="18">
                  <c:v>5.3174949999999999E-2</c:v>
                </c:pt>
                <c:pt idx="19">
                  <c:v>6.1484665000000001E-2</c:v>
                </c:pt>
                <c:pt idx="20">
                  <c:v>7.1090735000000002E-2</c:v>
                </c:pt>
                <c:pt idx="21">
                  <c:v>8.2118048999999999E-2</c:v>
                </c:pt>
                <c:pt idx="22">
                  <c:v>9.4596348999999996E-2</c:v>
                </c:pt>
                <c:pt idx="23">
                  <c:v>0.10847859999999999</c:v>
                </c:pt>
                <c:pt idx="24">
                  <c:v>0.12356884</c:v>
                </c:pt>
                <c:pt idx="25">
                  <c:v>0.13907265999999999</c:v>
                </c:pt>
                <c:pt idx="26">
                  <c:v>0.15209808999999999</c:v>
                </c:pt>
                <c:pt idx="27">
                  <c:v>0.15982689</c:v>
                </c:pt>
                <c:pt idx="28">
                  <c:v>0.16388726000000001</c:v>
                </c:pt>
                <c:pt idx="29">
                  <c:v>0.16654559999999999</c:v>
                </c:pt>
                <c:pt idx="30">
                  <c:v>0.16833644</c:v>
                </c:pt>
                <c:pt idx="31">
                  <c:v>0.16935979000000001</c:v>
                </c:pt>
                <c:pt idx="32">
                  <c:v>0.17004987999999999</c:v>
                </c:pt>
                <c:pt idx="33">
                  <c:v>0.17051037999999999</c:v>
                </c:pt>
                <c:pt idx="34">
                  <c:v>0.17091237000000001</c:v>
                </c:pt>
                <c:pt idx="35">
                  <c:v>0.17134009</c:v>
                </c:pt>
                <c:pt idx="36">
                  <c:v>0.17167741</c:v>
                </c:pt>
                <c:pt idx="37">
                  <c:v>0.17193916000000001</c:v>
                </c:pt>
                <c:pt idx="38">
                  <c:v>0.17215800000000001</c:v>
                </c:pt>
                <c:pt idx="39">
                  <c:v>0.17244433000000001</c:v>
                </c:pt>
                <c:pt idx="40">
                  <c:v>0.17255551999999999</c:v>
                </c:pt>
                <c:pt idx="41">
                  <c:v>0.17274858000000001</c:v>
                </c:pt>
                <c:pt idx="42">
                  <c:v>0.17286852999999999</c:v>
                </c:pt>
                <c:pt idx="43">
                  <c:v>0.17299426000000001</c:v>
                </c:pt>
                <c:pt idx="44">
                  <c:v>0.17309737</c:v>
                </c:pt>
                <c:pt idx="45">
                  <c:v>0.17328729000000001</c:v>
                </c:pt>
                <c:pt idx="46">
                  <c:v>0.17333904</c:v>
                </c:pt>
                <c:pt idx="47">
                  <c:v>0.17347520999999999</c:v>
                </c:pt>
                <c:pt idx="48">
                  <c:v>0.17354054999999999</c:v>
                </c:pt>
                <c:pt idx="49">
                  <c:v>0.17365488000000001</c:v>
                </c:pt>
                <c:pt idx="50">
                  <c:v>0.17367611999999999</c:v>
                </c:pt>
                <c:pt idx="51">
                  <c:v>0.17379658000000001</c:v>
                </c:pt>
                <c:pt idx="52">
                  <c:v>0.17382511</c:v>
                </c:pt>
                <c:pt idx="53">
                  <c:v>0.17388313</c:v>
                </c:pt>
                <c:pt idx="54">
                  <c:v>0.17389597000000001</c:v>
                </c:pt>
                <c:pt idx="55">
                  <c:v>0.17396197999999999</c:v>
                </c:pt>
                <c:pt idx="56">
                  <c:v>0.17409356000000001</c:v>
                </c:pt>
                <c:pt idx="57">
                  <c:v>0.17408198</c:v>
                </c:pt>
                <c:pt idx="58">
                  <c:v>0.17410074</c:v>
                </c:pt>
                <c:pt idx="59">
                  <c:v>0.17412066000000001</c:v>
                </c:pt>
                <c:pt idx="60">
                  <c:v>0.17425686000000001</c:v>
                </c:pt>
                <c:pt idx="61">
                  <c:v>0.17426604000000001</c:v>
                </c:pt>
                <c:pt idx="62">
                  <c:v>0.17427711000000001</c:v>
                </c:pt>
                <c:pt idx="63">
                  <c:v>0.1742803</c:v>
                </c:pt>
                <c:pt idx="64">
                  <c:v>0.17436409</c:v>
                </c:pt>
                <c:pt idx="65">
                  <c:v>0.17441052000000001</c:v>
                </c:pt>
                <c:pt idx="66">
                  <c:v>0.17438503</c:v>
                </c:pt>
                <c:pt idx="67">
                  <c:v>0.17441872</c:v>
                </c:pt>
                <c:pt idx="68">
                  <c:v>0.17448253999999999</c:v>
                </c:pt>
                <c:pt idx="69">
                  <c:v>0.17452957999999999</c:v>
                </c:pt>
                <c:pt idx="70">
                  <c:v>0.17450789999999999</c:v>
                </c:pt>
                <c:pt idx="71">
                  <c:v>0.17450072</c:v>
                </c:pt>
                <c:pt idx="72">
                  <c:v>0.17463471999999999</c:v>
                </c:pt>
                <c:pt idx="73">
                  <c:v>0.17462273</c:v>
                </c:pt>
                <c:pt idx="74">
                  <c:v>0.17456838</c:v>
                </c:pt>
                <c:pt idx="75">
                  <c:v>0.17462192000000001</c:v>
                </c:pt>
                <c:pt idx="76">
                  <c:v>0.17469180000000001</c:v>
                </c:pt>
                <c:pt idx="77">
                  <c:v>0.17469485000000001</c:v>
                </c:pt>
                <c:pt idx="78">
                  <c:v>0.17464218000000001</c:v>
                </c:pt>
                <c:pt idx="79">
                  <c:v>0.17465267000000001</c:v>
                </c:pt>
                <c:pt idx="80">
                  <c:v>0.17480609</c:v>
                </c:pt>
                <c:pt idx="81">
                  <c:v>0.17473806</c:v>
                </c:pt>
                <c:pt idx="82">
                  <c:v>0.17474745</c:v>
                </c:pt>
                <c:pt idx="83">
                  <c:v>0.17473138999999999</c:v>
                </c:pt>
                <c:pt idx="84">
                  <c:v>0.17483061999999999</c:v>
                </c:pt>
                <c:pt idx="85">
                  <c:v>0.17483951</c:v>
                </c:pt>
                <c:pt idx="86">
                  <c:v>0.17481145000000001</c:v>
                </c:pt>
                <c:pt idx="87">
                  <c:v>0.17472534000000001</c:v>
                </c:pt>
                <c:pt idx="88">
                  <c:v>0.17483138000000001</c:v>
                </c:pt>
                <c:pt idx="89">
                  <c:v>0.17493926000000001</c:v>
                </c:pt>
                <c:pt idx="90">
                  <c:v>0.17488423</c:v>
                </c:pt>
                <c:pt idx="91">
                  <c:v>0.17475213000000001</c:v>
                </c:pt>
                <c:pt idx="92">
                  <c:v>0.17478676000000001</c:v>
                </c:pt>
                <c:pt idx="93">
                  <c:v>0.17498950999999999</c:v>
                </c:pt>
                <c:pt idx="94">
                  <c:v>0.17496912000000001</c:v>
                </c:pt>
                <c:pt idx="95">
                  <c:v>0.17475842</c:v>
                </c:pt>
                <c:pt idx="96">
                  <c:v>0.17477751</c:v>
                </c:pt>
                <c:pt idx="97">
                  <c:v>0.17505978</c:v>
                </c:pt>
                <c:pt idx="98">
                  <c:v>0.17498031</c:v>
                </c:pt>
                <c:pt idx="99">
                  <c:v>0.17477076999999999</c:v>
                </c:pt>
                <c:pt idx="100">
                  <c:v>0.17481442999999999</c:v>
                </c:pt>
                <c:pt idx="101">
                  <c:v>0.17508278999999999</c:v>
                </c:pt>
                <c:pt idx="102">
                  <c:v>0.17499816000000001</c:v>
                </c:pt>
                <c:pt idx="103">
                  <c:v>0.17476307999999999</c:v>
                </c:pt>
                <c:pt idx="104">
                  <c:v>0.17481448999999999</c:v>
                </c:pt>
                <c:pt idx="105">
                  <c:v>0.17511508000000001</c:v>
                </c:pt>
                <c:pt idx="106">
                  <c:v>0.17500478</c:v>
                </c:pt>
                <c:pt idx="107">
                  <c:v>0.17470719000000001</c:v>
                </c:pt>
                <c:pt idx="108">
                  <c:v>0.17483731999999999</c:v>
                </c:pt>
                <c:pt idx="109">
                  <c:v>0.1751413</c:v>
                </c:pt>
                <c:pt idx="110">
                  <c:v>0.17501637</c:v>
                </c:pt>
                <c:pt idx="111">
                  <c:v>0.17478789</c:v>
                </c:pt>
                <c:pt idx="112">
                  <c:v>0.17479997999999999</c:v>
                </c:pt>
                <c:pt idx="113">
                  <c:v>0.17502487</c:v>
                </c:pt>
                <c:pt idx="114">
                  <c:v>0.17506774999999999</c:v>
                </c:pt>
                <c:pt idx="115">
                  <c:v>0.17486525999999999</c:v>
                </c:pt>
                <c:pt idx="116">
                  <c:v>0.17470031999999999</c:v>
                </c:pt>
                <c:pt idx="117">
                  <c:v>0.17496676999999999</c:v>
                </c:pt>
                <c:pt idx="118">
                  <c:v>0.17500695999999999</c:v>
                </c:pt>
                <c:pt idx="119">
                  <c:v>0.17493165999999999</c:v>
                </c:pt>
                <c:pt idx="120">
                  <c:v>0.1747939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184-4EEC-9D48-8AA6AE73D43F}"/>
            </c:ext>
          </c:extLst>
        </c:ser>
        <c:ser>
          <c:idx val="2"/>
          <c:order val="2"/>
          <c:tx>
            <c:v>SIMNRA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'Ex 2 Gauss 0'!$K$3:$K$143</c:f>
              <c:numCache>
                <c:formatCode>General</c:formatCode>
                <c:ptCount val="141"/>
                <c:pt idx="0">
                  <c:v>1681</c:v>
                </c:pt>
                <c:pt idx="1">
                  <c:v>1681.05</c:v>
                </c:pt>
                <c:pt idx="2">
                  <c:v>1681.1</c:v>
                </c:pt>
                <c:pt idx="3">
                  <c:v>1681.15</c:v>
                </c:pt>
                <c:pt idx="4">
                  <c:v>1681.2</c:v>
                </c:pt>
                <c:pt idx="5">
                  <c:v>1681.25</c:v>
                </c:pt>
                <c:pt idx="6">
                  <c:v>1681.3</c:v>
                </c:pt>
                <c:pt idx="7">
                  <c:v>1681.35</c:v>
                </c:pt>
                <c:pt idx="8">
                  <c:v>1681.4</c:v>
                </c:pt>
                <c:pt idx="9">
                  <c:v>1681.45</c:v>
                </c:pt>
                <c:pt idx="10">
                  <c:v>1681.5</c:v>
                </c:pt>
                <c:pt idx="11">
                  <c:v>1681.55</c:v>
                </c:pt>
                <c:pt idx="12">
                  <c:v>1681.6</c:v>
                </c:pt>
                <c:pt idx="13">
                  <c:v>1681.65</c:v>
                </c:pt>
                <c:pt idx="14">
                  <c:v>1681.7</c:v>
                </c:pt>
                <c:pt idx="15">
                  <c:v>1681.75</c:v>
                </c:pt>
                <c:pt idx="16">
                  <c:v>1681.8</c:v>
                </c:pt>
                <c:pt idx="17">
                  <c:v>1681.85</c:v>
                </c:pt>
                <c:pt idx="18">
                  <c:v>1681.9</c:v>
                </c:pt>
                <c:pt idx="19">
                  <c:v>1681.95</c:v>
                </c:pt>
                <c:pt idx="20">
                  <c:v>1682</c:v>
                </c:pt>
                <c:pt idx="21">
                  <c:v>1682.05</c:v>
                </c:pt>
                <c:pt idx="22">
                  <c:v>1682.1</c:v>
                </c:pt>
                <c:pt idx="23">
                  <c:v>1682.15</c:v>
                </c:pt>
                <c:pt idx="24">
                  <c:v>1682.2</c:v>
                </c:pt>
                <c:pt idx="25">
                  <c:v>1682.25</c:v>
                </c:pt>
                <c:pt idx="26">
                  <c:v>1682.3</c:v>
                </c:pt>
                <c:pt idx="27">
                  <c:v>1682.35</c:v>
                </c:pt>
                <c:pt idx="28">
                  <c:v>1682.4</c:v>
                </c:pt>
                <c:pt idx="29">
                  <c:v>1682.45</c:v>
                </c:pt>
                <c:pt idx="30">
                  <c:v>1682.5</c:v>
                </c:pt>
                <c:pt idx="31">
                  <c:v>1682.55</c:v>
                </c:pt>
                <c:pt idx="32">
                  <c:v>1682.6</c:v>
                </c:pt>
                <c:pt idx="33">
                  <c:v>1682.65</c:v>
                </c:pt>
                <c:pt idx="34">
                  <c:v>1682.7</c:v>
                </c:pt>
                <c:pt idx="35">
                  <c:v>1682.75</c:v>
                </c:pt>
                <c:pt idx="36">
                  <c:v>1682.8</c:v>
                </c:pt>
                <c:pt idx="37">
                  <c:v>1682.85</c:v>
                </c:pt>
                <c:pt idx="38">
                  <c:v>1682.9</c:v>
                </c:pt>
                <c:pt idx="39">
                  <c:v>1682.95</c:v>
                </c:pt>
                <c:pt idx="40">
                  <c:v>1683</c:v>
                </c:pt>
                <c:pt idx="41">
                  <c:v>1683.05</c:v>
                </c:pt>
                <c:pt idx="42">
                  <c:v>1683.1</c:v>
                </c:pt>
                <c:pt idx="43">
                  <c:v>1683.15</c:v>
                </c:pt>
                <c:pt idx="44">
                  <c:v>1683.2</c:v>
                </c:pt>
                <c:pt idx="45">
                  <c:v>1683.25</c:v>
                </c:pt>
                <c:pt idx="46">
                  <c:v>1683.3</c:v>
                </c:pt>
                <c:pt idx="47">
                  <c:v>1683.35</c:v>
                </c:pt>
                <c:pt idx="48">
                  <c:v>1683.4</c:v>
                </c:pt>
                <c:pt idx="49">
                  <c:v>1683.45</c:v>
                </c:pt>
                <c:pt idx="50">
                  <c:v>1683.5</c:v>
                </c:pt>
                <c:pt idx="51">
                  <c:v>1683.55</c:v>
                </c:pt>
                <c:pt idx="52">
                  <c:v>1683.6</c:v>
                </c:pt>
                <c:pt idx="53">
                  <c:v>1683.65</c:v>
                </c:pt>
                <c:pt idx="54">
                  <c:v>1683.7</c:v>
                </c:pt>
                <c:pt idx="55">
                  <c:v>1683.75</c:v>
                </c:pt>
                <c:pt idx="56">
                  <c:v>1683.8</c:v>
                </c:pt>
                <c:pt idx="57">
                  <c:v>1683.85</c:v>
                </c:pt>
                <c:pt idx="58">
                  <c:v>1683.9</c:v>
                </c:pt>
                <c:pt idx="59">
                  <c:v>1683.95</c:v>
                </c:pt>
                <c:pt idx="60">
                  <c:v>1684</c:v>
                </c:pt>
                <c:pt idx="61">
                  <c:v>1684.05</c:v>
                </c:pt>
                <c:pt idx="62">
                  <c:v>1684.1</c:v>
                </c:pt>
                <c:pt idx="63">
                  <c:v>1684.15</c:v>
                </c:pt>
                <c:pt idx="64">
                  <c:v>1684.2</c:v>
                </c:pt>
                <c:pt idx="65">
                  <c:v>1684.25</c:v>
                </c:pt>
                <c:pt idx="66">
                  <c:v>1684.3</c:v>
                </c:pt>
                <c:pt idx="67">
                  <c:v>1684.35</c:v>
                </c:pt>
                <c:pt idx="68">
                  <c:v>1684.4</c:v>
                </c:pt>
                <c:pt idx="69">
                  <c:v>1684.45</c:v>
                </c:pt>
                <c:pt idx="70">
                  <c:v>1684.5</c:v>
                </c:pt>
                <c:pt idx="71">
                  <c:v>1684.55</c:v>
                </c:pt>
                <c:pt idx="72">
                  <c:v>1684.6</c:v>
                </c:pt>
                <c:pt idx="73">
                  <c:v>1684.65</c:v>
                </c:pt>
                <c:pt idx="74">
                  <c:v>1684.7</c:v>
                </c:pt>
                <c:pt idx="75">
                  <c:v>1684.75</c:v>
                </c:pt>
                <c:pt idx="76">
                  <c:v>1684.8</c:v>
                </c:pt>
                <c:pt idx="77">
                  <c:v>1684.85</c:v>
                </c:pt>
                <c:pt idx="78">
                  <c:v>1684.9</c:v>
                </c:pt>
                <c:pt idx="79">
                  <c:v>1684.95</c:v>
                </c:pt>
                <c:pt idx="80">
                  <c:v>1685</c:v>
                </c:pt>
                <c:pt idx="81">
                  <c:v>1685.05</c:v>
                </c:pt>
                <c:pt idx="82">
                  <c:v>1685.1</c:v>
                </c:pt>
                <c:pt idx="83">
                  <c:v>1685.15</c:v>
                </c:pt>
                <c:pt idx="84">
                  <c:v>1685.2</c:v>
                </c:pt>
                <c:pt idx="85">
                  <c:v>1685.25</c:v>
                </c:pt>
                <c:pt idx="86">
                  <c:v>1685.3</c:v>
                </c:pt>
                <c:pt idx="87">
                  <c:v>1685.35</c:v>
                </c:pt>
                <c:pt idx="88">
                  <c:v>1685.4</c:v>
                </c:pt>
                <c:pt idx="89">
                  <c:v>1685.45</c:v>
                </c:pt>
                <c:pt idx="90">
                  <c:v>1685.5</c:v>
                </c:pt>
                <c:pt idx="91">
                  <c:v>1685.55</c:v>
                </c:pt>
                <c:pt idx="92">
                  <c:v>1685.6</c:v>
                </c:pt>
                <c:pt idx="93">
                  <c:v>1685.65</c:v>
                </c:pt>
                <c:pt idx="94">
                  <c:v>1685.7</c:v>
                </c:pt>
                <c:pt idx="95">
                  <c:v>1685.75</c:v>
                </c:pt>
                <c:pt idx="96">
                  <c:v>1685.8</c:v>
                </c:pt>
                <c:pt idx="97">
                  <c:v>1685.85</c:v>
                </c:pt>
                <c:pt idx="98">
                  <c:v>1685.9</c:v>
                </c:pt>
                <c:pt idx="99">
                  <c:v>1685.95</c:v>
                </c:pt>
                <c:pt idx="100">
                  <c:v>1686</c:v>
                </c:pt>
                <c:pt idx="101">
                  <c:v>1686.05</c:v>
                </c:pt>
                <c:pt idx="102">
                  <c:v>1686.1</c:v>
                </c:pt>
                <c:pt idx="103">
                  <c:v>1686.15</c:v>
                </c:pt>
                <c:pt idx="104">
                  <c:v>1686.2</c:v>
                </c:pt>
                <c:pt idx="105">
                  <c:v>1686.25</c:v>
                </c:pt>
                <c:pt idx="106">
                  <c:v>1686.3</c:v>
                </c:pt>
                <c:pt idx="107">
                  <c:v>1686.35</c:v>
                </c:pt>
                <c:pt idx="108">
                  <c:v>1686.4</c:v>
                </c:pt>
                <c:pt idx="109">
                  <c:v>1686.45</c:v>
                </c:pt>
                <c:pt idx="110">
                  <c:v>1686.5</c:v>
                </c:pt>
                <c:pt idx="111">
                  <c:v>1686.55</c:v>
                </c:pt>
                <c:pt idx="112">
                  <c:v>1686.6</c:v>
                </c:pt>
                <c:pt idx="113">
                  <c:v>1686.65</c:v>
                </c:pt>
                <c:pt idx="114">
                  <c:v>1686.7</c:v>
                </c:pt>
                <c:pt idx="115">
                  <c:v>1686.75</c:v>
                </c:pt>
                <c:pt idx="116">
                  <c:v>1686.8</c:v>
                </c:pt>
                <c:pt idx="117">
                  <c:v>1686.85</c:v>
                </c:pt>
                <c:pt idx="118">
                  <c:v>1686.9</c:v>
                </c:pt>
                <c:pt idx="119">
                  <c:v>1686.95</c:v>
                </c:pt>
                <c:pt idx="120">
                  <c:v>1687</c:v>
                </c:pt>
                <c:pt idx="121">
                  <c:v>1687.05</c:v>
                </c:pt>
                <c:pt idx="122">
                  <c:v>1687.1</c:v>
                </c:pt>
                <c:pt idx="123">
                  <c:v>1687.15</c:v>
                </c:pt>
                <c:pt idx="124">
                  <c:v>1687.2</c:v>
                </c:pt>
                <c:pt idx="125">
                  <c:v>1687.25</c:v>
                </c:pt>
                <c:pt idx="126">
                  <c:v>1687.3</c:v>
                </c:pt>
                <c:pt idx="127">
                  <c:v>1687.35</c:v>
                </c:pt>
                <c:pt idx="128">
                  <c:v>1687.4</c:v>
                </c:pt>
                <c:pt idx="129">
                  <c:v>1687.45</c:v>
                </c:pt>
                <c:pt idx="130">
                  <c:v>1687.5</c:v>
                </c:pt>
                <c:pt idx="131">
                  <c:v>1687.55</c:v>
                </c:pt>
                <c:pt idx="132">
                  <c:v>1687.6</c:v>
                </c:pt>
                <c:pt idx="133">
                  <c:v>1687.65</c:v>
                </c:pt>
                <c:pt idx="134">
                  <c:v>1687.7</c:v>
                </c:pt>
                <c:pt idx="135">
                  <c:v>1687.75</c:v>
                </c:pt>
                <c:pt idx="136">
                  <c:v>1687.8</c:v>
                </c:pt>
                <c:pt idx="137">
                  <c:v>1687.85</c:v>
                </c:pt>
                <c:pt idx="138">
                  <c:v>1687.9</c:v>
                </c:pt>
                <c:pt idx="139">
                  <c:v>1687.95</c:v>
                </c:pt>
                <c:pt idx="140">
                  <c:v>1688</c:v>
                </c:pt>
              </c:numCache>
            </c:numRef>
          </c:xVal>
          <c:yVal>
            <c:numRef>
              <c:f>'Ex 2 Gauss 0'!$L$3:$L$143</c:f>
              <c:numCache>
                <c:formatCode>0.000000000</c:formatCode>
                <c:ptCount val="141"/>
                <c:pt idx="0">
                  <c:v>9.8172728207313108E-4</c:v>
                </c:pt>
                <c:pt idx="1">
                  <c:v>1.0380584958485501E-3</c:v>
                </c:pt>
                <c:pt idx="2">
                  <c:v>1.09955218937679E-3</c:v>
                </c:pt>
                <c:pt idx="3">
                  <c:v>1.1669074232693599E-3</c:v>
                </c:pt>
                <c:pt idx="4">
                  <c:v>1.2409325406935799E-3</c:v>
                </c:pt>
                <c:pt idx="5">
                  <c:v>1.3225633812752699E-3</c:v>
                </c:pt>
                <c:pt idx="6">
                  <c:v>1.4128841627911799E-3</c:v>
                </c:pt>
                <c:pt idx="7">
                  <c:v>1.5131523505745299E-3</c:v>
                </c:pt>
                <c:pt idx="8">
                  <c:v>1.6248274385822199E-3</c:v>
                </c:pt>
                <c:pt idx="9">
                  <c:v>1.74960523331943E-3</c:v>
                </c:pt>
                <c:pt idx="10">
                  <c:v>1.8894558649629001E-3</c:v>
                </c:pt>
                <c:pt idx="11">
                  <c:v>2.0466713928259999E-3</c:v>
                </c:pt>
                <c:pt idx="12">
                  <c:v>2.2239182066585098E-3</c:v>
                </c:pt>
                <c:pt idx="13">
                  <c:v>2.4243028079420298E-3</c:v>
                </c:pt>
                <c:pt idx="14">
                  <c:v>2.6514423973602501E-3</c:v>
                </c:pt>
                <c:pt idx="15">
                  <c:v>2.9095526903904598E-3</c:v>
                </c:pt>
                <c:pt idx="16">
                  <c:v>3.2035478066688898E-3</c:v>
                </c:pt>
                <c:pt idx="17">
                  <c:v>3.5391589257221202E-3</c:v>
                </c:pt>
                <c:pt idx="18">
                  <c:v>3.92306896529852E-3</c:v>
                </c:pt>
                <c:pt idx="19">
                  <c:v>4.3630773535941799E-3</c:v>
                </c:pt>
                <c:pt idx="20">
                  <c:v>4.8682805764190696E-3</c:v>
                </c:pt>
                <c:pt idx="21">
                  <c:v>5.4492957764784404E-3</c:v>
                </c:pt>
                <c:pt idx="22">
                  <c:v>6.1185131511091902E-3</c:v>
                </c:pt>
                <c:pt idx="23">
                  <c:v>6.8903878074721399E-3</c:v>
                </c:pt>
                <c:pt idx="24">
                  <c:v>7.7817871465543703E-3</c:v>
                </c:pt>
                <c:pt idx="25">
                  <c:v>8.81238764888863E-3</c:v>
                </c:pt>
                <c:pt idx="26">
                  <c:v>1.00051387296517E-2</c:v>
                </c:pt>
                <c:pt idx="27">
                  <c:v>1.13867941849647E-2</c:v>
                </c:pt>
                <c:pt idx="28">
                  <c:v>1.29885236491072E-2</c:v>
                </c:pt>
                <c:pt idx="29">
                  <c:v>1.4846630727752899E-2</c:v>
                </c:pt>
                <c:pt idx="30">
                  <c:v>1.7003354610343E-2</c:v>
                </c:pt>
                <c:pt idx="31">
                  <c:v>1.9507777115546299E-2</c:v>
                </c:pt>
                <c:pt idx="32">
                  <c:v>2.2416862114856499E-2</c:v>
                </c:pt>
                <c:pt idx="33">
                  <c:v>2.57966046024771E-2</c:v>
                </c:pt>
                <c:pt idx="34">
                  <c:v>2.97232654550409E-2</c:v>
                </c:pt>
                <c:pt idx="35">
                  <c:v>3.4284655437743297E-2</c:v>
                </c:pt>
                <c:pt idx="36">
                  <c:v>3.9581320847853999E-2</c:v>
                </c:pt>
                <c:pt idx="37">
                  <c:v>4.5727582041314899E-2</c:v>
                </c:pt>
                <c:pt idx="38">
                  <c:v>5.2852378778888397E-2</c:v>
                </c:pt>
                <c:pt idx="39">
                  <c:v>6.1099541974527903E-2</c:v>
                </c:pt>
                <c:pt idx="40">
                  <c:v>7.0624449895400995E-2</c:v>
                </c:pt>
                <c:pt idx="41">
                  <c:v>8.1579141565115504E-2</c:v>
                </c:pt>
                <c:pt idx="42">
                  <c:v>9.4083861923902806E-2</c:v>
                </c:pt>
                <c:pt idx="43">
                  <c:v>0.108209841058674</c:v>
                </c:pt>
                <c:pt idx="44">
                  <c:v>0.123861858530775</c:v>
                </c:pt>
                <c:pt idx="45">
                  <c:v>0.13995353474092001</c:v>
                </c:pt>
                <c:pt idx="46">
                  <c:v>0.15338737850597001</c:v>
                </c:pt>
                <c:pt idx="47">
                  <c:v>0.16141408532311399</c:v>
                </c:pt>
                <c:pt idx="48">
                  <c:v>0.16512429139436499</c:v>
                </c:pt>
                <c:pt idx="49">
                  <c:v>0.167105141568621</c:v>
                </c:pt>
                <c:pt idx="50">
                  <c:v>0.168468363080648</c:v>
                </c:pt>
                <c:pt idx="51">
                  <c:v>0.16943087808531901</c:v>
                </c:pt>
                <c:pt idx="52">
                  <c:v>0.17012818595763499</c:v>
                </c:pt>
                <c:pt idx="53">
                  <c:v>0.17067177639676101</c:v>
                </c:pt>
                <c:pt idx="54">
                  <c:v>0.17111645609011999</c:v>
                </c:pt>
                <c:pt idx="55">
                  <c:v>0.171486242634181</c:v>
                </c:pt>
                <c:pt idx="56">
                  <c:v>0.17179689846365301</c:v>
                </c:pt>
                <c:pt idx="57">
                  <c:v>0.17206158536787999</c:v>
                </c:pt>
                <c:pt idx="58">
                  <c:v>0.17229051194373299</c:v>
                </c:pt>
                <c:pt idx="59">
                  <c:v>0.17249095243565299</c:v>
                </c:pt>
                <c:pt idx="60">
                  <c:v>0.17266807703305001</c:v>
                </c:pt>
                <c:pt idx="61">
                  <c:v>0.17282576664104601</c:v>
                </c:pt>
                <c:pt idx="62">
                  <c:v>0.17296708466715599</c:v>
                </c:pt>
                <c:pt idx="63">
                  <c:v>0.17309450290095699</c:v>
                </c:pt>
                <c:pt idx="64">
                  <c:v>0.17321002099152299</c:v>
                </c:pt>
                <c:pt idx="65">
                  <c:v>0.173315272212059</c:v>
                </c:pt>
                <c:pt idx="66">
                  <c:v>0.17341159729112299</c:v>
                </c:pt>
                <c:pt idx="67">
                  <c:v>0.17350010305011301</c:v>
                </c:pt>
                <c:pt idx="68">
                  <c:v>0.173581716919227</c:v>
                </c:pt>
                <c:pt idx="69">
                  <c:v>0.17365722712771101</c:v>
                </c:pt>
                <c:pt idx="70">
                  <c:v>0.17372730537471401</c:v>
                </c:pt>
                <c:pt idx="71">
                  <c:v>0.17379252905016701</c:v>
                </c:pt>
                <c:pt idx="72">
                  <c:v>0.173853388672676</c:v>
                </c:pt>
                <c:pt idx="73">
                  <c:v>0.17391031594839901</c:v>
                </c:pt>
                <c:pt idx="74">
                  <c:v>0.173963684130365</c:v>
                </c:pt>
                <c:pt idx="75">
                  <c:v>0.17401382241215499</c:v>
                </c:pt>
                <c:pt idx="76">
                  <c:v>0.17406101605226601</c:v>
                </c:pt>
                <c:pt idx="77">
                  <c:v>0.17410552456321099</c:v>
                </c:pt>
                <c:pt idx="78">
                  <c:v>0.17414757066230299</c:v>
                </c:pt>
                <c:pt idx="79">
                  <c:v>0.17418735467976301</c:v>
                </c:pt>
                <c:pt idx="80">
                  <c:v>0.174225056748432</c:v>
                </c:pt>
                <c:pt idx="81">
                  <c:v>0.174260841089458</c:v>
                </c:pt>
                <c:pt idx="82">
                  <c:v>0.17429484730814901</c:v>
                </c:pt>
                <c:pt idx="83">
                  <c:v>0.17432720751418301</c:v>
                </c:pt>
                <c:pt idx="84">
                  <c:v>0.17435804041149</c:v>
                </c:pt>
                <c:pt idx="85">
                  <c:v>0.17438745258955601</c:v>
                </c:pt>
                <c:pt idx="86">
                  <c:v>0.17441553998026599</c:v>
                </c:pt>
                <c:pt idx="87">
                  <c:v>0.17444239209475401</c:v>
                </c:pt>
                <c:pt idx="88">
                  <c:v>0.174468087699232</c:v>
                </c:pt>
                <c:pt idx="89">
                  <c:v>0.17449270313308601</c:v>
                </c:pt>
                <c:pt idx="90">
                  <c:v>0.17451630201537699</c:v>
                </c:pt>
                <c:pt idx="91">
                  <c:v>0.174538949586099</c:v>
                </c:pt>
                <c:pt idx="92">
                  <c:v>0.17456070110969599</c:v>
                </c:pt>
                <c:pt idx="93">
                  <c:v>0.17458160879405901</c:v>
                </c:pt>
                <c:pt idx="94">
                  <c:v>0.174601721588656</c:v>
                </c:pt>
                <c:pt idx="95">
                  <c:v>0.174621085021685</c:v>
                </c:pt>
                <c:pt idx="96">
                  <c:v>0.174639739484824</c:v>
                </c:pt>
                <c:pt idx="97">
                  <c:v>0.17465772434769999</c:v>
                </c:pt>
                <c:pt idx="98">
                  <c:v>0.174675074919099</c:v>
                </c:pt>
                <c:pt idx="99">
                  <c:v>0.174691824276861</c:v>
                </c:pt>
                <c:pt idx="100">
                  <c:v>0.174708002194079</c:v>
                </c:pt>
                <c:pt idx="101">
                  <c:v>0.174723639673244</c:v>
                </c:pt>
                <c:pt idx="102">
                  <c:v>0.17473876065326699</c:v>
                </c:pt>
                <c:pt idx="103">
                  <c:v>0.17475339265619999</c:v>
                </c:pt>
                <c:pt idx="104">
                  <c:v>0.174767557183581</c:v>
                </c:pt>
                <c:pt idx="105">
                  <c:v>0.17478127766118301</c:v>
                </c:pt>
                <c:pt idx="106">
                  <c:v>0.174794573173981</c:v>
                </c:pt>
                <c:pt idx="107">
                  <c:v>0.174807464553486</c:v>
                </c:pt>
                <c:pt idx="108">
                  <c:v>0.174819967630016</c:v>
                </c:pt>
                <c:pt idx="109">
                  <c:v>0.17483210174240801</c:v>
                </c:pt>
                <c:pt idx="110">
                  <c:v>0.17484388016417499</c:v>
                </c:pt>
                <c:pt idx="111">
                  <c:v>0.17485532002998699</c:v>
                </c:pt>
                <c:pt idx="112">
                  <c:v>0.17486643375703301</c:v>
                </c:pt>
                <c:pt idx="113">
                  <c:v>0.1748772356886</c:v>
                </c:pt>
                <c:pt idx="114">
                  <c:v>0.17488773722796</c:v>
                </c:pt>
                <c:pt idx="115">
                  <c:v>0.17489795020332899</c:v>
                </c:pt>
                <c:pt idx="116">
                  <c:v>0.17490788491202799</c:v>
                </c:pt>
                <c:pt idx="117">
                  <c:v>0.17491755200443401</c:v>
                </c:pt>
                <c:pt idx="118">
                  <c:v>0.17492695980217801</c:v>
                </c:pt>
                <c:pt idx="119">
                  <c:v>0.174936117551728</c:v>
                </c:pt>
                <c:pt idx="120">
                  <c:v>0.174945031757788</c:v>
                </c:pt>
                <c:pt idx="121">
                  <c:v>0.174953711022105</c:v>
                </c:pt>
                <c:pt idx="122">
                  <c:v>0.174962159982014</c:v>
                </c:pt>
                <c:pt idx="123">
                  <c:v>0.17497038607578499</c:v>
                </c:pt>
                <c:pt idx="124">
                  <c:v>0.17497839217439901</c:v>
                </c:pt>
                <c:pt idx="125">
                  <c:v>0.17498618385079301</c:v>
                </c:pt>
                <c:pt idx="126">
                  <c:v>0.17499376242690901</c:v>
                </c:pt>
                <c:pt idx="127">
                  <c:v>0.17500113086061</c:v>
                </c:pt>
                <c:pt idx="128">
                  <c:v>0.17500828895573201</c:v>
                </c:pt>
                <c:pt idx="129">
                  <c:v>0.17501523667653199</c:v>
                </c:pt>
                <c:pt idx="130">
                  <c:v>0.17502197178833101</c:v>
                </c:pt>
                <c:pt idx="131">
                  <c:v>0.17502849110296301</c:v>
                </c:pt>
                <c:pt idx="132">
                  <c:v>0.17503478812913001</c:v>
                </c:pt>
                <c:pt idx="133">
                  <c:v>0.175040856394132</c:v>
                </c:pt>
                <c:pt idx="134">
                  <c:v>0.17504668462194001</c:v>
                </c:pt>
                <c:pt idx="135">
                  <c:v>0.175052261156805</c:v>
                </c:pt>
                <c:pt idx="136">
                  <c:v>0.175057569064832</c:v>
                </c:pt>
                <c:pt idx="137">
                  <c:v>0.17506258910865799</c:v>
                </c:pt>
                <c:pt idx="138">
                  <c:v>0.175067296008175</c:v>
                </c:pt>
                <c:pt idx="139">
                  <c:v>0.17507166094141099</c:v>
                </c:pt>
                <c:pt idx="140">
                  <c:v>0.175075646314693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184-4EEC-9D48-8AA6AE73D43F}"/>
            </c:ext>
          </c:extLst>
        </c:ser>
        <c:ser>
          <c:idx val="3"/>
          <c:order val="3"/>
          <c:tx>
            <c:v>ERYA 3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'Ex 2 Gauss 0'!$E$3:$E$123</c:f>
              <c:numCache>
                <c:formatCode>General</c:formatCode>
                <c:ptCount val="121"/>
                <c:pt idx="0">
                  <c:v>1682</c:v>
                </c:pt>
                <c:pt idx="1">
                  <c:v>1682.05</c:v>
                </c:pt>
                <c:pt idx="2">
                  <c:v>1682.1</c:v>
                </c:pt>
                <c:pt idx="3">
                  <c:v>1682.15</c:v>
                </c:pt>
                <c:pt idx="4">
                  <c:v>1682.2</c:v>
                </c:pt>
                <c:pt idx="5">
                  <c:v>1682.25</c:v>
                </c:pt>
                <c:pt idx="6">
                  <c:v>1682.3</c:v>
                </c:pt>
                <c:pt idx="7">
                  <c:v>1682.35</c:v>
                </c:pt>
                <c:pt idx="8">
                  <c:v>1682.4</c:v>
                </c:pt>
                <c:pt idx="9">
                  <c:v>1682.45</c:v>
                </c:pt>
                <c:pt idx="10">
                  <c:v>1682.5</c:v>
                </c:pt>
                <c:pt idx="11">
                  <c:v>1682.55</c:v>
                </c:pt>
                <c:pt idx="12">
                  <c:v>1682.6</c:v>
                </c:pt>
                <c:pt idx="13">
                  <c:v>1682.65</c:v>
                </c:pt>
                <c:pt idx="14">
                  <c:v>1682.7</c:v>
                </c:pt>
                <c:pt idx="15">
                  <c:v>1682.75</c:v>
                </c:pt>
                <c:pt idx="16">
                  <c:v>1682.8</c:v>
                </c:pt>
                <c:pt idx="17">
                  <c:v>1682.85</c:v>
                </c:pt>
                <c:pt idx="18">
                  <c:v>1682.9</c:v>
                </c:pt>
                <c:pt idx="19">
                  <c:v>1682.95</c:v>
                </c:pt>
                <c:pt idx="20">
                  <c:v>1683</c:v>
                </c:pt>
                <c:pt idx="21">
                  <c:v>1683.05</c:v>
                </c:pt>
                <c:pt idx="22">
                  <c:v>1683.1</c:v>
                </c:pt>
                <c:pt idx="23">
                  <c:v>1683.15</c:v>
                </c:pt>
                <c:pt idx="24">
                  <c:v>1683.2</c:v>
                </c:pt>
                <c:pt idx="25">
                  <c:v>1683.25</c:v>
                </c:pt>
                <c:pt idx="26">
                  <c:v>1683.3</c:v>
                </c:pt>
                <c:pt idx="27">
                  <c:v>1683.35</c:v>
                </c:pt>
                <c:pt idx="28">
                  <c:v>1683.4</c:v>
                </c:pt>
                <c:pt idx="29">
                  <c:v>1683.45</c:v>
                </c:pt>
                <c:pt idx="30">
                  <c:v>1683.5</c:v>
                </c:pt>
                <c:pt idx="31">
                  <c:v>1683.55</c:v>
                </c:pt>
                <c:pt idx="32">
                  <c:v>1683.6</c:v>
                </c:pt>
                <c:pt idx="33">
                  <c:v>1683.65</c:v>
                </c:pt>
                <c:pt idx="34">
                  <c:v>1683.7</c:v>
                </c:pt>
                <c:pt idx="35">
                  <c:v>1683.75</c:v>
                </c:pt>
                <c:pt idx="36">
                  <c:v>1683.8</c:v>
                </c:pt>
                <c:pt idx="37">
                  <c:v>1683.85</c:v>
                </c:pt>
                <c:pt idx="38">
                  <c:v>1683.9</c:v>
                </c:pt>
                <c:pt idx="39">
                  <c:v>1683.95</c:v>
                </c:pt>
                <c:pt idx="40">
                  <c:v>1684</c:v>
                </c:pt>
                <c:pt idx="41">
                  <c:v>1684.05</c:v>
                </c:pt>
                <c:pt idx="42">
                  <c:v>1684.1</c:v>
                </c:pt>
                <c:pt idx="43">
                  <c:v>1684.15</c:v>
                </c:pt>
                <c:pt idx="44">
                  <c:v>1684.2</c:v>
                </c:pt>
                <c:pt idx="45">
                  <c:v>1684.25</c:v>
                </c:pt>
                <c:pt idx="46">
                  <c:v>1684.3</c:v>
                </c:pt>
                <c:pt idx="47">
                  <c:v>1684.35</c:v>
                </c:pt>
                <c:pt idx="48">
                  <c:v>1684.4</c:v>
                </c:pt>
                <c:pt idx="49">
                  <c:v>1684.45</c:v>
                </c:pt>
                <c:pt idx="50">
                  <c:v>1684.5</c:v>
                </c:pt>
                <c:pt idx="51">
                  <c:v>1684.55</c:v>
                </c:pt>
                <c:pt idx="52">
                  <c:v>1684.6</c:v>
                </c:pt>
                <c:pt idx="53">
                  <c:v>1684.65</c:v>
                </c:pt>
                <c:pt idx="54">
                  <c:v>1684.7</c:v>
                </c:pt>
                <c:pt idx="55">
                  <c:v>1684.75</c:v>
                </c:pt>
                <c:pt idx="56">
                  <c:v>1684.8</c:v>
                </c:pt>
                <c:pt idx="57">
                  <c:v>1684.85</c:v>
                </c:pt>
                <c:pt idx="58">
                  <c:v>1684.9</c:v>
                </c:pt>
                <c:pt idx="59">
                  <c:v>1684.95</c:v>
                </c:pt>
                <c:pt idx="60">
                  <c:v>1685</c:v>
                </c:pt>
                <c:pt idx="61">
                  <c:v>1685.05</c:v>
                </c:pt>
                <c:pt idx="62">
                  <c:v>1685.1</c:v>
                </c:pt>
                <c:pt idx="63">
                  <c:v>1685.15</c:v>
                </c:pt>
                <c:pt idx="64">
                  <c:v>1685.2</c:v>
                </c:pt>
                <c:pt idx="65">
                  <c:v>1685.25</c:v>
                </c:pt>
                <c:pt idx="66">
                  <c:v>1685.3</c:v>
                </c:pt>
                <c:pt idx="67">
                  <c:v>1685.35</c:v>
                </c:pt>
                <c:pt idx="68">
                  <c:v>1685.4</c:v>
                </c:pt>
                <c:pt idx="69">
                  <c:v>1685.45</c:v>
                </c:pt>
                <c:pt idx="70">
                  <c:v>1685.5</c:v>
                </c:pt>
                <c:pt idx="71">
                  <c:v>1685.55</c:v>
                </c:pt>
                <c:pt idx="72">
                  <c:v>1685.6</c:v>
                </c:pt>
                <c:pt idx="73">
                  <c:v>1685.65</c:v>
                </c:pt>
                <c:pt idx="74">
                  <c:v>1685.7</c:v>
                </c:pt>
                <c:pt idx="75">
                  <c:v>1685.75</c:v>
                </c:pt>
                <c:pt idx="76">
                  <c:v>1685.8</c:v>
                </c:pt>
                <c:pt idx="77">
                  <c:v>1685.85</c:v>
                </c:pt>
                <c:pt idx="78">
                  <c:v>1685.9</c:v>
                </c:pt>
                <c:pt idx="79">
                  <c:v>1685.95</c:v>
                </c:pt>
                <c:pt idx="80">
                  <c:v>1686</c:v>
                </c:pt>
                <c:pt idx="81">
                  <c:v>1686.05</c:v>
                </c:pt>
                <c:pt idx="82">
                  <c:v>1686.1</c:v>
                </c:pt>
                <c:pt idx="83">
                  <c:v>1686.15</c:v>
                </c:pt>
                <c:pt idx="84">
                  <c:v>1686.2</c:v>
                </c:pt>
                <c:pt idx="85">
                  <c:v>1686.25</c:v>
                </c:pt>
                <c:pt idx="86">
                  <c:v>1686.3</c:v>
                </c:pt>
                <c:pt idx="87">
                  <c:v>1686.35</c:v>
                </c:pt>
                <c:pt idx="88">
                  <c:v>1686.4</c:v>
                </c:pt>
                <c:pt idx="89">
                  <c:v>1686.45</c:v>
                </c:pt>
                <c:pt idx="90">
                  <c:v>1686.5</c:v>
                </c:pt>
                <c:pt idx="91">
                  <c:v>1686.55</c:v>
                </c:pt>
                <c:pt idx="92">
                  <c:v>1686.6</c:v>
                </c:pt>
                <c:pt idx="93">
                  <c:v>1686.65</c:v>
                </c:pt>
                <c:pt idx="94">
                  <c:v>1686.7</c:v>
                </c:pt>
                <c:pt idx="95">
                  <c:v>1686.75</c:v>
                </c:pt>
                <c:pt idx="96">
                  <c:v>1686.8</c:v>
                </c:pt>
                <c:pt idx="97">
                  <c:v>1686.85</c:v>
                </c:pt>
                <c:pt idx="98">
                  <c:v>1686.9</c:v>
                </c:pt>
                <c:pt idx="99">
                  <c:v>1686.95</c:v>
                </c:pt>
                <c:pt idx="100">
                  <c:v>1687</c:v>
                </c:pt>
                <c:pt idx="101">
                  <c:v>1687.05</c:v>
                </c:pt>
                <c:pt idx="102">
                  <c:v>1687.1</c:v>
                </c:pt>
                <c:pt idx="103">
                  <c:v>1687.15</c:v>
                </c:pt>
                <c:pt idx="104">
                  <c:v>1687.2</c:v>
                </c:pt>
                <c:pt idx="105">
                  <c:v>1687.25</c:v>
                </c:pt>
                <c:pt idx="106">
                  <c:v>1687.3</c:v>
                </c:pt>
                <c:pt idx="107">
                  <c:v>1687.35</c:v>
                </c:pt>
                <c:pt idx="108">
                  <c:v>1687.4</c:v>
                </c:pt>
                <c:pt idx="109">
                  <c:v>1687.45</c:v>
                </c:pt>
                <c:pt idx="110">
                  <c:v>1687.5</c:v>
                </c:pt>
                <c:pt idx="111">
                  <c:v>1687.55</c:v>
                </c:pt>
                <c:pt idx="112">
                  <c:v>1687.6</c:v>
                </c:pt>
                <c:pt idx="113">
                  <c:v>1687.65</c:v>
                </c:pt>
                <c:pt idx="114">
                  <c:v>1687.7</c:v>
                </c:pt>
                <c:pt idx="115">
                  <c:v>1687.75</c:v>
                </c:pt>
                <c:pt idx="116">
                  <c:v>1687.8</c:v>
                </c:pt>
                <c:pt idx="117">
                  <c:v>1687.85</c:v>
                </c:pt>
                <c:pt idx="118">
                  <c:v>1687.9</c:v>
                </c:pt>
                <c:pt idx="119">
                  <c:v>1687.95</c:v>
                </c:pt>
                <c:pt idx="120">
                  <c:v>1688</c:v>
                </c:pt>
              </c:numCache>
            </c:numRef>
          </c:xVal>
          <c:yVal>
            <c:numRef>
              <c:f>'Ex 2 Gauss 0'!$F$3:$F$123</c:f>
              <c:numCache>
                <c:formatCode>General</c:formatCode>
                <c:ptCount val="121"/>
                <c:pt idx="0">
                  <c:v>4.555E-3</c:v>
                </c:pt>
                <c:pt idx="1">
                  <c:v>4.8580000000000003E-3</c:v>
                </c:pt>
                <c:pt idx="2">
                  <c:v>5.594E-3</c:v>
                </c:pt>
                <c:pt idx="3">
                  <c:v>6.7730000000000004E-3</c:v>
                </c:pt>
                <c:pt idx="4">
                  <c:v>7.2300000000000003E-3</c:v>
                </c:pt>
                <c:pt idx="5">
                  <c:v>8.0940000000000005E-3</c:v>
                </c:pt>
                <c:pt idx="6">
                  <c:v>9.9710000000000007E-3</c:v>
                </c:pt>
                <c:pt idx="7">
                  <c:v>1.0862E-2</c:v>
                </c:pt>
                <c:pt idx="8">
                  <c:v>1.2106E-2</c:v>
                </c:pt>
                <c:pt idx="9">
                  <c:v>1.4895E-2</c:v>
                </c:pt>
                <c:pt idx="10">
                  <c:v>1.6369000000000002E-2</c:v>
                </c:pt>
                <c:pt idx="11">
                  <c:v>1.8527999999999999E-2</c:v>
                </c:pt>
                <c:pt idx="12">
                  <c:v>2.2549E-2</c:v>
                </c:pt>
                <c:pt idx="13">
                  <c:v>2.4816000000000001E-2</c:v>
                </c:pt>
                <c:pt idx="14">
                  <c:v>2.9172E-2</c:v>
                </c:pt>
                <c:pt idx="15">
                  <c:v>3.3800999999999998E-2</c:v>
                </c:pt>
                <c:pt idx="16">
                  <c:v>3.8436999999999999E-2</c:v>
                </c:pt>
                <c:pt idx="17">
                  <c:v>4.5601000000000003E-2</c:v>
                </c:pt>
                <c:pt idx="18">
                  <c:v>5.1506000000000003E-2</c:v>
                </c:pt>
                <c:pt idx="19">
                  <c:v>6.0898000000000001E-2</c:v>
                </c:pt>
                <c:pt idx="20">
                  <c:v>6.9203000000000001E-2</c:v>
                </c:pt>
                <c:pt idx="21">
                  <c:v>8.0570000000000003E-2</c:v>
                </c:pt>
                <c:pt idx="22">
                  <c:v>9.3849000000000002E-2</c:v>
                </c:pt>
                <c:pt idx="23">
                  <c:v>0.106458</c:v>
                </c:pt>
                <c:pt idx="24">
                  <c:v>0.121433</c:v>
                </c:pt>
                <c:pt idx="25">
                  <c:v>0.137571</c:v>
                </c:pt>
                <c:pt idx="26">
                  <c:v>0.15298400000000001</c:v>
                </c:pt>
                <c:pt idx="27">
                  <c:v>0.158863</c:v>
                </c:pt>
                <c:pt idx="28">
                  <c:v>0.162826</c:v>
                </c:pt>
                <c:pt idx="29">
                  <c:v>0.165606</c:v>
                </c:pt>
                <c:pt idx="30">
                  <c:v>0.16731699999999999</c:v>
                </c:pt>
                <c:pt idx="31">
                  <c:v>0.16841400000000001</c:v>
                </c:pt>
                <c:pt idx="32">
                  <c:v>0.169236</c:v>
                </c:pt>
                <c:pt idx="33">
                  <c:v>0.16981199999999999</c:v>
                </c:pt>
                <c:pt idx="34">
                  <c:v>0.17031199999999999</c:v>
                </c:pt>
                <c:pt idx="35">
                  <c:v>0.170711</c:v>
                </c:pt>
                <c:pt idx="36">
                  <c:v>0.17105699999999999</c:v>
                </c:pt>
                <c:pt idx="37">
                  <c:v>0.17136499999999999</c:v>
                </c:pt>
                <c:pt idx="38">
                  <c:v>0.17160600000000001</c:v>
                </c:pt>
                <c:pt idx="39">
                  <c:v>0.17182900000000001</c:v>
                </c:pt>
                <c:pt idx="40">
                  <c:v>0.17204700000000001</c:v>
                </c:pt>
                <c:pt idx="41">
                  <c:v>0.17222000000000001</c:v>
                </c:pt>
                <c:pt idx="42">
                  <c:v>0.172398</c:v>
                </c:pt>
                <c:pt idx="43">
                  <c:v>0.17253199999999999</c:v>
                </c:pt>
                <c:pt idx="44">
                  <c:v>0.172684</c:v>
                </c:pt>
                <c:pt idx="45">
                  <c:v>0.17281299999999999</c:v>
                </c:pt>
                <c:pt idx="46">
                  <c:v>0.17292399999999999</c:v>
                </c:pt>
                <c:pt idx="47">
                  <c:v>0.173042</c:v>
                </c:pt>
                <c:pt idx="48">
                  <c:v>0.17314399999999999</c:v>
                </c:pt>
                <c:pt idx="49">
                  <c:v>0.17322799999999999</c:v>
                </c:pt>
                <c:pt idx="50">
                  <c:v>0.17331299999999999</c:v>
                </c:pt>
                <c:pt idx="51">
                  <c:v>0.173403</c:v>
                </c:pt>
                <c:pt idx="52">
                  <c:v>0.173486</c:v>
                </c:pt>
                <c:pt idx="53">
                  <c:v>0.17352799999999999</c:v>
                </c:pt>
                <c:pt idx="54">
                  <c:v>0.17361399999999999</c:v>
                </c:pt>
                <c:pt idx="55">
                  <c:v>0.17367099999999999</c:v>
                </c:pt>
                <c:pt idx="56">
                  <c:v>0.17374300000000001</c:v>
                </c:pt>
                <c:pt idx="57">
                  <c:v>0.173791</c:v>
                </c:pt>
                <c:pt idx="58">
                  <c:v>0.17383599999999999</c:v>
                </c:pt>
                <c:pt idx="59">
                  <c:v>0.17388500000000001</c:v>
                </c:pt>
                <c:pt idx="60">
                  <c:v>0.17393700000000001</c:v>
                </c:pt>
                <c:pt idx="61">
                  <c:v>0.17397299999999999</c:v>
                </c:pt>
                <c:pt idx="62">
                  <c:v>0.17402799999999999</c:v>
                </c:pt>
                <c:pt idx="63">
                  <c:v>0.17405899999999999</c:v>
                </c:pt>
                <c:pt idx="64">
                  <c:v>0.174095</c:v>
                </c:pt>
                <c:pt idx="65">
                  <c:v>0.17413600000000001</c:v>
                </c:pt>
                <c:pt idx="66">
                  <c:v>0.17417199999999999</c:v>
                </c:pt>
                <c:pt idx="67">
                  <c:v>0.17419299999999999</c:v>
                </c:pt>
                <c:pt idx="68">
                  <c:v>0.17422599999999999</c:v>
                </c:pt>
                <c:pt idx="69">
                  <c:v>0.174259</c:v>
                </c:pt>
                <c:pt idx="70">
                  <c:v>0.174286</c:v>
                </c:pt>
                <c:pt idx="71">
                  <c:v>0.174319</c:v>
                </c:pt>
                <c:pt idx="72">
                  <c:v>0.17432700000000001</c:v>
                </c:pt>
                <c:pt idx="73">
                  <c:v>0.17435100000000001</c:v>
                </c:pt>
                <c:pt idx="74">
                  <c:v>0.17439099999999999</c:v>
                </c:pt>
                <c:pt idx="75">
                  <c:v>0.174405</c:v>
                </c:pt>
                <c:pt idx="76">
                  <c:v>0.17441999999999999</c:v>
                </c:pt>
                <c:pt idx="77">
                  <c:v>0.174453</c:v>
                </c:pt>
                <c:pt idx="78">
                  <c:v>0.17446600000000001</c:v>
                </c:pt>
                <c:pt idx="79">
                  <c:v>0.17448</c:v>
                </c:pt>
                <c:pt idx="80">
                  <c:v>0.17449300000000001</c:v>
                </c:pt>
                <c:pt idx="81">
                  <c:v>0.174509</c:v>
                </c:pt>
                <c:pt idx="82">
                  <c:v>0.17453399999999999</c:v>
                </c:pt>
                <c:pt idx="83">
                  <c:v>0.17454600000000001</c:v>
                </c:pt>
                <c:pt idx="84">
                  <c:v>0.17457400000000001</c:v>
                </c:pt>
                <c:pt idx="85">
                  <c:v>0.17457400000000001</c:v>
                </c:pt>
                <c:pt idx="86">
                  <c:v>0.174595</c:v>
                </c:pt>
                <c:pt idx="87">
                  <c:v>0.17460999999999999</c:v>
                </c:pt>
                <c:pt idx="88">
                  <c:v>0.17461699999999999</c:v>
                </c:pt>
                <c:pt idx="89">
                  <c:v>0.17463799999999999</c:v>
                </c:pt>
                <c:pt idx="90">
                  <c:v>0.174646</c:v>
                </c:pt>
                <c:pt idx="91">
                  <c:v>0.17465900000000001</c:v>
                </c:pt>
                <c:pt idx="92">
                  <c:v>0.17467099999999999</c:v>
                </c:pt>
                <c:pt idx="93">
                  <c:v>0.17469199999999999</c:v>
                </c:pt>
                <c:pt idx="94">
                  <c:v>0.17469000000000001</c:v>
                </c:pt>
                <c:pt idx="95">
                  <c:v>0.17469999999999999</c:v>
                </c:pt>
                <c:pt idx="96">
                  <c:v>0.17471600000000001</c:v>
                </c:pt>
                <c:pt idx="97">
                  <c:v>0.17472799999999999</c:v>
                </c:pt>
                <c:pt idx="98">
                  <c:v>0.17474999999999999</c:v>
                </c:pt>
                <c:pt idx="99">
                  <c:v>0.17473900000000001</c:v>
                </c:pt>
                <c:pt idx="100">
                  <c:v>0.174759</c:v>
                </c:pt>
                <c:pt idx="101">
                  <c:v>0.17477100000000001</c:v>
                </c:pt>
                <c:pt idx="102">
                  <c:v>0.174764</c:v>
                </c:pt>
                <c:pt idx="103">
                  <c:v>0.174787</c:v>
                </c:pt>
                <c:pt idx="104">
                  <c:v>0.174794</c:v>
                </c:pt>
                <c:pt idx="105">
                  <c:v>0.17480100000000001</c:v>
                </c:pt>
                <c:pt idx="106">
                  <c:v>0.174793</c:v>
                </c:pt>
                <c:pt idx="107">
                  <c:v>0.17481099999999999</c:v>
                </c:pt>
                <c:pt idx="108">
                  <c:v>0.17483799999999999</c:v>
                </c:pt>
                <c:pt idx="109">
                  <c:v>0.17482700000000001</c:v>
                </c:pt>
                <c:pt idx="110">
                  <c:v>0.17483799999999999</c:v>
                </c:pt>
                <c:pt idx="111">
                  <c:v>0.17484</c:v>
                </c:pt>
                <c:pt idx="112">
                  <c:v>0.17485200000000001</c:v>
                </c:pt>
                <c:pt idx="113">
                  <c:v>0.174848</c:v>
                </c:pt>
                <c:pt idx="114">
                  <c:v>0.17485899999999999</c:v>
                </c:pt>
                <c:pt idx="115">
                  <c:v>0.17488500000000001</c:v>
                </c:pt>
                <c:pt idx="116">
                  <c:v>0.174871</c:v>
                </c:pt>
                <c:pt idx="117">
                  <c:v>0.17487800000000001</c:v>
                </c:pt>
                <c:pt idx="118">
                  <c:v>0.174896</c:v>
                </c:pt>
                <c:pt idx="119">
                  <c:v>0.17488000000000001</c:v>
                </c:pt>
                <c:pt idx="120">
                  <c:v>0.17488699999999999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DF-4061-8E45-CBD13F253A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4833320"/>
        <c:axId val="974833680"/>
      </c:scatterChart>
      <c:valAx>
        <c:axId val="974833320"/>
        <c:scaling>
          <c:orientation val="minMax"/>
          <c:max val="168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beam</a:t>
                </a:r>
                <a:r>
                  <a:rPr lang="en-GB" sz="1600" baseline="0"/>
                  <a:t> energy (keV)</a:t>
                </a:r>
                <a:endParaRPr lang="en-GB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4833680"/>
        <c:crossesAt val="1.0000000000000002E-3"/>
        <c:crossBetween val="midCat"/>
      </c:valAx>
      <c:valAx>
        <c:axId val="974833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yield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48333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SIMNRA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 2 Gauss 0'!$H$3:$H$123</c:f>
              <c:numCache>
                <c:formatCode>0.00</c:formatCode>
                <c:ptCount val="121"/>
                <c:pt idx="0">
                  <c:v>1682</c:v>
                </c:pt>
                <c:pt idx="1">
                  <c:v>1682.05</c:v>
                </c:pt>
                <c:pt idx="2">
                  <c:v>1682.1</c:v>
                </c:pt>
                <c:pt idx="3">
                  <c:v>1682.15</c:v>
                </c:pt>
                <c:pt idx="4">
                  <c:v>1682.2</c:v>
                </c:pt>
                <c:pt idx="5">
                  <c:v>1682.25</c:v>
                </c:pt>
                <c:pt idx="6">
                  <c:v>1682.3</c:v>
                </c:pt>
                <c:pt idx="7">
                  <c:v>1682.35</c:v>
                </c:pt>
                <c:pt idx="8">
                  <c:v>1682.4</c:v>
                </c:pt>
                <c:pt idx="9">
                  <c:v>1682.45</c:v>
                </c:pt>
                <c:pt idx="10">
                  <c:v>1682.5</c:v>
                </c:pt>
                <c:pt idx="11">
                  <c:v>1682.55</c:v>
                </c:pt>
                <c:pt idx="12">
                  <c:v>1682.6</c:v>
                </c:pt>
                <c:pt idx="13">
                  <c:v>1682.65</c:v>
                </c:pt>
                <c:pt idx="14">
                  <c:v>1682.7</c:v>
                </c:pt>
                <c:pt idx="15">
                  <c:v>1682.75</c:v>
                </c:pt>
                <c:pt idx="16">
                  <c:v>1682.8</c:v>
                </c:pt>
                <c:pt idx="17">
                  <c:v>1682.85</c:v>
                </c:pt>
                <c:pt idx="18">
                  <c:v>1682.9</c:v>
                </c:pt>
                <c:pt idx="19">
                  <c:v>1682.95</c:v>
                </c:pt>
                <c:pt idx="20">
                  <c:v>1683</c:v>
                </c:pt>
                <c:pt idx="21">
                  <c:v>1683.05</c:v>
                </c:pt>
                <c:pt idx="22">
                  <c:v>1683.1</c:v>
                </c:pt>
                <c:pt idx="23">
                  <c:v>1683.15</c:v>
                </c:pt>
                <c:pt idx="24">
                  <c:v>1683.2</c:v>
                </c:pt>
                <c:pt idx="25">
                  <c:v>1683.25</c:v>
                </c:pt>
                <c:pt idx="26">
                  <c:v>1683.3</c:v>
                </c:pt>
                <c:pt idx="27">
                  <c:v>1683.35</c:v>
                </c:pt>
                <c:pt idx="28">
                  <c:v>1683.4</c:v>
                </c:pt>
                <c:pt idx="29">
                  <c:v>1683.45</c:v>
                </c:pt>
                <c:pt idx="30">
                  <c:v>1683.5</c:v>
                </c:pt>
                <c:pt idx="31">
                  <c:v>1683.55</c:v>
                </c:pt>
                <c:pt idx="32">
                  <c:v>1683.6</c:v>
                </c:pt>
                <c:pt idx="33">
                  <c:v>1683.65</c:v>
                </c:pt>
                <c:pt idx="34">
                  <c:v>1683.7</c:v>
                </c:pt>
                <c:pt idx="35">
                  <c:v>1683.75</c:v>
                </c:pt>
                <c:pt idx="36">
                  <c:v>1683.8</c:v>
                </c:pt>
                <c:pt idx="37">
                  <c:v>1683.85</c:v>
                </c:pt>
                <c:pt idx="38">
                  <c:v>1683.9</c:v>
                </c:pt>
                <c:pt idx="39">
                  <c:v>1683.95</c:v>
                </c:pt>
                <c:pt idx="40">
                  <c:v>1684</c:v>
                </c:pt>
                <c:pt idx="41">
                  <c:v>1684.05</c:v>
                </c:pt>
                <c:pt idx="42">
                  <c:v>1684.1</c:v>
                </c:pt>
                <c:pt idx="43">
                  <c:v>1684.15</c:v>
                </c:pt>
                <c:pt idx="44">
                  <c:v>1684.2</c:v>
                </c:pt>
                <c:pt idx="45">
                  <c:v>1684.25</c:v>
                </c:pt>
                <c:pt idx="46">
                  <c:v>1684.3</c:v>
                </c:pt>
                <c:pt idx="47">
                  <c:v>1684.35</c:v>
                </c:pt>
                <c:pt idx="48">
                  <c:v>1684.4</c:v>
                </c:pt>
                <c:pt idx="49">
                  <c:v>1684.45</c:v>
                </c:pt>
                <c:pt idx="50">
                  <c:v>1684.5</c:v>
                </c:pt>
                <c:pt idx="51">
                  <c:v>1684.55</c:v>
                </c:pt>
                <c:pt idx="52">
                  <c:v>1684.6</c:v>
                </c:pt>
                <c:pt idx="53">
                  <c:v>1684.65</c:v>
                </c:pt>
                <c:pt idx="54">
                  <c:v>1684.7</c:v>
                </c:pt>
                <c:pt idx="55">
                  <c:v>1684.75</c:v>
                </c:pt>
                <c:pt idx="56">
                  <c:v>1684.8</c:v>
                </c:pt>
                <c:pt idx="57">
                  <c:v>1684.85</c:v>
                </c:pt>
                <c:pt idx="58">
                  <c:v>1684.9</c:v>
                </c:pt>
                <c:pt idx="59">
                  <c:v>1684.95</c:v>
                </c:pt>
                <c:pt idx="60">
                  <c:v>1685</c:v>
                </c:pt>
                <c:pt idx="61">
                  <c:v>1685.05</c:v>
                </c:pt>
                <c:pt idx="62">
                  <c:v>1685.1</c:v>
                </c:pt>
                <c:pt idx="63">
                  <c:v>1685.15</c:v>
                </c:pt>
                <c:pt idx="64">
                  <c:v>1685.2</c:v>
                </c:pt>
                <c:pt idx="65">
                  <c:v>1685.25</c:v>
                </c:pt>
                <c:pt idx="66">
                  <c:v>1685.3</c:v>
                </c:pt>
                <c:pt idx="67">
                  <c:v>1685.35</c:v>
                </c:pt>
                <c:pt idx="68">
                  <c:v>1685.4</c:v>
                </c:pt>
                <c:pt idx="69">
                  <c:v>1685.45</c:v>
                </c:pt>
                <c:pt idx="70">
                  <c:v>1685.5</c:v>
                </c:pt>
                <c:pt idx="71">
                  <c:v>1685.55</c:v>
                </c:pt>
                <c:pt idx="72">
                  <c:v>1685.6</c:v>
                </c:pt>
                <c:pt idx="73">
                  <c:v>1685.65</c:v>
                </c:pt>
                <c:pt idx="74">
                  <c:v>1685.7</c:v>
                </c:pt>
                <c:pt idx="75">
                  <c:v>1685.75</c:v>
                </c:pt>
                <c:pt idx="76">
                  <c:v>1685.8</c:v>
                </c:pt>
                <c:pt idx="77">
                  <c:v>1685.85</c:v>
                </c:pt>
                <c:pt idx="78">
                  <c:v>1685.9</c:v>
                </c:pt>
                <c:pt idx="79">
                  <c:v>1685.95</c:v>
                </c:pt>
                <c:pt idx="80">
                  <c:v>1686</c:v>
                </c:pt>
                <c:pt idx="81">
                  <c:v>1686.05</c:v>
                </c:pt>
                <c:pt idx="82">
                  <c:v>1686.1</c:v>
                </c:pt>
                <c:pt idx="83">
                  <c:v>1686.15</c:v>
                </c:pt>
                <c:pt idx="84">
                  <c:v>1686.2</c:v>
                </c:pt>
                <c:pt idx="85">
                  <c:v>1686.25</c:v>
                </c:pt>
                <c:pt idx="86">
                  <c:v>1686.3</c:v>
                </c:pt>
                <c:pt idx="87">
                  <c:v>1686.35</c:v>
                </c:pt>
                <c:pt idx="88">
                  <c:v>1686.4</c:v>
                </c:pt>
                <c:pt idx="89">
                  <c:v>1686.45</c:v>
                </c:pt>
                <c:pt idx="90">
                  <c:v>1686.5</c:v>
                </c:pt>
                <c:pt idx="91">
                  <c:v>1686.55</c:v>
                </c:pt>
                <c:pt idx="92">
                  <c:v>1686.6</c:v>
                </c:pt>
                <c:pt idx="93">
                  <c:v>1686.65</c:v>
                </c:pt>
                <c:pt idx="94">
                  <c:v>1686.7</c:v>
                </c:pt>
                <c:pt idx="95">
                  <c:v>1686.75</c:v>
                </c:pt>
                <c:pt idx="96">
                  <c:v>1686.8</c:v>
                </c:pt>
                <c:pt idx="97">
                  <c:v>1686.85</c:v>
                </c:pt>
                <c:pt idx="98">
                  <c:v>1686.9</c:v>
                </c:pt>
                <c:pt idx="99">
                  <c:v>1686.95</c:v>
                </c:pt>
                <c:pt idx="100">
                  <c:v>1687</c:v>
                </c:pt>
                <c:pt idx="101">
                  <c:v>1687.05</c:v>
                </c:pt>
                <c:pt idx="102">
                  <c:v>1687.1</c:v>
                </c:pt>
                <c:pt idx="103">
                  <c:v>1687.15</c:v>
                </c:pt>
                <c:pt idx="104">
                  <c:v>1687.2</c:v>
                </c:pt>
                <c:pt idx="105">
                  <c:v>1687.25</c:v>
                </c:pt>
                <c:pt idx="106">
                  <c:v>1687.3</c:v>
                </c:pt>
                <c:pt idx="107">
                  <c:v>1687.35</c:v>
                </c:pt>
                <c:pt idx="108">
                  <c:v>1687.4</c:v>
                </c:pt>
                <c:pt idx="109">
                  <c:v>1687.45</c:v>
                </c:pt>
                <c:pt idx="110">
                  <c:v>1687.5</c:v>
                </c:pt>
                <c:pt idx="111">
                  <c:v>1687.55</c:v>
                </c:pt>
                <c:pt idx="112">
                  <c:v>1687.6</c:v>
                </c:pt>
                <c:pt idx="113">
                  <c:v>1687.65</c:v>
                </c:pt>
                <c:pt idx="114">
                  <c:v>1687.7</c:v>
                </c:pt>
                <c:pt idx="115">
                  <c:v>1687.75</c:v>
                </c:pt>
                <c:pt idx="116">
                  <c:v>1687.8</c:v>
                </c:pt>
                <c:pt idx="117">
                  <c:v>1687.85</c:v>
                </c:pt>
                <c:pt idx="118">
                  <c:v>1687.9</c:v>
                </c:pt>
                <c:pt idx="119">
                  <c:v>1687.95</c:v>
                </c:pt>
                <c:pt idx="120">
                  <c:v>1688</c:v>
                </c:pt>
              </c:numCache>
            </c:numRef>
          </c:xVal>
          <c:yVal>
            <c:numRef>
              <c:f>'Ex 2 Gauss 0'!$P$3:$P$123</c:f>
              <c:numCache>
                <c:formatCode>General</c:formatCode>
                <c:ptCount val="121"/>
                <c:pt idx="0">
                  <c:v>0.99629700456442061</c:v>
                </c:pt>
                <c:pt idx="1">
                  <c:v>0.99577986519207162</c:v>
                </c:pt>
                <c:pt idx="2">
                  <c:v>0.9956282034509325</c:v>
                </c:pt>
                <c:pt idx="3">
                  <c:v>0.99575802162545324</c:v>
                </c:pt>
                <c:pt idx="4">
                  <c:v>0.99549817661684681</c:v>
                </c:pt>
                <c:pt idx="5">
                  <c:v>0.9953954535887839</c:v>
                </c:pt>
                <c:pt idx="6">
                  <c:v>0.99498395116140514</c:v>
                </c:pt>
                <c:pt idx="7">
                  <c:v>0.99487970492286071</c:v>
                </c:pt>
                <c:pt idx="8">
                  <c:v>0.99494913225879889</c:v>
                </c:pt>
                <c:pt idx="9">
                  <c:v>0.99528081083133391</c:v>
                </c:pt>
                <c:pt idx="10">
                  <c:v>0.99452217696925815</c:v>
                </c:pt>
                <c:pt idx="11">
                  <c:v>0.99397560317125544</c:v>
                </c:pt>
                <c:pt idx="12">
                  <c:v>0.99423238396085334</c:v>
                </c:pt>
                <c:pt idx="13">
                  <c:v>0.99410302176100873</c:v>
                </c:pt>
                <c:pt idx="14">
                  <c:v>0.99432595485503084</c:v>
                </c:pt>
                <c:pt idx="15">
                  <c:v>0.99392395547916046</c:v>
                </c:pt>
                <c:pt idx="16">
                  <c:v>0.9938466635625437</c:v>
                </c:pt>
                <c:pt idx="17">
                  <c:v>0.99364414479416474</c:v>
                </c:pt>
                <c:pt idx="18">
                  <c:v>0.99393377481104161</c:v>
                </c:pt>
                <c:pt idx="19">
                  <c:v>0.99373627512694263</c:v>
                </c:pt>
                <c:pt idx="20">
                  <c:v>0.99344098630294075</c:v>
                </c:pt>
                <c:pt idx="21">
                  <c:v>0.99343740576588113</c:v>
                </c:pt>
                <c:pt idx="22">
                  <c:v>0.99458237995953536</c:v>
                </c:pt>
                <c:pt idx="23">
                  <c:v>0.99752247041051423</c:v>
                </c:pt>
                <c:pt idx="24">
                  <c:v>1.0023712978998185</c:v>
                </c:pt>
                <c:pt idx="25">
                  <c:v>1.0063339173991497</c:v>
                </c:pt>
                <c:pt idx="26">
                  <c:v>1.0084766909694265</c:v>
                </c:pt>
                <c:pt idx="27">
                  <c:v>1.0099307151826205</c:v>
                </c:pt>
                <c:pt idx="28">
                  <c:v>1.0075480631890787</c:v>
                </c:pt>
                <c:pt idx="29">
                  <c:v>1.0033596898904624</c:v>
                </c:pt>
                <c:pt idx="30">
                  <c:v>1.0007836870059033</c:v>
                </c:pt>
                <c:pt idx="31">
                  <c:v>1.0004197459463016</c:v>
                </c:pt>
                <c:pt idx="32">
                  <c:v>1.0004604881675601</c:v>
                </c:pt>
                <c:pt idx="33">
                  <c:v>1.0009465488069467</c:v>
                </c:pt>
                <c:pt idx="34">
                  <c:v>1.0011940978298994</c:v>
                </c:pt>
                <c:pt idx="35">
                  <c:v>1.0008529973001707</c:v>
                </c:pt>
                <c:pt idx="36">
                  <c:v>1.0006960057450367</c:v>
                </c:pt>
                <c:pt idx="37">
                  <c:v>1.0007120272535937</c:v>
                </c:pt>
                <c:pt idx="38">
                  <c:v>1.0007697112172131</c:v>
                </c:pt>
                <c:pt idx="39">
                  <c:v>1.0002703622418492</c:v>
                </c:pt>
                <c:pt idx="40">
                  <c:v>1.0006522945950962</c:v>
                </c:pt>
                <c:pt idx="41">
                  <c:v>1.0004468149089618</c:v>
                </c:pt>
                <c:pt idx="42">
                  <c:v>1.0005701134102083</c:v>
                </c:pt>
                <c:pt idx="43">
                  <c:v>1.0005794579598015</c:v>
                </c:pt>
                <c:pt idx="44">
                  <c:v>1.0006507955119306</c:v>
                </c:pt>
                <c:pt idx="45">
                  <c:v>1.000161478733143</c:v>
                </c:pt>
                <c:pt idx="46">
                  <c:v>1.0004185859753405</c:v>
                </c:pt>
                <c:pt idx="47">
                  <c:v>1.0001434962961742</c:v>
                </c:pt>
                <c:pt idx="48">
                  <c:v>1.0002372178676799</c:v>
                </c:pt>
                <c:pt idx="49">
                  <c:v>1.0000135160481007</c:v>
                </c:pt>
                <c:pt idx="50">
                  <c:v>1.0002947174010683</c:v>
                </c:pt>
                <c:pt idx="51">
                  <c:v>0.99997669142952639</c:v>
                </c:pt>
                <c:pt idx="52">
                  <c:v>1.0001626846240799</c:v>
                </c:pt>
                <c:pt idx="53">
                  <c:v>1.0001563460952136</c:v>
                </c:pt>
                <c:pt idx="54">
                  <c:v>1.000389394477428</c:v>
                </c:pt>
                <c:pt idx="55">
                  <c:v>1.0002980100143433</c:v>
                </c:pt>
                <c:pt idx="56">
                  <c:v>0.99981306633206879</c:v>
                </c:pt>
                <c:pt idx="57">
                  <c:v>1.0001352498587792</c:v>
                </c:pt>
                <c:pt idx="58">
                  <c:v>1.0002689860037528</c:v>
                </c:pt>
                <c:pt idx="59">
                  <c:v>1.0003830371408138</c:v>
                </c:pt>
                <c:pt idx="60">
                  <c:v>0.99981749211154147</c:v>
                </c:pt>
                <c:pt idx="61">
                  <c:v>0.99997016681768858</c:v>
                </c:pt>
                <c:pt idx="62">
                  <c:v>1.0001017764647864</c:v>
                </c:pt>
                <c:pt idx="63">
                  <c:v>1.0002691498361147</c:v>
                </c:pt>
                <c:pt idx="64">
                  <c:v>0.99996530484854995</c:v>
                </c:pt>
                <c:pt idx="65">
                  <c:v>0.99986774071630546</c:v>
                </c:pt>
                <c:pt idx="66">
                  <c:v>1.0001749575652565</c:v>
                </c:pt>
                <c:pt idx="67">
                  <c:v>1.0001357199201668</c:v>
                </c:pt>
                <c:pt idx="68">
                  <c:v>0.99991717050446427</c:v>
                </c:pt>
                <c:pt idx="69">
                  <c:v>0.99978870706665324</c:v>
                </c:pt>
                <c:pt idx="70">
                  <c:v>1.0000481469055384</c:v>
                </c:pt>
                <c:pt idx="71">
                  <c:v>1.0002190798186907</c:v>
                </c:pt>
                <c:pt idx="72">
                  <c:v>0.99957615020481605</c:v>
                </c:pt>
                <c:pt idx="73">
                  <c:v>0.9997645140129181</c:v>
                </c:pt>
                <c:pt idx="74">
                  <c:v>1.0001909944324168</c:v>
                </c:pt>
                <c:pt idx="75">
                  <c:v>0.99999521836482486</c:v>
                </c:pt>
                <c:pt idx="76">
                  <c:v>0.99970198649750008</c:v>
                </c:pt>
                <c:pt idx="77">
                  <c:v>0.99978748284623153</c:v>
                </c:pt>
                <c:pt idx="78">
                  <c:v>1.0001883560952973</c:v>
                </c:pt>
                <c:pt idx="79">
                  <c:v>1.0002241836718613</c:v>
                </c:pt>
                <c:pt idx="80">
                  <c:v>0.99943887649497232</c:v>
                </c:pt>
                <c:pt idx="81">
                  <c:v>0.9999174746088173</c:v>
                </c:pt>
                <c:pt idx="82">
                  <c:v>0.99995027482957255</c:v>
                </c:pt>
                <c:pt idx="83">
                  <c:v>1.0001259227446195</c:v>
                </c:pt>
                <c:pt idx="84">
                  <c:v>0.99963929192484136</c:v>
                </c:pt>
                <c:pt idx="85">
                  <c:v>0.99966693833209097</c:v>
                </c:pt>
                <c:pt idx="86">
                  <c:v>0.99990345697596461</c:v>
                </c:pt>
                <c:pt idx="87">
                  <c:v>1.0004700208537927</c:v>
                </c:pt>
                <c:pt idx="88">
                  <c:v>0.99993472356058732</c:v>
                </c:pt>
                <c:pt idx="89">
                  <c:v>0.99938745449367972</c:v>
                </c:pt>
                <c:pt idx="90">
                  <c:v>0.99976927687633688</c:v>
                </c:pt>
                <c:pt idx="91">
                  <c:v>1.0005904936894732</c:v>
                </c:pt>
                <c:pt idx="92">
                  <c:v>1.0004558340519214</c:v>
                </c:pt>
                <c:pt idx="93">
                  <c:v>0.99935839404659177</c:v>
                </c:pt>
                <c:pt idx="94">
                  <c:v>0.99953487351345194</c:v>
                </c:pt>
                <c:pt idx="95">
                  <c:v>1.0007984176289131</c:v>
                </c:pt>
                <c:pt idx="96">
                  <c:v>1.0007459478741172</c:v>
                </c:pt>
                <c:pt idx="97">
                  <c:v>0.99918754613100746</c:v>
                </c:pt>
                <c:pt idx="98">
                  <c:v>0.99969510742196088</c:v>
                </c:pt>
                <c:pt idx="99">
                  <c:v>1.0009460824125682</c:v>
                </c:pt>
                <c:pt idx="100">
                  <c:v>1.0007470879708729</c:v>
                </c:pt>
                <c:pt idx="101">
                  <c:v>0.9992627546208569</c:v>
                </c:pt>
                <c:pt idx="102">
                  <c:v>0.99979428344854593</c:v>
                </c:pt>
                <c:pt idx="103">
                  <c:v>1.001186212075142</c:v>
                </c:pt>
                <c:pt idx="104">
                  <c:v>1.0009375777396885</c:v>
                </c:pt>
                <c:pt idx="105">
                  <c:v>0.9992639346125588</c:v>
                </c:pt>
                <c:pt idx="106">
                  <c:v>0.99993704415907392</c:v>
                </c:pt>
                <c:pt idx="107">
                  <c:v>1.0016824771814485</c:v>
                </c:pt>
                <c:pt idx="108">
                  <c:v>1.000977874493455</c:v>
                </c:pt>
                <c:pt idx="109">
                  <c:v>0.99928021932309508</c:v>
                </c:pt>
                <c:pt idx="110">
                  <c:v>1.0000320072249871</c:v>
                </c:pt>
                <c:pt idx="111">
                  <c:v>1.0013765318808014</c:v>
                </c:pt>
                <c:pt idx="112">
                  <c:v>1.0013432960869333</c:v>
                </c:pt>
                <c:pt idx="113">
                  <c:v>1.000091337843199</c:v>
                </c:pt>
                <c:pt idx="114">
                  <c:v>0.99987967299482639</c:v>
                </c:pt>
                <c:pt idx="115">
                  <c:v>1.0010694014168682</c:v>
                </c:pt>
                <c:pt idx="116">
                  <c:v>1.0020449250741612</c:v>
                </c:pt>
                <c:pt idx="117">
                  <c:v>1.0005476417531054</c:v>
                </c:pt>
                <c:pt idx="118">
                  <c:v>1.0003447634778355</c:v>
                </c:pt>
                <c:pt idx="119">
                  <c:v>1.0008003179150704</c:v>
                </c:pt>
                <c:pt idx="120">
                  <c:v>1.0016118772719929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C3-4579-87F0-9DDBD011DFC0}"/>
            </c:ext>
          </c:extLst>
        </c:ser>
        <c:ser>
          <c:idx val="1"/>
          <c:order val="1"/>
          <c:tx>
            <c:v>ERYA 3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 2 Gauss 0'!$E$3:$E$123</c:f>
              <c:numCache>
                <c:formatCode>General</c:formatCode>
                <c:ptCount val="121"/>
                <c:pt idx="0">
                  <c:v>1682</c:v>
                </c:pt>
                <c:pt idx="1">
                  <c:v>1682.05</c:v>
                </c:pt>
                <c:pt idx="2">
                  <c:v>1682.1</c:v>
                </c:pt>
                <c:pt idx="3">
                  <c:v>1682.15</c:v>
                </c:pt>
                <c:pt idx="4">
                  <c:v>1682.2</c:v>
                </c:pt>
                <c:pt idx="5">
                  <c:v>1682.25</c:v>
                </c:pt>
                <c:pt idx="6">
                  <c:v>1682.3</c:v>
                </c:pt>
                <c:pt idx="7">
                  <c:v>1682.35</c:v>
                </c:pt>
                <c:pt idx="8">
                  <c:v>1682.4</c:v>
                </c:pt>
                <c:pt idx="9">
                  <c:v>1682.45</c:v>
                </c:pt>
                <c:pt idx="10">
                  <c:v>1682.5</c:v>
                </c:pt>
                <c:pt idx="11">
                  <c:v>1682.55</c:v>
                </c:pt>
                <c:pt idx="12">
                  <c:v>1682.6</c:v>
                </c:pt>
                <c:pt idx="13">
                  <c:v>1682.65</c:v>
                </c:pt>
                <c:pt idx="14">
                  <c:v>1682.7</c:v>
                </c:pt>
                <c:pt idx="15">
                  <c:v>1682.75</c:v>
                </c:pt>
                <c:pt idx="16">
                  <c:v>1682.8</c:v>
                </c:pt>
                <c:pt idx="17">
                  <c:v>1682.85</c:v>
                </c:pt>
                <c:pt idx="18">
                  <c:v>1682.9</c:v>
                </c:pt>
                <c:pt idx="19">
                  <c:v>1682.95</c:v>
                </c:pt>
                <c:pt idx="20">
                  <c:v>1683</c:v>
                </c:pt>
                <c:pt idx="21">
                  <c:v>1683.05</c:v>
                </c:pt>
                <c:pt idx="22">
                  <c:v>1683.1</c:v>
                </c:pt>
                <c:pt idx="23">
                  <c:v>1683.15</c:v>
                </c:pt>
                <c:pt idx="24">
                  <c:v>1683.2</c:v>
                </c:pt>
                <c:pt idx="25">
                  <c:v>1683.25</c:v>
                </c:pt>
                <c:pt idx="26">
                  <c:v>1683.3</c:v>
                </c:pt>
                <c:pt idx="27">
                  <c:v>1683.35</c:v>
                </c:pt>
                <c:pt idx="28">
                  <c:v>1683.4</c:v>
                </c:pt>
                <c:pt idx="29">
                  <c:v>1683.45</c:v>
                </c:pt>
                <c:pt idx="30">
                  <c:v>1683.5</c:v>
                </c:pt>
                <c:pt idx="31">
                  <c:v>1683.55</c:v>
                </c:pt>
                <c:pt idx="32">
                  <c:v>1683.6</c:v>
                </c:pt>
                <c:pt idx="33">
                  <c:v>1683.65</c:v>
                </c:pt>
                <c:pt idx="34">
                  <c:v>1683.7</c:v>
                </c:pt>
                <c:pt idx="35">
                  <c:v>1683.75</c:v>
                </c:pt>
                <c:pt idx="36">
                  <c:v>1683.8</c:v>
                </c:pt>
                <c:pt idx="37">
                  <c:v>1683.85</c:v>
                </c:pt>
                <c:pt idx="38">
                  <c:v>1683.9</c:v>
                </c:pt>
                <c:pt idx="39">
                  <c:v>1683.95</c:v>
                </c:pt>
                <c:pt idx="40">
                  <c:v>1684</c:v>
                </c:pt>
                <c:pt idx="41">
                  <c:v>1684.05</c:v>
                </c:pt>
                <c:pt idx="42">
                  <c:v>1684.1</c:v>
                </c:pt>
                <c:pt idx="43">
                  <c:v>1684.15</c:v>
                </c:pt>
                <c:pt idx="44">
                  <c:v>1684.2</c:v>
                </c:pt>
                <c:pt idx="45">
                  <c:v>1684.25</c:v>
                </c:pt>
                <c:pt idx="46">
                  <c:v>1684.3</c:v>
                </c:pt>
                <c:pt idx="47">
                  <c:v>1684.35</c:v>
                </c:pt>
                <c:pt idx="48">
                  <c:v>1684.4</c:v>
                </c:pt>
                <c:pt idx="49">
                  <c:v>1684.45</c:v>
                </c:pt>
                <c:pt idx="50">
                  <c:v>1684.5</c:v>
                </c:pt>
                <c:pt idx="51">
                  <c:v>1684.55</c:v>
                </c:pt>
                <c:pt idx="52">
                  <c:v>1684.6</c:v>
                </c:pt>
                <c:pt idx="53">
                  <c:v>1684.65</c:v>
                </c:pt>
                <c:pt idx="54">
                  <c:v>1684.7</c:v>
                </c:pt>
                <c:pt idx="55">
                  <c:v>1684.75</c:v>
                </c:pt>
                <c:pt idx="56">
                  <c:v>1684.8</c:v>
                </c:pt>
                <c:pt idx="57">
                  <c:v>1684.85</c:v>
                </c:pt>
                <c:pt idx="58">
                  <c:v>1684.9</c:v>
                </c:pt>
                <c:pt idx="59">
                  <c:v>1684.95</c:v>
                </c:pt>
                <c:pt idx="60">
                  <c:v>1685</c:v>
                </c:pt>
                <c:pt idx="61">
                  <c:v>1685.05</c:v>
                </c:pt>
                <c:pt idx="62">
                  <c:v>1685.1</c:v>
                </c:pt>
                <c:pt idx="63">
                  <c:v>1685.15</c:v>
                </c:pt>
                <c:pt idx="64">
                  <c:v>1685.2</c:v>
                </c:pt>
                <c:pt idx="65">
                  <c:v>1685.25</c:v>
                </c:pt>
                <c:pt idx="66">
                  <c:v>1685.3</c:v>
                </c:pt>
                <c:pt idx="67">
                  <c:v>1685.35</c:v>
                </c:pt>
                <c:pt idx="68">
                  <c:v>1685.4</c:v>
                </c:pt>
                <c:pt idx="69">
                  <c:v>1685.45</c:v>
                </c:pt>
                <c:pt idx="70">
                  <c:v>1685.5</c:v>
                </c:pt>
                <c:pt idx="71">
                  <c:v>1685.55</c:v>
                </c:pt>
                <c:pt idx="72">
                  <c:v>1685.6</c:v>
                </c:pt>
                <c:pt idx="73">
                  <c:v>1685.65</c:v>
                </c:pt>
                <c:pt idx="74">
                  <c:v>1685.7</c:v>
                </c:pt>
                <c:pt idx="75">
                  <c:v>1685.75</c:v>
                </c:pt>
                <c:pt idx="76">
                  <c:v>1685.8</c:v>
                </c:pt>
                <c:pt idx="77">
                  <c:v>1685.85</c:v>
                </c:pt>
                <c:pt idx="78">
                  <c:v>1685.9</c:v>
                </c:pt>
                <c:pt idx="79">
                  <c:v>1685.95</c:v>
                </c:pt>
                <c:pt idx="80">
                  <c:v>1686</c:v>
                </c:pt>
                <c:pt idx="81">
                  <c:v>1686.05</c:v>
                </c:pt>
                <c:pt idx="82">
                  <c:v>1686.1</c:v>
                </c:pt>
                <c:pt idx="83">
                  <c:v>1686.15</c:v>
                </c:pt>
                <c:pt idx="84">
                  <c:v>1686.2</c:v>
                </c:pt>
                <c:pt idx="85">
                  <c:v>1686.25</c:v>
                </c:pt>
                <c:pt idx="86">
                  <c:v>1686.3</c:v>
                </c:pt>
                <c:pt idx="87">
                  <c:v>1686.35</c:v>
                </c:pt>
                <c:pt idx="88">
                  <c:v>1686.4</c:v>
                </c:pt>
                <c:pt idx="89">
                  <c:v>1686.45</c:v>
                </c:pt>
                <c:pt idx="90">
                  <c:v>1686.5</c:v>
                </c:pt>
                <c:pt idx="91">
                  <c:v>1686.55</c:v>
                </c:pt>
                <c:pt idx="92">
                  <c:v>1686.6</c:v>
                </c:pt>
                <c:pt idx="93">
                  <c:v>1686.65</c:v>
                </c:pt>
                <c:pt idx="94">
                  <c:v>1686.7</c:v>
                </c:pt>
                <c:pt idx="95">
                  <c:v>1686.75</c:v>
                </c:pt>
                <c:pt idx="96">
                  <c:v>1686.8</c:v>
                </c:pt>
                <c:pt idx="97">
                  <c:v>1686.85</c:v>
                </c:pt>
                <c:pt idx="98">
                  <c:v>1686.9</c:v>
                </c:pt>
                <c:pt idx="99">
                  <c:v>1686.95</c:v>
                </c:pt>
                <c:pt idx="100">
                  <c:v>1687</c:v>
                </c:pt>
                <c:pt idx="101">
                  <c:v>1687.05</c:v>
                </c:pt>
                <c:pt idx="102">
                  <c:v>1687.1</c:v>
                </c:pt>
                <c:pt idx="103">
                  <c:v>1687.15</c:v>
                </c:pt>
                <c:pt idx="104">
                  <c:v>1687.2</c:v>
                </c:pt>
                <c:pt idx="105">
                  <c:v>1687.25</c:v>
                </c:pt>
                <c:pt idx="106">
                  <c:v>1687.3</c:v>
                </c:pt>
                <c:pt idx="107">
                  <c:v>1687.35</c:v>
                </c:pt>
                <c:pt idx="108">
                  <c:v>1687.4</c:v>
                </c:pt>
                <c:pt idx="109">
                  <c:v>1687.45</c:v>
                </c:pt>
                <c:pt idx="110">
                  <c:v>1687.5</c:v>
                </c:pt>
                <c:pt idx="111">
                  <c:v>1687.55</c:v>
                </c:pt>
                <c:pt idx="112">
                  <c:v>1687.6</c:v>
                </c:pt>
                <c:pt idx="113">
                  <c:v>1687.65</c:v>
                </c:pt>
                <c:pt idx="114">
                  <c:v>1687.7</c:v>
                </c:pt>
                <c:pt idx="115">
                  <c:v>1687.75</c:v>
                </c:pt>
                <c:pt idx="116">
                  <c:v>1687.8</c:v>
                </c:pt>
                <c:pt idx="117">
                  <c:v>1687.85</c:v>
                </c:pt>
                <c:pt idx="118">
                  <c:v>1687.9</c:v>
                </c:pt>
                <c:pt idx="119">
                  <c:v>1687.95</c:v>
                </c:pt>
                <c:pt idx="120">
                  <c:v>1688</c:v>
                </c:pt>
              </c:numCache>
            </c:numRef>
          </c:xVal>
          <c:yVal>
            <c:numRef>
              <c:f>'Ex 2 Gauss 0'!$S$3:$S$123</c:f>
              <c:numCache>
                <c:formatCode>0.0000000000</c:formatCode>
                <c:ptCount val="121"/>
                <c:pt idx="0">
                  <c:v>0.93218391679655843</c:v>
                </c:pt>
                <c:pt idx="1">
                  <c:v>0.88772912749274091</c:v>
                </c:pt>
                <c:pt idx="2">
                  <c:v>0.91027738807668424</c:v>
                </c:pt>
                <c:pt idx="3">
                  <c:v>0.97879383119125907</c:v>
                </c:pt>
                <c:pt idx="4">
                  <c:v>0.92490988013295894</c:v>
                </c:pt>
                <c:pt idx="5">
                  <c:v>0.91425061201928493</c:v>
                </c:pt>
                <c:pt idx="6">
                  <c:v>0.99158894695063771</c:v>
                </c:pt>
                <c:pt idx="7">
                  <c:v>0.94902772275809011</c:v>
                </c:pt>
                <c:pt idx="8">
                  <c:v>0.92734590323919952</c:v>
                </c:pt>
                <c:pt idx="9">
                  <c:v>0.99852336527915386</c:v>
                </c:pt>
                <c:pt idx="10">
                  <c:v>0.95741892631629322</c:v>
                </c:pt>
                <c:pt idx="11">
                  <c:v>0.94405322894941657</c:v>
                </c:pt>
                <c:pt idx="12">
                  <c:v>1.0000929617653935</c:v>
                </c:pt>
                <c:pt idx="13">
                  <c:v>0.95631425019602412</c:v>
                </c:pt>
                <c:pt idx="14">
                  <c:v>0.97588459110947456</c:v>
                </c:pt>
                <c:pt idx="15">
                  <c:v>0.97990261795562172</c:v>
                </c:pt>
                <c:pt idx="16">
                  <c:v>0.96511393225586672</c:v>
                </c:pt>
                <c:pt idx="17">
                  <c:v>0.99089356191674516</c:v>
                </c:pt>
                <c:pt idx="18">
                  <c:v>0.96861398083119976</c:v>
                </c:pt>
                <c:pt idx="19">
                  <c:v>0.99045835250139203</c:v>
                </c:pt>
                <c:pt idx="20">
                  <c:v>0.9734461178379995</c:v>
                </c:pt>
                <c:pt idx="21">
                  <c:v>0.98114849270225601</c:v>
                </c:pt>
                <c:pt idx="22">
                  <c:v>0.99209959995390529</c:v>
                </c:pt>
                <c:pt idx="23">
                  <c:v>0.98137328468472129</c:v>
                </c:pt>
                <c:pt idx="24">
                  <c:v>0.98271538358699495</c:v>
                </c:pt>
                <c:pt idx="25">
                  <c:v>0.98920233495210352</c:v>
                </c:pt>
                <c:pt idx="26">
                  <c:v>1.005824596482441</c:v>
                </c:pt>
                <c:pt idx="27">
                  <c:v>0.99396916251076406</c:v>
                </c:pt>
                <c:pt idx="28">
                  <c:v>0.99352445089386443</c:v>
                </c:pt>
                <c:pt idx="29">
                  <c:v>0.9943583018704788</c:v>
                </c:pt>
                <c:pt idx="30">
                  <c:v>0.99394403255765651</c:v>
                </c:pt>
                <c:pt idx="31">
                  <c:v>0.99441549850764455</c:v>
                </c:pt>
                <c:pt idx="32">
                  <c:v>0.99521387489364888</c:v>
                </c:pt>
                <c:pt idx="33">
                  <c:v>0.99590417897139161</c:v>
                </c:pt>
                <c:pt idx="34">
                  <c:v>0.99648726420445743</c:v>
                </c:pt>
                <c:pt idx="35">
                  <c:v>0.99632841327444155</c:v>
                </c:pt>
                <c:pt idx="36">
                  <c:v>0.99638618732656781</c:v>
                </c:pt>
                <c:pt idx="37">
                  <c:v>0.99666067927748381</c:v>
                </c:pt>
                <c:pt idx="38">
                  <c:v>0.99679364304882723</c:v>
                </c:pt>
                <c:pt idx="39">
                  <c:v>0.99643171799269947</c:v>
                </c:pt>
                <c:pt idx="40">
                  <c:v>0.99705300647582884</c:v>
                </c:pt>
                <c:pt idx="41">
                  <c:v>0.99694017745326768</c:v>
                </c:pt>
                <c:pt idx="42">
                  <c:v>0.99727810492748448</c:v>
                </c:pt>
                <c:pt idx="43">
                  <c:v>0.9973278882201061</c:v>
                </c:pt>
                <c:pt idx="44">
                  <c:v>0.99761192212221361</c:v>
                </c:pt>
                <c:pt idx="45">
                  <c:v>0.99726298449239981</c:v>
                </c:pt>
                <c:pt idx="46">
                  <c:v>0.99760561729198449</c:v>
                </c:pt>
                <c:pt idx="47">
                  <c:v>0.9975027555810424</c:v>
                </c:pt>
                <c:pt idx="48">
                  <c:v>0.99771494327982713</c:v>
                </c:pt>
                <c:pt idx="49">
                  <c:v>0.99754179093613715</c:v>
                </c:pt>
                <c:pt idx="50">
                  <c:v>0.99790921169818858</c:v>
                </c:pt>
                <c:pt idx="51">
                  <c:v>0.99773539847562021</c:v>
                </c:pt>
                <c:pt idx="52">
                  <c:v>0.99804913110654725</c:v>
                </c:pt>
                <c:pt idx="53">
                  <c:v>0.9979576512109023</c:v>
                </c:pt>
                <c:pt idx="54">
                  <c:v>0.99837851331459826</c:v>
                </c:pt>
                <c:pt idx="55">
                  <c:v>0.99832733566265464</c:v>
                </c:pt>
                <c:pt idx="56">
                  <c:v>0.99798637008744029</c:v>
                </c:pt>
                <c:pt idx="57">
                  <c:v>0.99832848868102264</c:v>
                </c:pt>
                <c:pt idx="58">
                  <c:v>0.9984793861301221</c:v>
                </c:pt>
                <c:pt idx="59">
                  <c:v>0.99864657071711083</c:v>
                </c:pt>
                <c:pt idx="60">
                  <c:v>0.9981644338133947</c:v>
                </c:pt>
                <c:pt idx="61">
                  <c:v>0.99831843312672952</c:v>
                </c:pt>
                <c:pt idx="62">
                  <c:v>0.99857060976051282</c:v>
                </c:pt>
                <c:pt idx="63">
                  <c:v>0.99873020645477428</c:v>
                </c:pt>
                <c:pt idx="64">
                  <c:v>0.99845673498482401</c:v>
                </c:pt>
                <c:pt idx="65">
                  <c:v>0.99842601237585893</c:v>
                </c:pt>
                <c:pt idx="66">
                  <c:v>0.99877839284713832</c:v>
                </c:pt>
                <c:pt idx="67">
                  <c:v>0.99870587285584933</c:v>
                </c:pt>
                <c:pt idx="68">
                  <c:v>0.99852970962022902</c:v>
                </c:pt>
                <c:pt idx="69">
                  <c:v>0.99844966108323874</c:v>
                </c:pt>
                <c:pt idx="70">
                  <c:v>0.99872842432921372</c:v>
                </c:pt>
                <c:pt idx="71">
                  <c:v>0.99895862893860843</c:v>
                </c:pt>
                <c:pt idx="72">
                  <c:v>0.99823792198939598</c:v>
                </c:pt>
                <c:pt idx="73">
                  <c:v>0.9984439024633277</c:v>
                </c:pt>
                <c:pt idx="74">
                  <c:v>0.9989838938758554</c:v>
                </c:pt>
                <c:pt idx="75">
                  <c:v>0.99875777336545146</c:v>
                </c:pt>
                <c:pt idx="76">
                  <c:v>0.99844411701064384</c:v>
                </c:pt>
                <c:pt idx="77">
                  <c:v>0.99861558597749156</c:v>
                </c:pt>
                <c:pt idx="78">
                  <c:v>0.99899119445256579</c:v>
                </c:pt>
                <c:pt idx="79">
                  <c:v>0.99901135207380443</c:v>
                </c:pt>
                <c:pt idx="80">
                  <c:v>0.99820892967745012</c:v>
                </c:pt>
                <c:pt idx="81">
                  <c:v>0.99868912359448192</c:v>
                </c:pt>
                <c:pt idx="82">
                  <c:v>0.99877852294840352</c:v>
                </c:pt>
                <c:pt idx="83">
                  <c:v>0.99893900002741365</c:v>
                </c:pt>
                <c:pt idx="84">
                  <c:v>0.99853217931733018</c:v>
                </c:pt>
                <c:pt idx="85">
                  <c:v>0.99848140732034774</c:v>
                </c:pt>
                <c:pt idx="86">
                  <c:v>0.99876180879456122</c:v>
                </c:pt>
                <c:pt idx="87">
                  <c:v>0.99933987823403281</c:v>
                </c:pt>
                <c:pt idx="88">
                  <c:v>0.9987737899226099</c:v>
                </c:pt>
                <c:pt idx="89">
                  <c:v>0.99827791657515852</c:v>
                </c:pt>
                <c:pt idx="90">
                  <c:v>0.9986377845503851</c:v>
                </c:pt>
                <c:pt idx="91">
                  <c:v>0.99946707373466637</c:v>
                </c:pt>
                <c:pt idx="92">
                  <c:v>0.99933770727256444</c:v>
                </c:pt>
                <c:pt idx="93">
                  <c:v>0.99829984094475144</c:v>
                </c:pt>
                <c:pt idx="94">
                  <c:v>0.99840474707765581</c:v>
                </c:pt>
                <c:pt idx="95">
                  <c:v>0.99966570995549164</c:v>
                </c:pt>
                <c:pt idx="96">
                  <c:v>0.99964806684796004</c:v>
                </c:pt>
                <c:pt idx="97">
                  <c:v>0.99810476169911788</c:v>
                </c:pt>
                <c:pt idx="98">
                  <c:v>0.99868379476525093</c:v>
                </c:pt>
                <c:pt idx="99">
                  <c:v>0.99981821903056223</c:v>
                </c:pt>
                <c:pt idx="100">
                  <c:v>0.99968292091219246</c:v>
                </c:pt>
                <c:pt idx="101">
                  <c:v>0.99821918533512077</c:v>
                </c:pt>
                <c:pt idx="102">
                  <c:v>0.99866192878827975</c:v>
                </c:pt>
                <c:pt idx="103">
                  <c:v>1.0001368710141754</c:v>
                </c:pt>
                <c:pt idx="104">
                  <c:v>0.9998827900364553</c:v>
                </c:pt>
                <c:pt idx="105">
                  <c:v>0.99820643659015551</c:v>
                </c:pt>
                <c:pt idx="106">
                  <c:v>0.99878986162549388</c:v>
                </c:pt>
                <c:pt idx="107">
                  <c:v>1.000594194205745</c:v>
                </c:pt>
                <c:pt idx="108">
                  <c:v>1.0000038893298067</c:v>
                </c:pt>
                <c:pt idx="109">
                  <c:v>0.9982054489717731</c:v>
                </c:pt>
                <c:pt idx="110">
                  <c:v>0.9989808381924502</c:v>
                </c:pt>
                <c:pt idx="111">
                  <c:v>1.00029813278254</c:v>
                </c:pt>
                <c:pt idx="112">
                  <c:v>1.0002975972880548</c:v>
                </c:pt>
                <c:pt idx="113">
                  <c:v>0.99898945789818328</c:v>
                </c:pt>
                <c:pt idx="114">
                  <c:v>0.99880760448454953</c:v>
                </c:pt>
                <c:pt idx="115">
                  <c:v>1.000112886916475</c:v>
                </c:pt>
                <c:pt idx="116">
                  <c:v>1.0009769873346541</c:v>
                </c:pt>
                <c:pt idx="117">
                  <c:v>0.99949264651796454</c:v>
                </c:pt>
                <c:pt idx="118">
                  <c:v>0.99936596807349842</c:v>
                </c:pt>
                <c:pt idx="119">
                  <c:v>0.99970468467514695</c:v>
                </c:pt>
                <c:pt idx="120">
                  <c:v>1.0005326272827597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31-475E-9FD5-036CAFE90B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6449840"/>
        <c:axId val="626446960"/>
      </c:scatterChart>
      <c:valAx>
        <c:axId val="626449840"/>
        <c:scaling>
          <c:orientation val="minMax"/>
          <c:max val="1688"/>
          <c:min val="168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beam</a:t>
                </a:r>
                <a:r>
                  <a:rPr lang="en-GB" sz="1600" baseline="0"/>
                  <a:t> energy (keV)</a:t>
                </a:r>
                <a:endParaRPr lang="en-GB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0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6446960"/>
        <c:crosses val="autoZero"/>
        <c:crossBetween val="midCat"/>
      </c:valAx>
      <c:valAx>
        <c:axId val="626446960"/>
        <c:scaling>
          <c:orientation val="minMax"/>
          <c:min val="0.8800000000000001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ratio</a:t>
                </a:r>
                <a:r>
                  <a:rPr lang="en-GB" sz="1600" baseline="0"/>
                  <a:t> over NDF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64498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800"/>
              <a:t>Ex</a:t>
            </a:r>
            <a:r>
              <a:rPr lang="en-GB" sz="1800" baseline="0"/>
              <a:t> 2 Gauss Straggling </a:t>
            </a:r>
            <a:r>
              <a:rPr lang="el-GR" sz="1800" baseline="0"/>
              <a:t>Δ</a:t>
            </a:r>
            <a:r>
              <a:rPr lang="en-GB" sz="1800" baseline="0"/>
              <a:t>E=1</a:t>
            </a:r>
            <a:endParaRPr lang="en-GB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ERYA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 2 Gauss 1'!$A$3:$A$15</c:f>
              <c:numCache>
                <c:formatCode>General</c:formatCode>
                <c:ptCount val="13"/>
                <c:pt idx="0">
                  <c:v>1682</c:v>
                </c:pt>
                <c:pt idx="1">
                  <c:v>1682.5</c:v>
                </c:pt>
                <c:pt idx="2">
                  <c:v>1683</c:v>
                </c:pt>
                <c:pt idx="3">
                  <c:v>1683.5</c:v>
                </c:pt>
                <c:pt idx="4">
                  <c:v>1684</c:v>
                </c:pt>
                <c:pt idx="5">
                  <c:v>1684.5</c:v>
                </c:pt>
                <c:pt idx="6">
                  <c:v>1685</c:v>
                </c:pt>
                <c:pt idx="7">
                  <c:v>1685.5</c:v>
                </c:pt>
                <c:pt idx="8">
                  <c:v>1686</c:v>
                </c:pt>
                <c:pt idx="9">
                  <c:v>1686.5</c:v>
                </c:pt>
                <c:pt idx="10">
                  <c:v>1687</c:v>
                </c:pt>
                <c:pt idx="11">
                  <c:v>1687.5</c:v>
                </c:pt>
                <c:pt idx="12">
                  <c:v>1688</c:v>
                </c:pt>
              </c:numCache>
            </c:numRef>
          </c:xVal>
          <c:yVal>
            <c:numRef>
              <c:f>'Ex 2 Gauss 1'!$D$3:$D$15</c:f>
              <c:numCache>
                <c:formatCode>General</c:formatCode>
                <c:ptCount val="13"/>
                <c:pt idx="0">
                  <c:v>8.2889999999999995E-3</c:v>
                </c:pt>
                <c:pt idx="1">
                  <c:v>2.8070999999999999E-2</c:v>
                </c:pt>
                <c:pt idx="2">
                  <c:v>7.6609999999999998E-2</c:v>
                </c:pt>
                <c:pt idx="3">
                  <c:v>0.13639499999999999</c:v>
                </c:pt>
                <c:pt idx="4">
                  <c:v>0.16428000000000001</c:v>
                </c:pt>
                <c:pt idx="5">
                  <c:v>0.17253499999999999</c:v>
                </c:pt>
                <c:pt idx="6">
                  <c:v>0.17302799999999999</c:v>
                </c:pt>
                <c:pt idx="7">
                  <c:v>0.17477300000000001</c:v>
                </c:pt>
                <c:pt idx="8">
                  <c:v>0.17374000000000001</c:v>
                </c:pt>
                <c:pt idx="9">
                  <c:v>0.174761</c:v>
                </c:pt>
                <c:pt idx="10">
                  <c:v>0.17439499999999999</c:v>
                </c:pt>
                <c:pt idx="11">
                  <c:v>0.174873</c:v>
                </c:pt>
                <c:pt idx="12">
                  <c:v>0.17541599999999999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41-45B5-8C97-1C93DBC2F62F}"/>
            </c:ext>
          </c:extLst>
        </c:ser>
        <c:ser>
          <c:idx val="1"/>
          <c:order val="1"/>
          <c:tx>
            <c:v>NDF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 2 Gauss 1'!$H$3:$H$123</c:f>
              <c:numCache>
                <c:formatCode>0.00</c:formatCode>
                <c:ptCount val="121"/>
                <c:pt idx="0">
                  <c:v>1682</c:v>
                </c:pt>
                <c:pt idx="1">
                  <c:v>1682.05</c:v>
                </c:pt>
                <c:pt idx="2">
                  <c:v>1682.1</c:v>
                </c:pt>
                <c:pt idx="3">
                  <c:v>1682.15</c:v>
                </c:pt>
                <c:pt idx="4">
                  <c:v>1682.2</c:v>
                </c:pt>
                <c:pt idx="5">
                  <c:v>1682.25</c:v>
                </c:pt>
                <c:pt idx="6">
                  <c:v>1682.3</c:v>
                </c:pt>
                <c:pt idx="7">
                  <c:v>1682.35</c:v>
                </c:pt>
                <c:pt idx="8">
                  <c:v>1682.4</c:v>
                </c:pt>
                <c:pt idx="9">
                  <c:v>1682.45</c:v>
                </c:pt>
                <c:pt idx="10">
                  <c:v>1682.5</c:v>
                </c:pt>
                <c:pt idx="11">
                  <c:v>1682.55</c:v>
                </c:pt>
                <c:pt idx="12">
                  <c:v>1682.6</c:v>
                </c:pt>
                <c:pt idx="13" formatCode="General">
                  <c:v>1682.65</c:v>
                </c:pt>
                <c:pt idx="14" formatCode="General">
                  <c:v>1682.7</c:v>
                </c:pt>
                <c:pt idx="15" formatCode="General">
                  <c:v>1682.75</c:v>
                </c:pt>
                <c:pt idx="16" formatCode="General">
                  <c:v>1682.8</c:v>
                </c:pt>
                <c:pt idx="17" formatCode="General">
                  <c:v>1682.85</c:v>
                </c:pt>
                <c:pt idx="18" formatCode="General">
                  <c:v>1682.9</c:v>
                </c:pt>
                <c:pt idx="19" formatCode="General">
                  <c:v>1682.95</c:v>
                </c:pt>
                <c:pt idx="20" formatCode="General">
                  <c:v>1683</c:v>
                </c:pt>
                <c:pt idx="21" formatCode="General">
                  <c:v>1683.05</c:v>
                </c:pt>
                <c:pt idx="22" formatCode="General">
                  <c:v>1683.1</c:v>
                </c:pt>
                <c:pt idx="23" formatCode="General">
                  <c:v>1683.15</c:v>
                </c:pt>
                <c:pt idx="24" formatCode="General">
                  <c:v>1683.2</c:v>
                </c:pt>
                <c:pt idx="25" formatCode="General">
                  <c:v>1683.25</c:v>
                </c:pt>
                <c:pt idx="26" formatCode="General">
                  <c:v>1683.3</c:v>
                </c:pt>
                <c:pt idx="27" formatCode="General">
                  <c:v>1683.35</c:v>
                </c:pt>
                <c:pt idx="28" formatCode="General">
                  <c:v>1683.4</c:v>
                </c:pt>
                <c:pt idx="29" formatCode="General">
                  <c:v>1683.45</c:v>
                </c:pt>
                <c:pt idx="30" formatCode="General">
                  <c:v>1683.5</c:v>
                </c:pt>
                <c:pt idx="31" formatCode="General">
                  <c:v>1683.55</c:v>
                </c:pt>
                <c:pt idx="32" formatCode="General">
                  <c:v>1683.6</c:v>
                </c:pt>
                <c:pt idx="33" formatCode="General">
                  <c:v>1683.65</c:v>
                </c:pt>
                <c:pt idx="34" formatCode="General">
                  <c:v>1683.7</c:v>
                </c:pt>
                <c:pt idx="35" formatCode="General">
                  <c:v>1683.75</c:v>
                </c:pt>
                <c:pt idx="36" formatCode="General">
                  <c:v>1683.8</c:v>
                </c:pt>
                <c:pt idx="37" formatCode="General">
                  <c:v>1683.85</c:v>
                </c:pt>
                <c:pt idx="38" formatCode="General">
                  <c:v>1683.9</c:v>
                </c:pt>
                <c:pt idx="39" formatCode="General">
                  <c:v>1683.95</c:v>
                </c:pt>
                <c:pt idx="40" formatCode="General">
                  <c:v>1684</c:v>
                </c:pt>
                <c:pt idx="41" formatCode="General">
                  <c:v>1684.05</c:v>
                </c:pt>
                <c:pt idx="42" formatCode="General">
                  <c:v>1684.1</c:v>
                </c:pt>
                <c:pt idx="43" formatCode="General">
                  <c:v>1684.15</c:v>
                </c:pt>
                <c:pt idx="44" formatCode="General">
                  <c:v>1684.2</c:v>
                </c:pt>
                <c:pt idx="45" formatCode="General">
                  <c:v>1684.25</c:v>
                </c:pt>
                <c:pt idx="46" formatCode="General">
                  <c:v>1684.3</c:v>
                </c:pt>
                <c:pt idx="47" formatCode="General">
                  <c:v>1684.35</c:v>
                </c:pt>
                <c:pt idx="48" formatCode="General">
                  <c:v>1684.4</c:v>
                </c:pt>
                <c:pt idx="49" formatCode="General">
                  <c:v>1684.45</c:v>
                </c:pt>
                <c:pt idx="50" formatCode="General">
                  <c:v>1684.5</c:v>
                </c:pt>
                <c:pt idx="51" formatCode="General">
                  <c:v>1684.55</c:v>
                </c:pt>
                <c:pt idx="52" formatCode="General">
                  <c:v>1684.6</c:v>
                </c:pt>
                <c:pt idx="53" formatCode="General">
                  <c:v>1684.65</c:v>
                </c:pt>
                <c:pt idx="54" formatCode="General">
                  <c:v>1684.7</c:v>
                </c:pt>
                <c:pt idx="55" formatCode="General">
                  <c:v>1684.75</c:v>
                </c:pt>
                <c:pt idx="56" formatCode="General">
                  <c:v>1684.8</c:v>
                </c:pt>
                <c:pt idx="57" formatCode="General">
                  <c:v>1684.85</c:v>
                </c:pt>
                <c:pt idx="58" formatCode="General">
                  <c:v>1684.9</c:v>
                </c:pt>
                <c:pt idx="59" formatCode="General">
                  <c:v>1684.95</c:v>
                </c:pt>
                <c:pt idx="60" formatCode="General">
                  <c:v>1685</c:v>
                </c:pt>
                <c:pt idx="61" formatCode="General">
                  <c:v>1685.05</c:v>
                </c:pt>
                <c:pt idx="62" formatCode="General">
                  <c:v>1685.1</c:v>
                </c:pt>
                <c:pt idx="63" formatCode="General">
                  <c:v>1685.15</c:v>
                </c:pt>
                <c:pt idx="64" formatCode="General">
                  <c:v>1685.2</c:v>
                </c:pt>
                <c:pt idx="65" formatCode="General">
                  <c:v>1685.25</c:v>
                </c:pt>
                <c:pt idx="66" formatCode="General">
                  <c:v>1685.3</c:v>
                </c:pt>
                <c:pt idx="67" formatCode="General">
                  <c:v>1685.35</c:v>
                </c:pt>
                <c:pt idx="68" formatCode="General">
                  <c:v>1685.4</c:v>
                </c:pt>
                <c:pt idx="69" formatCode="General">
                  <c:v>1685.45</c:v>
                </c:pt>
                <c:pt idx="70" formatCode="General">
                  <c:v>1685.5</c:v>
                </c:pt>
                <c:pt idx="71" formatCode="General">
                  <c:v>1685.55</c:v>
                </c:pt>
                <c:pt idx="72" formatCode="General">
                  <c:v>1685.6</c:v>
                </c:pt>
                <c:pt idx="73" formatCode="General">
                  <c:v>1685.65</c:v>
                </c:pt>
                <c:pt idx="74" formatCode="General">
                  <c:v>1685.7</c:v>
                </c:pt>
                <c:pt idx="75" formatCode="General">
                  <c:v>1685.75</c:v>
                </c:pt>
                <c:pt idx="76" formatCode="General">
                  <c:v>1685.8</c:v>
                </c:pt>
                <c:pt idx="77" formatCode="General">
                  <c:v>1685.85</c:v>
                </c:pt>
                <c:pt idx="78" formatCode="General">
                  <c:v>1685.9</c:v>
                </c:pt>
                <c:pt idx="79" formatCode="General">
                  <c:v>1685.95</c:v>
                </c:pt>
                <c:pt idx="80" formatCode="General">
                  <c:v>1686</c:v>
                </c:pt>
                <c:pt idx="81" formatCode="General">
                  <c:v>1686.05</c:v>
                </c:pt>
                <c:pt idx="82" formatCode="General">
                  <c:v>1686.1</c:v>
                </c:pt>
                <c:pt idx="83" formatCode="General">
                  <c:v>1686.15</c:v>
                </c:pt>
                <c:pt idx="84" formatCode="General">
                  <c:v>1686.2</c:v>
                </c:pt>
                <c:pt idx="85" formatCode="General">
                  <c:v>1686.25</c:v>
                </c:pt>
                <c:pt idx="86" formatCode="General">
                  <c:v>1686.3</c:v>
                </c:pt>
                <c:pt idx="87" formatCode="General">
                  <c:v>1686.35</c:v>
                </c:pt>
                <c:pt idx="88" formatCode="General">
                  <c:v>1686.4</c:v>
                </c:pt>
                <c:pt idx="89" formatCode="General">
                  <c:v>1686.45</c:v>
                </c:pt>
                <c:pt idx="90" formatCode="General">
                  <c:v>1686.5</c:v>
                </c:pt>
                <c:pt idx="91" formatCode="General">
                  <c:v>1686.55</c:v>
                </c:pt>
                <c:pt idx="92" formatCode="General">
                  <c:v>1686.6</c:v>
                </c:pt>
                <c:pt idx="93" formatCode="General">
                  <c:v>1686.65</c:v>
                </c:pt>
                <c:pt idx="94" formatCode="General">
                  <c:v>1686.7</c:v>
                </c:pt>
                <c:pt idx="95" formatCode="General">
                  <c:v>1686.75</c:v>
                </c:pt>
                <c:pt idx="96" formatCode="General">
                  <c:v>1686.8</c:v>
                </c:pt>
                <c:pt idx="97" formatCode="General">
                  <c:v>1686.85</c:v>
                </c:pt>
                <c:pt idx="98" formatCode="General">
                  <c:v>1686.9</c:v>
                </c:pt>
                <c:pt idx="99" formatCode="General">
                  <c:v>1686.95</c:v>
                </c:pt>
                <c:pt idx="100" formatCode="General">
                  <c:v>1687</c:v>
                </c:pt>
                <c:pt idx="101" formatCode="General">
                  <c:v>1687.05</c:v>
                </c:pt>
                <c:pt idx="102" formatCode="General">
                  <c:v>1687.1</c:v>
                </c:pt>
                <c:pt idx="103" formatCode="General">
                  <c:v>1687.15</c:v>
                </c:pt>
                <c:pt idx="104" formatCode="General">
                  <c:v>1687.2</c:v>
                </c:pt>
                <c:pt idx="105" formatCode="General">
                  <c:v>1687.25</c:v>
                </c:pt>
                <c:pt idx="106" formatCode="General">
                  <c:v>1687.3</c:v>
                </c:pt>
                <c:pt idx="107" formatCode="General">
                  <c:v>1687.35</c:v>
                </c:pt>
                <c:pt idx="108" formatCode="General">
                  <c:v>1687.4</c:v>
                </c:pt>
                <c:pt idx="109" formatCode="General">
                  <c:v>1687.45</c:v>
                </c:pt>
                <c:pt idx="110" formatCode="General">
                  <c:v>1687.5</c:v>
                </c:pt>
                <c:pt idx="111" formatCode="General">
                  <c:v>1687.55</c:v>
                </c:pt>
                <c:pt idx="112" formatCode="General">
                  <c:v>1687.6</c:v>
                </c:pt>
                <c:pt idx="113" formatCode="General">
                  <c:v>1687.65</c:v>
                </c:pt>
                <c:pt idx="114" formatCode="General">
                  <c:v>1687.7</c:v>
                </c:pt>
                <c:pt idx="115" formatCode="General">
                  <c:v>1687.75</c:v>
                </c:pt>
                <c:pt idx="116" formatCode="General">
                  <c:v>1687.8</c:v>
                </c:pt>
                <c:pt idx="117" formatCode="General">
                  <c:v>1687.85</c:v>
                </c:pt>
                <c:pt idx="118" formatCode="General">
                  <c:v>1687.9</c:v>
                </c:pt>
                <c:pt idx="119" formatCode="General">
                  <c:v>1687.95</c:v>
                </c:pt>
                <c:pt idx="120" formatCode="General">
                  <c:v>1688</c:v>
                </c:pt>
              </c:numCache>
            </c:numRef>
          </c:xVal>
          <c:yVal>
            <c:numRef>
              <c:f>'Ex 2 Gauss 1'!$I$3:$I$123</c:f>
              <c:numCache>
                <c:formatCode>0.0000000000</c:formatCode>
                <c:ptCount val="121"/>
                <c:pt idx="0">
                  <c:v>9.0565104000000004E-3</c:v>
                </c:pt>
                <c:pt idx="1">
                  <c:v>1.0281139E-2</c:v>
                </c:pt>
                <c:pt idx="2">
                  <c:v>1.1667231E-2</c:v>
                </c:pt>
                <c:pt idx="3">
                  <c:v>1.3252603E-2</c:v>
                </c:pt>
                <c:pt idx="4">
                  <c:v>1.5054674000000001E-2</c:v>
                </c:pt>
                <c:pt idx="5">
                  <c:v>1.7098840000000001E-2</c:v>
                </c:pt>
                <c:pt idx="6">
                  <c:v>1.9403158E-2</c:v>
                </c:pt>
                <c:pt idx="7">
                  <c:v>2.1977310999999999E-2</c:v>
                </c:pt>
                <c:pt idx="8">
                  <c:v>2.4867671000000001E-2</c:v>
                </c:pt>
                <c:pt idx="9">
                  <c:v>2.8065125999999999E-2</c:v>
                </c:pt>
                <c:pt idx="10">
                  <c:v>3.1611594999999999E-2</c:v>
                </c:pt>
                <c:pt idx="11">
                  <c:v>3.552578E-2</c:v>
                </c:pt>
                <c:pt idx="12">
                  <c:v>3.9738752000000002E-2</c:v>
                </c:pt>
                <c:pt idx="13">
                  <c:v>4.4358338999999997E-2</c:v>
                </c:pt>
                <c:pt idx="14">
                  <c:v>4.9282707000000002E-2</c:v>
                </c:pt>
                <c:pt idx="15">
                  <c:v>5.4554763999999999E-2</c:v>
                </c:pt>
                <c:pt idx="16">
                  <c:v>6.0168172999999998E-2</c:v>
                </c:pt>
                <c:pt idx="17">
                  <c:v>6.5998919000000003E-2</c:v>
                </c:pt>
                <c:pt idx="18">
                  <c:v>7.2107449000000004E-2</c:v>
                </c:pt>
                <c:pt idx="19">
                  <c:v>7.8367934E-2</c:v>
                </c:pt>
                <c:pt idx="20">
                  <c:v>8.4798052999999998E-2</c:v>
                </c:pt>
                <c:pt idx="21">
                  <c:v>9.1317385000000001E-2</c:v>
                </c:pt>
                <c:pt idx="22">
                  <c:v>9.7761690999999998E-2</c:v>
                </c:pt>
                <c:pt idx="23">
                  <c:v>0.10427119999999999</c:v>
                </c:pt>
                <c:pt idx="24">
                  <c:v>0.11060723</c:v>
                </c:pt>
                <c:pt idx="25">
                  <c:v>0.11672701000000001</c:v>
                </c:pt>
                <c:pt idx="26">
                  <c:v>0.12270287000000001</c:v>
                </c:pt>
                <c:pt idx="27">
                  <c:v>0.12831073000000001</c:v>
                </c:pt>
                <c:pt idx="28">
                  <c:v>0.13367338000000001</c:v>
                </c:pt>
                <c:pt idx="29">
                  <c:v>0.13859479</c:v>
                </c:pt>
                <c:pt idx="30">
                  <c:v>0.14318380999999999</c:v>
                </c:pt>
                <c:pt idx="31">
                  <c:v>0.14736742999999999</c:v>
                </c:pt>
                <c:pt idx="32">
                  <c:v>0.15113503</c:v>
                </c:pt>
                <c:pt idx="33">
                  <c:v>0.15458387000000001</c:v>
                </c:pt>
                <c:pt idx="34">
                  <c:v>0.15751467999999999</c:v>
                </c:pt>
                <c:pt idx="35">
                  <c:v>0.16016169</c:v>
                </c:pt>
                <c:pt idx="36">
                  <c:v>0.16242398</c:v>
                </c:pt>
                <c:pt idx="37">
                  <c:v>0.16441133999999999</c:v>
                </c:pt>
                <c:pt idx="38">
                  <c:v>0.16601625</c:v>
                </c:pt>
                <c:pt idx="39">
                  <c:v>0.16748594</c:v>
                </c:pt>
                <c:pt idx="40">
                  <c:v>0.16863427</c:v>
                </c:pt>
                <c:pt idx="41">
                  <c:v>0.16963892999999999</c:v>
                </c:pt>
                <c:pt idx="42">
                  <c:v>0.17040329000000001</c:v>
                </c:pt>
                <c:pt idx="43">
                  <c:v>0.17111592</c:v>
                </c:pt>
                <c:pt idx="44">
                  <c:v>0.17162409000000001</c:v>
                </c:pt>
                <c:pt idx="45">
                  <c:v>0.17206996999999999</c:v>
                </c:pt>
                <c:pt idx="46">
                  <c:v>0.17248377000000001</c:v>
                </c:pt>
                <c:pt idx="47">
                  <c:v>0.17272599</c:v>
                </c:pt>
                <c:pt idx="48">
                  <c:v>0.17295641</c:v>
                </c:pt>
                <c:pt idx="49">
                  <c:v>0.17317326</c:v>
                </c:pt>
                <c:pt idx="50">
                  <c:v>0.17340543999999999</c:v>
                </c:pt>
                <c:pt idx="51">
                  <c:v>0.17347156999999999</c:v>
                </c:pt>
                <c:pt idx="52">
                  <c:v>0.17360838000000001</c:v>
                </c:pt>
                <c:pt idx="53">
                  <c:v>0.17369525</c:v>
                </c:pt>
                <c:pt idx="54">
                  <c:v>0.17380075</c:v>
                </c:pt>
                <c:pt idx="55">
                  <c:v>0.17389892000000001</c:v>
                </c:pt>
                <c:pt idx="56">
                  <c:v>0.17389204999999999</c:v>
                </c:pt>
                <c:pt idx="57">
                  <c:v>0.17402245</c:v>
                </c:pt>
                <c:pt idx="58">
                  <c:v>0.17406232999999999</c:v>
                </c:pt>
                <c:pt idx="59">
                  <c:v>0.17414473</c:v>
                </c:pt>
                <c:pt idx="60">
                  <c:v>0.17413084000000001</c:v>
                </c:pt>
                <c:pt idx="61">
                  <c:v>0.17414953999999999</c:v>
                </c:pt>
                <c:pt idx="62">
                  <c:v>0.17431360000000001</c:v>
                </c:pt>
                <c:pt idx="63">
                  <c:v>0.17425989</c:v>
                </c:pt>
                <c:pt idx="64">
                  <c:v>0.17430957</c:v>
                </c:pt>
                <c:pt idx="65">
                  <c:v>0.17428025999999999</c:v>
                </c:pt>
                <c:pt idx="66">
                  <c:v>0.17442321999999999</c:v>
                </c:pt>
                <c:pt idx="67">
                  <c:v>0.17447985999999999</c:v>
                </c:pt>
                <c:pt idx="68">
                  <c:v>0.17439318000000001</c:v>
                </c:pt>
                <c:pt idx="69">
                  <c:v>0.17443399000000001</c:v>
                </c:pt>
                <c:pt idx="70">
                  <c:v>0.17450246</c:v>
                </c:pt>
                <c:pt idx="71">
                  <c:v>0.17454217</c:v>
                </c:pt>
                <c:pt idx="72">
                  <c:v>0.17450966000000001</c:v>
                </c:pt>
                <c:pt idx="73">
                  <c:v>0.17453854999999999</c:v>
                </c:pt>
                <c:pt idx="74">
                  <c:v>0.17464084999999999</c:v>
                </c:pt>
                <c:pt idx="75">
                  <c:v>0.17464389</c:v>
                </c:pt>
                <c:pt idx="76">
                  <c:v>0.17453457</c:v>
                </c:pt>
                <c:pt idx="77">
                  <c:v>0.17462949</c:v>
                </c:pt>
                <c:pt idx="78">
                  <c:v>0.17467715</c:v>
                </c:pt>
                <c:pt idx="79">
                  <c:v>0.17472175000000001</c:v>
                </c:pt>
                <c:pt idx="80">
                  <c:v>0.17462952000000001</c:v>
                </c:pt>
                <c:pt idx="81">
                  <c:v>0.17467421</c:v>
                </c:pt>
                <c:pt idx="82">
                  <c:v>0.17475626999999999</c:v>
                </c:pt>
                <c:pt idx="83">
                  <c:v>0.17480066</c:v>
                </c:pt>
                <c:pt idx="84">
                  <c:v>0.17476273000000001</c:v>
                </c:pt>
                <c:pt idx="85">
                  <c:v>0.17469530999999999</c:v>
                </c:pt>
                <c:pt idx="86">
                  <c:v>0.17475657</c:v>
                </c:pt>
                <c:pt idx="87">
                  <c:v>0.17485503999999999</c:v>
                </c:pt>
                <c:pt idx="88">
                  <c:v>0.17485154999999999</c:v>
                </c:pt>
                <c:pt idx="89">
                  <c:v>0.17471918</c:v>
                </c:pt>
                <c:pt idx="90">
                  <c:v>0.17471179000000001</c:v>
                </c:pt>
                <c:pt idx="91">
                  <c:v>0.17488328</c:v>
                </c:pt>
                <c:pt idx="92">
                  <c:v>0.17496468000000001</c:v>
                </c:pt>
                <c:pt idx="93">
                  <c:v>0.17478368999999999</c:v>
                </c:pt>
                <c:pt idx="94">
                  <c:v>0.17471401</c:v>
                </c:pt>
                <c:pt idx="95">
                  <c:v>0.17492905</c:v>
                </c:pt>
                <c:pt idx="96">
                  <c:v>0.17499565</c:v>
                </c:pt>
                <c:pt idx="97">
                  <c:v>0.17485261999999999</c:v>
                </c:pt>
                <c:pt idx="98">
                  <c:v>0.17466693999999999</c:v>
                </c:pt>
                <c:pt idx="99">
                  <c:v>0.17488807000000001</c:v>
                </c:pt>
                <c:pt idx="100">
                  <c:v>0.1750689</c:v>
                </c:pt>
                <c:pt idx="101">
                  <c:v>0.17488055999999999</c:v>
                </c:pt>
                <c:pt idx="102">
                  <c:v>0.17466967999999999</c:v>
                </c:pt>
                <c:pt idx="103">
                  <c:v>0.17490789000000001</c:v>
                </c:pt>
                <c:pt idx="104">
                  <c:v>0.17508392</c:v>
                </c:pt>
                <c:pt idx="105">
                  <c:v>0.17486747</c:v>
                </c:pt>
                <c:pt idx="106">
                  <c:v>0.17470922999999999</c:v>
                </c:pt>
                <c:pt idx="107">
                  <c:v>0.17487401</c:v>
                </c:pt>
                <c:pt idx="108">
                  <c:v>0.17509106999999999</c:v>
                </c:pt>
                <c:pt idx="109">
                  <c:v>0.17496264</c:v>
                </c:pt>
                <c:pt idx="110">
                  <c:v>0.17463353000000001</c:v>
                </c:pt>
                <c:pt idx="111">
                  <c:v>0.17484155000000001</c:v>
                </c:pt>
                <c:pt idx="112">
                  <c:v>0.17514172</c:v>
                </c:pt>
                <c:pt idx="113">
                  <c:v>0.17495896</c:v>
                </c:pt>
                <c:pt idx="114">
                  <c:v>0.17471278000000001</c:v>
                </c:pt>
                <c:pt idx="115">
                  <c:v>0.17474050999999999</c:v>
                </c:pt>
                <c:pt idx="116">
                  <c:v>0.17500234000000001</c:v>
                </c:pt>
                <c:pt idx="117">
                  <c:v>0.1750263</c:v>
                </c:pt>
                <c:pt idx="118">
                  <c:v>0.17491676</c:v>
                </c:pt>
                <c:pt idx="119">
                  <c:v>0.17467917999999999</c:v>
                </c:pt>
                <c:pt idx="120">
                  <c:v>0.17488213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D41-45B5-8C97-1C93DBC2F62F}"/>
            </c:ext>
          </c:extLst>
        </c:ser>
        <c:ser>
          <c:idx val="2"/>
          <c:order val="2"/>
          <c:tx>
            <c:v>SIMNRA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'Ex 2 Gauss 1'!$K$3:$K$143</c:f>
              <c:numCache>
                <c:formatCode>General</c:formatCode>
                <c:ptCount val="141"/>
                <c:pt idx="0">
                  <c:v>1681</c:v>
                </c:pt>
                <c:pt idx="1">
                  <c:v>1681.05</c:v>
                </c:pt>
                <c:pt idx="2">
                  <c:v>1681.1</c:v>
                </c:pt>
                <c:pt idx="3">
                  <c:v>1681.15</c:v>
                </c:pt>
                <c:pt idx="4">
                  <c:v>1681.2</c:v>
                </c:pt>
                <c:pt idx="5">
                  <c:v>1681.25</c:v>
                </c:pt>
                <c:pt idx="6">
                  <c:v>1681.3</c:v>
                </c:pt>
                <c:pt idx="7">
                  <c:v>1681.35</c:v>
                </c:pt>
                <c:pt idx="8">
                  <c:v>1681.4</c:v>
                </c:pt>
                <c:pt idx="9">
                  <c:v>1681.45</c:v>
                </c:pt>
                <c:pt idx="10">
                  <c:v>1681.5</c:v>
                </c:pt>
                <c:pt idx="11">
                  <c:v>1681.55</c:v>
                </c:pt>
                <c:pt idx="12">
                  <c:v>1681.6</c:v>
                </c:pt>
                <c:pt idx="13">
                  <c:v>1681.65</c:v>
                </c:pt>
                <c:pt idx="14">
                  <c:v>1681.7</c:v>
                </c:pt>
                <c:pt idx="15">
                  <c:v>1681.75</c:v>
                </c:pt>
                <c:pt idx="16">
                  <c:v>1681.8</c:v>
                </c:pt>
                <c:pt idx="17">
                  <c:v>1681.85</c:v>
                </c:pt>
                <c:pt idx="18">
                  <c:v>1681.9</c:v>
                </c:pt>
                <c:pt idx="19">
                  <c:v>1681.95</c:v>
                </c:pt>
                <c:pt idx="20">
                  <c:v>1682</c:v>
                </c:pt>
                <c:pt idx="21">
                  <c:v>1682.05</c:v>
                </c:pt>
                <c:pt idx="22">
                  <c:v>1682.1</c:v>
                </c:pt>
                <c:pt idx="23">
                  <c:v>1682.15</c:v>
                </c:pt>
                <c:pt idx="24">
                  <c:v>1682.2</c:v>
                </c:pt>
                <c:pt idx="25">
                  <c:v>1682.25</c:v>
                </c:pt>
                <c:pt idx="26">
                  <c:v>1682.3</c:v>
                </c:pt>
                <c:pt idx="27">
                  <c:v>1682.35</c:v>
                </c:pt>
                <c:pt idx="28">
                  <c:v>1682.4</c:v>
                </c:pt>
                <c:pt idx="29">
                  <c:v>1682.45</c:v>
                </c:pt>
                <c:pt idx="30">
                  <c:v>1682.5</c:v>
                </c:pt>
                <c:pt idx="31">
                  <c:v>1682.55</c:v>
                </c:pt>
                <c:pt idx="32">
                  <c:v>1682.6</c:v>
                </c:pt>
                <c:pt idx="33">
                  <c:v>1682.65</c:v>
                </c:pt>
                <c:pt idx="34">
                  <c:v>1682.7</c:v>
                </c:pt>
                <c:pt idx="35">
                  <c:v>1682.75</c:v>
                </c:pt>
                <c:pt idx="36">
                  <c:v>1682.8</c:v>
                </c:pt>
                <c:pt idx="37">
                  <c:v>1682.85</c:v>
                </c:pt>
                <c:pt idx="38">
                  <c:v>1682.9</c:v>
                </c:pt>
                <c:pt idx="39">
                  <c:v>1682.95</c:v>
                </c:pt>
                <c:pt idx="40">
                  <c:v>1683</c:v>
                </c:pt>
                <c:pt idx="41">
                  <c:v>1683.05</c:v>
                </c:pt>
                <c:pt idx="42">
                  <c:v>1683.1</c:v>
                </c:pt>
                <c:pt idx="43">
                  <c:v>1683.15</c:v>
                </c:pt>
                <c:pt idx="44">
                  <c:v>1683.2</c:v>
                </c:pt>
                <c:pt idx="45">
                  <c:v>1683.25</c:v>
                </c:pt>
                <c:pt idx="46">
                  <c:v>1683.3</c:v>
                </c:pt>
                <c:pt idx="47">
                  <c:v>1683.35</c:v>
                </c:pt>
                <c:pt idx="48">
                  <c:v>1683.4</c:v>
                </c:pt>
                <c:pt idx="49">
                  <c:v>1683.45</c:v>
                </c:pt>
                <c:pt idx="50">
                  <c:v>1683.5</c:v>
                </c:pt>
                <c:pt idx="51">
                  <c:v>1683.55</c:v>
                </c:pt>
                <c:pt idx="52">
                  <c:v>1683.6</c:v>
                </c:pt>
                <c:pt idx="53">
                  <c:v>1683.65</c:v>
                </c:pt>
                <c:pt idx="54">
                  <c:v>1683.7</c:v>
                </c:pt>
                <c:pt idx="55">
                  <c:v>1683.75</c:v>
                </c:pt>
                <c:pt idx="56">
                  <c:v>1683.8</c:v>
                </c:pt>
                <c:pt idx="57">
                  <c:v>1683.85</c:v>
                </c:pt>
                <c:pt idx="58">
                  <c:v>1683.9</c:v>
                </c:pt>
                <c:pt idx="59">
                  <c:v>1683.95</c:v>
                </c:pt>
                <c:pt idx="60">
                  <c:v>1684</c:v>
                </c:pt>
                <c:pt idx="61">
                  <c:v>1684.05</c:v>
                </c:pt>
                <c:pt idx="62">
                  <c:v>1684.1</c:v>
                </c:pt>
                <c:pt idx="63">
                  <c:v>1684.15</c:v>
                </c:pt>
                <c:pt idx="64">
                  <c:v>1684.2</c:v>
                </c:pt>
                <c:pt idx="65">
                  <c:v>1684.25</c:v>
                </c:pt>
                <c:pt idx="66">
                  <c:v>1684.3</c:v>
                </c:pt>
                <c:pt idx="67">
                  <c:v>1684.35</c:v>
                </c:pt>
                <c:pt idx="68">
                  <c:v>1684.4</c:v>
                </c:pt>
                <c:pt idx="69">
                  <c:v>1684.45</c:v>
                </c:pt>
                <c:pt idx="70">
                  <c:v>1684.5</c:v>
                </c:pt>
                <c:pt idx="71">
                  <c:v>1684.55</c:v>
                </c:pt>
                <c:pt idx="72">
                  <c:v>1684.6</c:v>
                </c:pt>
                <c:pt idx="73">
                  <c:v>1684.65</c:v>
                </c:pt>
                <c:pt idx="74">
                  <c:v>1684.7</c:v>
                </c:pt>
                <c:pt idx="75">
                  <c:v>1684.75</c:v>
                </c:pt>
                <c:pt idx="76">
                  <c:v>1684.8</c:v>
                </c:pt>
                <c:pt idx="77">
                  <c:v>1684.85</c:v>
                </c:pt>
                <c:pt idx="78">
                  <c:v>1684.9</c:v>
                </c:pt>
                <c:pt idx="79">
                  <c:v>1684.95</c:v>
                </c:pt>
                <c:pt idx="80">
                  <c:v>1685</c:v>
                </c:pt>
                <c:pt idx="81">
                  <c:v>1685.05</c:v>
                </c:pt>
                <c:pt idx="82">
                  <c:v>1685.1</c:v>
                </c:pt>
                <c:pt idx="83">
                  <c:v>1685.15</c:v>
                </c:pt>
                <c:pt idx="84">
                  <c:v>1685.2</c:v>
                </c:pt>
                <c:pt idx="85">
                  <c:v>1685.25</c:v>
                </c:pt>
                <c:pt idx="86">
                  <c:v>1685.3</c:v>
                </c:pt>
                <c:pt idx="87">
                  <c:v>1685.35</c:v>
                </c:pt>
                <c:pt idx="88">
                  <c:v>1685.4</c:v>
                </c:pt>
                <c:pt idx="89">
                  <c:v>1685.45</c:v>
                </c:pt>
                <c:pt idx="90">
                  <c:v>1685.5</c:v>
                </c:pt>
                <c:pt idx="91">
                  <c:v>1685.55</c:v>
                </c:pt>
                <c:pt idx="92">
                  <c:v>1685.6</c:v>
                </c:pt>
                <c:pt idx="93">
                  <c:v>1685.65</c:v>
                </c:pt>
                <c:pt idx="94">
                  <c:v>1685.7</c:v>
                </c:pt>
                <c:pt idx="95">
                  <c:v>1685.75</c:v>
                </c:pt>
                <c:pt idx="96">
                  <c:v>1685.8</c:v>
                </c:pt>
                <c:pt idx="97">
                  <c:v>1685.85</c:v>
                </c:pt>
                <c:pt idx="98">
                  <c:v>1685.9</c:v>
                </c:pt>
                <c:pt idx="99">
                  <c:v>1685.95</c:v>
                </c:pt>
                <c:pt idx="100">
                  <c:v>1686</c:v>
                </c:pt>
                <c:pt idx="101">
                  <c:v>1686.05</c:v>
                </c:pt>
                <c:pt idx="102">
                  <c:v>1686.1</c:v>
                </c:pt>
                <c:pt idx="103">
                  <c:v>1686.15</c:v>
                </c:pt>
                <c:pt idx="104">
                  <c:v>1686.2</c:v>
                </c:pt>
                <c:pt idx="105">
                  <c:v>1686.25</c:v>
                </c:pt>
                <c:pt idx="106">
                  <c:v>1686.3</c:v>
                </c:pt>
                <c:pt idx="107">
                  <c:v>1686.35</c:v>
                </c:pt>
                <c:pt idx="108">
                  <c:v>1686.4</c:v>
                </c:pt>
                <c:pt idx="109">
                  <c:v>1686.45</c:v>
                </c:pt>
                <c:pt idx="110">
                  <c:v>1686.5</c:v>
                </c:pt>
                <c:pt idx="111">
                  <c:v>1686.55</c:v>
                </c:pt>
                <c:pt idx="112">
                  <c:v>1686.6</c:v>
                </c:pt>
                <c:pt idx="113">
                  <c:v>1686.65</c:v>
                </c:pt>
                <c:pt idx="114">
                  <c:v>1686.7</c:v>
                </c:pt>
                <c:pt idx="115">
                  <c:v>1686.75</c:v>
                </c:pt>
                <c:pt idx="116">
                  <c:v>1686.8</c:v>
                </c:pt>
                <c:pt idx="117">
                  <c:v>1686.85</c:v>
                </c:pt>
                <c:pt idx="118">
                  <c:v>1686.9</c:v>
                </c:pt>
                <c:pt idx="119">
                  <c:v>1686.95</c:v>
                </c:pt>
                <c:pt idx="120">
                  <c:v>1687</c:v>
                </c:pt>
                <c:pt idx="121">
                  <c:v>1687.05</c:v>
                </c:pt>
                <c:pt idx="122">
                  <c:v>1687.1</c:v>
                </c:pt>
                <c:pt idx="123">
                  <c:v>1687.15</c:v>
                </c:pt>
                <c:pt idx="124">
                  <c:v>1687.2</c:v>
                </c:pt>
                <c:pt idx="125">
                  <c:v>1687.25</c:v>
                </c:pt>
                <c:pt idx="126">
                  <c:v>1687.3</c:v>
                </c:pt>
                <c:pt idx="127">
                  <c:v>1687.35</c:v>
                </c:pt>
                <c:pt idx="128">
                  <c:v>1687.4</c:v>
                </c:pt>
                <c:pt idx="129">
                  <c:v>1687.45</c:v>
                </c:pt>
                <c:pt idx="130">
                  <c:v>1687.5</c:v>
                </c:pt>
                <c:pt idx="131">
                  <c:v>1687.55</c:v>
                </c:pt>
                <c:pt idx="132">
                  <c:v>1687.6</c:v>
                </c:pt>
                <c:pt idx="133">
                  <c:v>1687.65</c:v>
                </c:pt>
                <c:pt idx="134">
                  <c:v>1687.7</c:v>
                </c:pt>
                <c:pt idx="135">
                  <c:v>1687.75</c:v>
                </c:pt>
                <c:pt idx="136">
                  <c:v>1687.8</c:v>
                </c:pt>
                <c:pt idx="137">
                  <c:v>1687.85</c:v>
                </c:pt>
                <c:pt idx="138">
                  <c:v>1687.9</c:v>
                </c:pt>
                <c:pt idx="139">
                  <c:v>1687.95</c:v>
                </c:pt>
                <c:pt idx="140">
                  <c:v>1688</c:v>
                </c:pt>
              </c:numCache>
            </c:numRef>
          </c:xVal>
          <c:yVal>
            <c:numRef>
              <c:f>'Ex 2 Gauss 1'!$L$3:$L$143</c:f>
              <c:numCache>
                <c:formatCode>0.0000000000</c:formatCode>
                <c:ptCount val="141"/>
                <c:pt idx="0">
                  <c:v>1.2168819722832901E-3</c:v>
                </c:pt>
                <c:pt idx="1">
                  <c:v>1.30673541265033E-3</c:v>
                </c:pt>
                <c:pt idx="2">
                  <c:v>1.4071043779100799E-3</c:v>
                </c:pt>
                <c:pt idx="3">
                  <c:v>1.5195744944967299E-3</c:v>
                </c:pt>
                <c:pt idx="4">
                  <c:v>1.6459866963240699E-3</c:v>
                </c:pt>
                <c:pt idx="5">
                  <c:v>1.78848165606435E-3</c:v>
                </c:pt>
                <c:pt idx="6">
                  <c:v>1.9495479916258301E-3</c:v>
                </c:pt>
                <c:pt idx="7">
                  <c:v>2.1320768347373301E-3</c:v>
                </c:pt>
                <c:pt idx="8">
                  <c:v>2.33942409359324E-3</c:v>
                </c:pt>
                <c:pt idx="9">
                  <c:v>2.5754838014751102E-3</c:v>
                </c:pt>
                <c:pt idx="10">
                  <c:v>2.84476799194428E-3</c:v>
                </c:pt>
                <c:pt idx="11">
                  <c:v>3.15249862182417E-3</c:v>
                </c:pt>
                <c:pt idx="12">
                  <c:v>3.50470568643154E-3</c:v>
                </c:pt>
                <c:pt idx="13">
                  <c:v>3.9083369736490998E-3</c:v>
                </c:pt>
                <c:pt idx="14">
                  <c:v>4.3713710223870998E-3</c:v>
                </c:pt>
                <c:pt idx="15">
                  <c:v>4.90293781603877E-3</c:v>
                </c:pt>
                <c:pt idx="16">
                  <c:v>5.5134351153663698E-3</c:v>
                </c:pt>
                <c:pt idx="17">
                  <c:v>6.2146429426445798E-3</c:v>
                </c:pt>
                <c:pt idx="18">
                  <c:v>7.0198192272103504E-3</c:v>
                </c:pt>
                <c:pt idx="19">
                  <c:v>7.9437761395178101E-3</c:v>
                </c:pt>
                <c:pt idx="20">
                  <c:v>9.0029145015722203E-3</c:v>
                </c:pt>
                <c:pt idx="21">
                  <c:v>1.02152126464504E-2</c:v>
                </c:pt>
                <c:pt idx="22">
                  <c:v>1.16001421804356E-2</c:v>
                </c:pt>
                <c:pt idx="23">
                  <c:v>1.31785055807189E-2</c:v>
                </c:pt>
                <c:pt idx="24">
                  <c:v>1.4972166226852201E-2</c:v>
                </c:pt>
                <c:pt idx="25">
                  <c:v>1.7003668831971901E-2</c:v>
                </c:pt>
                <c:pt idx="26">
                  <c:v>1.9295725108673299E-2</c:v>
                </c:pt>
                <c:pt idx="27">
                  <c:v>2.1870572991593701E-2</c:v>
                </c:pt>
                <c:pt idx="28">
                  <c:v>2.4749196780365499E-2</c:v>
                </c:pt>
                <c:pt idx="29">
                  <c:v>2.7950435427123999E-2</c:v>
                </c:pt>
                <c:pt idx="30">
                  <c:v>3.1489986855458098E-2</c:v>
                </c:pt>
                <c:pt idx="31">
                  <c:v>3.5379360564906197E-2</c:v>
                </c:pt>
                <c:pt idx="32">
                  <c:v>3.96248102382281E-2</c:v>
                </c:pt>
                <c:pt idx="33">
                  <c:v>4.4226322761060102E-2</c:v>
                </c:pt>
                <c:pt idx="34">
                  <c:v>4.9176713452546601E-2</c:v>
                </c:pt>
                <c:pt idx="35">
                  <c:v>5.4460916716658897E-2</c:v>
                </c:pt>
                <c:pt idx="36">
                  <c:v>6.00555233669871E-2</c:v>
                </c:pt>
                <c:pt idx="37">
                  <c:v>6.5928645340038006E-2</c:v>
                </c:pt>
                <c:pt idx="38">
                  <c:v>7.2040136312501807E-2</c:v>
                </c:pt>
                <c:pt idx="39">
                  <c:v>7.8342215338556204E-2</c:v>
                </c:pt>
                <c:pt idx="40">
                  <c:v>8.4780476194902102E-2</c:v>
                </c:pt>
                <c:pt idx="41">
                  <c:v>9.12952774847203E-2</c:v>
                </c:pt>
                <c:pt idx="42">
                  <c:v>9.7823439403581805E-2</c:v>
                </c:pt>
                <c:pt idx="43">
                  <c:v>0.104300188524428</c:v>
                </c:pt>
                <c:pt idx="44">
                  <c:v>0.110661228738538</c:v>
                </c:pt>
                <c:pt idx="45">
                  <c:v>0.116844845355879</c:v>
                </c:pt>
                <c:pt idx="46">
                  <c:v>0.12279390123994501</c:v>
                </c:pt>
                <c:pt idx="47">
                  <c:v>0.12845763248088701</c:v>
                </c:pt>
                <c:pt idx="48">
                  <c:v>0.13379312114901101</c:v>
                </c:pt>
                <c:pt idx="49">
                  <c:v>0.138766389923966</c:v>
                </c:pt>
                <c:pt idx="50">
                  <c:v>0.143353046720338</c:v>
                </c:pt>
                <c:pt idx="51">
                  <c:v>0.14753848480041801</c:v>
                </c:pt>
                <c:pt idx="52">
                  <c:v>0.15131762977853</c:v>
                </c:pt>
                <c:pt idx="53">
                  <c:v>0.15469430042139401</c:v>
                </c:pt>
                <c:pt idx="54">
                  <c:v>0.15768022719944599</c:v>
                </c:pt>
                <c:pt idx="55">
                  <c:v>0.160293836212407</c:v>
                </c:pt>
                <c:pt idx="56">
                  <c:v>0.16255886726632601</c:v>
                </c:pt>
                <c:pt idx="57">
                  <c:v>0.16450294288612399</c:v>
                </c:pt>
                <c:pt idx="58">
                  <c:v>0.16615615020656199</c:v>
                </c:pt>
                <c:pt idx="59">
                  <c:v>0.16754973301305801</c:v>
                </c:pt>
                <c:pt idx="60">
                  <c:v>0.16871492611079</c:v>
                </c:pt>
                <c:pt idx="61">
                  <c:v>0.16968199406415899</c:v>
                </c:pt>
                <c:pt idx="62">
                  <c:v>0.170479468986032</c:v>
                </c:pt>
                <c:pt idx="63">
                  <c:v>0.171133613956134</c:v>
                </c:pt>
                <c:pt idx="64">
                  <c:v>0.17166807551145999</c:v>
                </c:pt>
                <c:pt idx="65">
                  <c:v>0.17210372724928599</c:v>
                </c:pt>
                <c:pt idx="66">
                  <c:v>0.172458650623769</c:v>
                </c:pt>
                <c:pt idx="67">
                  <c:v>0.17274824516211801</c:v>
                </c:pt>
                <c:pt idx="68">
                  <c:v>0.17298541090413</c:v>
                </c:pt>
                <c:pt idx="69">
                  <c:v>0.173180797706148</c:v>
                </c:pt>
                <c:pt idx="70">
                  <c:v>0.173343070544074</c:v>
                </c:pt>
                <c:pt idx="71">
                  <c:v>0.173479194397965</c:v>
                </c:pt>
                <c:pt idx="72">
                  <c:v>0.17359469791482501</c:v>
                </c:pt>
                <c:pt idx="73">
                  <c:v>0.17369392954725499</c:v>
                </c:pt>
                <c:pt idx="74">
                  <c:v>0.17378027467193799</c:v>
                </c:pt>
                <c:pt idx="75">
                  <c:v>0.173856355289492</c:v>
                </c:pt>
                <c:pt idx="76">
                  <c:v>0.17392418715010699</c:v>
                </c:pt>
                <c:pt idx="77">
                  <c:v>0.17398532054622601</c:v>
                </c:pt>
                <c:pt idx="78">
                  <c:v>0.17404094281944901</c:v>
                </c:pt>
                <c:pt idx="79">
                  <c:v>0.17409197056445</c:v>
                </c:pt>
                <c:pt idx="80">
                  <c:v>0.17413911051164899</c:v>
                </c:pt>
                <c:pt idx="81">
                  <c:v>0.17418291705861799</c:v>
                </c:pt>
                <c:pt idx="82">
                  <c:v>0.174223825062298</c:v>
                </c:pt>
                <c:pt idx="83">
                  <c:v>0.17426218505606</c:v>
                </c:pt>
                <c:pt idx="84">
                  <c:v>0.17429827877568799</c:v>
                </c:pt>
                <c:pt idx="85">
                  <c:v>0.17433234113450399</c:v>
                </c:pt>
                <c:pt idx="86">
                  <c:v>0.17436456586761201</c:v>
                </c:pt>
                <c:pt idx="87">
                  <c:v>0.174395120088565</c:v>
                </c:pt>
                <c:pt idx="88">
                  <c:v>0.17442414446346299</c:v>
                </c:pt>
                <c:pt idx="89">
                  <c:v>0.174451763946357</c:v>
                </c:pt>
                <c:pt idx="90">
                  <c:v>0.17447808650362701</c:v>
                </c:pt>
                <c:pt idx="91">
                  <c:v>0.17450321004020899</c:v>
                </c:pt>
                <c:pt idx="92">
                  <c:v>0.174527220475241</c:v>
                </c:pt>
                <c:pt idx="93">
                  <c:v>0.174550194486706</c:v>
                </c:pt>
                <c:pt idx="94">
                  <c:v>0.174572201443398</c:v>
                </c:pt>
                <c:pt idx="95">
                  <c:v>0.17459330527561501</c:v>
                </c:pt>
                <c:pt idx="96">
                  <c:v>0.174613561075975</c:v>
                </c:pt>
                <c:pt idx="97">
                  <c:v>0.17463302321976101</c:v>
                </c:pt>
                <c:pt idx="98">
                  <c:v>0.17465173763811201</c:v>
                </c:pt>
                <c:pt idx="99">
                  <c:v>0.174669749361171</c:v>
                </c:pt>
                <c:pt idx="100">
                  <c:v>0.17468709762267501</c:v>
                </c:pt>
                <c:pt idx="101">
                  <c:v>0.174703820345984</c:v>
                </c:pt>
                <c:pt idx="102">
                  <c:v>0.17471995033354601</c:v>
                </c:pt>
                <c:pt idx="103">
                  <c:v>0.17473552102064399</c:v>
                </c:pt>
                <c:pt idx="104">
                  <c:v>0.174750559428275</c:v>
                </c:pt>
                <c:pt idx="105">
                  <c:v>0.17476509453943001</c:v>
                </c:pt>
                <c:pt idx="106">
                  <c:v>0.17477914985565801</c:v>
                </c:pt>
                <c:pt idx="107">
                  <c:v>0.17479274972348899</c:v>
                </c:pt>
                <c:pt idx="108">
                  <c:v>0.17480591506021301</c:v>
                </c:pt>
                <c:pt idx="109">
                  <c:v>0.174818666136802</c:v>
                </c:pt>
                <c:pt idx="110">
                  <c:v>0.17483102139748299</c:v>
                </c:pt>
                <c:pt idx="111">
                  <c:v>0.17484299834338299</c:v>
                </c:pt>
                <c:pt idx="112">
                  <c:v>0.17485461225149601</c:v>
                </c:pt>
                <c:pt idx="113">
                  <c:v>0.17486587884857999</c:v>
                </c:pt>
                <c:pt idx="114">
                  <c:v>0.17487681030546701</c:v>
                </c:pt>
                <c:pt idx="115">
                  <c:v>0.174887420765615</c:v>
                </c:pt>
                <c:pt idx="116">
                  <c:v>0.174897719461</c:v>
                </c:pt>
                <c:pt idx="117">
                  <c:v>0.174907718827262</c:v>
                </c:pt>
                <c:pt idx="118">
                  <c:v>0.17491742588955</c:v>
                </c:pt>
                <c:pt idx="119">
                  <c:v>0.17492685052737</c:v>
                </c:pt>
                <c:pt idx="120">
                  <c:v>0.17493599825819101</c:v>
                </c:pt>
                <c:pt idx="121">
                  <c:v>0.174944876072856</c:v>
                </c:pt>
                <c:pt idx="122">
                  <c:v>0.17495348797103799</c:v>
                </c:pt>
                <c:pt idx="123">
                  <c:v>0.174961838120052</c:v>
                </c:pt>
                <c:pt idx="124">
                  <c:v>0.174969928537448</c:v>
                </c:pt>
                <c:pt idx="125">
                  <c:v>0.17497776128874001</c:v>
                </c:pt>
                <c:pt idx="126">
                  <c:v>0.174985335607488</c:v>
                </c:pt>
                <c:pt idx="127">
                  <c:v>0.17499265187452701</c:v>
                </c:pt>
                <c:pt idx="128">
                  <c:v>0.17499970701391199</c:v>
                </c:pt>
                <c:pt idx="129">
                  <c:v>0.17500649905765001</c:v>
                </c:pt>
                <c:pt idx="130">
                  <c:v>0.175013023693009</c:v>
                </c:pt>
                <c:pt idx="131">
                  <c:v>0.175019277063375</c:v>
                </c:pt>
                <c:pt idx="132">
                  <c:v>0.17502525347739001</c:v>
                </c:pt>
                <c:pt idx="133">
                  <c:v>0.17503094879615899</c:v>
                </c:pt>
                <c:pt idx="134">
                  <c:v>0.175036356564336</c:v>
                </c:pt>
                <c:pt idx="135">
                  <c:v>0.17504147294110001</c:v>
                </c:pt>
                <c:pt idx="136">
                  <c:v>0.17504629270191099</c:v>
                </c:pt>
                <c:pt idx="137">
                  <c:v>0.17505081303725201</c:v>
                </c:pt>
                <c:pt idx="138">
                  <c:v>0.17505503087781699</c:v>
                </c:pt>
                <c:pt idx="139">
                  <c:v>0.175058946457057</c:v>
                </c:pt>
                <c:pt idx="140">
                  <c:v>0.17506255961518299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D41-45B5-8C97-1C93DBC2F62F}"/>
            </c:ext>
          </c:extLst>
        </c:ser>
        <c:ser>
          <c:idx val="3"/>
          <c:order val="3"/>
          <c:tx>
            <c:v>ERYA 3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'Ex 2 Gauss 1'!$E$3:$E$123</c:f>
              <c:numCache>
                <c:formatCode>0.00</c:formatCode>
                <c:ptCount val="121"/>
                <c:pt idx="0">
                  <c:v>1682</c:v>
                </c:pt>
                <c:pt idx="1">
                  <c:v>1682.05</c:v>
                </c:pt>
                <c:pt idx="2">
                  <c:v>1682.1</c:v>
                </c:pt>
                <c:pt idx="3">
                  <c:v>1682.15</c:v>
                </c:pt>
                <c:pt idx="4">
                  <c:v>1682.2</c:v>
                </c:pt>
                <c:pt idx="5">
                  <c:v>1682.25</c:v>
                </c:pt>
                <c:pt idx="6">
                  <c:v>1682.3</c:v>
                </c:pt>
                <c:pt idx="7">
                  <c:v>1682.35</c:v>
                </c:pt>
                <c:pt idx="8">
                  <c:v>1682.4</c:v>
                </c:pt>
                <c:pt idx="9">
                  <c:v>1682.45</c:v>
                </c:pt>
                <c:pt idx="10">
                  <c:v>1682.5</c:v>
                </c:pt>
                <c:pt idx="11">
                  <c:v>1682.55</c:v>
                </c:pt>
                <c:pt idx="12">
                  <c:v>1682.6</c:v>
                </c:pt>
                <c:pt idx="13" formatCode="General">
                  <c:v>1682.65</c:v>
                </c:pt>
                <c:pt idx="14" formatCode="General">
                  <c:v>1682.7</c:v>
                </c:pt>
                <c:pt idx="15" formatCode="General">
                  <c:v>1682.75</c:v>
                </c:pt>
                <c:pt idx="16" formatCode="General">
                  <c:v>1682.8</c:v>
                </c:pt>
                <c:pt idx="17" formatCode="General">
                  <c:v>1682.85</c:v>
                </c:pt>
                <c:pt idx="18" formatCode="General">
                  <c:v>1682.9</c:v>
                </c:pt>
                <c:pt idx="19" formatCode="General">
                  <c:v>1682.95</c:v>
                </c:pt>
                <c:pt idx="20" formatCode="General">
                  <c:v>1683</c:v>
                </c:pt>
                <c:pt idx="21" formatCode="General">
                  <c:v>1683.05</c:v>
                </c:pt>
                <c:pt idx="22" formatCode="General">
                  <c:v>1683.1</c:v>
                </c:pt>
                <c:pt idx="23" formatCode="General">
                  <c:v>1683.15</c:v>
                </c:pt>
                <c:pt idx="24" formatCode="General">
                  <c:v>1683.2</c:v>
                </c:pt>
                <c:pt idx="25" formatCode="General">
                  <c:v>1683.25</c:v>
                </c:pt>
                <c:pt idx="26" formatCode="General">
                  <c:v>1683.3</c:v>
                </c:pt>
                <c:pt idx="27" formatCode="General">
                  <c:v>1683.35</c:v>
                </c:pt>
                <c:pt idx="28" formatCode="General">
                  <c:v>1683.4</c:v>
                </c:pt>
                <c:pt idx="29" formatCode="General">
                  <c:v>1683.45</c:v>
                </c:pt>
                <c:pt idx="30" formatCode="General">
                  <c:v>1683.5</c:v>
                </c:pt>
                <c:pt idx="31" formatCode="General">
                  <c:v>1683.55</c:v>
                </c:pt>
                <c:pt idx="32" formatCode="General">
                  <c:v>1683.6</c:v>
                </c:pt>
                <c:pt idx="33" formatCode="General">
                  <c:v>1683.65</c:v>
                </c:pt>
                <c:pt idx="34" formatCode="General">
                  <c:v>1683.7</c:v>
                </c:pt>
                <c:pt idx="35" formatCode="General">
                  <c:v>1683.75</c:v>
                </c:pt>
                <c:pt idx="36" formatCode="General">
                  <c:v>1683.8</c:v>
                </c:pt>
                <c:pt idx="37" formatCode="General">
                  <c:v>1683.85</c:v>
                </c:pt>
                <c:pt idx="38" formatCode="General">
                  <c:v>1683.9</c:v>
                </c:pt>
                <c:pt idx="39" formatCode="General">
                  <c:v>1683.95</c:v>
                </c:pt>
                <c:pt idx="40" formatCode="General">
                  <c:v>1684</c:v>
                </c:pt>
                <c:pt idx="41" formatCode="General">
                  <c:v>1684.05</c:v>
                </c:pt>
                <c:pt idx="42" formatCode="General">
                  <c:v>1684.1</c:v>
                </c:pt>
                <c:pt idx="43" formatCode="General">
                  <c:v>1684.15</c:v>
                </c:pt>
                <c:pt idx="44" formatCode="General">
                  <c:v>1684.2</c:v>
                </c:pt>
                <c:pt idx="45" formatCode="General">
                  <c:v>1684.25</c:v>
                </c:pt>
                <c:pt idx="46" formatCode="General">
                  <c:v>1684.3</c:v>
                </c:pt>
                <c:pt idx="47" formatCode="General">
                  <c:v>1684.35</c:v>
                </c:pt>
                <c:pt idx="48" formatCode="General">
                  <c:v>1684.4</c:v>
                </c:pt>
                <c:pt idx="49" formatCode="General">
                  <c:v>1684.45</c:v>
                </c:pt>
                <c:pt idx="50" formatCode="General">
                  <c:v>1684.5</c:v>
                </c:pt>
                <c:pt idx="51" formatCode="General">
                  <c:v>1684.55</c:v>
                </c:pt>
                <c:pt idx="52" formatCode="General">
                  <c:v>1684.6</c:v>
                </c:pt>
                <c:pt idx="53" formatCode="General">
                  <c:v>1684.65</c:v>
                </c:pt>
                <c:pt idx="54" formatCode="General">
                  <c:v>1684.7</c:v>
                </c:pt>
                <c:pt idx="55" formatCode="General">
                  <c:v>1684.75</c:v>
                </c:pt>
                <c:pt idx="56" formatCode="General">
                  <c:v>1684.8</c:v>
                </c:pt>
                <c:pt idx="57" formatCode="General">
                  <c:v>1684.85</c:v>
                </c:pt>
                <c:pt idx="58" formatCode="General">
                  <c:v>1684.9</c:v>
                </c:pt>
                <c:pt idx="59" formatCode="General">
                  <c:v>1684.95</c:v>
                </c:pt>
                <c:pt idx="60" formatCode="General">
                  <c:v>1685</c:v>
                </c:pt>
                <c:pt idx="61" formatCode="General">
                  <c:v>1685.05</c:v>
                </c:pt>
                <c:pt idx="62" formatCode="General">
                  <c:v>1685.1</c:v>
                </c:pt>
                <c:pt idx="63" formatCode="General">
                  <c:v>1685.15</c:v>
                </c:pt>
                <c:pt idx="64" formatCode="General">
                  <c:v>1685.2</c:v>
                </c:pt>
                <c:pt idx="65" formatCode="General">
                  <c:v>1685.25</c:v>
                </c:pt>
                <c:pt idx="66" formatCode="General">
                  <c:v>1685.3</c:v>
                </c:pt>
                <c:pt idx="67" formatCode="General">
                  <c:v>1685.35</c:v>
                </c:pt>
                <c:pt idx="68" formatCode="General">
                  <c:v>1685.4</c:v>
                </c:pt>
                <c:pt idx="69" formatCode="General">
                  <c:v>1685.45</c:v>
                </c:pt>
                <c:pt idx="70" formatCode="General">
                  <c:v>1685.5</c:v>
                </c:pt>
                <c:pt idx="71" formatCode="General">
                  <c:v>1685.55</c:v>
                </c:pt>
                <c:pt idx="72" formatCode="General">
                  <c:v>1685.6</c:v>
                </c:pt>
                <c:pt idx="73" formatCode="General">
                  <c:v>1685.65</c:v>
                </c:pt>
                <c:pt idx="74" formatCode="General">
                  <c:v>1685.7</c:v>
                </c:pt>
                <c:pt idx="75" formatCode="General">
                  <c:v>1685.75</c:v>
                </c:pt>
                <c:pt idx="76" formatCode="General">
                  <c:v>1685.8</c:v>
                </c:pt>
                <c:pt idx="77" formatCode="General">
                  <c:v>1685.85</c:v>
                </c:pt>
                <c:pt idx="78" formatCode="General">
                  <c:v>1685.9</c:v>
                </c:pt>
                <c:pt idx="79" formatCode="General">
                  <c:v>1685.95</c:v>
                </c:pt>
                <c:pt idx="80" formatCode="General">
                  <c:v>1686</c:v>
                </c:pt>
                <c:pt idx="81" formatCode="General">
                  <c:v>1686.05</c:v>
                </c:pt>
                <c:pt idx="82" formatCode="General">
                  <c:v>1686.1</c:v>
                </c:pt>
                <c:pt idx="83" formatCode="General">
                  <c:v>1686.15</c:v>
                </c:pt>
                <c:pt idx="84" formatCode="General">
                  <c:v>1686.2</c:v>
                </c:pt>
                <c:pt idx="85" formatCode="General">
                  <c:v>1686.25</c:v>
                </c:pt>
                <c:pt idx="86" formatCode="General">
                  <c:v>1686.3</c:v>
                </c:pt>
                <c:pt idx="87" formatCode="General">
                  <c:v>1686.35</c:v>
                </c:pt>
                <c:pt idx="88" formatCode="General">
                  <c:v>1686.4</c:v>
                </c:pt>
                <c:pt idx="89" formatCode="General">
                  <c:v>1686.45</c:v>
                </c:pt>
                <c:pt idx="90" formatCode="General">
                  <c:v>1686.5</c:v>
                </c:pt>
                <c:pt idx="91" formatCode="General">
                  <c:v>1686.55</c:v>
                </c:pt>
                <c:pt idx="92" formatCode="General">
                  <c:v>1686.6</c:v>
                </c:pt>
                <c:pt idx="93" formatCode="General">
                  <c:v>1686.65</c:v>
                </c:pt>
                <c:pt idx="94" formatCode="General">
                  <c:v>1686.7</c:v>
                </c:pt>
                <c:pt idx="95" formatCode="General">
                  <c:v>1686.75</c:v>
                </c:pt>
                <c:pt idx="96" formatCode="General">
                  <c:v>1686.8</c:v>
                </c:pt>
                <c:pt idx="97" formatCode="General">
                  <c:v>1686.85</c:v>
                </c:pt>
                <c:pt idx="98" formatCode="General">
                  <c:v>1686.9</c:v>
                </c:pt>
                <c:pt idx="99" formatCode="General">
                  <c:v>1686.95</c:v>
                </c:pt>
                <c:pt idx="100" formatCode="General">
                  <c:v>1687</c:v>
                </c:pt>
                <c:pt idx="101" formatCode="General">
                  <c:v>1687.05</c:v>
                </c:pt>
                <c:pt idx="102" formatCode="General">
                  <c:v>1687.1</c:v>
                </c:pt>
                <c:pt idx="103" formatCode="General">
                  <c:v>1687.15</c:v>
                </c:pt>
                <c:pt idx="104" formatCode="General">
                  <c:v>1687.2</c:v>
                </c:pt>
                <c:pt idx="105" formatCode="General">
                  <c:v>1687.25</c:v>
                </c:pt>
                <c:pt idx="106" formatCode="General">
                  <c:v>1687.3</c:v>
                </c:pt>
                <c:pt idx="107" formatCode="General">
                  <c:v>1687.35</c:v>
                </c:pt>
                <c:pt idx="108" formatCode="General">
                  <c:v>1687.4</c:v>
                </c:pt>
                <c:pt idx="109" formatCode="General">
                  <c:v>1687.45</c:v>
                </c:pt>
                <c:pt idx="110" formatCode="General">
                  <c:v>1687.5</c:v>
                </c:pt>
                <c:pt idx="111" formatCode="General">
                  <c:v>1687.55</c:v>
                </c:pt>
                <c:pt idx="112" formatCode="General">
                  <c:v>1687.6</c:v>
                </c:pt>
                <c:pt idx="113" formatCode="General">
                  <c:v>1687.65</c:v>
                </c:pt>
                <c:pt idx="114" formatCode="General">
                  <c:v>1687.7</c:v>
                </c:pt>
                <c:pt idx="115" formatCode="General">
                  <c:v>1687.75</c:v>
                </c:pt>
                <c:pt idx="116" formatCode="General">
                  <c:v>1687.8</c:v>
                </c:pt>
                <c:pt idx="117" formatCode="General">
                  <c:v>1687.85</c:v>
                </c:pt>
                <c:pt idx="118" formatCode="General">
                  <c:v>1687.9</c:v>
                </c:pt>
                <c:pt idx="119" formatCode="General">
                  <c:v>1687.95</c:v>
                </c:pt>
                <c:pt idx="120" formatCode="General">
                  <c:v>1688</c:v>
                </c:pt>
              </c:numCache>
            </c:numRef>
          </c:xVal>
          <c:yVal>
            <c:numRef>
              <c:f>'Ex 2 Gauss 1'!$F$3:$F$123</c:f>
              <c:numCache>
                <c:formatCode>General</c:formatCode>
                <c:ptCount val="121"/>
                <c:pt idx="0">
                  <c:v>8.6269999999999993E-3</c:v>
                </c:pt>
                <c:pt idx="1">
                  <c:v>1.0834999999999999E-2</c:v>
                </c:pt>
                <c:pt idx="2">
                  <c:v>1.1625999999999999E-2</c:v>
                </c:pt>
                <c:pt idx="3">
                  <c:v>1.2373E-2</c:v>
                </c:pt>
                <c:pt idx="4">
                  <c:v>1.4578000000000001E-2</c:v>
                </c:pt>
                <c:pt idx="5">
                  <c:v>1.7940999999999999E-2</c:v>
                </c:pt>
                <c:pt idx="6">
                  <c:v>1.8870000000000001E-2</c:v>
                </c:pt>
                <c:pt idx="7">
                  <c:v>2.0635000000000001E-2</c:v>
                </c:pt>
                <c:pt idx="8">
                  <c:v>2.5249000000000001E-2</c:v>
                </c:pt>
                <c:pt idx="9">
                  <c:v>2.8419E-2</c:v>
                </c:pt>
                <c:pt idx="10">
                  <c:v>2.9951999999999999E-2</c:v>
                </c:pt>
                <c:pt idx="11">
                  <c:v>3.4737999999999998E-2</c:v>
                </c:pt>
                <c:pt idx="12">
                  <c:v>4.0807999999999997E-2</c:v>
                </c:pt>
                <c:pt idx="13">
                  <c:v>4.2576000000000003E-2</c:v>
                </c:pt>
                <c:pt idx="14">
                  <c:v>4.7891000000000003E-2</c:v>
                </c:pt>
                <c:pt idx="15">
                  <c:v>5.5648999999999997E-2</c:v>
                </c:pt>
                <c:pt idx="16">
                  <c:v>5.8089000000000002E-2</c:v>
                </c:pt>
                <c:pt idx="17">
                  <c:v>6.4906000000000005E-2</c:v>
                </c:pt>
                <c:pt idx="18">
                  <c:v>7.2167999999999996E-2</c:v>
                </c:pt>
                <c:pt idx="19">
                  <c:v>7.5897000000000006E-2</c:v>
                </c:pt>
                <c:pt idx="20">
                  <c:v>8.5439000000000001E-2</c:v>
                </c:pt>
                <c:pt idx="21">
                  <c:v>8.9837E-2</c:v>
                </c:pt>
                <c:pt idx="22">
                  <c:v>9.6688999999999997E-2</c:v>
                </c:pt>
                <c:pt idx="23">
                  <c:v>0.103851</c:v>
                </c:pt>
                <c:pt idx="24">
                  <c:v>0.11018</c:v>
                </c:pt>
                <c:pt idx="25">
                  <c:v>0.118835</c:v>
                </c:pt>
                <c:pt idx="26">
                  <c:v>0.12745000000000001</c:v>
                </c:pt>
                <c:pt idx="27">
                  <c:v>0.13028699999999999</c:v>
                </c:pt>
                <c:pt idx="28">
                  <c:v>0.13358999999999999</c:v>
                </c:pt>
                <c:pt idx="29">
                  <c:v>0.13807</c:v>
                </c:pt>
                <c:pt idx="30">
                  <c:v>0.142402</c:v>
                </c:pt>
                <c:pt idx="31">
                  <c:v>0.14652499999999999</c:v>
                </c:pt>
                <c:pt idx="32">
                  <c:v>0.15030299999999999</c:v>
                </c:pt>
                <c:pt idx="33">
                  <c:v>0.153694</c:v>
                </c:pt>
                <c:pt idx="34">
                  <c:v>0.15675800000000001</c:v>
                </c:pt>
                <c:pt idx="35">
                  <c:v>0.15939</c:v>
                </c:pt>
                <c:pt idx="36">
                  <c:v>0.16175300000000001</c:v>
                </c:pt>
                <c:pt idx="37">
                  <c:v>0.16375500000000001</c:v>
                </c:pt>
                <c:pt idx="38">
                  <c:v>0.16548499999999999</c:v>
                </c:pt>
                <c:pt idx="39">
                  <c:v>0.166911</c:v>
                </c:pt>
                <c:pt idx="40">
                  <c:v>0.16817599999999999</c:v>
                </c:pt>
                <c:pt idx="41">
                  <c:v>0.16916</c:v>
                </c:pt>
                <c:pt idx="42">
                  <c:v>0.17002600000000001</c:v>
                </c:pt>
                <c:pt idx="43">
                  <c:v>0.17069100000000001</c:v>
                </c:pt>
                <c:pt idx="44">
                  <c:v>0.17130699999999999</c:v>
                </c:pt>
                <c:pt idx="45">
                  <c:v>0.171764</c:v>
                </c:pt>
                <c:pt idx="46">
                  <c:v>0.17214299999999999</c:v>
                </c:pt>
                <c:pt idx="47">
                  <c:v>0.17244000000000001</c:v>
                </c:pt>
                <c:pt idx="48">
                  <c:v>0.17268600000000001</c:v>
                </c:pt>
                <c:pt idx="49">
                  <c:v>0.17291500000000001</c:v>
                </c:pt>
                <c:pt idx="50">
                  <c:v>0.17308999999999999</c:v>
                </c:pt>
                <c:pt idx="51">
                  <c:v>0.17322299999999999</c:v>
                </c:pt>
                <c:pt idx="52">
                  <c:v>0.17336399999999999</c:v>
                </c:pt>
                <c:pt idx="53">
                  <c:v>0.17344799999999999</c:v>
                </c:pt>
                <c:pt idx="54">
                  <c:v>0.17353299999999999</c:v>
                </c:pt>
                <c:pt idx="55">
                  <c:v>0.173628</c:v>
                </c:pt>
                <c:pt idx="56">
                  <c:v>0.17369899999999999</c:v>
                </c:pt>
                <c:pt idx="57">
                  <c:v>0.17374999999999999</c:v>
                </c:pt>
                <c:pt idx="58">
                  <c:v>0.173813</c:v>
                </c:pt>
                <c:pt idx="59">
                  <c:v>0.17386299999999999</c:v>
                </c:pt>
                <c:pt idx="60">
                  <c:v>0.17391300000000001</c:v>
                </c:pt>
                <c:pt idx="61">
                  <c:v>0.17396700000000001</c:v>
                </c:pt>
                <c:pt idx="62">
                  <c:v>0.17400599999999999</c:v>
                </c:pt>
                <c:pt idx="63">
                  <c:v>0.17403199999999999</c:v>
                </c:pt>
                <c:pt idx="64">
                  <c:v>0.174072</c:v>
                </c:pt>
                <c:pt idx="65">
                  <c:v>0.17411399999999999</c:v>
                </c:pt>
                <c:pt idx="66">
                  <c:v>0.17415</c:v>
                </c:pt>
                <c:pt idx="67">
                  <c:v>0.17418</c:v>
                </c:pt>
                <c:pt idx="68">
                  <c:v>0.17419599999999999</c:v>
                </c:pt>
                <c:pt idx="69">
                  <c:v>0.174235</c:v>
                </c:pt>
                <c:pt idx="70">
                  <c:v>0.17425299999999999</c:v>
                </c:pt>
                <c:pt idx="71">
                  <c:v>0.174289</c:v>
                </c:pt>
                <c:pt idx="72">
                  <c:v>0.17430999999999999</c:v>
                </c:pt>
                <c:pt idx="73">
                  <c:v>0.17433100000000001</c:v>
                </c:pt>
                <c:pt idx="74">
                  <c:v>0.17435300000000001</c:v>
                </c:pt>
                <c:pt idx="75">
                  <c:v>0.17437900000000001</c:v>
                </c:pt>
                <c:pt idx="76">
                  <c:v>0.17439299999999999</c:v>
                </c:pt>
                <c:pt idx="77">
                  <c:v>0.17441400000000001</c:v>
                </c:pt>
                <c:pt idx="78">
                  <c:v>0.17443900000000001</c:v>
                </c:pt>
                <c:pt idx="79">
                  <c:v>0.174452</c:v>
                </c:pt>
                <c:pt idx="80">
                  <c:v>0.17446700000000001</c:v>
                </c:pt>
                <c:pt idx="81">
                  <c:v>0.17448</c:v>
                </c:pt>
                <c:pt idx="82">
                  <c:v>0.174509</c:v>
                </c:pt>
                <c:pt idx="83">
                  <c:v>0.174516</c:v>
                </c:pt>
                <c:pt idx="84">
                  <c:v>0.17453299999999999</c:v>
                </c:pt>
                <c:pt idx="85">
                  <c:v>0.17455300000000001</c:v>
                </c:pt>
                <c:pt idx="86">
                  <c:v>0.174566</c:v>
                </c:pt>
                <c:pt idx="87">
                  <c:v>0.17458499999999999</c:v>
                </c:pt>
                <c:pt idx="88">
                  <c:v>0.17458000000000001</c:v>
                </c:pt>
                <c:pt idx="89">
                  <c:v>0.17460999999999999</c:v>
                </c:pt>
                <c:pt idx="90">
                  <c:v>0.174623</c:v>
                </c:pt>
                <c:pt idx="91">
                  <c:v>0.174626</c:v>
                </c:pt>
                <c:pt idx="92">
                  <c:v>0.17463699999999999</c:v>
                </c:pt>
                <c:pt idx="93">
                  <c:v>0.17466499999999999</c:v>
                </c:pt>
                <c:pt idx="94">
                  <c:v>0.17465900000000001</c:v>
                </c:pt>
                <c:pt idx="95">
                  <c:v>0.17465900000000001</c:v>
                </c:pt>
                <c:pt idx="96">
                  <c:v>0.17469999999999999</c:v>
                </c:pt>
                <c:pt idx="97">
                  <c:v>0.17469000000000001</c:v>
                </c:pt>
                <c:pt idx="98">
                  <c:v>0.174703</c:v>
                </c:pt>
                <c:pt idx="99">
                  <c:v>0.17472199999999999</c:v>
                </c:pt>
                <c:pt idx="100">
                  <c:v>0.17471600000000001</c:v>
                </c:pt>
                <c:pt idx="101">
                  <c:v>0.174729</c:v>
                </c:pt>
                <c:pt idx="102">
                  <c:v>0.17474400000000001</c:v>
                </c:pt>
                <c:pt idx="103">
                  <c:v>0.17474600000000001</c:v>
                </c:pt>
                <c:pt idx="104">
                  <c:v>0.17474799999999999</c:v>
                </c:pt>
                <c:pt idx="105">
                  <c:v>0.17477400000000001</c:v>
                </c:pt>
                <c:pt idx="106">
                  <c:v>0.17479</c:v>
                </c:pt>
                <c:pt idx="107">
                  <c:v>0.17476800000000001</c:v>
                </c:pt>
                <c:pt idx="108">
                  <c:v>0.17478199999999999</c:v>
                </c:pt>
                <c:pt idx="109">
                  <c:v>0.17479600000000001</c:v>
                </c:pt>
                <c:pt idx="110">
                  <c:v>0.17479800000000001</c:v>
                </c:pt>
                <c:pt idx="111">
                  <c:v>0.17481099999999999</c:v>
                </c:pt>
                <c:pt idx="112">
                  <c:v>0.174819</c:v>
                </c:pt>
                <c:pt idx="113">
                  <c:v>0.174816</c:v>
                </c:pt>
                <c:pt idx="114">
                  <c:v>0.17483499999999999</c:v>
                </c:pt>
                <c:pt idx="115">
                  <c:v>0.17482600000000001</c:v>
                </c:pt>
                <c:pt idx="116">
                  <c:v>0.17484</c:v>
                </c:pt>
                <c:pt idx="117">
                  <c:v>0.174848</c:v>
                </c:pt>
                <c:pt idx="118">
                  <c:v>0.17483799999999999</c:v>
                </c:pt>
                <c:pt idx="119">
                  <c:v>0.17485899999999999</c:v>
                </c:pt>
                <c:pt idx="120">
                  <c:v>0.174848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DE-4238-94A3-6774C92A87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8824424"/>
        <c:axId val="618824064"/>
      </c:scatterChart>
      <c:valAx>
        <c:axId val="618824424"/>
        <c:scaling>
          <c:orientation val="minMax"/>
          <c:max val="1688"/>
          <c:min val="1681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beam</a:t>
                </a:r>
                <a:r>
                  <a:rPr lang="en-GB" sz="1600" baseline="0"/>
                  <a:t> energy (keV)</a:t>
                </a:r>
                <a:endParaRPr lang="en-GB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824064"/>
        <c:crossesAt val="1.0000000000000002E-3"/>
        <c:crossBetween val="midCat"/>
      </c:valAx>
      <c:valAx>
        <c:axId val="618824064"/>
        <c:scaling>
          <c:orientation val="minMax"/>
          <c:max val="0.18000000000000002"/>
          <c:min val="8.0000000000000019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yield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8244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tx>
            <c:v>SIMNRA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 2 Gauss 1'!$H$3:$H$123</c:f>
              <c:numCache>
                <c:formatCode>0.00</c:formatCode>
                <c:ptCount val="121"/>
                <c:pt idx="0">
                  <c:v>1682</c:v>
                </c:pt>
                <c:pt idx="1">
                  <c:v>1682.05</c:v>
                </c:pt>
                <c:pt idx="2">
                  <c:v>1682.1</c:v>
                </c:pt>
                <c:pt idx="3">
                  <c:v>1682.15</c:v>
                </c:pt>
                <c:pt idx="4">
                  <c:v>1682.2</c:v>
                </c:pt>
                <c:pt idx="5">
                  <c:v>1682.25</c:v>
                </c:pt>
                <c:pt idx="6">
                  <c:v>1682.3</c:v>
                </c:pt>
                <c:pt idx="7">
                  <c:v>1682.35</c:v>
                </c:pt>
                <c:pt idx="8">
                  <c:v>1682.4</c:v>
                </c:pt>
                <c:pt idx="9">
                  <c:v>1682.45</c:v>
                </c:pt>
                <c:pt idx="10">
                  <c:v>1682.5</c:v>
                </c:pt>
                <c:pt idx="11">
                  <c:v>1682.55</c:v>
                </c:pt>
                <c:pt idx="12">
                  <c:v>1682.6</c:v>
                </c:pt>
                <c:pt idx="13" formatCode="General">
                  <c:v>1682.65</c:v>
                </c:pt>
                <c:pt idx="14" formatCode="General">
                  <c:v>1682.7</c:v>
                </c:pt>
                <c:pt idx="15" formatCode="General">
                  <c:v>1682.75</c:v>
                </c:pt>
                <c:pt idx="16" formatCode="General">
                  <c:v>1682.8</c:v>
                </c:pt>
                <c:pt idx="17" formatCode="General">
                  <c:v>1682.85</c:v>
                </c:pt>
                <c:pt idx="18" formatCode="General">
                  <c:v>1682.9</c:v>
                </c:pt>
                <c:pt idx="19" formatCode="General">
                  <c:v>1682.95</c:v>
                </c:pt>
                <c:pt idx="20" formatCode="General">
                  <c:v>1683</c:v>
                </c:pt>
                <c:pt idx="21" formatCode="General">
                  <c:v>1683.05</c:v>
                </c:pt>
                <c:pt idx="22" formatCode="General">
                  <c:v>1683.1</c:v>
                </c:pt>
                <c:pt idx="23" formatCode="General">
                  <c:v>1683.15</c:v>
                </c:pt>
                <c:pt idx="24" formatCode="General">
                  <c:v>1683.2</c:v>
                </c:pt>
                <c:pt idx="25" formatCode="General">
                  <c:v>1683.25</c:v>
                </c:pt>
                <c:pt idx="26" formatCode="General">
                  <c:v>1683.3</c:v>
                </c:pt>
                <c:pt idx="27" formatCode="General">
                  <c:v>1683.35</c:v>
                </c:pt>
                <c:pt idx="28" formatCode="General">
                  <c:v>1683.4</c:v>
                </c:pt>
                <c:pt idx="29" formatCode="General">
                  <c:v>1683.45</c:v>
                </c:pt>
                <c:pt idx="30" formatCode="General">
                  <c:v>1683.5</c:v>
                </c:pt>
                <c:pt idx="31" formatCode="General">
                  <c:v>1683.55</c:v>
                </c:pt>
                <c:pt idx="32" formatCode="General">
                  <c:v>1683.6</c:v>
                </c:pt>
                <c:pt idx="33" formatCode="General">
                  <c:v>1683.65</c:v>
                </c:pt>
                <c:pt idx="34" formatCode="General">
                  <c:v>1683.7</c:v>
                </c:pt>
                <c:pt idx="35" formatCode="General">
                  <c:v>1683.75</c:v>
                </c:pt>
                <c:pt idx="36" formatCode="General">
                  <c:v>1683.8</c:v>
                </c:pt>
                <c:pt idx="37" formatCode="General">
                  <c:v>1683.85</c:v>
                </c:pt>
                <c:pt idx="38" formatCode="General">
                  <c:v>1683.9</c:v>
                </c:pt>
                <c:pt idx="39" formatCode="General">
                  <c:v>1683.95</c:v>
                </c:pt>
                <c:pt idx="40" formatCode="General">
                  <c:v>1684</c:v>
                </c:pt>
                <c:pt idx="41" formatCode="General">
                  <c:v>1684.05</c:v>
                </c:pt>
                <c:pt idx="42" formatCode="General">
                  <c:v>1684.1</c:v>
                </c:pt>
                <c:pt idx="43" formatCode="General">
                  <c:v>1684.15</c:v>
                </c:pt>
                <c:pt idx="44" formatCode="General">
                  <c:v>1684.2</c:v>
                </c:pt>
                <c:pt idx="45" formatCode="General">
                  <c:v>1684.25</c:v>
                </c:pt>
                <c:pt idx="46" formatCode="General">
                  <c:v>1684.3</c:v>
                </c:pt>
                <c:pt idx="47" formatCode="General">
                  <c:v>1684.35</c:v>
                </c:pt>
                <c:pt idx="48" formatCode="General">
                  <c:v>1684.4</c:v>
                </c:pt>
                <c:pt idx="49" formatCode="General">
                  <c:v>1684.45</c:v>
                </c:pt>
                <c:pt idx="50" formatCode="General">
                  <c:v>1684.5</c:v>
                </c:pt>
                <c:pt idx="51" formatCode="General">
                  <c:v>1684.55</c:v>
                </c:pt>
                <c:pt idx="52" formatCode="General">
                  <c:v>1684.6</c:v>
                </c:pt>
                <c:pt idx="53" formatCode="General">
                  <c:v>1684.65</c:v>
                </c:pt>
                <c:pt idx="54" formatCode="General">
                  <c:v>1684.7</c:v>
                </c:pt>
                <c:pt idx="55" formatCode="General">
                  <c:v>1684.75</c:v>
                </c:pt>
                <c:pt idx="56" formatCode="General">
                  <c:v>1684.8</c:v>
                </c:pt>
                <c:pt idx="57" formatCode="General">
                  <c:v>1684.85</c:v>
                </c:pt>
                <c:pt idx="58" formatCode="General">
                  <c:v>1684.9</c:v>
                </c:pt>
                <c:pt idx="59" formatCode="General">
                  <c:v>1684.95</c:v>
                </c:pt>
                <c:pt idx="60" formatCode="General">
                  <c:v>1685</c:v>
                </c:pt>
                <c:pt idx="61" formatCode="General">
                  <c:v>1685.05</c:v>
                </c:pt>
                <c:pt idx="62" formatCode="General">
                  <c:v>1685.1</c:v>
                </c:pt>
                <c:pt idx="63" formatCode="General">
                  <c:v>1685.15</c:v>
                </c:pt>
                <c:pt idx="64" formatCode="General">
                  <c:v>1685.2</c:v>
                </c:pt>
                <c:pt idx="65" formatCode="General">
                  <c:v>1685.25</c:v>
                </c:pt>
                <c:pt idx="66" formatCode="General">
                  <c:v>1685.3</c:v>
                </c:pt>
                <c:pt idx="67" formatCode="General">
                  <c:v>1685.35</c:v>
                </c:pt>
                <c:pt idx="68" formatCode="General">
                  <c:v>1685.4</c:v>
                </c:pt>
                <c:pt idx="69" formatCode="General">
                  <c:v>1685.45</c:v>
                </c:pt>
                <c:pt idx="70" formatCode="General">
                  <c:v>1685.5</c:v>
                </c:pt>
                <c:pt idx="71" formatCode="General">
                  <c:v>1685.55</c:v>
                </c:pt>
                <c:pt idx="72" formatCode="General">
                  <c:v>1685.6</c:v>
                </c:pt>
                <c:pt idx="73" formatCode="General">
                  <c:v>1685.65</c:v>
                </c:pt>
                <c:pt idx="74" formatCode="General">
                  <c:v>1685.7</c:v>
                </c:pt>
                <c:pt idx="75" formatCode="General">
                  <c:v>1685.75</c:v>
                </c:pt>
                <c:pt idx="76" formatCode="General">
                  <c:v>1685.8</c:v>
                </c:pt>
                <c:pt idx="77" formatCode="General">
                  <c:v>1685.85</c:v>
                </c:pt>
                <c:pt idx="78" formatCode="General">
                  <c:v>1685.9</c:v>
                </c:pt>
                <c:pt idx="79" formatCode="General">
                  <c:v>1685.95</c:v>
                </c:pt>
                <c:pt idx="80" formatCode="General">
                  <c:v>1686</c:v>
                </c:pt>
                <c:pt idx="81" formatCode="General">
                  <c:v>1686.05</c:v>
                </c:pt>
                <c:pt idx="82" formatCode="General">
                  <c:v>1686.1</c:v>
                </c:pt>
                <c:pt idx="83" formatCode="General">
                  <c:v>1686.15</c:v>
                </c:pt>
                <c:pt idx="84" formatCode="General">
                  <c:v>1686.2</c:v>
                </c:pt>
                <c:pt idx="85" formatCode="General">
                  <c:v>1686.25</c:v>
                </c:pt>
                <c:pt idx="86" formatCode="General">
                  <c:v>1686.3</c:v>
                </c:pt>
                <c:pt idx="87" formatCode="General">
                  <c:v>1686.35</c:v>
                </c:pt>
                <c:pt idx="88" formatCode="General">
                  <c:v>1686.4</c:v>
                </c:pt>
                <c:pt idx="89" formatCode="General">
                  <c:v>1686.45</c:v>
                </c:pt>
                <c:pt idx="90" formatCode="General">
                  <c:v>1686.5</c:v>
                </c:pt>
                <c:pt idx="91" formatCode="General">
                  <c:v>1686.55</c:v>
                </c:pt>
                <c:pt idx="92" formatCode="General">
                  <c:v>1686.6</c:v>
                </c:pt>
                <c:pt idx="93" formatCode="General">
                  <c:v>1686.65</c:v>
                </c:pt>
                <c:pt idx="94" formatCode="General">
                  <c:v>1686.7</c:v>
                </c:pt>
                <c:pt idx="95" formatCode="General">
                  <c:v>1686.75</c:v>
                </c:pt>
                <c:pt idx="96" formatCode="General">
                  <c:v>1686.8</c:v>
                </c:pt>
                <c:pt idx="97" formatCode="General">
                  <c:v>1686.85</c:v>
                </c:pt>
                <c:pt idx="98" formatCode="General">
                  <c:v>1686.9</c:v>
                </c:pt>
                <c:pt idx="99" formatCode="General">
                  <c:v>1686.95</c:v>
                </c:pt>
                <c:pt idx="100" formatCode="General">
                  <c:v>1687</c:v>
                </c:pt>
                <c:pt idx="101" formatCode="General">
                  <c:v>1687.05</c:v>
                </c:pt>
                <c:pt idx="102" formatCode="General">
                  <c:v>1687.1</c:v>
                </c:pt>
                <c:pt idx="103" formatCode="General">
                  <c:v>1687.15</c:v>
                </c:pt>
                <c:pt idx="104" formatCode="General">
                  <c:v>1687.2</c:v>
                </c:pt>
                <c:pt idx="105" formatCode="General">
                  <c:v>1687.25</c:v>
                </c:pt>
                <c:pt idx="106" formatCode="General">
                  <c:v>1687.3</c:v>
                </c:pt>
                <c:pt idx="107" formatCode="General">
                  <c:v>1687.35</c:v>
                </c:pt>
                <c:pt idx="108" formatCode="General">
                  <c:v>1687.4</c:v>
                </c:pt>
                <c:pt idx="109" formatCode="General">
                  <c:v>1687.45</c:v>
                </c:pt>
                <c:pt idx="110" formatCode="General">
                  <c:v>1687.5</c:v>
                </c:pt>
                <c:pt idx="111" formatCode="General">
                  <c:v>1687.55</c:v>
                </c:pt>
                <c:pt idx="112" formatCode="General">
                  <c:v>1687.6</c:v>
                </c:pt>
                <c:pt idx="113" formatCode="General">
                  <c:v>1687.65</c:v>
                </c:pt>
                <c:pt idx="114" formatCode="General">
                  <c:v>1687.7</c:v>
                </c:pt>
                <c:pt idx="115" formatCode="General">
                  <c:v>1687.75</c:v>
                </c:pt>
                <c:pt idx="116" formatCode="General">
                  <c:v>1687.8</c:v>
                </c:pt>
                <c:pt idx="117" formatCode="General">
                  <c:v>1687.85</c:v>
                </c:pt>
                <c:pt idx="118" formatCode="General">
                  <c:v>1687.9</c:v>
                </c:pt>
                <c:pt idx="119" formatCode="General">
                  <c:v>1687.95</c:v>
                </c:pt>
                <c:pt idx="120" formatCode="General">
                  <c:v>1688</c:v>
                </c:pt>
              </c:numCache>
            </c:numRef>
          </c:xVal>
          <c:yVal>
            <c:numRef>
              <c:f>'Ex 2 Gauss 1'!$P$3:$P$123</c:f>
              <c:numCache>
                <c:formatCode>General</c:formatCode>
                <c:ptCount val="121"/>
                <c:pt idx="0">
                  <c:v>0.99408205853462273</c:v>
                </c:pt>
                <c:pt idx="1">
                  <c:v>0.99358764106296005</c:v>
                </c:pt>
                <c:pt idx="2">
                  <c:v>0.99424980789662942</c:v>
                </c:pt>
                <c:pt idx="3">
                  <c:v>0.99440884034018828</c:v>
                </c:pt>
                <c:pt idx="4">
                  <c:v>0.9945194580003659</c:v>
                </c:pt>
                <c:pt idx="5">
                  <c:v>0.99443405704550136</c:v>
                </c:pt>
                <c:pt idx="6">
                  <c:v>0.99446312340874099</c:v>
                </c:pt>
                <c:pt idx="7">
                  <c:v>0.99514326350451621</c:v>
                </c:pt>
                <c:pt idx="8">
                  <c:v>0.99523581361380797</c:v>
                </c:pt>
                <c:pt idx="9">
                  <c:v>0.9959134132205214</c:v>
                </c:pt>
                <c:pt idx="10">
                  <c:v>0.99615305255739539</c:v>
                </c:pt>
                <c:pt idx="11">
                  <c:v>0.99587850189091409</c:v>
                </c:pt>
                <c:pt idx="12">
                  <c:v>0.99713272923689444</c:v>
                </c:pt>
                <c:pt idx="13">
                  <c:v>0.99702386874901028</c:v>
                </c:pt>
                <c:pt idx="14">
                  <c:v>0.99784927505192844</c:v>
                </c:pt>
                <c:pt idx="15">
                  <c:v>0.99827976007116259</c:v>
                </c:pt>
                <c:pt idx="16">
                  <c:v>0.99812775380411001</c:v>
                </c:pt>
                <c:pt idx="17">
                  <c:v>0.99893523013669361</c:v>
                </c:pt>
                <c:pt idx="18">
                  <c:v>0.99906649467660136</c:v>
                </c:pt>
                <c:pt idx="19">
                  <c:v>0.99967182162230028</c:v>
                </c:pt>
                <c:pt idx="20">
                  <c:v>0.99979272159588506</c:v>
                </c:pt>
                <c:pt idx="21">
                  <c:v>0.99975790463908154</c:v>
                </c:pt>
                <c:pt idx="22">
                  <c:v>1.000631621680744</c:v>
                </c:pt>
                <c:pt idx="23">
                  <c:v>1.0002780108450657</c:v>
                </c:pt>
                <c:pt idx="24">
                  <c:v>1.0004882026115109</c:v>
                </c:pt>
                <c:pt idx="25">
                  <c:v>1.0010094951963473</c:v>
                </c:pt>
                <c:pt idx="26">
                  <c:v>1.000741883543107</c:v>
                </c:pt>
                <c:pt idx="27">
                  <c:v>1.0011448963067002</c:v>
                </c:pt>
                <c:pt idx="28">
                  <c:v>1.0008957740801572</c:v>
                </c:pt>
                <c:pt idx="29">
                  <c:v>1.0012381412314706</c:v>
                </c:pt>
                <c:pt idx="30">
                  <c:v>1.0011819543029201</c:v>
                </c:pt>
                <c:pt idx="31">
                  <c:v>1.0011607368087916</c:v>
                </c:pt>
                <c:pt idx="32">
                  <c:v>1.0012081896469005</c:v>
                </c:pt>
                <c:pt idx="33">
                  <c:v>1.0007143722135692</c:v>
                </c:pt>
                <c:pt idx="34">
                  <c:v>1.0010509953703743</c:v>
                </c:pt>
                <c:pt idx="35">
                  <c:v>1.0008250800326033</c:v>
                </c:pt>
                <c:pt idx="36">
                  <c:v>1.0008304639889136</c:v>
                </c:pt>
                <c:pt idx="37">
                  <c:v>1.000557156739456</c:v>
                </c:pt>
                <c:pt idx="38">
                  <c:v>1.0008426898364586</c:v>
                </c:pt>
                <c:pt idx="39">
                  <c:v>1.0003808857809677</c:v>
                </c:pt>
                <c:pt idx="40">
                  <c:v>1.0004782901529445</c:v>
                </c:pt>
                <c:pt idx="41">
                  <c:v>1.0002538572022295</c:v>
                </c:pt>
                <c:pt idx="42">
                  <c:v>1.0004470511457377</c:v>
                </c:pt>
                <c:pt idx="43">
                  <c:v>1.0001034033311103</c:v>
                </c:pt>
                <c:pt idx="44">
                  <c:v>1.0002562898452074</c:v>
                </c:pt>
                <c:pt idx="45">
                  <c:v>1.0001961832694339</c:v>
                </c:pt>
                <c:pt idx="46">
                  <c:v>0.9998543667254548</c:v>
                </c:pt>
                <c:pt idx="47">
                  <c:v>1.0001288466322757</c:v>
                </c:pt>
                <c:pt idx="48">
                  <c:v>1.0001676775329114</c:v>
                </c:pt>
                <c:pt idx="49">
                  <c:v>1.0000435269633892</c:v>
                </c:pt>
                <c:pt idx="50">
                  <c:v>0.99964032584026197</c:v>
                </c:pt>
                <c:pt idx="51">
                  <c:v>1.000043951858884</c:v>
                </c:pt>
                <c:pt idx="52">
                  <c:v>0.99992118994961543</c:v>
                </c:pt>
                <c:pt idx="53">
                  <c:v>0.99999239787648186</c:v>
                </c:pt>
                <c:pt idx="54">
                  <c:v>0.99988219079571283</c:v>
                </c:pt>
                <c:pt idx="55">
                  <c:v>0.99975523303705394</c:v>
                </c:pt>
                <c:pt idx="56">
                  <c:v>1.0001848109221037</c:v>
                </c:pt>
                <c:pt idx="57">
                  <c:v>0.99978663986299476</c:v>
                </c:pt>
                <c:pt idx="58">
                  <c:v>0.99987712918383331</c:v>
                </c:pt>
                <c:pt idx="59">
                  <c:v>0.99969703685233546</c:v>
                </c:pt>
                <c:pt idx="60">
                  <c:v>1.0000474959613643</c:v>
                </c:pt>
                <c:pt idx="61">
                  <c:v>1.0001916574606973</c:v>
                </c:pt>
                <c:pt idx="62">
                  <c:v>0.99948498030158284</c:v>
                </c:pt>
                <c:pt idx="63">
                  <c:v>1.000013170305915</c:v>
                </c:pt>
                <c:pt idx="64">
                  <c:v>0.99993522315319805</c:v>
                </c:pt>
                <c:pt idx="65">
                  <c:v>1.0002988355336628</c:v>
                </c:pt>
                <c:pt idx="66">
                  <c:v>0.99966372520592162</c:v>
                </c:pt>
                <c:pt idx="67">
                  <c:v>0.99951432840767418</c:v>
                </c:pt>
                <c:pt idx="68">
                  <c:v>1.0001775554724273</c:v>
                </c:pt>
                <c:pt idx="69">
                  <c:v>1.0001018949710259</c:v>
                </c:pt>
                <c:pt idx="70">
                  <c:v>0.99986032577206652</c:v>
                </c:pt>
                <c:pt idx="71">
                  <c:v>0.99977678769668665</c:v>
                </c:pt>
                <c:pt idx="72">
                  <c:v>1.0001006275253816</c:v>
                </c:pt>
                <c:pt idx="73">
                  <c:v>1.0000667158441847</c:v>
                </c:pt>
                <c:pt idx="74">
                  <c:v>0.99960691581264072</c:v>
                </c:pt>
                <c:pt idx="75">
                  <c:v>0.99971035502939731</c:v>
                </c:pt>
                <c:pt idx="76">
                  <c:v>1.0004525812621248</c:v>
                </c:pt>
                <c:pt idx="77">
                  <c:v>1.0000202326638017</c:v>
                </c:pt>
                <c:pt idx="78">
                  <c:v>0.99985451811019366</c:v>
                </c:pt>
                <c:pt idx="79">
                  <c:v>0.99970238027704617</c:v>
                </c:pt>
                <c:pt idx="80">
                  <c:v>1.0003297129985527</c:v>
                </c:pt>
                <c:pt idx="81">
                  <c:v>1.0001695175606291</c:v>
                </c:pt>
                <c:pt idx="82">
                  <c:v>0.99979216959452166</c:v>
                </c:pt>
                <c:pt idx="83">
                  <c:v>0.99962735278370229</c:v>
                </c:pt>
                <c:pt idx="84">
                  <c:v>0.9999303594552168</c:v>
                </c:pt>
                <c:pt idx="85">
                  <c:v>1.000399464298326</c:v>
                </c:pt>
                <c:pt idx="86">
                  <c:v>1.0001292074779107</c:v>
                </c:pt>
                <c:pt idx="87">
                  <c:v>0.99964376047432779</c:v>
                </c:pt>
                <c:pt idx="88">
                  <c:v>0.99973900751931</c:v>
                </c:pt>
                <c:pt idx="89">
                  <c:v>1.0005694059278551</c:v>
                </c:pt>
                <c:pt idx="90">
                  <c:v>1.0006824462017303</c:v>
                </c:pt>
                <c:pt idx="91">
                  <c:v>0.99976966547850077</c:v>
                </c:pt>
                <c:pt idx="92">
                  <c:v>0.99937091446968607</c:v>
                </c:pt>
                <c:pt idx="93">
                  <c:v>1.0004702317966854</c:v>
                </c:pt>
                <c:pt idx="94">
                  <c:v>1.0009318102507463</c:v>
                </c:pt>
                <c:pt idx="95">
                  <c:v>0.99976202217764865</c:v>
                </c:pt>
                <c:pt idx="96">
                  <c:v>0.99944038300952043</c:v>
                </c:pt>
                <c:pt idx="97">
                  <c:v>1.0003151158230401</c:v>
                </c:pt>
                <c:pt idx="98">
                  <c:v>1.0014340772761579</c:v>
                </c:pt>
                <c:pt idx="99">
                  <c:v>1.0002217448415436</c:v>
                </c:pt>
                <c:pt idx="100">
                  <c:v>0.99924086035949844</c:v>
                </c:pt>
                <c:pt idx="101">
                  <c:v>1.0003677714255719</c:v>
                </c:pt>
                <c:pt idx="102">
                  <c:v>1.0016248267646566</c:v>
                </c:pt>
                <c:pt idx="103">
                  <c:v>1.0003084373155036</c:v>
                </c:pt>
                <c:pt idx="104">
                  <c:v>0.99934893242879186</c:v>
                </c:pt>
                <c:pt idx="105">
                  <c:v>1.0006307135840646</c:v>
                </c:pt>
                <c:pt idx="106">
                  <c:v>1.0015803721846179</c:v>
                </c:pt>
                <c:pt idx="107">
                  <c:v>1.0006784420082036</c:v>
                </c:pt>
                <c:pt idx="108">
                  <c:v>0.99947819733988719</c:v>
                </c:pt>
                <c:pt idx="109">
                  <c:v>1.0002506767024664</c:v>
                </c:pt>
                <c:pt idx="110">
                  <c:v>1.0021730860792255</c:v>
                </c:pt>
                <c:pt idx="111">
                  <c:v>1.0010165035906795</c:v>
                </c:pt>
                <c:pt idx="112">
                  <c:v>0.99933501553707482</c:v>
                </c:pt>
                <c:pt idx="113">
                  <c:v>1.0004114610429726</c:v>
                </c:pt>
                <c:pt idx="114">
                  <c:v>1.001852048627101</c:v>
                </c:pt>
                <c:pt idx="115">
                  <c:v>1.0017223421237584</c:v>
                </c:pt>
                <c:pt idx="116">
                  <c:v>1.0002511549383339</c:v>
                </c:pt>
                <c:pt idx="117">
                  <c:v>1.00014005345055</c:v>
                </c:pt>
                <c:pt idx="118">
                  <c:v>1.0007904953065503</c:v>
                </c:pt>
                <c:pt idx="119">
                  <c:v>1.0021740796874419</c:v>
                </c:pt>
                <c:pt idx="120">
                  <c:v>1.0010317212809736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77-4541-9399-3E54B1063DAE}"/>
            </c:ext>
          </c:extLst>
        </c:ser>
        <c:ser>
          <c:idx val="0"/>
          <c:order val="1"/>
          <c:tx>
            <c:v>ERYA 3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 2 Gauss 1'!$E$3:$E$123</c:f>
              <c:numCache>
                <c:formatCode>0.00</c:formatCode>
                <c:ptCount val="121"/>
                <c:pt idx="0">
                  <c:v>1682</c:v>
                </c:pt>
                <c:pt idx="1">
                  <c:v>1682.05</c:v>
                </c:pt>
                <c:pt idx="2">
                  <c:v>1682.1</c:v>
                </c:pt>
                <c:pt idx="3">
                  <c:v>1682.15</c:v>
                </c:pt>
                <c:pt idx="4">
                  <c:v>1682.2</c:v>
                </c:pt>
                <c:pt idx="5">
                  <c:v>1682.25</c:v>
                </c:pt>
                <c:pt idx="6">
                  <c:v>1682.3</c:v>
                </c:pt>
                <c:pt idx="7">
                  <c:v>1682.35</c:v>
                </c:pt>
                <c:pt idx="8">
                  <c:v>1682.4</c:v>
                </c:pt>
                <c:pt idx="9">
                  <c:v>1682.45</c:v>
                </c:pt>
                <c:pt idx="10">
                  <c:v>1682.5</c:v>
                </c:pt>
                <c:pt idx="11">
                  <c:v>1682.55</c:v>
                </c:pt>
                <c:pt idx="12">
                  <c:v>1682.6</c:v>
                </c:pt>
                <c:pt idx="13" formatCode="General">
                  <c:v>1682.65</c:v>
                </c:pt>
                <c:pt idx="14" formatCode="General">
                  <c:v>1682.7</c:v>
                </c:pt>
                <c:pt idx="15" formatCode="General">
                  <c:v>1682.75</c:v>
                </c:pt>
                <c:pt idx="16" formatCode="General">
                  <c:v>1682.8</c:v>
                </c:pt>
                <c:pt idx="17" formatCode="General">
                  <c:v>1682.85</c:v>
                </c:pt>
                <c:pt idx="18" formatCode="General">
                  <c:v>1682.9</c:v>
                </c:pt>
                <c:pt idx="19" formatCode="General">
                  <c:v>1682.95</c:v>
                </c:pt>
                <c:pt idx="20" formatCode="General">
                  <c:v>1683</c:v>
                </c:pt>
                <c:pt idx="21" formatCode="General">
                  <c:v>1683.05</c:v>
                </c:pt>
                <c:pt idx="22" formatCode="General">
                  <c:v>1683.1</c:v>
                </c:pt>
                <c:pt idx="23" formatCode="General">
                  <c:v>1683.15</c:v>
                </c:pt>
                <c:pt idx="24" formatCode="General">
                  <c:v>1683.2</c:v>
                </c:pt>
                <c:pt idx="25" formatCode="General">
                  <c:v>1683.25</c:v>
                </c:pt>
                <c:pt idx="26" formatCode="General">
                  <c:v>1683.3</c:v>
                </c:pt>
                <c:pt idx="27" formatCode="General">
                  <c:v>1683.35</c:v>
                </c:pt>
                <c:pt idx="28" formatCode="General">
                  <c:v>1683.4</c:v>
                </c:pt>
                <c:pt idx="29" formatCode="General">
                  <c:v>1683.45</c:v>
                </c:pt>
                <c:pt idx="30" formatCode="General">
                  <c:v>1683.5</c:v>
                </c:pt>
                <c:pt idx="31" formatCode="General">
                  <c:v>1683.55</c:v>
                </c:pt>
                <c:pt idx="32" formatCode="General">
                  <c:v>1683.6</c:v>
                </c:pt>
                <c:pt idx="33" formatCode="General">
                  <c:v>1683.65</c:v>
                </c:pt>
                <c:pt idx="34" formatCode="General">
                  <c:v>1683.7</c:v>
                </c:pt>
                <c:pt idx="35" formatCode="General">
                  <c:v>1683.75</c:v>
                </c:pt>
                <c:pt idx="36" formatCode="General">
                  <c:v>1683.8</c:v>
                </c:pt>
                <c:pt idx="37" formatCode="General">
                  <c:v>1683.85</c:v>
                </c:pt>
                <c:pt idx="38" formatCode="General">
                  <c:v>1683.9</c:v>
                </c:pt>
                <c:pt idx="39" formatCode="General">
                  <c:v>1683.95</c:v>
                </c:pt>
                <c:pt idx="40" formatCode="General">
                  <c:v>1684</c:v>
                </c:pt>
                <c:pt idx="41" formatCode="General">
                  <c:v>1684.05</c:v>
                </c:pt>
                <c:pt idx="42" formatCode="General">
                  <c:v>1684.1</c:v>
                </c:pt>
                <c:pt idx="43" formatCode="General">
                  <c:v>1684.15</c:v>
                </c:pt>
                <c:pt idx="44" formatCode="General">
                  <c:v>1684.2</c:v>
                </c:pt>
                <c:pt idx="45" formatCode="General">
                  <c:v>1684.25</c:v>
                </c:pt>
                <c:pt idx="46" formatCode="General">
                  <c:v>1684.3</c:v>
                </c:pt>
                <c:pt idx="47" formatCode="General">
                  <c:v>1684.35</c:v>
                </c:pt>
                <c:pt idx="48" formatCode="General">
                  <c:v>1684.4</c:v>
                </c:pt>
                <c:pt idx="49" formatCode="General">
                  <c:v>1684.45</c:v>
                </c:pt>
                <c:pt idx="50" formatCode="General">
                  <c:v>1684.5</c:v>
                </c:pt>
                <c:pt idx="51" formatCode="General">
                  <c:v>1684.55</c:v>
                </c:pt>
                <c:pt idx="52" formatCode="General">
                  <c:v>1684.6</c:v>
                </c:pt>
                <c:pt idx="53" formatCode="General">
                  <c:v>1684.65</c:v>
                </c:pt>
                <c:pt idx="54" formatCode="General">
                  <c:v>1684.7</c:v>
                </c:pt>
                <c:pt idx="55" formatCode="General">
                  <c:v>1684.75</c:v>
                </c:pt>
                <c:pt idx="56" formatCode="General">
                  <c:v>1684.8</c:v>
                </c:pt>
                <c:pt idx="57" formatCode="General">
                  <c:v>1684.85</c:v>
                </c:pt>
                <c:pt idx="58" formatCode="General">
                  <c:v>1684.9</c:v>
                </c:pt>
                <c:pt idx="59" formatCode="General">
                  <c:v>1684.95</c:v>
                </c:pt>
                <c:pt idx="60" formatCode="General">
                  <c:v>1685</c:v>
                </c:pt>
                <c:pt idx="61" formatCode="General">
                  <c:v>1685.05</c:v>
                </c:pt>
                <c:pt idx="62" formatCode="General">
                  <c:v>1685.1</c:v>
                </c:pt>
                <c:pt idx="63" formatCode="General">
                  <c:v>1685.15</c:v>
                </c:pt>
                <c:pt idx="64" formatCode="General">
                  <c:v>1685.2</c:v>
                </c:pt>
                <c:pt idx="65" formatCode="General">
                  <c:v>1685.25</c:v>
                </c:pt>
                <c:pt idx="66" formatCode="General">
                  <c:v>1685.3</c:v>
                </c:pt>
                <c:pt idx="67" formatCode="General">
                  <c:v>1685.35</c:v>
                </c:pt>
                <c:pt idx="68" formatCode="General">
                  <c:v>1685.4</c:v>
                </c:pt>
                <c:pt idx="69" formatCode="General">
                  <c:v>1685.45</c:v>
                </c:pt>
                <c:pt idx="70" formatCode="General">
                  <c:v>1685.5</c:v>
                </c:pt>
                <c:pt idx="71" formatCode="General">
                  <c:v>1685.55</c:v>
                </c:pt>
                <c:pt idx="72" formatCode="General">
                  <c:v>1685.6</c:v>
                </c:pt>
                <c:pt idx="73" formatCode="General">
                  <c:v>1685.65</c:v>
                </c:pt>
                <c:pt idx="74" formatCode="General">
                  <c:v>1685.7</c:v>
                </c:pt>
                <c:pt idx="75" formatCode="General">
                  <c:v>1685.75</c:v>
                </c:pt>
                <c:pt idx="76" formatCode="General">
                  <c:v>1685.8</c:v>
                </c:pt>
                <c:pt idx="77" formatCode="General">
                  <c:v>1685.85</c:v>
                </c:pt>
                <c:pt idx="78" formatCode="General">
                  <c:v>1685.9</c:v>
                </c:pt>
                <c:pt idx="79" formatCode="General">
                  <c:v>1685.95</c:v>
                </c:pt>
                <c:pt idx="80" formatCode="General">
                  <c:v>1686</c:v>
                </c:pt>
                <c:pt idx="81" formatCode="General">
                  <c:v>1686.05</c:v>
                </c:pt>
                <c:pt idx="82" formatCode="General">
                  <c:v>1686.1</c:v>
                </c:pt>
                <c:pt idx="83" formatCode="General">
                  <c:v>1686.15</c:v>
                </c:pt>
                <c:pt idx="84" formatCode="General">
                  <c:v>1686.2</c:v>
                </c:pt>
                <c:pt idx="85" formatCode="General">
                  <c:v>1686.25</c:v>
                </c:pt>
                <c:pt idx="86" formatCode="General">
                  <c:v>1686.3</c:v>
                </c:pt>
                <c:pt idx="87" formatCode="General">
                  <c:v>1686.35</c:v>
                </c:pt>
                <c:pt idx="88" formatCode="General">
                  <c:v>1686.4</c:v>
                </c:pt>
                <c:pt idx="89" formatCode="General">
                  <c:v>1686.45</c:v>
                </c:pt>
                <c:pt idx="90" formatCode="General">
                  <c:v>1686.5</c:v>
                </c:pt>
                <c:pt idx="91" formatCode="General">
                  <c:v>1686.55</c:v>
                </c:pt>
                <c:pt idx="92" formatCode="General">
                  <c:v>1686.6</c:v>
                </c:pt>
                <c:pt idx="93" formatCode="General">
                  <c:v>1686.65</c:v>
                </c:pt>
                <c:pt idx="94" formatCode="General">
                  <c:v>1686.7</c:v>
                </c:pt>
                <c:pt idx="95" formatCode="General">
                  <c:v>1686.75</c:v>
                </c:pt>
                <c:pt idx="96" formatCode="General">
                  <c:v>1686.8</c:v>
                </c:pt>
                <c:pt idx="97" formatCode="General">
                  <c:v>1686.85</c:v>
                </c:pt>
                <c:pt idx="98" formatCode="General">
                  <c:v>1686.9</c:v>
                </c:pt>
                <c:pt idx="99" formatCode="General">
                  <c:v>1686.95</c:v>
                </c:pt>
                <c:pt idx="100" formatCode="General">
                  <c:v>1687</c:v>
                </c:pt>
                <c:pt idx="101" formatCode="General">
                  <c:v>1687.05</c:v>
                </c:pt>
                <c:pt idx="102" formatCode="General">
                  <c:v>1687.1</c:v>
                </c:pt>
                <c:pt idx="103" formatCode="General">
                  <c:v>1687.15</c:v>
                </c:pt>
                <c:pt idx="104" formatCode="General">
                  <c:v>1687.2</c:v>
                </c:pt>
                <c:pt idx="105" formatCode="General">
                  <c:v>1687.25</c:v>
                </c:pt>
                <c:pt idx="106" formatCode="General">
                  <c:v>1687.3</c:v>
                </c:pt>
                <c:pt idx="107" formatCode="General">
                  <c:v>1687.35</c:v>
                </c:pt>
                <c:pt idx="108" formatCode="General">
                  <c:v>1687.4</c:v>
                </c:pt>
                <c:pt idx="109" formatCode="General">
                  <c:v>1687.45</c:v>
                </c:pt>
                <c:pt idx="110" formatCode="General">
                  <c:v>1687.5</c:v>
                </c:pt>
                <c:pt idx="111" formatCode="General">
                  <c:v>1687.55</c:v>
                </c:pt>
                <c:pt idx="112" formatCode="General">
                  <c:v>1687.6</c:v>
                </c:pt>
                <c:pt idx="113" formatCode="General">
                  <c:v>1687.65</c:v>
                </c:pt>
                <c:pt idx="114" formatCode="General">
                  <c:v>1687.7</c:v>
                </c:pt>
                <c:pt idx="115" formatCode="General">
                  <c:v>1687.75</c:v>
                </c:pt>
                <c:pt idx="116" formatCode="General">
                  <c:v>1687.8</c:v>
                </c:pt>
                <c:pt idx="117" formatCode="General">
                  <c:v>1687.85</c:v>
                </c:pt>
                <c:pt idx="118" formatCode="General">
                  <c:v>1687.9</c:v>
                </c:pt>
                <c:pt idx="119" formatCode="General">
                  <c:v>1687.95</c:v>
                </c:pt>
                <c:pt idx="120" formatCode="General">
                  <c:v>1688</c:v>
                </c:pt>
              </c:numCache>
            </c:numRef>
          </c:xVal>
          <c:yVal>
            <c:numRef>
              <c:f>'Ex 2 Gauss 1'!$S$3:$S$123</c:f>
              <c:numCache>
                <c:formatCode>General</c:formatCode>
                <c:ptCount val="121"/>
                <c:pt idx="0">
                  <c:v>0.95257440437544227</c:v>
                </c:pt>
                <c:pt idx="1">
                  <c:v>1.0538715603397639</c:v>
                </c:pt>
                <c:pt idx="2">
                  <c:v>0.99646608522622027</c:v>
                </c:pt>
                <c:pt idx="3">
                  <c:v>0.93362790691006137</c:v>
                </c:pt>
                <c:pt idx="4">
                  <c:v>0.96833714233865176</c:v>
                </c:pt>
                <c:pt idx="5">
                  <c:v>1.0492524639098324</c:v>
                </c:pt>
                <c:pt idx="6">
                  <c:v>0.97252210181456034</c:v>
                </c:pt>
                <c:pt idx="7">
                  <c:v>0.93892287368550231</c:v>
                </c:pt>
                <c:pt idx="8">
                  <c:v>1.0153343270465498</c:v>
                </c:pt>
                <c:pt idx="9">
                  <c:v>1.0126090294410224</c:v>
                </c:pt>
                <c:pt idx="10">
                  <c:v>0.94750043457155519</c:v>
                </c:pt>
                <c:pt idx="11">
                  <c:v>0.97782511742177081</c:v>
                </c:pt>
                <c:pt idx="12">
                  <c:v>1.0269069345710704</c:v>
                </c:pt>
                <c:pt idx="13">
                  <c:v>0.95981952795842973</c:v>
                </c:pt>
                <c:pt idx="14">
                  <c:v>0.97176074358090758</c:v>
                </c:pt>
                <c:pt idx="15">
                  <c:v>1.0200575700409957</c:v>
                </c:pt>
                <c:pt idx="16">
                  <c:v>0.96544397317831143</c:v>
                </c:pt>
                <c:pt idx="17">
                  <c:v>0.98344034998512631</c:v>
                </c:pt>
                <c:pt idx="18">
                  <c:v>1.0008397329379937</c:v>
                </c:pt>
                <c:pt idx="19">
                  <c:v>0.96847008879932961</c:v>
                </c:pt>
                <c:pt idx="20">
                  <c:v>1.0075585108068461</c:v>
                </c:pt>
                <c:pt idx="21">
                  <c:v>0.98378857432240308</c:v>
                </c:pt>
                <c:pt idx="22">
                  <c:v>0.98902749135139245</c:v>
                </c:pt>
                <c:pt idx="23">
                  <c:v>0.99597012406110219</c:v>
                </c:pt>
                <c:pt idx="24">
                  <c:v>0.99613741344033291</c:v>
                </c:pt>
                <c:pt idx="25">
                  <c:v>1.0180591450085117</c:v>
                </c:pt>
                <c:pt idx="26">
                  <c:v>1.0386880111280201</c:v>
                </c:pt>
                <c:pt idx="27">
                  <c:v>1.0154022192843886</c:v>
                </c:pt>
                <c:pt idx="28">
                  <c:v>0.99937624080426468</c:v>
                </c:pt>
                <c:pt idx="29">
                  <c:v>0.99621349402816661</c:v>
                </c:pt>
                <c:pt idx="30">
                  <c:v>0.99453981563977101</c:v>
                </c:pt>
                <c:pt idx="31">
                  <c:v>0.99428347227063674</c:v>
                </c:pt>
                <c:pt idx="32">
                  <c:v>0.99449479051944467</c:v>
                </c:pt>
                <c:pt idx="33">
                  <c:v>0.99424344855643731</c:v>
                </c:pt>
                <c:pt idx="34">
                  <c:v>0.99519613029084031</c:v>
                </c:pt>
                <c:pt idx="35">
                  <c:v>0.99518180658558242</c:v>
                </c:pt>
                <c:pt idx="36">
                  <c:v>0.99586895974350598</c:v>
                </c:pt>
                <c:pt idx="37">
                  <c:v>0.99600793959832712</c:v>
                </c:pt>
                <c:pt idx="38">
                  <c:v>0.99680001204701341</c:v>
                </c:pt>
                <c:pt idx="39">
                  <c:v>0.99656723424067717</c:v>
                </c:pt>
                <c:pt idx="40">
                  <c:v>0.99728246221838535</c:v>
                </c:pt>
                <c:pt idx="41">
                  <c:v>0.99717676832788327</c:v>
                </c:pt>
                <c:pt idx="42">
                  <c:v>0.99778589955628205</c:v>
                </c:pt>
                <c:pt idx="43">
                  <c:v>0.99751677108710868</c:v>
                </c:pt>
                <c:pt idx="44">
                  <c:v>0.99815241554958856</c:v>
                </c:pt>
                <c:pt idx="45">
                  <c:v>0.99822182801566139</c:v>
                </c:pt>
                <c:pt idx="46">
                  <c:v>0.9980243358549038</c:v>
                </c:pt>
                <c:pt idx="47">
                  <c:v>0.99834425612497579</c:v>
                </c:pt>
                <c:pt idx="48">
                  <c:v>0.99843654247911362</c:v>
                </c:pt>
                <c:pt idx="49">
                  <c:v>0.99850866121016613</c:v>
                </c:pt>
                <c:pt idx="50">
                  <c:v>0.99818091058734948</c:v>
                </c:pt>
                <c:pt idx="51">
                  <c:v>0.99856708508489311</c:v>
                </c:pt>
                <c:pt idx="52">
                  <c:v>0.99859234905596139</c:v>
                </c:pt>
                <c:pt idx="53">
                  <c:v>0.99857652987056356</c:v>
                </c:pt>
                <c:pt idx="54">
                  <c:v>0.99845944278146093</c:v>
                </c:pt>
                <c:pt idx="55">
                  <c:v>0.99844208348159946</c:v>
                </c:pt>
                <c:pt idx="56">
                  <c:v>0.99888982848842145</c:v>
                </c:pt>
                <c:pt idx="57">
                  <c:v>0.99843439740102491</c:v>
                </c:pt>
                <c:pt idx="58">
                  <c:v>0.99856758208395813</c:v>
                </c:pt>
                <c:pt idx="59">
                  <c:v>0.99838220771883246</c:v>
                </c:pt>
                <c:pt idx="60">
                  <c:v>0.99874898668150913</c:v>
                </c:pt>
                <c:pt idx="61">
                  <c:v>0.99895182037230768</c:v>
                </c:pt>
                <c:pt idx="62">
                  <c:v>0.99823536430892357</c:v>
                </c:pt>
                <c:pt idx="63">
                  <c:v>0.99869224065273998</c:v>
                </c:pt>
                <c:pt idx="64">
                  <c:v>0.99863707999509155</c:v>
                </c:pt>
                <c:pt idx="65">
                  <c:v>0.99904601932542447</c:v>
                </c:pt>
                <c:pt idx="66">
                  <c:v>0.99843358011622541</c:v>
                </c:pt>
                <c:pt idx="67">
                  <c:v>0.99828140623221506</c:v>
                </c:pt>
                <c:pt idx="68">
                  <c:v>0.99886933651877885</c:v>
                </c:pt>
                <c:pt idx="69">
                  <c:v>0.99885922462703503</c:v>
                </c:pt>
                <c:pt idx="70">
                  <c:v>0.99857044995239608</c:v>
                </c:pt>
                <c:pt idx="71">
                  <c:v>0.99854951958028249</c:v>
                </c:pt>
                <c:pt idx="72">
                  <c:v>0.99885587995529868</c:v>
                </c:pt>
                <c:pt idx="73">
                  <c:v>0.99881086441935052</c:v>
                </c:pt>
                <c:pt idx="74">
                  <c:v>0.99835176019814387</c:v>
                </c:pt>
                <c:pt idx="75">
                  <c:v>0.99848325641395186</c:v>
                </c:pt>
                <c:pt idx="76">
                  <c:v>0.99918887129352074</c:v>
                </c:pt>
                <c:pt idx="77">
                  <c:v>0.99876601598046244</c:v>
                </c:pt>
                <c:pt idx="78">
                  <c:v>0.99863662762988747</c:v>
                </c:pt>
                <c:pt idx="79">
                  <c:v>0.99845611665405132</c:v>
                </c:pt>
                <c:pt idx="80">
                  <c:v>0.99906934406050019</c:v>
                </c:pt>
                <c:pt idx="81">
                  <c:v>0.99888815870413838</c:v>
                </c:pt>
                <c:pt idx="82">
                  <c:v>0.99858505792095476</c:v>
                </c:pt>
                <c:pt idx="83">
                  <c:v>0.99837151644621946</c:v>
                </c:pt>
                <c:pt idx="84">
                  <c:v>0.99868547487213088</c:v>
                </c:pt>
                <c:pt idx="85">
                  <c:v>0.99918538167967996</c:v>
                </c:pt>
                <c:pt idx="86">
                  <c:v>0.99890951167100617</c:v>
                </c:pt>
                <c:pt idx="87">
                  <c:v>0.99845563502201595</c:v>
                </c:pt>
                <c:pt idx="88">
                  <c:v>0.9984469682996806</c:v>
                </c:pt>
                <c:pt idx="89">
                  <c:v>0.99937511153612324</c:v>
                </c:pt>
                <c:pt idx="90">
                  <c:v>0.99949179159574741</c:v>
                </c:pt>
                <c:pt idx="91">
                  <c:v>0.99852884735464709</c:v>
                </c:pt>
                <c:pt idx="92">
                  <c:v>0.99812716486550301</c:v>
                </c:pt>
                <c:pt idx="93">
                  <c:v>0.99932093206179595</c:v>
                </c:pt>
                <c:pt idx="94">
                  <c:v>0.99968514259388819</c:v>
                </c:pt>
                <c:pt idx="95">
                  <c:v>0.99845623125490024</c:v>
                </c:pt>
                <c:pt idx="96">
                  <c:v>0.99831052943316012</c:v>
                </c:pt>
                <c:pt idx="97">
                  <c:v>0.99906995960369382</c:v>
                </c:pt>
                <c:pt idx="98">
                  <c:v>1.0002064500586088</c:v>
                </c:pt>
                <c:pt idx="99">
                  <c:v>0.99905042122084131</c:v>
                </c:pt>
                <c:pt idx="100">
                  <c:v>0.99798422221194061</c:v>
                </c:pt>
                <c:pt idx="101">
                  <c:v>0.99913335135706338</c:v>
                </c:pt>
                <c:pt idx="102">
                  <c:v>1.0004254888427118</c:v>
                </c:pt>
                <c:pt idx="103">
                  <c:v>0.99907442711703853</c:v>
                </c:pt>
                <c:pt idx="104">
                  <c:v>0.99808137720471413</c:v>
                </c:pt>
                <c:pt idx="105">
                  <c:v>0.99946548091534704</c:v>
                </c:pt>
                <c:pt idx="106">
                  <c:v>1.0004623110066939</c:v>
                </c:pt>
                <c:pt idx="107">
                  <c:v>0.99939379213640733</c:v>
                </c:pt>
                <c:pt idx="108">
                  <c:v>0.99823480432211653</c:v>
                </c:pt>
                <c:pt idx="109">
                  <c:v>0.99904756809796658</c:v>
                </c:pt>
                <c:pt idx="110">
                  <c:v>1.0009418008099591</c:v>
                </c:pt>
                <c:pt idx="111">
                  <c:v>0.99982527036622582</c:v>
                </c:pt>
                <c:pt idx="112">
                  <c:v>0.99815737792229065</c:v>
                </c:pt>
                <c:pt idx="113">
                  <c:v>0.99918289409127714</c:v>
                </c:pt>
                <c:pt idx="114">
                  <c:v>1.0006995481383787</c:v>
                </c:pt>
                <c:pt idx="115">
                  <c:v>1.0004892397303866</c:v>
                </c:pt>
                <c:pt idx="116">
                  <c:v>0.99907235526107818</c:v>
                </c:pt>
                <c:pt idx="117">
                  <c:v>0.99898129595380813</c:v>
                </c:pt>
                <c:pt idx="118">
                  <c:v>0.99954972868237435</c:v>
                </c:pt>
                <c:pt idx="119">
                  <c:v>1.0010294300671665</c:v>
                </c:pt>
                <c:pt idx="120">
                  <c:v>0.99980483997993397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F5-499B-B74C-CE83CC647D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4041888"/>
        <c:axId val="1174042968"/>
      </c:scatterChart>
      <c:valAx>
        <c:axId val="1174041888"/>
        <c:scaling>
          <c:orientation val="minMax"/>
          <c:max val="1688"/>
          <c:min val="168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beam</a:t>
                </a:r>
                <a:r>
                  <a:rPr lang="en-GB" sz="1600" baseline="0"/>
                  <a:t> energy (keV)</a:t>
                </a:r>
                <a:endParaRPr lang="en-GB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042968"/>
        <c:crosses val="autoZero"/>
        <c:crossBetween val="midCat"/>
      </c:valAx>
      <c:valAx>
        <c:axId val="1174042968"/>
        <c:scaling>
          <c:orientation val="minMax"/>
          <c:min val="0.9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ratio</a:t>
                </a:r>
                <a:r>
                  <a:rPr lang="en-GB" sz="1600" baseline="0"/>
                  <a:t> over NDF</a:t>
                </a:r>
                <a:endParaRPr lang="en-GB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0418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800"/>
              <a:t>Ex 2 Full Straggling </a:t>
            </a:r>
            <a:r>
              <a:rPr lang="el-GR" sz="1800"/>
              <a:t>Δ</a:t>
            </a:r>
            <a:r>
              <a:rPr lang="en-GB" sz="1800"/>
              <a:t>E=0</a:t>
            </a:r>
          </a:p>
        </c:rich>
      </c:tx>
      <c:layout>
        <c:manualLayout>
          <c:xMode val="edge"/>
          <c:yMode val="edge"/>
          <c:x val="0.29313307427480656"/>
          <c:y val="2.58620689655172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NDF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 2 FULL 0 50 eV'!$E$3:$E$123</c:f>
              <c:numCache>
                <c:formatCode>0.00</c:formatCode>
                <c:ptCount val="121"/>
                <c:pt idx="0">
                  <c:v>1682</c:v>
                </c:pt>
                <c:pt idx="1">
                  <c:v>1682.05</c:v>
                </c:pt>
                <c:pt idx="2">
                  <c:v>1682.1</c:v>
                </c:pt>
                <c:pt idx="3">
                  <c:v>1682.15</c:v>
                </c:pt>
                <c:pt idx="4">
                  <c:v>1682.2</c:v>
                </c:pt>
                <c:pt idx="5">
                  <c:v>1682.25</c:v>
                </c:pt>
                <c:pt idx="6">
                  <c:v>1682.3</c:v>
                </c:pt>
                <c:pt idx="7">
                  <c:v>1682.35</c:v>
                </c:pt>
                <c:pt idx="8">
                  <c:v>1682.4</c:v>
                </c:pt>
                <c:pt idx="9">
                  <c:v>1682.45</c:v>
                </c:pt>
                <c:pt idx="10">
                  <c:v>1682.5</c:v>
                </c:pt>
                <c:pt idx="11">
                  <c:v>1682.55</c:v>
                </c:pt>
                <c:pt idx="12">
                  <c:v>1682.6</c:v>
                </c:pt>
                <c:pt idx="13">
                  <c:v>1682.65</c:v>
                </c:pt>
                <c:pt idx="14">
                  <c:v>1682.7</c:v>
                </c:pt>
                <c:pt idx="15">
                  <c:v>1682.75</c:v>
                </c:pt>
                <c:pt idx="16">
                  <c:v>1682.8</c:v>
                </c:pt>
                <c:pt idx="17">
                  <c:v>1682.85</c:v>
                </c:pt>
                <c:pt idx="18">
                  <c:v>1682.9</c:v>
                </c:pt>
                <c:pt idx="19">
                  <c:v>1682.95</c:v>
                </c:pt>
                <c:pt idx="20">
                  <c:v>1683</c:v>
                </c:pt>
                <c:pt idx="21">
                  <c:v>1683.05</c:v>
                </c:pt>
                <c:pt idx="22">
                  <c:v>1683.1</c:v>
                </c:pt>
                <c:pt idx="23">
                  <c:v>1683.15</c:v>
                </c:pt>
                <c:pt idx="24">
                  <c:v>1683.2</c:v>
                </c:pt>
                <c:pt idx="25">
                  <c:v>1683.25</c:v>
                </c:pt>
                <c:pt idx="26">
                  <c:v>1683.3</c:v>
                </c:pt>
                <c:pt idx="27">
                  <c:v>1683.35</c:v>
                </c:pt>
                <c:pt idx="28">
                  <c:v>1683.4</c:v>
                </c:pt>
                <c:pt idx="29">
                  <c:v>1683.45</c:v>
                </c:pt>
                <c:pt idx="30">
                  <c:v>1683.5</c:v>
                </c:pt>
                <c:pt idx="31">
                  <c:v>1683.55</c:v>
                </c:pt>
                <c:pt idx="32">
                  <c:v>1683.6</c:v>
                </c:pt>
                <c:pt idx="33">
                  <c:v>1683.65</c:v>
                </c:pt>
                <c:pt idx="34">
                  <c:v>1683.7</c:v>
                </c:pt>
                <c:pt idx="35">
                  <c:v>1683.75</c:v>
                </c:pt>
                <c:pt idx="36">
                  <c:v>1683.8</c:v>
                </c:pt>
                <c:pt idx="37">
                  <c:v>1683.85</c:v>
                </c:pt>
                <c:pt idx="38">
                  <c:v>1683.9</c:v>
                </c:pt>
                <c:pt idx="39">
                  <c:v>1683.95</c:v>
                </c:pt>
                <c:pt idx="40">
                  <c:v>1684</c:v>
                </c:pt>
                <c:pt idx="41">
                  <c:v>1684.05</c:v>
                </c:pt>
                <c:pt idx="42">
                  <c:v>1684.1</c:v>
                </c:pt>
                <c:pt idx="43">
                  <c:v>1684.15</c:v>
                </c:pt>
                <c:pt idx="44">
                  <c:v>1684.2</c:v>
                </c:pt>
                <c:pt idx="45">
                  <c:v>1684.25</c:v>
                </c:pt>
                <c:pt idx="46">
                  <c:v>1684.3</c:v>
                </c:pt>
                <c:pt idx="47">
                  <c:v>1684.35</c:v>
                </c:pt>
                <c:pt idx="48">
                  <c:v>1684.4</c:v>
                </c:pt>
                <c:pt idx="49">
                  <c:v>1684.45</c:v>
                </c:pt>
                <c:pt idx="50">
                  <c:v>1684.5</c:v>
                </c:pt>
                <c:pt idx="51">
                  <c:v>1684.55</c:v>
                </c:pt>
                <c:pt idx="52">
                  <c:v>1684.6</c:v>
                </c:pt>
                <c:pt idx="53">
                  <c:v>1684.65</c:v>
                </c:pt>
                <c:pt idx="54">
                  <c:v>1684.7</c:v>
                </c:pt>
                <c:pt idx="55">
                  <c:v>1684.75</c:v>
                </c:pt>
                <c:pt idx="56">
                  <c:v>1684.8</c:v>
                </c:pt>
                <c:pt idx="57">
                  <c:v>1684.85</c:v>
                </c:pt>
                <c:pt idx="58">
                  <c:v>1684.9</c:v>
                </c:pt>
                <c:pt idx="59">
                  <c:v>1684.95</c:v>
                </c:pt>
                <c:pt idx="60">
                  <c:v>1685</c:v>
                </c:pt>
                <c:pt idx="61">
                  <c:v>1685.05</c:v>
                </c:pt>
                <c:pt idx="62">
                  <c:v>1685.1</c:v>
                </c:pt>
                <c:pt idx="63">
                  <c:v>1685.15</c:v>
                </c:pt>
                <c:pt idx="64">
                  <c:v>1685.2</c:v>
                </c:pt>
                <c:pt idx="65">
                  <c:v>1685.25</c:v>
                </c:pt>
                <c:pt idx="66">
                  <c:v>1685.3</c:v>
                </c:pt>
                <c:pt idx="67">
                  <c:v>1685.35</c:v>
                </c:pt>
                <c:pt idx="68">
                  <c:v>1685.4</c:v>
                </c:pt>
                <c:pt idx="69">
                  <c:v>1685.45</c:v>
                </c:pt>
                <c:pt idx="70">
                  <c:v>1685.5</c:v>
                </c:pt>
                <c:pt idx="71">
                  <c:v>1685.55</c:v>
                </c:pt>
                <c:pt idx="72">
                  <c:v>1685.6</c:v>
                </c:pt>
                <c:pt idx="73">
                  <c:v>1685.65</c:v>
                </c:pt>
                <c:pt idx="74">
                  <c:v>1685.7</c:v>
                </c:pt>
                <c:pt idx="75">
                  <c:v>1685.75</c:v>
                </c:pt>
                <c:pt idx="76">
                  <c:v>1685.8</c:v>
                </c:pt>
                <c:pt idx="77">
                  <c:v>1685.85</c:v>
                </c:pt>
                <c:pt idx="78">
                  <c:v>1685.9</c:v>
                </c:pt>
                <c:pt idx="79">
                  <c:v>1685.95</c:v>
                </c:pt>
                <c:pt idx="80">
                  <c:v>1686</c:v>
                </c:pt>
                <c:pt idx="81">
                  <c:v>1686.05</c:v>
                </c:pt>
                <c:pt idx="82">
                  <c:v>1686.1</c:v>
                </c:pt>
                <c:pt idx="83">
                  <c:v>1686.15</c:v>
                </c:pt>
                <c:pt idx="84">
                  <c:v>1686.2</c:v>
                </c:pt>
                <c:pt idx="85">
                  <c:v>1686.25</c:v>
                </c:pt>
                <c:pt idx="86">
                  <c:v>1686.3</c:v>
                </c:pt>
                <c:pt idx="87">
                  <c:v>1686.35</c:v>
                </c:pt>
                <c:pt idx="88">
                  <c:v>1686.4</c:v>
                </c:pt>
                <c:pt idx="89">
                  <c:v>1686.45</c:v>
                </c:pt>
                <c:pt idx="90">
                  <c:v>1686.5</c:v>
                </c:pt>
                <c:pt idx="91">
                  <c:v>1686.55</c:v>
                </c:pt>
                <c:pt idx="92">
                  <c:v>1686.6</c:v>
                </c:pt>
                <c:pt idx="93">
                  <c:v>1686.65</c:v>
                </c:pt>
                <c:pt idx="94">
                  <c:v>1686.7</c:v>
                </c:pt>
                <c:pt idx="95">
                  <c:v>1686.75</c:v>
                </c:pt>
                <c:pt idx="96">
                  <c:v>1686.8</c:v>
                </c:pt>
                <c:pt idx="97">
                  <c:v>1686.85</c:v>
                </c:pt>
                <c:pt idx="98">
                  <c:v>1686.9</c:v>
                </c:pt>
                <c:pt idx="99">
                  <c:v>1686.95</c:v>
                </c:pt>
                <c:pt idx="100">
                  <c:v>1687</c:v>
                </c:pt>
                <c:pt idx="101">
                  <c:v>1687.05</c:v>
                </c:pt>
                <c:pt idx="102">
                  <c:v>1687.1</c:v>
                </c:pt>
                <c:pt idx="103">
                  <c:v>1687.15</c:v>
                </c:pt>
                <c:pt idx="104">
                  <c:v>1687.2</c:v>
                </c:pt>
                <c:pt idx="105">
                  <c:v>1687.25</c:v>
                </c:pt>
                <c:pt idx="106">
                  <c:v>1687.3</c:v>
                </c:pt>
                <c:pt idx="107">
                  <c:v>1687.35</c:v>
                </c:pt>
                <c:pt idx="108">
                  <c:v>1687.4</c:v>
                </c:pt>
                <c:pt idx="109">
                  <c:v>1687.45</c:v>
                </c:pt>
                <c:pt idx="110">
                  <c:v>1687.5</c:v>
                </c:pt>
                <c:pt idx="111">
                  <c:v>1687.55</c:v>
                </c:pt>
                <c:pt idx="112">
                  <c:v>1687.6</c:v>
                </c:pt>
                <c:pt idx="113">
                  <c:v>1687.65</c:v>
                </c:pt>
                <c:pt idx="114">
                  <c:v>1687.7</c:v>
                </c:pt>
                <c:pt idx="115">
                  <c:v>1687.75</c:v>
                </c:pt>
                <c:pt idx="116">
                  <c:v>1687.8</c:v>
                </c:pt>
                <c:pt idx="117">
                  <c:v>1687.85</c:v>
                </c:pt>
                <c:pt idx="118">
                  <c:v>1687.9</c:v>
                </c:pt>
                <c:pt idx="119">
                  <c:v>1687.95</c:v>
                </c:pt>
                <c:pt idx="120">
                  <c:v>1688</c:v>
                </c:pt>
              </c:numCache>
            </c:numRef>
          </c:xVal>
          <c:yVal>
            <c:numRef>
              <c:f>'Ex 2 FULL 0 50 eV'!$F$3:$F$123</c:f>
              <c:numCache>
                <c:formatCode>0.0000000000</c:formatCode>
                <c:ptCount val="121"/>
                <c:pt idx="0">
                  <c:v>2.0776745E-3</c:v>
                </c:pt>
                <c:pt idx="1">
                  <c:v>2.2027320000000002E-3</c:v>
                </c:pt>
                <c:pt idx="2">
                  <c:v>2.3390132000000001E-3</c:v>
                </c:pt>
                <c:pt idx="3">
                  <c:v>2.4896807E-3</c:v>
                </c:pt>
                <c:pt idx="4">
                  <c:v>2.6560158000000001E-3</c:v>
                </c:pt>
                <c:pt idx="5">
                  <c:v>2.8411839E-3</c:v>
                </c:pt>
                <c:pt idx="6">
                  <c:v>3.0485208000000001E-3</c:v>
                </c:pt>
                <c:pt idx="7">
                  <c:v>3.2803791E-3</c:v>
                </c:pt>
                <c:pt idx="8">
                  <c:v>3.5431311000000002E-3</c:v>
                </c:pt>
                <c:pt idx="9">
                  <c:v>3.8431601E-3</c:v>
                </c:pt>
                <c:pt idx="10">
                  <c:v>4.1881161999999996E-3</c:v>
                </c:pt>
                <c:pt idx="11">
                  <c:v>4.5890076999999998E-3</c:v>
                </c:pt>
                <c:pt idx="12">
                  <c:v>5.0570737000000003E-3</c:v>
                </c:pt>
                <c:pt idx="13">
                  <c:v>5.6165722000000003E-3</c:v>
                </c:pt>
                <c:pt idx="14">
                  <c:v>6.2856791000000002E-3</c:v>
                </c:pt>
                <c:pt idx="15">
                  <c:v>7.1109970999999996E-3</c:v>
                </c:pt>
                <c:pt idx="16">
                  <c:v>8.1463874999999995E-3</c:v>
                </c:pt>
                <c:pt idx="17">
                  <c:v>9.4757126999999997E-3</c:v>
                </c:pt>
                <c:pt idx="18">
                  <c:v>1.1237403999999999E-2</c:v>
                </c:pt>
                <c:pt idx="19">
                  <c:v>1.3667609000000001E-2</c:v>
                </c:pt>
                <c:pt idx="20">
                  <c:v>1.7196759999999998E-2</c:v>
                </c:pt>
                <c:pt idx="21">
                  <c:v>2.2769365E-2</c:v>
                </c:pt>
                <c:pt idx="22">
                  <c:v>3.2487745999999998E-2</c:v>
                </c:pt>
                <c:pt idx="23">
                  <c:v>5.2492737999999997E-2</c:v>
                </c:pt>
                <c:pt idx="24">
                  <c:v>9.7877353E-2</c:v>
                </c:pt>
                <c:pt idx="25">
                  <c:v>0.18590569000000001</c:v>
                </c:pt>
                <c:pt idx="26">
                  <c:v>0.28274336</c:v>
                </c:pt>
                <c:pt idx="27">
                  <c:v>0.30596441000000002</c:v>
                </c:pt>
                <c:pt idx="28">
                  <c:v>0.26946869000000001</c:v>
                </c:pt>
                <c:pt idx="29">
                  <c:v>0.23140484</c:v>
                </c:pt>
                <c:pt idx="30">
                  <c:v>0.20889969</c:v>
                </c:pt>
                <c:pt idx="31">
                  <c:v>0.19693793000000001</c:v>
                </c:pt>
                <c:pt idx="32">
                  <c:v>0.19006819999999999</c:v>
                </c:pt>
                <c:pt idx="33">
                  <c:v>0.18564718999999999</c:v>
                </c:pt>
                <c:pt idx="34">
                  <c:v>0.18253274</c:v>
                </c:pt>
                <c:pt idx="35">
                  <c:v>0.18037934999999999</c:v>
                </c:pt>
                <c:pt idx="36">
                  <c:v>0.17881755999999999</c:v>
                </c:pt>
                <c:pt idx="37">
                  <c:v>0.17765750999999999</c:v>
                </c:pt>
                <c:pt idx="38">
                  <c:v>0.17688666</c:v>
                </c:pt>
                <c:pt idx="39">
                  <c:v>0.17613303999999999</c:v>
                </c:pt>
                <c:pt idx="40">
                  <c:v>0.17561863</c:v>
                </c:pt>
                <c:pt idx="41">
                  <c:v>0.17519699</c:v>
                </c:pt>
                <c:pt idx="42">
                  <c:v>0.17500863999999999</c:v>
                </c:pt>
                <c:pt idx="43">
                  <c:v>0.17473538</c:v>
                </c:pt>
                <c:pt idx="44">
                  <c:v>0.17448949999999999</c:v>
                </c:pt>
                <c:pt idx="45">
                  <c:v>0.17436299</c:v>
                </c:pt>
                <c:pt idx="46">
                  <c:v>0.17425291000000001</c:v>
                </c:pt>
                <c:pt idx="47">
                  <c:v>0.17420262</c:v>
                </c:pt>
                <c:pt idx="48">
                  <c:v>0.17412654999999999</c:v>
                </c:pt>
                <c:pt idx="49">
                  <c:v>0.17411381000000001</c:v>
                </c:pt>
                <c:pt idx="50">
                  <c:v>0.17409754999999999</c:v>
                </c:pt>
                <c:pt idx="51">
                  <c:v>0.17409379999999999</c:v>
                </c:pt>
                <c:pt idx="52">
                  <c:v>0.1740873</c:v>
                </c:pt>
                <c:pt idx="53">
                  <c:v>0.17412612</c:v>
                </c:pt>
                <c:pt idx="54">
                  <c:v>0.17411272</c:v>
                </c:pt>
                <c:pt idx="55">
                  <c:v>0.17412604000000001</c:v>
                </c:pt>
                <c:pt idx="56">
                  <c:v>0.17415367000000001</c:v>
                </c:pt>
                <c:pt idx="57">
                  <c:v>0.17417784</c:v>
                </c:pt>
                <c:pt idx="58">
                  <c:v>0.17422362999999999</c:v>
                </c:pt>
                <c:pt idx="59">
                  <c:v>0.17423000999999999</c:v>
                </c:pt>
                <c:pt idx="60">
                  <c:v>0.17426610000000001</c:v>
                </c:pt>
                <c:pt idx="61">
                  <c:v>0.17430572</c:v>
                </c:pt>
                <c:pt idx="62">
                  <c:v>0.17434375999999999</c:v>
                </c:pt>
                <c:pt idx="63">
                  <c:v>0.17437021</c:v>
                </c:pt>
                <c:pt idx="64">
                  <c:v>0.17440085</c:v>
                </c:pt>
                <c:pt idx="65">
                  <c:v>0.17444204999999999</c:v>
                </c:pt>
                <c:pt idx="66">
                  <c:v>0.17448099</c:v>
                </c:pt>
                <c:pt idx="67">
                  <c:v>0.17452566</c:v>
                </c:pt>
                <c:pt idx="68">
                  <c:v>0.17454995000000001</c:v>
                </c:pt>
                <c:pt idx="69">
                  <c:v>0.17458022000000001</c:v>
                </c:pt>
                <c:pt idx="70">
                  <c:v>0.17461247999999999</c:v>
                </c:pt>
                <c:pt idx="71">
                  <c:v>0.17463819999999999</c:v>
                </c:pt>
                <c:pt idx="72">
                  <c:v>0.17467352999999999</c:v>
                </c:pt>
                <c:pt idx="73">
                  <c:v>0.17470136</c:v>
                </c:pt>
                <c:pt idx="74">
                  <c:v>0.17471941999999999</c:v>
                </c:pt>
                <c:pt idx="75">
                  <c:v>0.17474160999999999</c:v>
                </c:pt>
                <c:pt idx="76">
                  <c:v>0.17477413</c:v>
                </c:pt>
                <c:pt idx="77">
                  <c:v>0.17480572999999999</c:v>
                </c:pt>
                <c:pt idx="78">
                  <c:v>0.17482391999999999</c:v>
                </c:pt>
                <c:pt idx="79">
                  <c:v>0.17483172999999999</c:v>
                </c:pt>
                <c:pt idx="80">
                  <c:v>0.17484209000000001</c:v>
                </c:pt>
                <c:pt idx="81">
                  <c:v>0.17485382999999999</c:v>
                </c:pt>
                <c:pt idx="82">
                  <c:v>0.17486731999999999</c:v>
                </c:pt>
                <c:pt idx="83">
                  <c:v>0.17489115999999999</c:v>
                </c:pt>
                <c:pt idx="84">
                  <c:v>0.17488734</c:v>
                </c:pt>
                <c:pt idx="85">
                  <c:v>0.17490163</c:v>
                </c:pt>
                <c:pt idx="86">
                  <c:v>0.17489875999999999</c:v>
                </c:pt>
                <c:pt idx="87">
                  <c:v>0.17490827</c:v>
                </c:pt>
                <c:pt idx="88">
                  <c:v>0.17491393999999999</c:v>
                </c:pt>
                <c:pt idx="89">
                  <c:v>0.17490701</c:v>
                </c:pt>
                <c:pt idx="90">
                  <c:v>0.17489579</c:v>
                </c:pt>
                <c:pt idx="91">
                  <c:v>0.17489663</c:v>
                </c:pt>
                <c:pt idx="92">
                  <c:v>0.17488818</c:v>
                </c:pt>
                <c:pt idx="93">
                  <c:v>0.17488993999999999</c:v>
                </c:pt>
                <c:pt idx="94">
                  <c:v>0.17488565</c:v>
                </c:pt>
                <c:pt idx="95">
                  <c:v>0.17487897999999999</c:v>
                </c:pt>
                <c:pt idx="96">
                  <c:v>0.17486209999999999</c:v>
                </c:pt>
                <c:pt idx="97">
                  <c:v>0.17485212</c:v>
                </c:pt>
                <c:pt idx="98">
                  <c:v>0.17484189999999999</c:v>
                </c:pt>
                <c:pt idx="99">
                  <c:v>0.17483926</c:v>
                </c:pt>
                <c:pt idx="100">
                  <c:v>0.17482258000000001</c:v>
                </c:pt>
                <c:pt idx="101">
                  <c:v>0.17480977</c:v>
                </c:pt>
                <c:pt idx="102">
                  <c:v>0.17480385000000001</c:v>
                </c:pt>
                <c:pt idx="103">
                  <c:v>0.17478543999999999</c:v>
                </c:pt>
                <c:pt idx="104">
                  <c:v>0.17477508999999999</c:v>
                </c:pt>
                <c:pt idx="105">
                  <c:v>0.17477988</c:v>
                </c:pt>
                <c:pt idx="106">
                  <c:v>0.17477706000000001</c:v>
                </c:pt>
                <c:pt idx="107">
                  <c:v>0.17476781</c:v>
                </c:pt>
                <c:pt idx="108">
                  <c:v>0.17475495999999999</c:v>
                </c:pt>
                <c:pt idx="109">
                  <c:v>0.17475319</c:v>
                </c:pt>
                <c:pt idx="110">
                  <c:v>0.17475122000000001</c:v>
                </c:pt>
                <c:pt idx="111">
                  <c:v>0.17474307</c:v>
                </c:pt>
                <c:pt idx="112">
                  <c:v>0.17473959999999999</c:v>
                </c:pt>
                <c:pt idx="113">
                  <c:v>0.17472599</c:v>
                </c:pt>
                <c:pt idx="114">
                  <c:v>0.17471965</c:v>
                </c:pt>
                <c:pt idx="115">
                  <c:v>0.17472199999999999</c:v>
                </c:pt>
                <c:pt idx="116">
                  <c:v>0.1747351</c:v>
                </c:pt>
                <c:pt idx="117">
                  <c:v>0.17472945000000001</c:v>
                </c:pt>
                <c:pt idx="118">
                  <c:v>0.17473274</c:v>
                </c:pt>
                <c:pt idx="119">
                  <c:v>0.17475889999999999</c:v>
                </c:pt>
                <c:pt idx="120">
                  <c:v>0.17475057999999999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9B-4A24-BBCB-A7EEB99C11BF}"/>
            </c:ext>
          </c:extLst>
        </c:ser>
        <c:ser>
          <c:idx val="2"/>
          <c:order val="1"/>
          <c:tx>
            <c:v>SIMNRA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2"/>
              </a:solidFill>
              <a:ln w="6350">
                <a:solidFill>
                  <a:schemeClr val="accent2"/>
                </a:solidFill>
              </a:ln>
              <a:effectLst/>
            </c:spPr>
          </c:marker>
          <c:xVal>
            <c:numRef>
              <c:f>'Ex 2 FULL 0 50 eV'!$H$3:$H$143</c:f>
              <c:numCache>
                <c:formatCode>General</c:formatCode>
                <c:ptCount val="141"/>
                <c:pt idx="0">
                  <c:v>1681</c:v>
                </c:pt>
                <c:pt idx="1">
                  <c:v>1681.05</c:v>
                </c:pt>
                <c:pt idx="2">
                  <c:v>1681.1</c:v>
                </c:pt>
                <c:pt idx="3">
                  <c:v>1681.15</c:v>
                </c:pt>
                <c:pt idx="4">
                  <c:v>1681.2</c:v>
                </c:pt>
                <c:pt idx="5">
                  <c:v>1681.25</c:v>
                </c:pt>
                <c:pt idx="6">
                  <c:v>1681.3</c:v>
                </c:pt>
                <c:pt idx="7">
                  <c:v>1681.35</c:v>
                </c:pt>
                <c:pt idx="8">
                  <c:v>1681.4</c:v>
                </c:pt>
                <c:pt idx="9">
                  <c:v>1681.45</c:v>
                </c:pt>
                <c:pt idx="10">
                  <c:v>1681.5</c:v>
                </c:pt>
                <c:pt idx="11">
                  <c:v>1681.55</c:v>
                </c:pt>
                <c:pt idx="12">
                  <c:v>1681.6</c:v>
                </c:pt>
                <c:pt idx="13">
                  <c:v>1681.65</c:v>
                </c:pt>
                <c:pt idx="14">
                  <c:v>1681.7</c:v>
                </c:pt>
                <c:pt idx="15">
                  <c:v>1681.75</c:v>
                </c:pt>
                <c:pt idx="16">
                  <c:v>1681.8</c:v>
                </c:pt>
                <c:pt idx="17">
                  <c:v>1681.85</c:v>
                </c:pt>
                <c:pt idx="18">
                  <c:v>1681.9</c:v>
                </c:pt>
                <c:pt idx="19">
                  <c:v>1681.95</c:v>
                </c:pt>
                <c:pt idx="20">
                  <c:v>1682</c:v>
                </c:pt>
                <c:pt idx="21">
                  <c:v>1682.05</c:v>
                </c:pt>
                <c:pt idx="22">
                  <c:v>1682.1</c:v>
                </c:pt>
                <c:pt idx="23">
                  <c:v>1682.15</c:v>
                </c:pt>
                <c:pt idx="24">
                  <c:v>1682.2</c:v>
                </c:pt>
                <c:pt idx="25">
                  <c:v>1682.25</c:v>
                </c:pt>
                <c:pt idx="26">
                  <c:v>1682.3</c:v>
                </c:pt>
                <c:pt idx="27">
                  <c:v>1682.35</c:v>
                </c:pt>
                <c:pt idx="28">
                  <c:v>1682.4</c:v>
                </c:pt>
                <c:pt idx="29">
                  <c:v>1682.45</c:v>
                </c:pt>
                <c:pt idx="30">
                  <c:v>1682.5</c:v>
                </c:pt>
                <c:pt idx="31">
                  <c:v>1682.55</c:v>
                </c:pt>
                <c:pt idx="32">
                  <c:v>1682.6</c:v>
                </c:pt>
                <c:pt idx="33">
                  <c:v>1682.65</c:v>
                </c:pt>
                <c:pt idx="34">
                  <c:v>1682.7</c:v>
                </c:pt>
                <c:pt idx="35">
                  <c:v>1682.75</c:v>
                </c:pt>
                <c:pt idx="36">
                  <c:v>1682.8</c:v>
                </c:pt>
                <c:pt idx="37">
                  <c:v>1682.85</c:v>
                </c:pt>
                <c:pt idx="38">
                  <c:v>1682.9</c:v>
                </c:pt>
                <c:pt idx="39">
                  <c:v>1682.95</c:v>
                </c:pt>
                <c:pt idx="40">
                  <c:v>1683</c:v>
                </c:pt>
                <c:pt idx="41">
                  <c:v>1683.05</c:v>
                </c:pt>
                <c:pt idx="42">
                  <c:v>1683.1</c:v>
                </c:pt>
                <c:pt idx="43">
                  <c:v>1683.15</c:v>
                </c:pt>
                <c:pt idx="44">
                  <c:v>1683.2</c:v>
                </c:pt>
                <c:pt idx="45">
                  <c:v>1683.25</c:v>
                </c:pt>
                <c:pt idx="46">
                  <c:v>1683.3</c:v>
                </c:pt>
                <c:pt idx="47">
                  <c:v>1683.35</c:v>
                </c:pt>
                <c:pt idx="48">
                  <c:v>1683.4</c:v>
                </c:pt>
                <c:pt idx="49">
                  <c:v>1683.45</c:v>
                </c:pt>
                <c:pt idx="50">
                  <c:v>1683.5</c:v>
                </c:pt>
                <c:pt idx="51">
                  <c:v>1683.55</c:v>
                </c:pt>
                <c:pt idx="52">
                  <c:v>1683.6</c:v>
                </c:pt>
                <c:pt idx="53">
                  <c:v>1683.65</c:v>
                </c:pt>
                <c:pt idx="54">
                  <c:v>1683.7</c:v>
                </c:pt>
                <c:pt idx="55">
                  <c:v>1683.75</c:v>
                </c:pt>
                <c:pt idx="56">
                  <c:v>1683.8</c:v>
                </c:pt>
                <c:pt idx="57">
                  <c:v>1683.85</c:v>
                </c:pt>
                <c:pt idx="58">
                  <c:v>1683.9</c:v>
                </c:pt>
                <c:pt idx="59">
                  <c:v>1683.95</c:v>
                </c:pt>
                <c:pt idx="60">
                  <c:v>1684</c:v>
                </c:pt>
                <c:pt idx="61">
                  <c:v>1684.05</c:v>
                </c:pt>
                <c:pt idx="62">
                  <c:v>1684.1</c:v>
                </c:pt>
                <c:pt idx="63">
                  <c:v>1684.15</c:v>
                </c:pt>
                <c:pt idx="64">
                  <c:v>1684.2</c:v>
                </c:pt>
                <c:pt idx="65">
                  <c:v>1684.25</c:v>
                </c:pt>
                <c:pt idx="66">
                  <c:v>1684.3</c:v>
                </c:pt>
                <c:pt idx="67">
                  <c:v>1684.35</c:v>
                </c:pt>
                <c:pt idx="68">
                  <c:v>1684.4</c:v>
                </c:pt>
                <c:pt idx="69">
                  <c:v>1684.45</c:v>
                </c:pt>
                <c:pt idx="70">
                  <c:v>1684.5</c:v>
                </c:pt>
                <c:pt idx="71">
                  <c:v>1684.55</c:v>
                </c:pt>
                <c:pt idx="72">
                  <c:v>1684.6</c:v>
                </c:pt>
                <c:pt idx="73">
                  <c:v>1684.65</c:v>
                </c:pt>
                <c:pt idx="74">
                  <c:v>1684.7</c:v>
                </c:pt>
                <c:pt idx="75">
                  <c:v>1684.75</c:v>
                </c:pt>
                <c:pt idx="76">
                  <c:v>1684.8</c:v>
                </c:pt>
                <c:pt idx="77">
                  <c:v>1684.85</c:v>
                </c:pt>
                <c:pt idx="78">
                  <c:v>1684.9</c:v>
                </c:pt>
                <c:pt idx="79">
                  <c:v>1684.95</c:v>
                </c:pt>
                <c:pt idx="80">
                  <c:v>1685</c:v>
                </c:pt>
                <c:pt idx="81">
                  <c:v>1685.05</c:v>
                </c:pt>
                <c:pt idx="82">
                  <c:v>1685.1</c:v>
                </c:pt>
                <c:pt idx="83">
                  <c:v>1685.15</c:v>
                </c:pt>
                <c:pt idx="84">
                  <c:v>1685.2</c:v>
                </c:pt>
                <c:pt idx="85">
                  <c:v>1685.25</c:v>
                </c:pt>
                <c:pt idx="86">
                  <c:v>1685.3</c:v>
                </c:pt>
                <c:pt idx="87">
                  <c:v>1685.35</c:v>
                </c:pt>
                <c:pt idx="88">
                  <c:v>1685.4</c:v>
                </c:pt>
                <c:pt idx="89">
                  <c:v>1685.45</c:v>
                </c:pt>
                <c:pt idx="90">
                  <c:v>1685.5</c:v>
                </c:pt>
                <c:pt idx="91">
                  <c:v>1685.55</c:v>
                </c:pt>
                <c:pt idx="92">
                  <c:v>1685.6</c:v>
                </c:pt>
                <c:pt idx="93">
                  <c:v>1685.65</c:v>
                </c:pt>
                <c:pt idx="94">
                  <c:v>1685.7</c:v>
                </c:pt>
                <c:pt idx="95">
                  <c:v>1685.75</c:v>
                </c:pt>
                <c:pt idx="96">
                  <c:v>1685.8</c:v>
                </c:pt>
                <c:pt idx="97">
                  <c:v>1685.85</c:v>
                </c:pt>
                <c:pt idx="98">
                  <c:v>1685.9</c:v>
                </c:pt>
                <c:pt idx="99">
                  <c:v>1685.95</c:v>
                </c:pt>
                <c:pt idx="100">
                  <c:v>1686</c:v>
                </c:pt>
                <c:pt idx="101">
                  <c:v>1686.05</c:v>
                </c:pt>
                <c:pt idx="102">
                  <c:v>1686.1</c:v>
                </c:pt>
                <c:pt idx="103">
                  <c:v>1686.15</c:v>
                </c:pt>
                <c:pt idx="104">
                  <c:v>1686.2</c:v>
                </c:pt>
                <c:pt idx="105">
                  <c:v>1686.25</c:v>
                </c:pt>
                <c:pt idx="106">
                  <c:v>1686.3</c:v>
                </c:pt>
                <c:pt idx="107">
                  <c:v>1686.35</c:v>
                </c:pt>
                <c:pt idx="108">
                  <c:v>1686.4</c:v>
                </c:pt>
                <c:pt idx="109">
                  <c:v>1686.45</c:v>
                </c:pt>
                <c:pt idx="110">
                  <c:v>1686.5</c:v>
                </c:pt>
                <c:pt idx="111">
                  <c:v>1686.55</c:v>
                </c:pt>
                <c:pt idx="112">
                  <c:v>1686.6</c:v>
                </c:pt>
                <c:pt idx="113">
                  <c:v>1686.65</c:v>
                </c:pt>
                <c:pt idx="114">
                  <c:v>1686.7</c:v>
                </c:pt>
                <c:pt idx="115">
                  <c:v>1686.75</c:v>
                </c:pt>
                <c:pt idx="116">
                  <c:v>1686.8</c:v>
                </c:pt>
                <c:pt idx="117">
                  <c:v>1686.85</c:v>
                </c:pt>
                <c:pt idx="118">
                  <c:v>1686.9</c:v>
                </c:pt>
                <c:pt idx="119">
                  <c:v>1686.95</c:v>
                </c:pt>
                <c:pt idx="120">
                  <c:v>1687</c:v>
                </c:pt>
                <c:pt idx="121">
                  <c:v>1687.05</c:v>
                </c:pt>
                <c:pt idx="122">
                  <c:v>1687.1</c:v>
                </c:pt>
                <c:pt idx="123">
                  <c:v>1687.15</c:v>
                </c:pt>
                <c:pt idx="124">
                  <c:v>1687.2</c:v>
                </c:pt>
                <c:pt idx="125">
                  <c:v>1687.25</c:v>
                </c:pt>
                <c:pt idx="126">
                  <c:v>1687.3</c:v>
                </c:pt>
                <c:pt idx="127">
                  <c:v>1687.35</c:v>
                </c:pt>
                <c:pt idx="128">
                  <c:v>1687.4</c:v>
                </c:pt>
                <c:pt idx="129">
                  <c:v>1687.45</c:v>
                </c:pt>
                <c:pt idx="130">
                  <c:v>1687.5</c:v>
                </c:pt>
                <c:pt idx="131">
                  <c:v>1687.55</c:v>
                </c:pt>
                <c:pt idx="132">
                  <c:v>1687.6</c:v>
                </c:pt>
                <c:pt idx="133">
                  <c:v>1687.65</c:v>
                </c:pt>
                <c:pt idx="134">
                  <c:v>1687.7</c:v>
                </c:pt>
                <c:pt idx="135">
                  <c:v>1687.75</c:v>
                </c:pt>
                <c:pt idx="136">
                  <c:v>1687.8</c:v>
                </c:pt>
                <c:pt idx="137">
                  <c:v>1687.85</c:v>
                </c:pt>
                <c:pt idx="138">
                  <c:v>1687.9</c:v>
                </c:pt>
                <c:pt idx="139">
                  <c:v>1687.95</c:v>
                </c:pt>
                <c:pt idx="140">
                  <c:v>1688</c:v>
                </c:pt>
              </c:numCache>
            </c:numRef>
          </c:xVal>
          <c:yVal>
            <c:numRef>
              <c:f>'Ex 2 FULL 0 50 eV'!$I$3:$I$143</c:f>
              <c:numCache>
                <c:formatCode>0.00000000000</c:formatCode>
                <c:ptCount val="141"/>
                <c:pt idx="0">
                  <c:v>7.87976000229725E-4</c:v>
                </c:pt>
                <c:pt idx="1">
                  <c:v>8.2058766360420903E-4</c:v>
                </c:pt>
                <c:pt idx="2">
                  <c:v>8.5479271552429297E-4</c:v>
                </c:pt>
                <c:pt idx="3">
                  <c:v>8.9071343936604703E-4</c:v>
                </c:pt>
                <c:pt idx="4">
                  <c:v>9.2847858372412996E-4</c:v>
                </c:pt>
                <c:pt idx="5">
                  <c:v>9.6823432447511702E-4</c:v>
                </c:pt>
                <c:pt idx="6">
                  <c:v>1.0101405412136801E-3</c:v>
                </c:pt>
                <c:pt idx="7">
                  <c:v>1.0543758188392501E-3</c:v>
                </c:pt>
                <c:pt idx="8">
                  <c:v>1.1011398145780299E-3</c:v>
                </c:pt>
                <c:pt idx="9">
                  <c:v>1.15065454143946E-3</c:v>
                </c:pt>
                <c:pt idx="10">
                  <c:v>1.2031664982350501E-3</c:v>
                </c:pt>
                <c:pt idx="11">
                  <c:v>1.25894984338515E-3</c:v>
                </c:pt>
                <c:pt idx="12">
                  <c:v>1.3183188611452399E-3</c:v>
                </c:pt>
                <c:pt idx="13">
                  <c:v>1.38162996283886E-3</c:v>
                </c:pt>
                <c:pt idx="14">
                  <c:v>1.44928470933037E-3</c:v>
                </c:pt>
                <c:pt idx="15">
                  <c:v>1.5217389147336401E-3</c:v>
                </c:pt>
                <c:pt idx="16">
                  <c:v>1.5995155319849701E-3</c:v>
                </c:pt>
                <c:pt idx="17">
                  <c:v>1.68322149124147E-3</c:v>
                </c:pt>
                <c:pt idx="18">
                  <c:v>1.77355074134764E-3</c:v>
                </c:pt>
                <c:pt idx="19">
                  <c:v>1.87130835254383E-3</c:v>
                </c:pt>
                <c:pt idx="20">
                  <c:v>1.97744115148545E-3</c:v>
                </c:pt>
                <c:pt idx="21">
                  <c:v>2.0930634944291899E-3</c:v>
                </c:pt>
                <c:pt idx="22">
                  <c:v>2.21948977058094E-3</c:v>
                </c:pt>
                <c:pt idx="23">
                  <c:v>2.3582851708168701E-3</c:v>
                </c:pt>
                <c:pt idx="24">
                  <c:v>2.5113317578930199E-3</c:v>
                </c:pt>
                <c:pt idx="25">
                  <c:v>2.6809159855615398E-3</c:v>
                </c:pt>
                <c:pt idx="26">
                  <c:v>2.8698285740755298E-3</c:v>
                </c:pt>
                <c:pt idx="27">
                  <c:v>3.0815271769687098E-3</c:v>
                </c:pt>
                <c:pt idx="28">
                  <c:v>3.3203367739556601E-3</c:v>
                </c:pt>
                <c:pt idx="29">
                  <c:v>3.59173435873352E-3</c:v>
                </c:pt>
                <c:pt idx="30">
                  <c:v>3.9027647619729699E-3</c:v>
                </c:pt>
                <c:pt idx="31">
                  <c:v>4.2626482690576502E-3</c:v>
                </c:pt>
                <c:pt idx="32">
                  <c:v>4.6836771537741503E-3</c:v>
                </c:pt>
                <c:pt idx="33">
                  <c:v>5.1825871269549203E-3</c:v>
                </c:pt>
                <c:pt idx="34">
                  <c:v>5.7827726039933903E-3</c:v>
                </c:pt>
                <c:pt idx="35">
                  <c:v>6.5179370707269301E-3</c:v>
                </c:pt>
                <c:pt idx="36">
                  <c:v>7.4384104394721101E-3</c:v>
                </c:pt>
                <c:pt idx="37">
                  <c:v>8.6227632542506295E-3</c:v>
                </c:pt>
                <c:pt idx="38">
                  <c:v>1.02006326372705E-2</c:v>
                </c:pt>
                <c:pt idx="39">
                  <c:v>1.24017317506789E-2</c:v>
                </c:pt>
                <c:pt idx="40">
                  <c:v>1.56737699012497E-2</c:v>
                </c:pt>
                <c:pt idx="41">
                  <c:v>2.1012502588133801E-2</c:v>
                </c:pt>
                <c:pt idx="42">
                  <c:v>3.10708123349203E-2</c:v>
                </c:pt>
                <c:pt idx="43">
                  <c:v>5.37665374487842E-2</c:v>
                </c:pt>
                <c:pt idx="44">
                  <c:v>0.10220121162377201</c:v>
                </c:pt>
                <c:pt idx="45">
                  <c:v>0.16157651023368899</c:v>
                </c:pt>
                <c:pt idx="46">
                  <c:v>0.19097850067573699</c:v>
                </c:pt>
                <c:pt idx="47">
                  <c:v>0.19810687780573999</c:v>
                </c:pt>
                <c:pt idx="48">
                  <c:v>0.20047349538878201</c:v>
                </c:pt>
                <c:pt idx="49">
                  <c:v>0.201995139440135</c:v>
                </c:pt>
                <c:pt idx="50">
                  <c:v>0.202450718170643</c:v>
                </c:pt>
                <c:pt idx="51">
                  <c:v>0.201666479011682</c:v>
                </c:pt>
                <c:pt idx="52">
                  <c:v>0.19990451827783001</c:v>
                </c:pt>
                <c:pt idx="53">
                  <c:v>0.19762206464783799</c:v>
                </c:pt>
                <c:pt idx="54">
                  <c:v>0.19524877673628699</c:v>
                </c:pt>
                <c:pt idx="55">
                  <c:v>0.19305351344461599</c:v>
                </c:pt>
                <c:pt idx="56">
                  <c:v>0.191166171711243</c:v>
                </c:pt>
                <c:pt idx="57">
                  <c:v>0.18966581903225199</c:v>
                </c:pt>
                <c:pt idx="58">
                  <c:v>0.18861122832956101</c:v>
                </c:pt>
                <c:pt idx="59">
                  <c:v>0.18786019371628199</c:v>
                </c:pt>
                <c:pt idx="60">
                  <c:v>0.187223948680907</c:v>
                </c:pt>
                <c:pt idx="61">
                  <c:v>0.18661477129179599</c:v>
                </c:pt>
                <c:pt idx="62">
                  <c:v>0.18600481909047401</c:v>
                </c:pt>
                <c:pt idx="63">
                  <c:v>0.18538834888347699</c:v>
                </c:pt>
                <c:pt idx="64">
                  <c:v>0.18476886756779401</c:v>
                </c:pt>
                <c:pt idx="65">
                  <c:v>0.184153328425467</c:v>
                </c:pt>
                <c:pt idx="66">
                  <c:v>0.18354924767615799</c:v>
                </c:pt>
                <c:pt idx="67">
                  <c:v>0.18296328049198601</c:v>
                </c:pt>
                <c:pt idx="68">
                  <c:v>0.18240072031551999</c:v>
                </c:pt>
                <c:pt idx="69">
                  <c:v>0.18186498539499801</c:v>
                </c:pt>
                <c:pt idx="70">
                  <c:v>0.18135776180619501</c:v>
                </c:pt>
                <c:pt idx="71">
                  <c:v>0.18087994363626</c:v>
                </c:pt>
                <c:pt idx="72">
                  <c:v>0.180431672831634</c:v>
                </c:pt>
                <c:pt idx="73">
                  <c:v>0.18001225920420599</c:v>
                </c:pt>
                <c:pt idx="74">
                  <c:v>0.17962088853880401</c:v>
                </c:pt>
                <c:pt idx="75">
                  <c:v>0.17925639879397401</c:v>
                </c:pt>
                <c:pt idx="76">
                  <c:v>0.178917395056959</c:v>
                </c:pt>
                <c:pt idx="77">
                  <c:v>0.17860256668458499</c:v>
                </c:pt>
                <c:pt idx="78">
                  <c:v>0.178310484405169</c:v>
                </c:pt>
                <c:pt idx="79">
                  <c:v>0.178039628383618</c:v>
                </c:pt>
                <c:pt idx="80">
                  <c:v>0.17778863917976101</c:v>
                </c:pt>
                <c:pt idx="81">
                  <c:v>0.177556188316074</c:v>
                </c:pt>
                <c:pt idx="82">
                  <c:v>0.177341028122141</c:v>
                </c:pt>
                <c:pt idx="83">
                  <c:v>0.17714195284202999</c:v>
                </c:pt>
                <c:pt idx="84">
                  <c:v>0.17695783278001001</c:v>
                </c:pt>
                <c:pt idx="85">
                  <c:v>0.17678763365486999</c:v>
                </c:pt>
                <c:pt idx="86">
                  <c:v>0.176630356845033</c:v>
                </c:pt>
                <c:pt idx="87">
                  <c:v>0.176485055486679</c:v>
                </c:pt>
                <c:pt idx="88">
                  <c:v>0.17635086281260501</c:v>
                </c:pt>
                <c:pt idx="89">
                  <c:v>0.17622697772109699</c:v>
                </c:pt>
                <c:pt idx="90">
                  <c:v>0.17611264908834601</c:v>
                </c:pt>
                <c:pt idx="91">
                  <c:v>0.176007171829896</c:v>
                </c:pt>
                <c:pt idx="92">
                  <c:v>0.175909922115669</c:v>
                </c:pt>
                <c:pt idx="93">
                  <c:v>0.175820316526272</c:v>
                </c:pt>
                <c:pt idx="94">
                  <c:v>0.17573780462754601</c:v>
                </c:pt>
                <c:pt idx="95">
                  <c:v>0.17566187165497801</c:v>
                </c:pt>
                <c:pt idx="96">
                  <c:v>0.175592025303206</c:v>
                </c:pt>
                <c:pt idx="97">
                  <c:v>0.175527829670378</c:v>
                </c:pt>
                <c:pt idx="98">
                  <c:v>0.17546889464335599</c:v>
                </c:pt>
                <c:pt idx="99">
                  <c:v>0.175414836503309</c:v>
                </c:pt>
                <c:pt idx="100">
                  <c:v>0.17536529030385301</c:v>
                </c:pt>
                <c:pt idx="101">
                  <c:v>0.17531992575352001</c:v>
                </c:pt>
                <c:pt idx="102">
                  <c:v>0.17527846175042699</c:v>
                </c:pt>
                <c:pt idx="103">
                  <c:v>0.175240634999307</c:v>
                </c:pt>
                <c:pt idx="104">
                  <c:v>0.175206163434934</c:v>
                </c:pt>
                <c:pt idx="105">
                  <c:v>0.17517481080931899</c:v>
                </c:pt>
                <c:pt idx="106">
                  <c:v>0.175146354650212</c:v>
                </c:pt>
                <c:pt idx="107">
                  <c:v>0.175120578090002</c:v>
                </c:pt>
                <c:pt idx="108">
                  <c:v>0.17509728989179599</c:v>
                </c:pt>
                <c:pt idx="109">
                  <c:v>0.17507630968549201</c:v>
                </c:pt>
                <c:pt idx="110">
                  <c:v>0.17505746383710299</c:v>
                </c:pt>
                <c:pt idx="111">
                  <c:v>0.17504060369772201</c:v>
                </c:pt>
                <c:pt idx="112">
                  <c:v>0.17502558608544999</c:v>
                </c:pt>
                <c:pt idx="113">
                  <c:v>0.17501227022417201</c:v>
                </c:pt>
                <c:pt idx="114">
                  <c:v>0.17500053159512</c:v>
                </c:pt>
                <c:pt idx="115">
                  <c:v>0.17499024221349299</c:v>
                </c:pt>
                <c:pt idx="116">
                  <c:v>0.17498131412370499</c:v>
                </c:pt>
                <c:pt idx="117">
                  <c:v>0.17497365421363201</c:v>
                </c:pt>
                <c:pt idx="118">
                  <c:v>0.174967155171498</c:v>
                </c:pt>
                <c:pt idx="119">
                  <c:v>0.17496173056018199</c:v>
                </c:pt>
                <c:pt idx="120">
                  <c:v>0.17495729420879</c:v>
                </c:pt>
                <c:pt idx="121">
                  <c:v>0.174953772857561</c:v>
                </c:pt>
                <c:pt idx="122">
                  <c:v>0.17495109090262601</c:v>
                </c:pt>
                <c:pt idx="123">
                  <c:v>0.17494918086092301</c:v>
                </c:pt>
                <c:pt idx="124">
                  <c:v>0.17494799075293399</c:v>
                </c:pt>
                <c:pt idx="125">
                  <c:v>0.174947461535016</c:v>
                </c:pt>
                <c:pt idx="126">
                  <c:v>0.174947536751591</c:v>
                </c:pt>
                <c:pt idx="127">
                  <c:v>0.174948162654777</c:v>
                </c:pt>
                <c:pt idx="128">
                  <c:v>0.17494930001945999</c:v>
                </c:pt>
                <c:pt idx="129">
                  <c:v>0.17495090932381799</c:v>
                </c:pt>
                <c:pt idx="130">
                  <c:v>0.17495294585037399</c:v>
                </c:pt>
                <c:pt idx="131">
                  <c:v>0.17495537056910099</c:v>
                </c:pt>
                <c:pt idx="132">
                  <c:v>0.17495814475124799</c:v>
                </c:pt>
                <c:pt idx="133">
                  <c:v>0.174961233972802</c:v>
                </c:pt>
                <c:pt idx="134">
                  <c:v>0.17496460501567501</c:v>
                </c:pt>
                <c:pt idx="135">
                  <c:v>0.174968246630856</c:v>
                </c:pt>
                <c:pt idx="136">
                  <c:v>0.17497213158123101</c:v>
                </c:pt>
                <c:pt idx="137">
                  <c:v>0.17497623317560901</c:v>
                </c:pt>
                <c:pt idx="138">
                  <c:v>0.174980526926025</c:v>
                </c:pt>
                <c:pt idx="139">
                  <c:v>0.17498499103344001</c:v>
                </c:pt>
                <c:pt idx="140">
                  <c:v>0.174989601882728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B9E-4095-81BC-5549F93F7157}"/>
            </c:ext>
          </c:extLst>
        </c:ser>
        <c:ser>
          <c:idx val="1"/>
          <c:order val="2"/>
          <c:tx>
            <c:v>SPACES NORM</c:v>
          </c:tx>
          <c:spPr>
            <a:ln w="19050" cap="rnd">
              <a:solidFill>
                <a:schemeClr val="bg2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'Ex 2 FULL 0 50 eV'!$A$3:$A$685</c:f>
              <c:numCache>
                <c:formatCode>General</c:formatCode>
                <c:ptCount val="683"/>
                <c:pt idx="0">
                  <c:v>1678.7890400000001</c:v>
                </c:pt>
                <c:pt idx="1">
                  <c:v>1678.8357800000001</c:v>
                </c:pt>
                <c:pt idx="2">
                  <c:v>1678.8825099999999</c:v>
                </c:pt>
                <c:pt idx="3">
                  <c:v>1678.9292499999999</c:v>
                </c:pt>
                <c:pt idx="4">
                  <c:v>1678.9759899999999</c:v>
                </c:pt>
                <c:pt idx="5">
                  <c:v>1679.0227199999999</c:v>
                </c:pt>
                <c:pt idx="6">
                  <c:v>1679.0694599999999</c:v>
                </c:pt>
                <c:pt idx="7">
                  <c:v>1679.11619</c:v>
                </c:pt>
                <c:pt idx="8">
                  <c:v>1679.16293</c:v>
                </c:pt>
                <c:pt idx="9">
                  <c:v>1679.20966</c:v>
                </c:pt>
                <c:pt idx="10">
                  <c:v>1679.2564</c:v>
                </c:pt>
                <c:pt idx="11">
                  <c:v>1679.30313</c:v>
                </c:pt>
                <c:pt idx="12">
                  <c:v>1679.34987</c:v>
                </c:pt>
                <c:pt idx="13">
                  <c:v>1679.3966</c:v>
                </c:pt>
                <c:pt idx="14">
                  <c:v>1679.44334</c:v>
                </c:pt>
                <c:pt idx="15">
                  <c:v>1679.4900700000001</c:v>
                </c:pt>
                <c:pt idx="16">
                  <c:v>1679.5368100000001</c:v>
                </c:pt>
                <c:pt idx="17">
                  <c:v>1679.5835400000001</c:v>
                </c:pt>
                <c:pt idx="18">
                  <c:v>1679.6302800000001</c:v>
                </c:pt>
                <c:pt idx="19">
                  <c:v>1679.6770100000001</c:v>
                </c:pt>
                <c:pt idx="20">
                  <c:v>1679.7237500000001</c:v>
                </c:pt>
                <c:pt idx="21">
                  <c:v>1679.7704799999999</c:v>
                </c:pt>
                <c:pt idx="22">
                  <c:v>1679.8172199999999</c:v>
                </c:pt>
                <c:pt idx="23">
                  <c:v>1679.8639499999999</c:v>
                </c:pt>
                <c:pt idx="24">
                  <c:v>1679.9106899999999</c:v>
                </c:pt>
                <c:pt idx="25">
                  <c:v>1679.95742</c:v>
                </c:pt>
                <c:pt idx="26">
                  <c:v>1680.00416</c:v>
                </c:pt>
                <c:pt idx="27">
                  <c:v>1680.05089</c:v>
                </c:pt>
                <c:pt idx="28">
                  <c:v>1680.09763</c:v>
                </c:pt>
                <c:pt idx="29">
                  <c:v>1680.14436</c:v>
                </c:pt>
                <c:pt idx="30">
                  <c:v>1680.1911</c:v>
                </c:pt>
                <c:pt idx="31">
                  <c:v>1680.23783</c:v>
                </c:pt>
                <c:pt idx="32">
                  <c:v>1680.28457</c:v>
                </c:pt>
                <c:pt idx="33">
                  <c:v>1680.3313000000001</c:v>
                </c:pt>
                <c:pt idx="34">
                  <c:v>1680.3780400000001</c:v>
                </c:pt>
                <c:pt idx="35">
                  <c:v>1680.4247700000001</c:v>
                </c:pt>
                <c:pt idx="36">
                  <c:v>1680.4715100000001</c:v>
                </c:pt>
                <c:pt idx="37">
                  <c:v>1680.5182400000001</c:v>
                </c:pt>
                <c:pt idx="38">
                  <c:v>1680.5649800000001</c:v>
                </c:pt>
                <c:pt idx="39">
                  <c:v>1680.6117099999999</c:v>
                </c:pt>
                <c:pt idx="40">
                  <c:v>1680.6584499999999</c:v>
                </c:pt>
                <c:pt idx="41">
                  <c:v>1680.7051799999999</c:v>
                </c:pt>
                <c:pt idx="42">
                  <c:v>1680.7519199999999</c:v>
                </c:pt>
                <c:pt idx="43">
                  <c:v>1680.79865</c:v>
                </c:pt>
                <c:pt idx="44">
                  <c:v>1680.84539</c:v>
                </c:pt>
                <c:pt idx="45">
                  <c:v>1680.89213</c:v>
                </c:pt>
                <c:pt idx="46">
                  <c:v>1680.93886</c:v>
                </c:pt>
                <c:pt idx="47">
                  <c:v>1680.9856</c:v>
                </c:pt>
                <c:pt idx="48">
                  <c:v>1681.03233</c:v>
                </c:pt>
                <c:pt idx="49">
                  <c:v>1681.07907</c:v>
                </c:pt>
                <c:pt idx="50">
                  <c:v>1681.1258</c:v>
                </c:pt>
                <c:pt idx="51">
                  <c:v>1681.17254</c:v>
                </c:pt>
                <c:pt idx="52">
                  <c:v>1681.2192700000001</c:v>
                </c:pt>
                <c:pt idx="53">
                  <c:v>1681.2660100000001</c:v>
                </c:pt>
                <c:pt idx="54">
                  <c:v>1681.3127400000001</c:v>
                </c:pt>
                <c:pt idx="55">
                  <c:v>1681.3594800000001</c:v>
                </c:pt>
                <c:pt idx="56">
                  <c:v>1681.4062100000001</c:v>
                </c:pt>
                <c:pt idx="57">
                  <c:v>1681.4529500000001</c:v>
                </c:pt>
                <c:pt idx="58">
                  <c:v>1681.4996799999999</c:v>
                </c:pt>
                <c:pt idx="59">
                  <c:v>1681.5464199999999</c:v>
                </c:pt>
                <c:pt idx="60">
                  <c:v>1681.5931499999999</c:v>
                </c:pt>
                <c:pt idx="61">
                  <c:v>1681.6398899999999</c:v>
                </c:pt>
                <c:pt idx="62">
                  <c:v>1681.6866199999999</c:v>
                </c:pt>
                <c:pt idx="63">
                  <c:v>1681.7333599999999</c:v>
                </c:pt>
                <c:pt idx="64">
                  <c:v>1681.78009</c:v>
                </c:pt>
                <c:pt idx="65">
                  <c:v>1681.82683</c:v>
                </c:pt>
                <c:pt idx="66">
                  <c:v>1681.87356</c:v>
                </c:pt>
                <c:pt idx="67">
                  <c:v>1681.9203</c:v>
                </c:pt>
                <c:pt idx="68">
                  <c:v>1681.96703</c:v>
                </c:pt>
                <c:pt idx="69">
                  <c:v>1682.01377</c:v>
                </c:pt>
                <c:pt idx="70">
                  <c:v>1682.0605</c:v>
                </c:pt>
                <c:pt idx="71">
                  <c:v>1682.10724</c:v>
                </c:pt>
                <c:pt idx="72">
                  <c:v>1682.1539700000001</c:v>
                </c:pt>
                <c:pt idx="73">
                  <c:v>1682.2007100000001</c:v>
                </c:pt>
                <c:pt idx="74">
                  <c:v>1682.2474400000001</c:v>
                </c:pt>
                <c:pt idx="75">
                  <c:v>1682.2941800000001</c:v>
                </c:pt>
                <c:pt idx="76">
                  <c:v>1682.3409099999999</c:v>
                </c:pt>
                <c:pt idx="77">
                  <c:v>1682.3876499999999</c:v>
                </c:pt>
                <c:pt idx="78">
                  <c:v>1682.4343799999999</c:v>
                </c:pt>
                <c:pt idx="79">
                  <c:v>1682.4811199999999</c:v>
                </c:pt>
                <c:pt idx="80">
                  <c:v>1682.5278499999999</c:v>
                </c:pt>
                <c:pt idx="81">
                  <c:v>1682.5745899999999</c:v>
                </c:pt>
                <c:pt idx="82">
                  <c:v>1682.62132</c:v>
                </c:pt>
                <c:pt idx="83">
                  <c:v>1682.66806</c:v>
                </c:pt>
                <c:pt idx="84">
                  <c:v>1682.71479</c:v>
                </c:pt>
                <c:pt idx="85">
                  <c:v>1682.76153</c:v>
                </c:pt>
                <c:pt idx="86">
                  <c:v>1682.80826</c:v>
                </c:pt>
                <c:pt idx="87">
                  <c:v>1682.855</c:v>
                </c:pt>
                <c:pt idx="88">
                  <c:v>1682.90174</c:v>
                </c:pt>
                <c:pt idx="89">
                  <c:v>1682.94847</c:v>
                </c:pt>
                <c:pt idx="90">
                  <c:v>1682.99521</c:v>
                </c:pt>
                <c:pt idx="91">
                  <c:v>1683.0419400000001</c:v>
                </c:pt>
                <c:pt idx="92">
                  <c:v>1683.0886800000001</c:v>
                </c:pt>
                <c:pt idx="93">
                  <c:v>1683.1354100000001</c:v>
                </c:pt>
                <c:pt idx="94">
                  <c:v>1683.1821500000001</c:v>
                </c:pt>
                <c:pt idx="95">
                  <c:v>1683.2288799999999</c:v>
                </c:pt>
                <c:pt idx="96">
                  <c:v>1683.2756199999999</c:v>
                </c:pt>
                <c:pt idx="97">
                  <c:v>1683.3223499999999</c:v>
                </c:pt>
                <c:pt idx="98">
                  <c:v>1683.3690899999999</c:v>
                </c:pt>
                <c:pt idx="99">
                  <c:v>1683.4158199999999</c:v>
                </c:pt>
                <c:pt idx="100">
                  <c:v>1683.4625599999999</c:v>
                </c:pt>
                <c:pt idx="101">
                  <c:v>1683.50929</c:v>
                </c:pt>
                <c:pt idx="102">
                  <c:v>1683.55603</c:v>
                </c:pt>
                <c:pt idx="103">
                  <c:v>1683.60276</c:v>
                </c:pt>
                <c:pt idx="104">
                  <c:v>1683.6495</c:v>
                </c:pt>
                <c:pt idx="105">
                  <c:v>1683.69623</c:v>
                </c:pt>
                <c:pt idx="106">
                  <c:v>1683.74297</c:v>
                </c:pt>
                <c:pt idx="107">
                  <c:v>1683.7897</c:v>
                </c:pt>
                <c:pt idx="108">
                  <c:v>1683.83644</c:v>
                </c:pt>
                <c:pt idx="109">
                  <c:v>1683.8831700000001</c:v>
                </c:pt>
                <c:pt idx="110">
                  <c:v>1683.9299100000001</c:v>
                </c:pt>
                <c:pt idx="111">
                  <c:v>1683.9766400000001</c:v>
                </c:pt>
                <c:pt idx="112">
                  <c:v>1684.0233800000001</c:v>
                </c:pt>
                <c:pt idx="113">
                  <c:v>1684.0701100000001</c:v>
                </c:pt>
                <c:pt idx="114">
                  <c:v>1684.1168500000001</c:v>
                </c:pt>
                <c:pt idx="115">
                  <c:v>1684.1635799999999</c:v>
                </c:pt>
                <c:pt idx="116">
                  <c:v>1684.2103199999999</c:v>
                </c:pt>
                <c:pt idx="117">
                  <c:v>1684.2570499999999</c:v>
                </c:pt>
                <c:pt idx="118">
                  <c:v>1684.3037899999999</c:v>
                </c:pt>
                <c:pt idx="119">
                  <c:v>1684.35052</c:v>
                </c:pt>
                <c:pt idx="120">
                  <c:v>1684.39726</c:v>
                </c:pt>
                <c:pt idx="121">
                  <c:v>1684.44399</c:v>
                </c:pt>
                <c:pt idx="122">
                  <c:v>1684.49073</c:v>
                </c:pt>
                <c:pt idx="123">
                  <c:v>1684.53746</c:v>
                </c:pt>
                <c:pt idx="124">
                  <c:v>1684.5842</c:v>
                </c:pt>
                <c:pt idx="125">
                  <c:v>1684.63093</c:v>
                </c:pt>
                <c:pt idx="126">
                  <c:v>1684.67767</c:v>
                </c:pt>
                <c:pt idx="127">
                  <c:v>1684.7244000000001</c:v>
                </c:pt>
                <c:pt idx="128">
                  <c:v>1684.7711400000001</c:v>
                </c:pt>
                <c:pt idx="129">
                  <c:v>1684.8178800000001</c:v>
                </c:pt>
                <c:pt idx="130">
                  <c:v>1684.8646100000001</c:v>
                </c:pt>
                <c:pt idx="131">
                  <c:v>1684.9113500000001</c:v>
                </c:pt>
                <c:pt idx="132">
                  <c:v>1684.9580800000001</c:v>
                </c:pt>
                <c:pt idx="133">
                  <c:v>1685.0048200000001</c:v>
                </c:pt>
                <c:pt idx="134">
                  <c:v>1685.0515499999999</c:v>
                </c:pt>
                <c:pt idx="135">
                  <c:v>1685.0982899999999</c:v>
                </c:pt>
                <c:pt idx="136">
                  <c:v>1685.1450199999999</c:v>
                </c:pt>
                <c:pt idx="137">
                  <c:v>1685.1917599999999</c:v>
                </c:pt>
                <c:pt idx="138">
                  <c:v>1685.23849</c:v>
                </c:pt>
                <c:pt idx="139">
                  <c:v>1685.28523</c:v>
                </c:pt>
                <c:pt idx="140">
                  <c:v>1685.33196</c:v>
                </c:pt>
                <c:pt idx="141">
                  <c:v>1685.3787</c:v>
                </c:pt>
                <c:pt idx="142">
                  <c:v>1685.42543</c:v>
                </c:pt>
                <c:pt idx="143">
                  <c:v>1685.47217</c:v>
                </c:pt>
                <c:pt idx="144">
                  <c:v>1685.5189</c:v>
                </c:pt>
                <c:pt idx="145">
                  <c:v>1685.56564</c:v>
                </c:pt>
                <c:pt idx="146">
                  <c:v>1685.6123700000001</c:v>
                </c:pt>
                <c:pt idx="147">
                  <c:v>1685.6591100000001</c:v>
                </c:pt>
                <c:pt idx="148">
                  <c:v>1685.7058400000001</c:v>
                </c:pt>
                <c:pt idx="149">
                  <c:v>1685.7525800000001</c:v>
                </c:pt>
                <c:pt idx="150">
                  <c:v>1685.7993100000001</c:v>
                </c:pt>
                <c:pt idx="151">
                  <c:v>1685.8460500000001</c:v>
                </c:pt>
                <c:pt idx="152">
                  <c:v>1685.8927799999999</c:v>
                </c:pt>
                <c:pt idx="153">
                  <c:v>1685.9395199999999</c:v>
                </c:pt>
                <c:pt idx="154">
                  <c:v>1685.9862499999999</c:v>
                </c:pt>
                <c:pt idx="155">
                  <c:v>1686.0329899999999</c:v>
                </c:pt>
                <c:pt idx="156">
                  <c:v>1686.07972</c:v>
                </c:pt>
                <c:pt idx="157">
                  <c:v>1686.12646</c:v>
                </c:pt>
                <c:pt idx="158">
                  <c:v>1686.17319</c:v>
                </c:pt>
                <c:pt idx="159">
                  <c:v>1686.21993</c:v>
                </c:pt>
                <c:pt idx="160">
                  <c:v>1686.26666</c:v>
                </c:pt>
                <c:pt idx="161">
                  <c:v>1686.3134</c:v>
                </c:pt>
                <c:pt idx="162">
                  <c:v>1686.36013</c:v>
                </c:pt>
                <c:pt idx="163">
                  <c:v>1686.40687</c:v>
                </c:pt>
                <c:pt idx="164">
                  <c:v>1686.4536000000001</c:v>
                </c:pt>
                <c:pt idx="165">
                  <c:v>1686.5003400000001</c:v>
                </c:pt>
                <c:pt idx="166">
                  <c:v>1686.5470700000001</c:v>
                </c:pt>
                <c:pt idx="167">
                  <c:v>1686.5938100000001</c:v>
                </c:pt>
                <c:pt idx="168">
                  <c:v>1686.6405400000001</c:v>
                </c:pt>
                <c:pt idx="169">
                  <c:v>1686.6872800000001</c:v>
                </c:pt>
                <c:pt idx="170">
                  <c:v>1686.7340099999999</c:v>
                </c:pt>
                <c:pt idx="171">
                  <c:v>1686.7807499999999</c:v>
                </c:pt>
                <c:pt idx="172">
                  <c:v>1686.8274899999999</c:v>
                </c:pt>
                <c:pt idx="173">
                  <c:v>1686.8742199999999</c:v>
                </c:pt>
                <c:pt idx="174">
                  <c:v>1686.9209599999999</c:v>
                </c:pt>
                <c:pt idx="175">
                  <c:v>1686.9676899999999</c:v>
                </c:pt>
                <c:pt idx="176">
                  <c:v>1687.0144299999999</c:v>
                </c:pt>
                <c:pt idx="177">
                  <c:v>1687.06116</c:v>
                </c:pt>
                <c:pt idx="178">
                  <c:v>1687.1079</c:v>
                </c:pt>
                <c:pt idx="179">
                  <c:v>1687.15463</c:v>
                </c:pt>
                <c:pt idx="180">
                  <c:v>1687.20137</c:v>
                </c:pt>
                <c:pt idx="181">
                  <c:v>1687.2481</c:v>
                </c:pt>
                <c:pt idx="182">
                  <c:v>1687.29484</c:v>
                </c:pt>
                <c:pt idx="183">
                  <c:v>1687.34157</c:v>
                </c:pt>
                <c:pt idx="184">
                  <c:v>1687.38831</c:v>
                </c:pt>
                <c:pt idx="185">
                  <c:v>1687.4350400000001</c:v>
                </c:pt>
                <c:pt idx="186">
                  <c:v>1687.4817800000001</c:v>
                </c:pt>
                <c:pt idx="187">
                  <c:v>1687.5285100000001</c:v>
                </c:pt>
                <c:pt idx="188">
                  <c:v>1687.5752500000001</c:v>
                </c:pt>
                <c:pt idx="189">
                  <c:v>1687.6219799999999</c:v>
                </c:pt>
                <c:pt idx="190">
                  <c:v>1687.6687199999999</c:v>
                </c:pt>
                <c:pt idx="191">
                  <c:v>1687.7154499999999</c:v>
                </c:pt>
                <c:pt idx="192">
                  <c:v>1687.7621899999999</c:v>
                </c:pt>
                <c:pt idx="193">
                  <c:v>1687.8089199999999</c:v>
                </c:pt>
                <c:pt idx="194">
                  <c:v>1687.8556599999999</c:v>
                </c:pt>
                <c:pt idx="195">
                  <c:v>1687.90239</c:v>
                </c:pt>
                <c:pt idx="196">
                  <c:v>1687.94913</c:v>
                </c:pt>
                <c:pt idx="197">
                  <c:v>1687.99586</c:v>
                </c:pt>
                <c:pt idx="198">
                  <c:v>1688.0426</c:v>
                </c:pt>
                <c:pt idx="199">
                  <c:v>1688.08933</c:v>
                </c:pt>
                <c:pt idx="200">
                  <c:v>1688.13607</c:v>
                </c:pt>
                <c:pt idx="201">
                  <c:v>1688.1828</c:v>
                </c:pt>
                <c:pt idx="202">
                  <c:v>1688.22954</c:v>
                </c:pt>
                <c:pt idx="203">
                  <c:v>1688.2762700000001</c:v>
                </c:pt>
                <c:pt idx="204">
                  <c:v>1688.3230100000001</c:v>
                </c:pt>
                <c:pt idx="205">
                  <c:v>1688.3697400000001</c:v>
                </c:pt>
                <c:pt idx="206">
                  <c:v>1688.4164800000001</c:v>
                </c:pt>
                <c:pt idx="207">
                  <c:v>1688.4632099999999</c:v>
                </c:pt>
                <c:pt idx="208">
                  <c:v>1688.5099499999999</c:v>
                </c:pt>
                <c:pt idx="209">
                  <c:v>1688.5566799999999</c:v>
                </c:pt>
                <c:pt idx="210">
                  <c:v>1688.6034199999999</c:v>
                </c:pt>
                <c:pt idx="211">
                  <c:v>1688.6501499999999</c:v>
                </c:pt>
                <c:pt idx="212">
                  <c:v>1688.6968899999999</c:v>
                </c:pt>
                <c:pt idx="213">
                  <c:v>1688.7436299999999</c:v>
                </c:pt>
                <c:pt idx="214">
                  <c:v>1688.79036</c:v>
                </c:pt>
                <c:pt idx="215">
                  <c:v>1688.8371</c:v>
                </c:pt>
                <c:pt idx="216">
                  <c:v>1688.88383</c:v>
                </c:pt>
                <c:pt idx="217">
                  <c:v>1688.93057</c:v>
                </c:pt>
                <c:pt idx="218">
                  <c:v>1688.9773</c:v>
                </c:pt>
                <c:pt idx="219">
                  <c:v>1689.02404</c:v>
                </c:pt>
                <c:pt idx="220">
                  <c:v>1689.07077</c:v>
                </c:pt>
                <c:pt idx="221">
                  <c:v>1689.11751</c:v>
                </c:pt>
                <c:pt idx="222">
                  <c:v>1689.1642400000001</c:v>
                </c:pt>
                <c:pt idx="223">
                  <c:v>1689.2109800000001</c:v>
                </c:pt>
                <c:pt idx="224">
                  <c:v>1689.2577100000001</c:v>
                </c:pt>
                <c:pt idx="225">
                  <c:v>1689.3044500000001</c:v>
                </c:pt>
                <c:pt idx="226">
                  <c:v>1689.3511800000001</c:v>
                </c:pt>
                <c:pt idx="227">
                  <c:v>1689.3979200000001</c:v>
                </c:pt>
                <c:pt idx="228">
                  <c:v>1689.4446499999999</c:v>
                </c:pt>
                <c:pt idx="229">
                  <c:v>1689.4913899999999</c:v>
                </c:pt>
                <c:pt idx="230">
                  <c:v>1689.5381199999999</c:v>
                </c:pt>
                <c:pt idx="231">
                  <c:v>1689.5848599999999</c:v>
                </c:pt>
                <c:pt idx="232">
                  <c:v>1689.63159</c:v>
                </c:pt>
                <c:pt idx="233">
                  <c:v>1689.67833</c:v>
                </c:pt>
                <c:pt idx="234">
                  <c:v>1689.72506</c:v>
                </c:pt>
                <c:pt idx="235">
                  <c:v>1689.7718</c:v>
                </c:pt>
                <c:pt idx="236">
                  <c:v>1689.81853</c:v>
                </c:pt>
                <c:pt idx="237">
                  <c:v>1689.86527</c:v>
                </c:pt>
                <c:pt idx="238">
                  <c:v>1689.912</c:v>
                </c:pt>
                <c:pt idx="239">
                  <c:v>1689.95874</c:v>
                </c:pt>
                <c:pt idx="240">
                  <c:v>1690.0054700000001</c:v>
                </c:pt>
                <c:pt idx="241">
                  <c:v>1690.0522100000001</c:v>
                </c:pt>
                <c:pt idx="242">
                  <c:v>1690.0989400000001</c:v>
                </c:pt>
                <c:pt idx="243">
                  <c:v>1690.1456800000001</c:v>
                </c:pt>
                <c:pt idx="244">
                  <c:v>1690.1924100000001</c:v>
                </c:pt>
                <c:pt idx="245">
                  <c:v>1690.2391500000001</c:v>
                </c:pt>
                <c:pt idx="246">
                  <c:v>1690.2858799999999</c:v>
                </c:pt>
                <c:pt idx="247">
                  <c:v>1690.3326199999999</c:v>
                </c:pt>
                <c:pt idx="248">
                  <c:v>1690.3793499999999</c:v>
                </c:pt>
                <c:pt idx="249">
                  <c:v>1690.4260899999999</c:v>
                </c:pt>
                <c:pt idx="250">
                  <c:v>1690.47282</c:v>
                </c:pt>
                <c:pt idx="251">
                  <c:v>1690.51956</c:v>
                </c:pt>
                <c:pt idx="252">
                  <c:v>1690.56629</c:v>
                </c:pt>
                <c:pt idx="253">
                  <c:v>1690.61303</c:v>
                </c:pt>
                <c:pt idx="254">
                  <c:v>1690.65976</c:v>
                </c:pt>
                <c:pt idx="255">
                  <c:v>1690.7065</c:v>
                </c:pt>
                <c:pt idx="256">
                  <c:v>1690.75324</c:v>
                </c:pt>
                <c:pt idx="257">
                  <c:v>1690.79997</c:v>
                </c:pt>
                <c:pt idx="258">
                  <c:v>1690.84671</c:v>
                </c:pt>
                <c:pt idx="259">
                  <c:v>1690.8934400000001</c:v>
                </c:pt>
                <c:pt idx="260">
                  <c:v>1690.9401800000001</c:v>
                </c:pt>
                <c:pt idx="261">
                  <c:v>1690.9869100000001</c:v>
                </c:pt>
                <c:pt idx="262">
                  <c:v>1691.0336500000001</c:v>
                </c:pt>
                <c:pt idx="263">
                  <c:v>1691.0803800000001</c:v>
                </c:pt>
                <c:pt idx="264">
                  <c:v>1691.1271200000001</c:v>
                </c:pt>
                <c:pt idx="265">
                  <c:v>1691.1738499999999</c:v>
                </c:pt>
                <c:pt idx="266">
                  <c:v>1691.2205899999999</c:v>
                </c:pt>
                <c:pt idx="267">
                  <c:v>1691.2673199999999</c:v>
                </c:pt>
                <c:pt idx="268">
                  <c:v>1691.3140599999999</c:v>
                </c:pt>
                <c:pt idx="269">
                  <c:v>1691.36079</c:v>
                </c:pt>
                <c:pt idx="270">
                  <c:v>1691.40753</c:v>
                </c:pt>
                <c:pt idx="271">
                  <c:v>1691.45426</c:v>
                </c:pt>
                <c:pt idx="272">
                  <c:v>1691.501</c:v>
                </c:pt>
                <c:pt idx="273">
                  <c:v>1691.54773</c:v>
                </c:pt>
                <c:pt idx="274">
                  <c:v>1691.59447</c:v>
                </c:pt>
                <c:pt idx="275">
                  <c:v>1691.6412</c:v>
                </c:pt>
                <c:pt idx="276">
                  <c:v>1691.68794</c:v>
                </c:pt>
                <c:pt idx="277">
                  <c:v>1691.7346700000001</c:v>
                </c:pt>
                <c:pt idx="278">
                  <c:v>1691.7814100000001</c:v>
                </c:pt>
                <c:pt idx="279">
                  <c:v>1691.8281400000001</c:v>
                </c:pt>
                <c:pt idx="280">
                  <c:v>1691.8748800000001</c:v>
                </c:pt>
                <c:pt idx="281">
                  <c:v>1691.9216100000001</c:v>
                </c:pt>
                <c:pt idx="282">
                  <c:v>1691.9683500000001</c:v>
                </c:pt>
                <c:pt idx="283">
                  <c:v>1692.0150799999999</c:v>
                </c:pt>
                <c:pt idx="284">
                  <c:v>1692.0618199999999</c:v>
                </c:pt>
                <c:pt idx="285">
                  <c:v>1692.1085499999999</c:v>
                </c:pt>
                <c:pt idx="286">
                  <c:v>1692.1552899999999</c:v>
                </c:pt>
                <c:pt idx="287">
                  <c:v>1692.2020199999999</c:v>
                </c:pt>
                <c:pt idx="288">
                  <c:v>1692.2487599999999</c:v>
                </c:pt>
                <c:pt idx="289">
                  <c:v>1692.29549</c:v>
                </c:pt>
                <c:pt idx="290">
                  <c:v>1692.34223</c:v>
                </c:pt>
                <c:pt idx="291">
                  <c:v>1692.38896</c:v>
                </c:pt>
                <c:pt idx="292">
                  <c:v>1692.4357</c:v>
                </c:pt>
                <c:pt idx="293">
                  <c:v>1692.48243</c:v>
                </c:pt>
                <c:pt idx="294">
                  <c:v>1692.52917</c:v>
                </c:pt>
                <c:pt idx="295">
                  <c:v>1692.5759</c:v>
                </c:pt>
                <c:pt idx="296">
                  <c:v>1692.62264</c:v>
                </c:pt>
                <c:pt idx="297">
                  <c:v>1692.66938</c:v>
                </c:pt>
                <c:pt idx="298">
                  <c:v>1692.7161100000001</c:v>
                </c:pt>
                <c:pt idx="299">
                  <c:v>1692.7628500000001</c:v>
                </c:pt>
                <c:pt idx="300">
                  <c:v>1692.8095800000001</c:v>
                </c:pt>
                <c:pt idx="301">
                  <c:v>1692.8563200000001</c:v>
                </c:pt>
                <c:pt idx="302">
                  <c:v>1692.9030499999999</c:v>
                </c:pt>
                <c:pt idx="303">
                  <c:v>1692.9497899999999</c:v>
                </c:pt>
                <c:pt idx="304">
                  <c:v>1692.9965199999999</c:v>
                </c:pt>
                <c:pt idx="305">
                  <c:v>1693.0432599999999</c:v>
                </c:pt>
                <c:pt idx="306">
                  <c:v>1693.0899899999999</c:v>
                </c:pt>
                <c:pt idx="307">
                  <c:v>1693.1367299999999</c:v>
                </c:pt>
                <c:pt idx="308">
                  <c:v>1693.18346</c:v>
                </c:pt>
                <c:pt idx="309">
                  <c:v>1693.2302</c:v>
                </c:pt>
                <c:pt idx="310">
                  <c:v>1693.27693</c:v>
                </c:pt>
                <c:pt idx="311">
                  <c:v>1693.32367</c:v>
                </c:pt>
                <c:pt idx="312">
                  <c:v>1693.3704</c:v>
                </c:pt>
                <c:pt idx="313">
                  <c:v>1693.41714</c:v>
                </c:pt>
                <c:pt idx="314">
                  <c:v>1693.46387</c:v>
                </c:pt>
                <c:pt idx="315">
                  <c:v>1693.51061</c:v>
                </c:pt>
                <c:pt idx="316">
                  <c:v>1693.5573400000001</c:v>
                </c:pt>
                <c:pt idx="317">
                  <c:v>1693.6040800000001</c:v>
                </c:pt>
                <c:pt idx="318">
                  <c:v>1693.6508100000001</c:v>
                </c:pt>
                <c:pt idx="319">
                  <c:v>1693.6975500000001</c:v>
                </c:pt>
                <c:pt idx="320">
                  <c:v>1693.7442799999999</c:v>
                </c:pt>
                <c:pt idx="321">
                  <c:v>1693.7910199999999</c:v>
                </c:pt>
                <c:pt idx="322">
                  <c:v>1693.8377499999999</c:v>
                </c:pt>
                <c:pt idx="323">
                  <c:v>1693.8844899999999</c:v>
                </c:pt>
                <c:pt idx="324">
                  <c:v>1693.9312199999999</c:v>
                </c:pt>
                <c:pt idx="325">
                  <c:v>1693.9779599999999</c:v>
                </c:pt>
                <c:pt idx="326">
                  <c:v>1694.02469</c:v>
                </c:pt>
                <c:pt idx="327">
                  <c:v>1694.07143</c:v>
                </c:pt>
                <c:pt idx="328">
                  <c:v>1694.11816</c:v>
                </c:pt>
                <c:pt idx="329">
                  <c:v>1694.1649</c:v>
                </c:pt>
                <c:pt idx="330">
                  <c:v>1694.21163</c:v>
                </c:pt>
                <c:pt idx="331">
                  <c:v>1694.25837</c:v>
                </c:pt>
                <c:pt idx="332">
                  <c:v>1694.3051</c:v>
                </c:pt>
                <c:pt idx="333">
                  <c:v>1694.35184</c:v>
                </c:pt>
                <c:pt idx="334">
                  <c:v>1694.3985700000001</c:v>
                </c:pt>
                <c:pt idx="335">
                  <c:v>1694.4453100000001</c:v>
                </c:pt>
                <c:pt idx="336">
                  <c:v>1694.4920400000001</c:v>
                </c:pt>
                <c:pt idx="337">
                  <c:v>1694.5387800000001</c:v>
                </c:pt>
                <c:pt idx="338">
                  <c:v>1694.5855100000001</c:v>
                </c:pt>
                <c:pt idx="339">
                  <c:v>1694.6322500000001</c:v>
                </c:pt>
                <c:pt idx="340">
                  <c:v>1694.6789900000001</c:v>
                </c:pt>
                <c:pt idx="341">
                  <c:v>1694.7257199999999</c:v>
                </c:pt>
                <c:pt idx="342">
                  <c:v>1694.7724599999999</c:v>
                </c:pt>
                <c:pt idx="343">
                  <c:v>1694.8191899999999</c:v>
                </c:pt>
                <c:pt idx="344">
                  <c:v>1694.8659299999999</c:v>
                </c:pt>
                <c:pt idx="345">
                  <c:v>1694.91266</c:v>
                </c:pt>
                <c:pt idx="346">
                  <c:v>1694.9594</c:v>
                </c:pt>
                <c:pt idx="347">
                  <c:v>1695.00613</c:v>
                </c:pt>
                <c:pt idx="348">
                  <c:v>1695.05287</c:v>
                </c:pt>
                <c:pt idx="349">
                  <c:v>1695.0996</c:v>
                </c:pt>
                <c:pt idx="350">
                  <c:v>1695.14634</c:v>
                </c:pt>
                <c:pt idx="351">
                  <c:v>1695.19307</c:v>
                </c:pt>
                <c:pt idx="352">
                  <c:v>1695.23981</c:v>
                </c:pt>
                <c:pt idx="353">
                  <c:v>1695.2865400000001</c:v>
                </c:pt>
                <c:pt idx="354">
                  <c:v>1695.3332800000001</c:v>
                </c:pt>
                <c:pt idx="355">
                  <c:v>1695.3800100000001</c:v>
                </c:pt>
                <c:pt idx="356">
                  <c:v>1695.4267500000001</c:v>
                </c:pt>
                <c:pt idx="357">
                  <c:v>1695.4734800000001</c:v>
                </c:pt>
                <c:pt idx="358">
                  <c:v>1695.5202200000001</c:v>
                </c:pt>
                <c:pt idx="359">
                  <c:v>1695.5669499999999</c:v>
                </c:pt>
                <c:pt idx="360">
                  <c:v>1695.6136899999999</c:v>
                </c:pt>
                <c:pt idx="361">
                  <c:v>1695.6604199999999</c:v>
                </c:pt>
                <c:pt idx="362">
                  <c:v>1695.7071599999999</c:v>
                </c:pt>
                <c:pt idx="363">
                  <c:v>1695.75389</c:v>
                </c:pt>
                <c:pt idx="364">
                  <c:v>1695.80063</c:v>
                </c:pt>
                <c:pt idx="365">
                  <c:v>1695.84736</c:v>
                </c:pt>
                <c:pt idx="366">
                  <c:v>1695.8941</c:v>
                </c:pt>
                <c:pt idx="367">
                  <c:v>1695.94083</c:v>
                </c:pt>
                <c:pt idx="368">
                  <c:v>1695.98757</c:v>
                </c:pt>
                <c:pt idx="369">
                  <c:v>1696.0343</c:v>
                </c:pt>
                <c:pt idx="370">
                  <c:v>1696.08104</c:v>
                </c:pt>
                <c:pt idx="371">
                  <c:v>1696.1277700000001</c:v>
                </c:pt>
                <c:pt idx="372">
                  <c:v>1696.1745100000001</c:v>
                </c:pt>
                <c:pt idx="373">
                  <c:v>1696.2212400000001</c:v>
                </c:pt>
                <c:pt idx="374">
                  <c:v>1696.2679800000001</c:v>
                </c:pt>
                <c:pt idx="375">
                  <c:v>1696.3147100000001</c:v>
                </c:pt>
                <c:pt idx="376">
                  <c:v>1696.3614500000001</c:v>
                </c:pt>
                <c:pt idx="377">
                  <c:v>1696.4081799999999</c:v>
                </c:pt>
                <c:pt idx="378">
                  <c:v>1696.4549199999999</c:v>
                </c:pt>
                <c:pt idx="379">
                  <c:v>1696.5016499999999</c:v>
                </c:pt>
                <c:pt idx="380">
                  <c:v>1696.5483899999999</c:v>
                </c:pt>
                <c:pt idx="381">
                  <c:v>1696.5951299999999</c:v>
                </c:pt>
                <c:pt idx="382">
                  <c:v>1696.64186</c:v>
                </c:pt>
                <c:pt idx="383">
                  <c:v>1696.6886</c:v>
                </c:pt>
                <c:pt idx="384">
                  <c:v>1696.73533</c:v>
                </c:pt>
                <c:pt idx="385">
                  <c:v>1696.78207</c:v>
                </c:pt>
                <c:pt idx="386">
                  <c:v>1696.8288</c:v>
                </c:pt>
                <c:pt idx="387">
                  <c:v>1696.87554</c:v>
                </c:pt>
                <c:pt idx="388">
                  <c:v>1696.92227</c:v>
                </c:pt>
                <c:pt idx="389">
                  <c:v>1696.96901</c:v>
                </c:pt>
                <c:pt idx="390">
                  <c:v>1697.0157400000001</c:v>
                </c:pt>
                <c:pt idx="391">
                  <c:v>1697.0624800000001</c:v>
                </c:pt>
                <c:pt idx="392">
                  <c:v>1697.1092100000001</c:v>
                </c:pt>
                <c:pt idx="393">
                  <c:v>1697.1559500000001</c:v>
                </c:pt>
                <c:pt idx="394">
                  <c:v>1697.2026800000001</c:v>
                </c:pt>
                <c:pt idx="395">
                  <c:v>1697.2494200000001</c:v>
                </c:pt>
                <c:pt idx="396">
                  <c:v>1697.2961499999999</c:v>
                </c:pt>
                <c:pt idx="397">
                  <c:v>1697.3428899999999</c:v>
                </c:pt>
                <c:pt idx="398">
                  <c:v>1697.3896199999999</c:v>
                </c:pt>
                <c:pt idx="399">
                  <c:v>1697.4363599999999</c:v>
                </c:pt>
                <c:pt idx="400">
                  <c:v>1697.4830899999999</c:v>
                </c:pt>
                <c:pt idx="401">
                  <c:v>1697.5298299999999</c:v>
                </c:pt>
                <c:pt idx="402">
                  <c:v>1697.57656</c:v>
                </c:pt>
                <c:pt idx="403">
                  <c:v>1697.6233</c:v>
                </c:pt>
                <c:pt idx="404">
                  <c:v>1697.67003</c:v>
                </c:pt>
                <c:pt idx="405">
                  <c:v>1697.71677</c:v>
                </c:pt>
                <c:pt idx="406">
                  <c:v>1697.7635</c:v>
                </c:pt>
                <c:pt idx="407">
                  <c:v>1697.81024</c:v>
                </c:pt>
                <c:pt idx="408">
                  <c:v>1697.85697</c:v>
                </c:pt>
                <c:pt idx="409">
                  <c:v>1697.90371</c:v>
                </c:pt>
                <c:pt idx="410">
                  <c:v>1697.9504400000001</c:v>
                </c:pt>
                <c:pt idx="411">
                  <c:v>1697.9971800000001</c:v>
                </c:pt>
                <c:pt idx="412">
                  <c:v>1698.0439100000001</c:v>
                </c:pt>
                <c:pt idx="413">
                  <c:v>1698.0906500000001</c:v>
                </c:pt>
                <c:pt idx="414">
                  <c:v>1698.1373799999999</c:v>
                </c:pt>
                <c:pt idx="415">
                  <c:v>1698.1841199999999</c:v>
                </c:pt>
                <c:pt idx="416">
                  <c:v>1698.2308499999999</c:v>
                </c:pt>
                <c:pt idx="417">
                  <c:v>1698.2775899999999</c:v>
                </c:pt>
                <c:pt idx="418">
                  <c:v>1698.3243199999999</c:v>
                </c:pt>
                <c:pt idx="419">
                  <c:v>1698.3710599999999</c:v>
                </c:pt>
                <c:pt idx="420">
                  <c:v>1698.41779</c:v>
                </c:pt>
                <c:pt idx="421">
                  <c:v>1698.46453</c:v>
                </c:pt>
                <c:pt idx="422">
                  <c:v>1698.51126</c:v>
                </c:pt>
                <c:pt idx="423">
                  <c:v>1698.558</c:v>
                </c:pt>
                <c:pt idx="424">
                  <c:v>1698.60474</c:v>
                </c:pt>
                <c:pt idx="425">
                  <c:v>1698.65147</c:v>
                </c:pt>
                <c:pt idx="426">
                  <c:v>1698.69821</c:v>
                </c:pt>
                <c:pt idx="427">
                  <c:v>1698.74494</c:v>
                </c:pt>
                <c:pt idx="428">
                  <c:v>1698.79168</c:v>
                </c:pt>
                <c:pt idx="429">
                  <c:v>1698.8384100000001</c:v>
                </c:pt>
                <c:pt idx="430">
                  <c:v>1698.8851500000001</c:v>
                </c:pt>
                <c:pt idx="431">
                  <c:v>1698.9318800000001</c:v>
                </c:pt>
                <c:pt idx="432">
                  <c:v>1698.9786200000001</c:v>
                </c:pt>
                <c:pt idx="433">
                  <c:v>1699.0253499999999</c:v>
                </c:pt>
                <c:pt idx="434">
                  <c:v>1699.0720899999999</c:v>
                </c:pt>
                <c:pt idx="435">
                  <c:v>1699.1188199999999</c:v>
                </c:pt>
                <c:pt idx="436">
                  <c:v>1699.1655599999999</c:v>
                </c:pt>
                <c:pt idx="437">
                  <c:v>1699.2122899999999</c:v>
                </c:pt>
                <c:pt idx="438">
                  <c:v>1699.2590299999999</c:v>
                </c:pt>
                <c:pt idx="439">
                  <c:v>1699.30576</c:v>
                </c:pt>
                <c:pt idx="440">
                  <c:v>1699.3525</c:v>
                </c:pt>
                <c:pt idx="441">
                  <c:v>1699.39923</c:v>
                </c:pt>
                <c:pt idx="442">
                  <c:v>1699.44597</c:v>
                </c:pt>
                <c:pt idx="443">
                  <c:v>1699.4927</c:v>
                </c:pt>
                <c:pt idx="444">
                  <c:v>1699.53944</c:v>
                </c:pt>
                <c:pt idx="445">
                  <c:v>1699.58617</c:v>
                </c:pt>
                <c:pt idx="446">
                  <c:v>1699.63291</c:v>
                </c:pt>
                <c:pt idx="447">
                  <c:v>1699.6796400000001</c:v>
                </c:pt>
                <c:pt idx="448">
                  <c:v>1699.7263800000001</c:v>
                </c:pt>
                <c:pt idx="449">
                  <c:v>1699.7731100000001</c:v>
                </c:pt>
                <c:pt idx="450">
                  <c:v>1699.8198500000001</c:v>
                </c:pt>
                <c:pt idx="451">
                  <c:v>1699.8665800000001</c:v>
                </c:pt>
                <c:pt idx="452">
                  <c:v>1699.9133200000001</c:v>
                </c:pt>
                <c:pt idx="453">
                  <c:v>1699.9600499999999</c:v>
                </c:pt>
                <c:pt idx="454">
                  <c:v>1700.0067899999999</c:v>
                </c:pt>
                <c:pt idx="455">
                  <c:v>1700.0535199999999</c:v>
                </c:pt>
                <c:pt idx="456">
                  <c:v>1700.1002599999999</c:v>
                </c:pt>
                <c:pt idx="457">
                  <c:v>1700.14699</c:v>
                </c:pt>
                <c:pt idx="458">
                  <c:v>1700.19373</c:v>
                </c:pt>
                <c:pt idx="459">
                  <c:v>1700.24046</c:v>
                </c:pt>
                <c:pt idx="460">
                  <c:v>1700.2872</c:v>
                </c:pt>
                <c:pt idx="461">
                  <c:v>1700.33393</c:v>
                </c:pt>
                <c:pt idx="462">
                  <c:v>1700.38067</c:v>
                </c:pt>
                <c:pt idx="463">
                  <c:v>1700.4274</c:v>
                </c:pt>
                <c:pt idx="464">
                  <c:v>1700.47414</c:v>
                </c:pt>
                <c:pt idx="465">
                  <c:v>1700.52088</c:v>
                </c:pt>
                <c:pt idx="466">
                  <c:v>1700.5676100000001</c:v>
                </c:pt>
                <c:pt idx="467">
                  <c:v>1700.6143500000001</c:v>
                </c:pt>
                <c:pt idx="468">
                  <c:v>1700.6610800000001</c:v>
                </c:pt>
                <c:pt idx="469">
                  <c:v>1700.7078200000001</c:v>
                </c:pt>
                <c:pt idx="470">
                  <c:v>1700.7545500000001</c:v>
                </c:pt>
                <c:pt idx="471">
                  <c:v>1700.8012900000001</c:v>
                </c:pt>
                <c:pt idx="472">
                  <c:v>1700.8480199999999</c:v>
                </c:pt>
                <c:pt idx="473">
                  <c:v>1700.8947599999999</c:v>
                </c:pt>
                <c:pt idx="474">
                  <c:v>1700.9414899999999</c:v>
                </c:pt>
                <c:pt idx="475">
                  <c:v>1700.9882299999999</c:v>
                </c:pt>
                <c:pt idx="476">
                  <c:v>1701.03496</c:v>
                </c:pt>
                <c:pt idx="477">
                  <c:v>1701.0817</c:v>
                </c:pt>
                <c:pt idx="478">
                  <c:v>1701.12843</c:v>
                </c:pt>
                <c:pt idx="479">
                  <c:v>1701.17517</c:v>
                </c:pt>
                <c:pt idx="480">
                  <c:v>1701.2219</c:v>
                </c:pt>
                <c:pt idx="481">
                  <c:v>1701.26864</c:v>
                </c:pt>
                <c:pt idx="482">
                  <c:v>1701.31537</c:v>
                </c:pt>
                <c:pt idx="483">
                  <c:v>1701.36211</c:v>
                </c:pt>
                <c:pt idx="484">
                  <c:v>1701.4088400000001</c:v>
                </c:pt>
                <c:pt idx="485">
                  <c:v>1701.4555800000001</c:v>
                </c:pt>
                <c:pt idx="486">
                  <c:v>1701.5023100000001</c:v>
                </c:pt>
                <c:pt idx="487">
                  <c:v>1701.5490500000001</c:v>
                </c:pt>
                <c:pt idx="488">
                  <c:v>1701.5957800000001</c:v>
                </c:pt>
                <c:pt idx="489">
                  <c:v>1701.6425200000001</c:v>
                </c:pt>
                <c:pt idx="490">
                  <c:v>1701.6892499999999</c:v>
                </c:pt>
                <c:pt idx="491">
                  <c:v>1701.7359899999999</c:v>
                </c:pt>
                <c:pt idx="492">
                  <c:v>1701.7827199999999</c:v>
                </c:pt>
                <c:pt idx="493">
                  <c:v>1701.8294599999999</c:v>
                </c:pt>
                <c:pt idx="494">
                  <c:v>1701.87619</c:v>
                </c:pt>
                <c:pt idx="495">
                  <c:v>1701.92293</c:v>
                </c:pt>
                <c:pt idx="496">
                  <c:v>1701.96966</c:v>
                </c:pt>
                <c:pt idx="497">
                  <c:v>1702.0164</c:v>
                </c:pt>
                <c:pt idx="498">
                  <c:v>1702.06313</c:v>
                </c:pt>
                <c:pt idx="499">
                  <c:v>1702.10987</c:v>
                </c:pt>
                <c:pt idx="500">
                  <c:v>1702.1566</c:v>
                </c:pt>
                <c:pt idx="501">
                  <c:v>1702.20334</c:v>
                </c:pt>
                <c:pt idx="502">
                  <c:v>1702.2500700000001</c:v>
                </c:pt>
                <c:pt idx="503">
                  <c:v>1702.2968100000001</c:v>
                </c:pt>
                <c:pt idx="504">
                  <c:v>1702.3435400000001</c:v>
                </c:pt>
                <c:pt idx="505">
                  <c:v>1702.3902800000001</c:v>
                </c:pt>
                <c:pt idx="506">
                  <c:v>1702.4370100000001</c:v>
                </c:pt>
                <c:pt idx="507">
                  <c:v>1702.4837500000001</c:v>
                </c:pt>
                <c:pt idx="508">
                  <c:v>1702.5304900000001</c:v>
                </c:pt>
                <c:pt idx="509">
                  <c:v>1702.5772199999999</c:v>
                </c:pt>
                <c:pt idx="510">
                  <c:v>1702.6239599999999</c:v>
                </c:pt>
                <c:pt idx="511">
                  <c:v>1702.6706899999999</c:v>
                </c:pt>
                <c:pt idx="512">
                  <c:v>1702.7174299999999</c:v>
                </c:pt>
                <c:pt idx="513">
                  <c:v>1702.7641599999999</c:v>
                </c:pt>
                <c:pt idx="514">
                  <c:v>1702.8108999999999</c:v>
                </c:pt>
                <c:pt idx="515">
                  <c:v>1702.85763</c:v>
                </c:pt>
                <c:pt idx="516">
                  <c:v>1702.90437</c:v>
                </c:pt>
                <c:pt idx="517">
                  <c:v>1702.9511</c:v>
                </c:pt>
                <c:pt idx="518">
                  <c:v>1702.99784</c:v>
                </c:pt>
                <c:pt idx="519">
                  <c:v>1703.04457</c:v>
                </c:pt>
                <c:pt idx="520">
                  <c:v>1703.09131</c:v>
                </c:pt>
                <c:pt idx="521">
                  <c:v>1703.13804</c:v>
                </c:pt>
                <c:pt idx="522">
                  <c:v>1703.18478</c:v>
                </c:pt>
                <c:pt idx="523">
                  <c:v>1703.2315100000001</c:v>
                </c:pt>
                <c:pt idx="524">
                  <c:v>1703.2782500000001</c:v>
                </c:pt>
                <c:pt idx="525">
                  <c:v>1703.3249800000001</c:v>
                </c:pt>
                <c:pt idx="526">
                  <c:v>1703.3717200000001</c:v>
                </c:pt>
                <c:pt idx="527">
                  <c:v>1703.4184499999999</c:v>
                </c:pt>
                <c:pt idx="528">
                  <c:v>1703.4651899999999</c:v>
                </c:pt>
                <c:pt idx="529">
                  <c:v>1703.5119199999999</c:v>
                </c:pt>
                <c:pt idx="530">
                  <c:v>1703.5586599999999</c:v>
                </c:pt>
                <c:pt idx="531">
                  <c:v>1703.6053899999999</c:v>
                </c:pt>
                <c:pt idx="532">
                  <c:v>1703.6521299999999</c:v>
                </c:pt>
                <c:pt idx="533">
                  <c:v>1703.69886</c:v>
                </c:pt>
                <c:pt idx="534">
                  <c:v>1703.7456</c:v>
                </c:pt>
                <c:pt idx="535">
                  <c:v>1703.79233</c:v>
                </c:pt>
                <c:pt idx="536">
                  <c:v>1703.83907</c:v>
                </c:pt>
                <c:pt idx="537">
                  <c:v>1703.8858</c:v>
                </c:pt>
                <c:pt idx="538">
                  <c:v>1703.93254</c:v>
                </c:pt>
                <c:pt idx="539">
                  <c:v>1703.97927</c:v>
                </c:pt>
                <c:pt idx="540">
                  <c:v>1704.02601</c:v>
                </c:pt>
                <c:pt idx="541">
                  <c:v>1704.0727400000001</c:v>
                </c:pt>
                <c:pt idx="542">
                  <c:v>1704.1194800000001</c:v>
                </c:pt>
                <c:pt idx="543">
                  <c:v>1704.1662100000001</c:v>
                </c:pt>
                <c:pt idx="544">
                  <c:v>1704.2129500000001</c:v>
                </c:pt>
                <c:pt idx="545">
                  <c:v>1704.2596799999999</c:v>
                </c:pt>
                <c:pt idx="546">
                  <c:v>1704.3064199999999</c:v>
                </c:pt>
                <c:pt idx="547">
                  <c:v>1704.3531499999999</c:v>
                </c:pt>
                <c:pt idx="548">
                  <c:v>1704.3998899999999</c:v>
                </c:pt>
                <c:pt idx="549">
                  <c:v>1704.4466299999999</c:v>
                </c:pt>
                <c:pt idx="550">
                  <c:v>1704.4933599999999</c:v>
                </c:pt>
                <c:pt idx="551">
                  <c:v>1704.5400999999999</c:v>
                </c:pt>
                <c:pt idx="552">
                  <c:v>1704.58683</c:v>
                </c:pt>
                <c:pt idx="553">
                  <c:v>1704.63357</c:v>
                </c:pt>
                <c:pt idx="554">
                  <c:v>1704.6803</c:v>
                </c:pt>
                <c:pt idx="555">
                  <c:v>1704.72704</c:v>
                </c:pt>
                <c:pt idx="556">
                  <c:v>1704.77377</c:v>
                </c:pt>
                <c:pt idx="557">
                  <c:v>1704.82051</c:v>
                </c:pt>
                <c:pt idx="558">
                  <c:v>1704.86724</c:v>
                </c:pt>
                <c:pt idx="559">
                  <c:v>1704.91398</c:v>
                </c:pt>
                <c:pt idx="560">
                  <c:v>1704.9607100000001</c:v>
                </c:pt>
                <c:pt idx="561">
                  <c:v>1705.0074500000001</c:v>
                </c:pt>
                <c:pt idx="562">
                  <c:v>1705.0541800000001</c:v>
                </c:pt>
                <c:pt idx="563">
                  <c:v>1705.1009200000001</c:v>
                </c:pt>
                <c:pt idx="564">
                  <c:v>1705.1476500000001</c:v>
                </c:pt>
                <c:pt idx="565">
                  <c:v>1705.1943900000001</c:v>
                </c:pt>
                <c:pt idx="566">
                  <c:v>1705.2411199999999</c:v>
                </c:pt>
                <c:pt idx="567">
                  <c:v>1705.2878599999999</c:v>
                </c:pt>
                <c:pt idx="568">
                  <c:v>1705.3345899999999</c:v>
                </c:pt>
                <c:pt idx="569">
                  <c:v>1705.3813299999999</c:v>
                </c:pt>
                <c:pt idx="570">
                  <c:v>1705.42806</c:v>
                </c:pt>
                <c:pt idx="571">
                  <c:v>1705.4748</c:v>
                </c:pt>
                <c:pt idx="572">
                  <c:v>1705.52153</c:v>
                </c:pt>
                <c:pt idx="573">
                  <c:v>1705.56827</c:v>
                </c:pt>
                <c:pt idx="574">
                  <c:v>1705.615</c:v>
                </c:pt>
                <c:pt idx="575">
                  <c:v>1705.66174</c:v>
                </c:pt>
                <c:pt idx="576">
                  <c:v>1705.70847</c:v>
                </c:pt>
                <c:pt idx="577">
                  <c:v>1705.75521</c:v>
                </c:pt>
                <c:pt idx="578">
                  <c:v>1705.8019400000001</c:v>
                </c:pt>
                <c:pt idx="579">
                  <c:v>1705.8486800000001</c:v>
                </c:pt>
                <c:pt idx="580">
                  <c:v>1705.8954100000001</c:v>
                </c:pt>
                <c:pt idx="581">
                  <c:v>1705.9421500000001</c:v>
                </c:pt>
                <c:pt idx="582">
                  <c:v>1705.9888800000001</c:v>
                </c:pt>
                <c:pt idx="583">
                  <c:v>1706.0356200000001</c:v>
                </c:pt>
                <c:pt idx="584">
                  <c:v>1706.0823499999999</c:v>
                </c:pt>
                <c:pt idx="585">
                  <c:v>1706.1290899999999</c:v>
                </c:pt>
                <c:pt idx="586">
                  <c:v>1706.1758199999999</c:v>
                </c:pt>
                <c:pt idx="587">
                  <c:v>1706.2225599999999</c:v>
                </c:pt>
                <c:pt idx="588">
                  <c:v>1706.26929</c:v>
                </c:pt>
                <c:pt idx="589">
                  <c:v>1706.31603</c:v>
                </c:pt>
                <c:pt idx="590">
                  <c:v>1706.36276</c:v>
                </c:pt>
                <c:pt idx="591">
                  <c:v>1706.4095</c:v>
                </c:pt>
                <c:pt idx="592">
                  <c:v>1706.45624</c:v>
                </c:pt>
                <c:pt idx="593">
                  <c:v>1706.50297</c:v>
                </c:pt>
                <c:pt idx="594">
                  <c:v>1706.54971</c:v>
                </c:pt>
                <c:pt idx="595">
                  <c:v>1706.59644</c:v>
                </c:pt>
                <c:pt idx="596">
                  <c:v>1706.64318</c:v>
                </c:pt>
                <c:pt idx="597">
                  <c:v>1706.6899100000001</c:v>
                </c:pt>
                <c:pt idx="598">
                  <c:v>1706.7366500000001</c:v>
                </c:pt>
                <c:pt idx="599">
                  <c:v>1706.7833800000001</c:v>
                </c:pt>
                <c:pt idx="600">
                  <c:v>1706.8301200000001</c:v>
                </c:pt>
                <c:pt idx="601">
                  <c:v>1706.8768500000001</c:v>
                </c:pt>
                <c:pt idx="602">
                  <c:v>1706.9235900000001</c:v>
                </c:pt>
                <c:pt idx="603">
                  <c:v>1706.9703199999999</c:v>
                </c:pt>
                <c:pt idx="604">
                  <c:v>1707.0170599999999</c:v>
                </c:pt>
                <c:pt idx="605">
                  <c:v>1707.0637899999999</c:v>
                </c:pt>
                <c:pt idx="606">
                  <c:v>1707.1105299999999</c:v>
                </c:pt>
                <c:pt idx="607">
                  <c:v>1707.15726</c:v>
                </c:pt>
                <c:pt idx="608">
                  <c:v>1707.204</c:v>
                </c:pt>
                <c:pt idx="609">
                  <c:v>1707.25073</c:v>
                </c:pt>
                <c:pt idx="610">
                  <c:v>1707.29747</c:v>
                </c:pt>
                <c:pt idx="611">
                  <c:v>1707.3442</c:v>
                </c:pt>
                <c:pt idx="612">
                  <c:v>1707.39094</c:v>
                </c:pt>
                <c:pt idx="613">
                  <c:v>1707.43767</c:v>
                </c:pt>
                <c:pt idx="614">
                  <c:v>1707.48441</c:v>
                </c:pt>
                <c:pt idx="615">
                  <c:v>1707.5311400000001</c:v>
                </c:pt>
                <c:pt idx="616">
                  <c:v>1707.5778800000001</c:v>
                </c:pt>
                <c:pt idx="617">
                  <c:v>1707.6246100000001</c:v>
                </c:pt>
                <c:pt idx="618">
                  <c:v>1707.6713500000001</c:v>
                </c:pt>
                <c:pt idx="619">
                  <c:v>1707.7180800000001</c:v>
                </c:pt>
                <c:pt idx="620">
                  <c:v>1707.7648200000001</c:v>
                </c:pt>
                <c:pt idx="621">
                  <c:v>1707.8115499999999</c:v>
                </c:pt>
                <c:pt idx="622">
                  <c:v>1707.8582899999999</c:v>
                </c:pt>
                <c:pt idx="623">
                  <c:v>1707.9050199999999</c:v>
                </c:pt>
                <c:pt idx="624">
                  <c:v>1707.9517599999999</c:v>
                </c:pt>
                <c:pt idx="625">
                  <c:v>1707.9984899999999</c:v>
                </c:pt>
                <c:pt idx="626">
                  <c:v>1708.0452299999999</c:v>
                </c:pt>
                <c:pt idx="627">
                  <c:v>1708.09196</c:v>
                </c:pt>
                <c:pt idx="628">
                  <c:v>1708.1387</c:v>
                </c:pt>
                <c:pt idx="629">
                  <c:v>1708.18543</c:v>
                </c:pt>
                <c:pt idx="630">
                  <c:v>1708.23217</c:v>
                </c:pt>
                <c:pt idx="631">
                  <c:v>1708.2789</c:v>
                </c:pt>
                <c:pt idx="632">
                  <c:v>1708.32564</c:v>
                </c:pt>
                <c:pt idx="633">
                  <c:v>1708.37238</c:v>
                </c:pt>
                <c:pt idx="634">
                  <c:v>1708.41911</c:v>
                </c:pt>
                <c:pt idx="635">
                  <c:v>1708.46585</c:v>
                </c:pt>
                <c:pt idx="636">
                  <c:v>1708.5125800000001</c:v>
                </c:pt>
                <c:pt idx="637">
                  <c:v>1708.5593200000001</c:v>
                </c:pt>
                <c:pt idx="638">
                  <c:v>1708.6060500000001</c:v>
                </c:pt>
                <c:pt idx="639">
                  <c:v>1708.6527900000001</c:v>
                </c:pt>
                <c:pt idx="640">
                  <c:v>1708.6995199999999</c:v>
                </c:pt>
                <c:pt idx="641">
                  <c:v>1708.7462599999999</c:v>
                </c:pt>
                <c:pt idx="642">
                  <c:v>1708.7929899999999</c:v>
                </c:pt>
                <c:pt idx="643">
                  <c:v>1708.8397299999999</c:v>
                </c:pt>
                <c:pt idx="644">
                  <c:v>1708.8864599999999</c:v>
                </c:pt>
                <c:pt idx="645">
                  <c:v>1708.9331999999999</c:v>
                </c:pt>
                <c:pt idx="646">
                  <c:v>1708.97993</c:v>
                </c:pt>
                <c:pt idx="647">
                  <c:v>1709.02667</c:v>
                </c:pt>
                <c:pt idx="648">
                  <c:v>1709.0734</c:v>
                </c:pt>
                <c:pt idx="649">
                  <c:v>1709.12014</c:v>
                </c:pt>
                <c:pt idx="650">
                  <c:v>1709.16687</c:v>
                </c:pt>
                <c:pt idx="651">
                  <c:v>1709.21361</c:v>
                </c:pt>
                <c:pt idx="652">
                  <c:v>1709.26034</c:v>
                </c:pt>
                <c:pt idx="653">
                  <c:v>1709.30708</c:v>
                </c:pt>
                <c:pt idx="654">
                  <c:v>1709.3538100000001</c:v>
                </c:pt>
                <c:pt idx="655">
                  <c:v>1709.4005500000001</c:v>
                </c:pt>
                <c:pt idx="656">
                  <c:v>1709.4472800000001</c:v>
                </c:pt>
                <c:pt idx="657">
                  <c:v>1709.4940200000001</c:v>
                </c:pt>
                <c:pt idx="658">
                  <c:v>1709.5407499999999</c:v>
                </c:pt>
                <c:pt idx="659">
                  <c:v>1709.5874899999999</c:v>
                </c:pt>
                <c:pt idx="660">
                  <c:v>1709.6342199999999</c:v>
                </c:pt>
                <c:pt idx="661">
                  <c:v>1709.6809599999999</c:v>
                </c:pt>
                <c:pt idx="662">
                  <c:v>1709.7276899999999</c:v>
                </c:pt>
                <c:pt idx="663">
                  <c:v>1709.7744299999999</c:v>
                </c:pt>
                <c:pt idx="664">
                  <c:v>1709.82116</c:v>
                </c:pt>
                <c:pt idx="665">
                  <c:v>1709.8679</c:v>
                </c:pt>
                <c:pt idx="666">
                  <c:v>1709.91463</c:v>
                </c:pt>
                <c:pt idx="667">
                  <c:v>1709.96137</c:v>
                </c:pt>
                <c:pt idx="668">
                  <c:v>1710.0081</c:v>
                </c:pt>
                <c:pt idx="669">
                  <c:v>1710.05484</c:v>
                </c:pt>
                <c:pt idx="670">
                  <c:v>1710.10157</c:v>
                </c:pt>
                <c:pt idx="671">
                  <c:v>1710.14831</c:v>
                </c:pt>
                <c:pt idx="672">
                  <c:v>1710.1950400000001</c:v>
                </c:pt>
                <c:pt idx="673">
                  <c:v>1710.2417800000001</c:v>
                </c:pt>
                <c:pt idx="674">
                  <c:v>1710.2885100000001</c:v>
                </c:pt>
                <c:pt idx="675">
                  <c:v>1710.3352500000001</c:v>
                </c:pt>
                <c:pt idx="676">
                  <c:v>1710.3819900000001</c:v>
                </c:pt>
                <c:pt idx="677">
                  <c:v>1710.4287200000001</c:v>
                </c:pt>
                <c:pt idx="678">
                  <c:v>1710.4754600000001</c:v>
                </c:pt>
                <c:pt idx="679">
                  <c:v>1710.5221899999999</c:v>
                </c:pt>
                <c:pt idx="680">
                  <c:v>1710.5689299999999</c:v>
                </c:pt>
                <c:pt idx="681">
                  <c:v>1710.6156599999999</c:v>
                </c:pt>
                <c:pt idx="682">
                  <c:v>1710.6623999999999</c:v>
                </c:pt>
              </c:numCache>
            </c:numRef>
          </c:xVal>
          <c:yVal>
            <c:numRef>
              <c:f>'Ex 2 FULL 0 50 eV'!$C$3:$C$685</c:f>
              <c:numCache>
                <c:formatCode>0.00E+00</c:formatCode>
                <c:ptCount val="683"/>
                <c:pt idx="0">
                  <c:v>2.4281999999999999E-5</c:v>
                </c:pt>
                <c:pt idx="1">
                  <c:v>3.0281499999999998E-5</c:v>
                </c:pt>
                <c:pt idx="2">
                  <c:v>4.0363500000000001E-5</c:v>
                </c:pt>
                <c:pt idx="3">
                  <c:v>5.0108249999999992E-5</c:v>
                </c:pt>
                <c:pt idx="4">
                  <c:v>5.9675499999999995E-5</c:v>
                </c:pt>
                <c:pt idx="5">
                  <c:v>6.917174999999999E-5</c:v>
                </c:pt>
                <c:pt idx="6">
                  <c:v>7.8650249999999991E-5</c:v>
                </c:pt>
                <c:pt idx="7">
                  <c:v>8.8182000000000004E-5</c:v>
                </c:pt>
                <c:pt idx="8">
                  <c:v>9.7802499999999991E-5</c:v>
                </c:pt>
                <c:pt idx="9">
                  <c:v>1.0749399999999998E-4</c:v>
                </c:pt>
                <c:pt idx="10">
                  <c:v>1.173275E-4</c:v>
                </c:pt>
                <c:pt idx="11">
                  <c:v>1.27303E-4</c:v>
                </c:pt>
                <c:pt idx="12">
                  <c:v>1.3743824999999998E-4</c:v>
                </c:pt>
                <c:pt idx="13">
                  <c:v>1.4775099999999998E-4</c:v>
                </c:pt>
                <c:pt idx="14">
                  <c:v>1.5824125E-4</c:v>
                </c:pt>
                <c:pt idx="15">
                  <c:v>1.6896224999999999E-4</c:v>
                </c:pt>
                <c:pt idx="16">
                  <c:v>1.7998499999999996E-4</c:v>
                </c:pt>
                <c:pt idx="17">
                  <c:v>1.9098999999999999E-4</c:v>
                </c:pt>
                <c:pt idx="18">
                  <c:v>2.0252750000000002E-4</c:v>
                </c:pt>
                <c:pt idx="19">
                  <c:v>2.1424249999999999E-4</c:v>
                </c:pt>
                <c:pt idx="20">
                  <c:v>2.2613499999999998E-4</c:v>
                </c:pt>
                <c:pt idx="21">
                  <c:v>2.3838249999999999E-4</c:v>
                </c:pt>
                <c:pt idx="22">
                  <c:v>2.5098499999999996E-4</c:v>
                </c:pt>
                <c:pt idx="23">
                  <c:v>2.6394249999999998E-4</c:v>
                </c:pt>
                <c:pt idx="24">
                  <c:v>2.7725500000000001E-4</c:v>
                </c:pt>
                <c:pt idx="25">
                  <c:v>2.9074499999999997E-4</c:v>
                </c:pt>
                <c:pt idx="26">
                  <c:v>3.0476749999999996E-4</c:v>
                </c:pt>
                <c:pt idx="27">
                  <c:v>3.1914499999999995E-4</c:v>
                </c:pt>
                <c:pt idx="28">
                  <c:v>3.3405499999999999E-4</c:v>
                </c:pt>
                <c:pt idx="29">
                  <c:v>3.4932000000000002E-4</c:v>
                </c:pt>
                <c:pt idx="30">
                  <c:v>3.6511749999999993E-4</c:v>
                </c:pt>
                <c:pt idx="31">
                  <c:v>3.8127000000000001E-4</c:v>
                </c:pt>
                <c:pt idx="32">
                  <c:v>3.9795499999999997E-4</c:v>
                </c:pt>
                <c:pt idx="33">
                  <c:v>4.1534999999999999E-4</c:v>
                </c:pt>
                <c:pt idx="34">
                  <c:v>4.3309999999999996E-4</c:v>
                </c:pt>
                <c:pt idx="35">
                  <c:v>4.5155999999999994E-4</c:v>
                </c:pt>
                <c:pt idx="36">
                  <c:v>4.7072999999999993E-4</c:v>
                </c:pt>
                <c:pt idx="37">
                  <c:v>4.9043249999999991E-4</c:v>
                </c:pt>
                <c:pt idx="38">
                  <c:v>5.1084500000000001E-4</c:v>
                </c:pt>
                <c:pt idx="39">
                  <c:v>5.3196750000000001E-4</c:v>
                </c:pt>
                <c:pt idx="40">
                  <c:v>5.5397749999999994E-4</c:v>
                </c:pt>
                <c:pt idx="41">
                  <c:v>5.7687499999999991E-4</c:v>
                </c:pt>
                <c:pt idx="42">
                  <c:v>6.0048250000000001E-4</c:v>
                </c:pt>
                <c:pt idx="43">
                  <c:v>6.2515499999999996E-4</c:v>
                </c:pt>
                <c:pt idx="44">
                  <c:v>6.5071499999999995E-4</c:v>
                </c:pt>
                <c:pt idx="45">
                  <c:v>6.7733999999999991E-4</c:v>
                </c:pt>
                <c:pt idx="46">
                  <c:v>7.0520749999999997E-4</c:v>
                </c:pt>
                <c:pt idx="47">
                  <c:v>7.3413999999999999E-4</c:v>
                </c:pt>
                <c:pt idx="48">
                  <c:v>7.64315E-4</c:v>
                </c:pt>
                <c:pt idx="49">
                  <c:v>7.9590999999999993E-4</c:v>
                </c:pt>
                <c:pt idx="50">
                  <c:v>8.2892499999999989E-4</c:v>
                </c:pt>
                <c:pt idx="51">
                  <c:v>8.635375E-4</c:v>
                </c:pt>
                <c:pt idx="52">
                  <c:v>8.9974749999999996E-4</c:v>
                </c:pt>
                <c:pt idx="53">
                  <c:v>9.3773249999999999E-4</c:v>
                </c:pt>
                <c:pt idx="54">
                  <c:v>9.774924999999999E-4</c:v>
                </c:pt>
                <c:pt idx="55">
                  <c:v>1.0193824999999998E-3</c:v>
                </c:pt>
                <c:pt idx="56">
                  <c:v>1.0637575E-3</c:v>
                </c:pt>
                <c:pt idx="57">
                  <c:v>1.1102625000000001E-3</c:v>
                </c:pt>
                <c:pt idx="58">
                  <c:v>1.1592525000000001E-3</c:v>
                </c:pt>
                <c:pt idx="59">
                  <c:v>1.21126E-3</c:v>
                </c:pt>
                <c:pt idx="60">
                  <c:v>1.2662849999999998E-3</c:v>
                </c:pt>
                <c:pt idx="61">
                  <c:v>1.3245049999999999E-3</c:v>
                </c:pt>
                <c:pt idx="62">
                  <c:v>1.3864525E-3</c:v>
                </c:pt>
                <c:pt idx="63">
                  <c:v>1.4524824999999999E-3</c:v>
                </c:pt>
                <c:pt idx="64">
                  <c:v>1.5227724999999999E-3</c:v>
                </c:pt>
                <c:pt idx="65">
                  <c:v>1.5978549999999998E-3</c:v>
                </c:pt>
                <c:pt idx="66">
                  <c:v>1.6782625E-3</c:v>
                </c:pt>
                <c:pt idx="67">
                  <c:v>1.7645274999999998E-3</c:v>
                </c:pt>
                <c:pt idx="68">
                  <c:v>1.8566500000000001E-3</c:v>
                </c:pt>
                <c:pt idx="69">
                  <c:v>1.9578249999999998E-3</c:v>
                </c:pt>
                <c:pt idx="70">
                  <c:v>2.0661E-3</c:v>
                </c:pt>
                <c:pt idx="71">
                  <c:v>2.1832499999999999E-3</c:v>
                </c:pt>
                <c:pt idx="72">
                  <c:v>2.3110499999999998E-3</c:v>
                </c:pt>
                <c:pt idx="73">
                  <c:v>2.4512749999999997E-3</c:v>
                </c:pt>
                <c:pt idx="74">
                  <c:v>2.603925E-3</c:v>
                </c:pt>
                <c:pt idx="75">
                  <c:v>2.7743250000000002E-3</c:v>
                </c:pt>
                <c:pt idx="76">
                  <c:v>2.9606999999999997E-3</c:v>
                </c:pt>
                <c:pt idx="77">
                  <c:v>3.1683750000000002E-3</c:v>
                </c:pt>
                <c:pt idx="78">
                  <c:v>3.4008999999999997E-3</c:v>
                </c:pt>
                <c:pt idx="79">
                  <c:v>3.6618249999999996E-3</c:v>
                </c:pt>
                <c:pt idx="80">
                  <c:v>3.9600249999999998E-3</c:v>
                </c:pt>
                <c:pt idx="81">
                  <c:v>4.2972749999999997E-3</c:v>
                </c:pt>
                <c:pt idx="82">
                  <c:v>4.6877749999999999E-3</c:v>
                </c:pt>
                <c:pt idx="83">
                  <c:v>5.1403999999999998E-3</c:v>
                </c:pt>
                <c:pt idx="84">
                  <c:v>5.6764499999999996E-3</c:v>
                </c:pt>
                <c:pt idx="85">
                  <c:v>6.3118999999999996E-3</c:v>
                </c:pt>
                <c:pt idx="86">
                  <c:v>7.0840249999999999E-3</c:v>
                </c:pt>
                <c:pt idx="87">
                  <c:v>8.0354249999999988E-3</c:v>
                </c:pt>
                <c:pt idx="88">
                  <c:v>9.2388749999999988E-3</c:v>
                </c:pt>
                <c:pt idx="89">
                  <c:v>1.0799099999999999E-2</c:v>
                </c:pt>
                <c:pt idx="90">
                  <c:v>1.2893599999999998E-2</c:v>
                </c:pt>
                <c:pt idx="91">
                  <c:v>1.5838325E-2</c:v>
                </c:pt>
                <c:pt idx="92">
                  <c:v>2.0252749999999996E-2</c:v>
                </c:pt>
                <c:pt idx="93">
                  <c:v>2.7406E-2</c:v>
                </c:pt>
                <c:pt idx="94">
                  <c:v>4.0594249999999998E-2</c:v>
                </c:pt>
                <c:pt idx="95">
                  <c:v>6.9651000000000005E-2</c:v>
                </c:pt>
                <c:pt idx="96">
                  <c:v>0.14129</c:v>
                </c:pt>
                <c:pt idx="97">
                  <c:v>0.22791</c:v>
                </c:pt>
                <c:pt idx="98">
                  <c:v>0.2433525</c:v>
                </c:pt>
                <c:pt idx="99">
                  <c:v>0.23607500000000001</c:v>
                </c:pt>
                <c:pt idx="100">
                  <c:v>0.22844249999999997</c:v>
                </c:pt>
                <c:pt idx="101">
                  <c:v>0.22205249999999996</c:v>
                </c:pt>
                <c:pt idx="102">
                  <c:v>0.21690499999999999</c:v>
                </c:pt>
                <c:pt idx="103">
                  <c:v>0.2124675</c:v>
                </c:pt>
                <c:pt idx="104">
                  <c:v>0.20891750000000001</c:v>
                </c:pt>
                <c:pt idx="105">
                  <c:v>0.20589999999999997</c:v>
                </c:pt>
                <c:pt idx="106">
                  <c:v>0.20305999999999996</c:v>
                </c:pt>
                <c:pt idx="107">
                  <c:v>0.2007525</c:v>
                </c:pt>
                <c:pt idx="108">
                  <c:v>0.19862249999999998</c:v>
                </c:pt>
                <c:pt idx="109">
                  <c:v>0.19684749999999998</c:v>
                </c:pt>
                <c:pt idx="110">
                  <c:v>0.19507249999999998</c:v>
                </c:pt>
                <c:pt idx="111">
                  <c:v>0.19347500000000001</c:v>
                </c:pt>
                <c:pt idx="112">
                  <c:v>0.19223249999999997</c:v>
                </c:pt>
                <c:pt idx="113">
                  <c:v>0.19098999999999999</c:v>
                </c:pt>
                <c:pt idx="114">
                  <c:v>0.18974749999999999</c:v>
                </c:pt>
                <c:pt idx="115">
                  <c:v>0.18886</c:v>
                </c:pt>
                <c:pt idx="116">
                  <c:v>0.18779499999999999</c:v>
                </c:pt>
                <c:pt idx="117">
                  <c:v>0.187085</c:v>
                </c:pt>
                <c:pt idx="118">
                  <c:v>0.18619749999999999</c:v>
                </c:pt>
                <c:pt idx="119">
                  <c:v>0.18548749999999997</c:v>
                </c:pt>
                <c:pt idx="120">
                  <c:v>0.18477749999999998</c:v>
                </c:pt>
                <c:pt idx="121">
                  <c:v>0.18424499999999999</c:v>
                </c:pt>
                <c:pt idx="122">
                  <c:v>0.183535</c:v>
                </c:pt>
                <c:pt idx="123">
                  <c:v>0.18300249999999998</c:v>
                </c:pt>
                <c:pt idx="124">
                  <c:v>0.18246999999999999</c:v>
                </c:pt>
                <c:pt idx="125">
                  <c:v>0.18193749999999997</c:v>
                </c:pt>
                <c:pt idx="126">
                  <c:v>0.18158249999999998</c:v>
                </c:pt>
                <c:pt idx="127">
                  <c:v>0.18122749999999999</c:v>
                </c:pt>
                <c:pt idx="128">
                  <c:v>0.18087249999999996</c:v>
                </c:pt>
                <c:pt idx="129">
                  <c:v>0.18051749999999997</c:v>
                </c:pt>
                <c:pt idx="130">
                  <c:v>0.18016249999999998</c:v>
                </c:pt>
                <c:pt idx="131">
                  <c:v>0.17980749999999998</c:v>
                </c:pt>
                <c:pt idx="132">
                  <c:v>0.17945249999999996</c:v>
                </c:pt>
                <c:pt idx="133">
                  <c:v>0.17927499999999999</c:v>
                </c:pt>
                <c:pt idx="134">
                  <c:v>0.17909749999999997</c:v>
                </c:pt>
                <c:pt idx="135">
                  <c:v>0.17874249999999997</c:v>
                </c:pt>
                <c:pt idx="136">
                  <c:v>0.178565</c:v>
                </c:pt>
                <c:pt idx="137">
                  <c:v>0.17838749999999998</c:v>
                </c:pt>
                <c:pt idx="138">
                  <c:v>0.17820999999999998</c:v>
                </c:pt>
                <c:pt idx="139">
                  <c:v>0.17803249999999998</c:v>
                </c:pt>
                <c:pt idx="140">
                  <c:v>0.17785499999999999</c:v>
                </c:pt>
                <c:pt idx="141">
                  <c:v>0.17767749999999996</c:v>
                </c:pt>
                <c:pt idx="142">
                  <c:v>0.17749999999999999</c:v>
                </c:pt>
                <c:pt idx="143">
                  <c:v>0.17737575</c:v>
                </c:pt>
                <c:pt idx="144">
                  <c:v>0.17725150000000001</c:v>
                </c:pt>
                <c:pt idx="145">
                  <c:v>0.177145</c:v>
                </c:pt>
                <c:pt idx="146">
                  <c:v>0.17703849999999999</c:v>
                </c:pt>
                <c:pt idx="147">
                  <c:v>0.17694974999999999</c:v>
                </c:pt>
                <c:pt idx="148">
                  <c:v>0.17687875</c:v>
                </c:pt>
                <c:pt idx="149">
                  <c:v>0.17680774999999999</c:v>
                </c:pt>
                <c:pt idx="150">
                  <c:v>0.17673675</c:v>
                </c:pt>
                <c:pt idx="151">
                  <c:v>0.17668349999999999</c:v>
                </c:pt>
                <c:pt idx="152">
                  <c:v>0.176648</c:v>
                </c:pt>
                <c:pt idx="153">
                  <c:v>0.17659474999999999</c:v>
                </c:pt>
                <c:pt idx="154">
                  <c:v>0.17655925</c:v>
                </c:pt>
                <c:pt idx="155">
                  <c:v>0.17654149999999999</c:v>
                </c:pt>
                <c:pt idx="156">
                  <c:v>0.17652375000000001</c:v>
                </c:pt>
                <c:pt idx="157">
                  <c:v>0.176506</c:v>
                </c:pt>
                <c:pt idx="158">
                  <c:v>0.17648824999999999</c:v>
                </c:pt>
                <c:pt idx="159">
                  <c:v>0.17648824999999999</c:v>
                </c:pt>
                <c:pt idx="160">
                  <c:v>0.17648824999999999</c:v>
                </c:pt>
                <c:pt idx="161">
                  <c:v>0.17648824999999999</c:v>
                </c:pt>
                <c:pt idx="162">
                  <c:v>0.176506</c:v>
                </c:pt>
                <c:pt idx="163">
                  <c:v>0.17652375000000001</c:v>
                </c:pt>
                <c:pt idx="164">
                  <c:v>0.17654149999999999</c:v>
                </c:pt>
                <c:pt idx="165">
                  <c:v>0.17657699999999998</c:v>
                </c:pt>
                <c:pt idx="166">
                  <c:v>0.17659474999999999</c:v>
                </c:pt>
                <c:pt idx="167">
                  <c:v>0.17663024999999999</c:v>
                </c:pt>
                <c:pt idx="168">
                  <c:v>0.17666574999999998</c:v>
                </c:pt>
                <c:pt idx="169">
                  <c:v>0.17671899999999999</c:v>
                </c:pt>
                <c:pt idx="170">
                  <c:v>0.17677224999999999</c:v>
                </c:pt>
                <c:pt idx="171">
                  <c:v>0.17680774999999999</c:v>
                </c:pt>
                <c:pt idx="172">
                  <c:v>0.17686099999999999</c:v>
                </c:pt>
                <c:pt idx="173">
                  <c:v>0.17691425</c:v>
                </c:pt>
                <c:pt idx="174">
                  <c:v>0.17698524999999998</c:v>
                </c:pt>
                <c:pt idx="175">
                  <c:v>0.17702074999999998</c:v>
                </c:pt>
                <c:pt idx="176">
                  <c:v>0.17707400000000001</c:v>
                </c:pt>
                <c:pt idx="177">
                  <c:v>0.1771095</c:v>
                </c:pt>
                <c:pt idx="178">
                  <c:v>0.177145</c:v>
                </c:pt>
                <c:pt idx="179">
                  <c:v>0.17718049999999999</c:v>
                </c:pt>
                <c:pt idx="180">
                  <c:v>0.17719824999999997</c:v>
                </c:pt>
                <c:pt idx="181">
                  <c:v>0.17721599999999998</c:v>
                </c:pt>
                <c:pt idx="182">
                  <c:v>0.17725150000000001</c:v>
                </c:pt>
                <c:pt idx="183">
                  <c:v>0.17726924999999999</c:v>
                </c:pt>
                <c:pt idx="184">
                  <c:v>0.177287</c:v>
                </c:pt>
                <c:pt idx="185">
                  <c:v>0.17730474999999998</c:v>
                </c:pt>
                <c:pt idx="186">
                  <c:v>0.17730474999999998</c:v>
                </c:pt>
                <c:pt idx="187">
                  <c:v>0.17732249999999999</c:v>
                </c:pt>
                <c:pt idx="188">
                  <c:v>0.17734024999999998</c:v>
                </c:pt>
                <c:pt idx="189">
                  <c:v>0.17734024999999998</c:v>
                </c:pt>
                <c:pt idx="190">
                  <c:v>0.17735799999999999</c:v>
                </c:pt>
                <c:pt idx="191">
                  <c:v>0.17737575</c:v>
                </c:pt>
                <c:pt idx="192">
                  <c:v>0.17737575</c:v>
                </c:pt>
                <c:pt idx="193">
                  <c:v>0.17739349999999998</c:v>
                </c:pt>
                <c:pt idx="194">
                  <c:v>0.17739349999999998</c:v>
                </c:pt>
                <c:pt idx="195">
                  <c:v>0.17739349999999998</c:v>
                </c:pt>
                <c:pt idx="196">
                  <c:v>0.17737575</c:v>
                </c:pt>
                <c:pt idx="197">
                  <c:v>0.17737575</c:v>
                </c:pt>
                <c:pt idx="198">
                  <c:v>0.17737575</c:v>
                </c:pt>
                <c:pt idx="199">
                  <c:v>0.17737575</c:v>
                </c:pt>
                <c:pt idx="200">
                  <c:v>0.17737575</c:v>
                </c:pt>
                <c:pt idx="201">
                  <c:v>0.17737575</c:v>
                </c:pt>
                <c:pt idx="202">
                  <c:v>0.17737575</c:v>
                </c:pt>
                <c:pt idx="203">
                  <c:v>0.17737575</c:v>
                </c:pt>
                <c:pt idx="204">
                  <c:v>0.17737575</c:v>
                </c:pt>
                <c:pt idx="205">
                  <c:v>0.17737575</c:v>
                </c:pt>
                <c:pt idx="206">
                  <c:v>0.17737575</c:v>
                </c:pt>
                <c:pt idx="207">
                  <c:v>0.17737575</c:v>
                </c:pt>
                <c:pt idx="208">
                  <c:v>0.17737575</c:v>
                </c:pt>
                <c:pt idx="209">
                  <c:v>0.17737575</c:v>
                </c:pt>
                <c:pt idx="210">
                  <c:v>0.17737575</c:v>
                </c:pt>
                <c:pt idx="211">
                  <c:v>0.17737575</c:v>
                </c:pt>
                <c:pt idx="212">
                  <c:v>0.17737575</c:v>
                </c:pt>
                <c:pt idx="213">
                  <c:v>0.17737575</c:v>
                </c:pt>
                <c:pt idx="214">
                  <c:v>0.17737575</c:v>
                </c:pt>
                <c:pt idx="215">
                  <c:v>0.17735799999999999</c:v>
                </c:pt>
                <c:pt idx="216">
                  <c:v>0.17735799999999999</c:v>
                </c:pt>
                <c:pt idx="217">
                  <c:v>0.17735799999999999</c:v>
                </c:pt>
                <c:pt idx="218">
                  <c:v>0.17735799999999999</c:v>
                </c:pt>
                <c:pt idx="219">
                  <c:v>0.17735799999999999</c:v>
                </c:pt>
                <c:pt idx="220">
                  <c:v>0.17735799999999999</c:v>
                </c:pt>
                <c:pt idx="221">
                  <c:v>0.17735799999999999</c:v>
                </c:pt>
                <c:pt idx="222">
                  <c:v>0.17735799999999999</c:v>
                </c:pt>
                <c:pt idx="223">
                  <c:v>0.17735799999999999</c:v>
                </c:pt>
                <c:pt idx="224">
                  <c:v>0.17735799999999999</c:v>
                </c:pt>
                <c:pt idx="225">
                  <c:v>0.17735799999999999</c:v>
                </c:pt>
                <c:pt idx="226">
                  <c:v>0.17735799999999999</c:v>
                </c:pt>
                <c:pt idx="227">
                  <c:v>0.17735799999999999</c:v>
                </c:pt>
                <c:pt idx="228">
                  <c:v>0.17735799999999999</c:v>
                </c:pt>
                <c:pt idx="229">
                  <c:v>0.17735799999999999</c:v>
                </c:pt>
                <c:pt idx="230">
                  <c:v>0.17735799999999999</c:v>
                </c:pt>
                <c:pt idx="231">
                  <c:v>0.17735799999999999</c:v>
                </c:pt>
                <c:pt idx="232">
                  <c:v>0.17735799999999999</c:v>
                </c:pt>
                <c:pt idx="233">
                  <c:v>0.17735799999999999</c:v>
                </c:pt>
                <c:pt idx="234">
                  <c:v>0.17735799999999999</c:v>
                </c:pt>
                <c:pt idx="235">
                  <c:v>0.17735799999999999</c:v>
                </c:pt>
                <c:pt idx="236">
                  <c:v>0.17735799999999999</c:v>
                </c:pt>
                <c:pt idx="237">
                  <c:v>0.17735799999999999</c:v>
                </c:pt>
                <c:pt idx="238">
                  <c:v>0.17735799999999999</c:v>
                </c:pt>
                <c:pt idx="239">
                  <c:v>0.17735799999999999</c:v>
                </c:pt>
                <c:pt idx="240">
                  <c:v>0.17735799999999999</c:v>
                </c:pt>
                <c:pt idx="241">
                  <c:v>0.17735799999999999</c:v>
                </c:pt>
                <c:pt idx="242">
                  <c:v>0.17735799999999999</c:v>
                </c:pt>
                <c:pt idx="243">
                  <c:v>0.17735799999999999</c:v>
                </c:pt>
                <c:pt idx="244">
                  <c:v>0.17735799999999999</c:v>
                </c:pt>
                <c:pt idx="245">
                  <c:v>0.17735799999999999</c:v>
                </c:pt>
                <c:pt idx="246">
                  <c:v>0.17735799999999999</c:v>
                </c:pt>
                <c:pt idx="247">
                  <c:v>0.17735799999999999</c:v>
                </c:pt>
                <c:pt idx="248">
                  <c:v>0.17735799999999999</c:v>
                </c:pt>
                <c:pt idx="249">
                  <c:v>0.17735799999999999</c:v>
                </c:pt>
                <c:pt idx="250">
                  <c:v>0.17735799999999999</c:v>
                </c:pt>
                <c:pt idx="251">
                  <c:v>0.17735799999999999</c:v>
                </c:pt>
                <c:pt idx="252">
                  <c:v>0.17735799999999999</c:v>
                </c:pt>
                <c:pt idx="253">
                  <c:v>0.17735799999999999</c:v>
                </c:pt>
                <c:pt idx="254">
                  <c:v>0.17735799999999999</c:v>
                </c:pt>
                <c:pt idx="255">
                  <c:v>0.17735799999999999</c:v>
                </c:pt>
                <c:pt idx="256">
                  <c:v>0.17735799999999999</c:v>
                </c:pt>
                <c:pt idx="257">
                  <c:v>0.17735799999999999</c:v>
                </c:pt>
                <c:pt idx="258">
                  <c:v>0.17735799999999999</c:v>
                </c:pt>
                <c:pt idx="259">
                  <c:v>0.17735799999999999</c:v>
                </c:pt>
                <c:pt idx="260">
                  <c:v>0.17735799999999999</c:v>
                </c:pt>
                <c:pt idx="261">
                  <c:v>0.17735799999999999</c:v>
                </c:pt>
                <c:pt idx="262">
                  <c:v>0.17735799999999999</c:v>
                </c:pt>
                <c:pt idx="263">
                  <c:v>0.17735799999999999</c:v>
                </c:pt>
                <c:pt idx="264">
                  <c:v>0.17735799999999999</c:v>
                </c:pt>
                <c:pt idx="265">
                  <c:v>0.17735799999999999</c:v>
                </c:pt>
                <c:pt idx="266">
                  <c:v>0.17735799999999999</c:v>
                </c:pt>
                <c:pt idx="267">
                  <c:v>0.17735799999999999</c:v>
                </c:pt>
                <c:pt idx="268">
                  <c:v>0.17735799999999999</c:v>
                </c:pt>
                <c:pt idx="269">
                  <c:v>0.17735799999999999</c:v>
                </c:pt>
                <c:pt idx="270">
                  <c:v>0.17735799999999999</c:v>
                </c:pt>
                <c:pt idx="271">
                  <c:v>0.17735799999999999</c:v>
                </c:pt>
                <c:pt idx="272">
                  <c:v>0.17735799999999999</c:v>
                </c:pt>
                <c:pt idx="273">
                  <c:v>0.17735799999999999</c:v>
                </c:pt>
                <c:pt idx="274">
                  <c:v>0.17735799999999999</c:v>
                </c:pt>
                <c:pt idx="275">
                  <c:v>0.17735799999999999</c:v>
                </c:pt>
                <c:pt idx="276">
                  <c:v>0.17735799999999999</c:v>
                </c:pt>
                <c:pt idx="277">
                  <c:v>0.17735799999999999</c:v>
                </c:pt>
                <c:pt idx="278">
                  <c:v>0.17735799999999999</c:v>
                </c:pt>
                <c:pt idx="279">
                  <c:v>0.17735799999999999</c:v>
                </c:pt>
                <c:pt idx="280">
                  <c:v>0.17735799999999999</c:v>
                </c:pt>
                <c:pt idx="281">
                  <c:v>0.17735799999999999</c:v>
                </c:pt>
                <c:pt idx="282">
                  <c:v>0.17735799999999999</c:v>
                </c:pt>
                <c:pt idx="283">
                  <c:v>0.17735799999999999</c:v>
                </c:pt>
                <c:pt idx="284">
                  <c:v>0.17735799999999999</c:v>
                </c:pt>
                <c:pt idx="285">
                  <c:v>0.17737575</c:v>
                </c:pt>
                <c:pt idx="286">
                  <c:v>0.17737575</c:v>
                </c:pt>
                <c:pt idx="287">
                  <c:v>0.17737575</c:v>
                </c:pt>
                <c:pt idx="288">
                  <c:v>0.17737575</c:v>
                </c:pt>
                <c:pt idx="289">
                  <c:v>0.17737575</c:v>
                </c:pt>
                <c:pt idx="290">
                  <c:v>0.17737575</c:v>
                </c:pt>
                <c:pt idx="291">
                  <c:v>0.17737575</c:v>
                </c:pt>
                <c:pt idx="292">
                  <c:v>0.17737575</c:v>
                </c:pt>
                <c:pt idx="293">
                  <c:v>0.17737575</c:v>
                </c:pt>
                <c:pt idx="294">
                  <c:v>0.17737575</c:v>
                </c:pt>
                <c:pt idx="295">
                  <c:v>0.17737575</c:v>
                </c:pt>
                <c:pt idx="296">
                  <c:v>0.17737575</c:v>
                </c:pt>
                <c:pt idx="297">
                  <c:v>0.17737575</c:v>
                </c:pt>
                <c:pt idx="298">
                  <c:v>0.17737575</c:v>
                </c:pt>
                <c:pt idx="299">
                  <c:v>0.17737575</c:v>
                </c:pt>
                <c:pt idx="300">
                  <c:v>0.17737575</c:v>
                </c:pt>
                <c:pt idx="301">
                  <c:v>0.17737575</c:v>
                </c:pt>
                <c:pt idx="302">
                  <c:v>0.17737575</c:v>
                </c:pt>
                <c:pt idx="303">
                  <c:v>0.17737575</c:v>
                </c:pt>
                <c:pt idx="304">
                  <c:v>0.17737575</c:v>
                </c:pt>
                <c:pt idx="305">
                  <c:v>0.17737575</c:v>
                </c:pt>
                <c:pt idx="306">
                  <c:v>0.17737575</c:v>
                </c:pt>
                <c:pt idx="307">
                  <c:v>0.17737575</c:v>
                </c:pt>
                <c:pt idx="308">
                  <c:v>0.17737575</c:v>
                </c:pt>
                <c:pt idx="309">
                  <c:v>0.17737575</c:v>
                </c:pt>
                <c:pt idx="310">
                  <c:v>0.17737575</c:v>
                </c:pt>
                <c:pt idx="311">
                  <c:v>0.17737575</c:v>
                </c:pt>
                <c:pt idx="312">
                  <c:v>0.17737575</c:v>
                </c:pt>
                <c:pt idx="313">
                  <c:v>0.17737575</c:v>
                </c:pt>
                <c:pt idx="314">
                  <c:v>0.17737575</c:v>
                </c:pt>
                <c:pt idx="315">
                  <c:v>0.17737575</c:v>
                </c:pt>
                <c:pt idx="316">
                  <c:v>0.17737575</c:v>
                </c:pt>
                <c:pt idx="317">
                  <c:v>0.17737575</c:v>
                </c:pt>
                <c:pt idx="318">
                  <c:v>0.17737575</c:v>
                </c:pt>
                <c:pt idx="319">
                  <c:v>0.17737575</c:v>
                </c:pt>
                <c:pt idx="320">
                  <c:v>0.17737575</c:v>
                </c:pt>
                <c:pt idx="321">
                  <c:v>0.17737575</c:v>
                </c:pt>
                <c:pt idx="322">
                  <c:v>0.17737575</c:v>
                </c:pt>
                <c:pt idx="323">
                  <c:v>0.17737575</c:v>
                </c:pt>
                <c:pt idx="324">
                  <c:v>0.17737575</c:v>
                </c:pt>
                <c:pt idx="325">
                  <c:v>0.17737575</c:v>
                </c:pt>
                <c:pt idx="326">
                  <c:v>0.17737575</c:v>
                </c:pt>
                <c:pt idx="327">
                  <c:v>0.17737575</c:v>
                </c:pt>
                <c:pt idx="328">
                  <c:v>0.17737575</c:v>
                </c:pt>
                <c:pt idx="329">
                  <c:v>0.17737575</c:v>
                </c:pt>
                <c:pt idx="330">
                  <c:v>0.17737575</c:v>
                </c:pt>
                <c:pt idx="331">
                  <c:v>0.17737575</c:v>
                </c:pt>
                <c:pt idx="332">
                  <c:v>0.17737575</c:v>
                </c:pt>
                <c:pt idx="333">
                  <c:v>0.17737575</c:v>
                </c:pt>
                <c:pt idx="334">
                  <c:v>0.17737575</c:v>
                </c:pt>
                <c:pt idx="335">
                  <c:v>0.17737575</c:v>
                </c:pt>
                <c:pt idx="336">
                  <c:v>0.17737575</c:v>
                </c:pt>
                <c:pt idx="337">
                  <c:v>0.17737575</c:v>
                </c:pt>
                <c:pt idx="338">
                  <c:v>0.17737575</c:v>
                </c:pt>
                <c:pt idx="339">
                  <c:v>0.17737575</c:v>
                </c:pt>
                <c:pt idx="340">
                  <c:v>0.17737575</c:v>
                </c:pt>
                <c:pt idx="341">
                  <c:v>0.17737575</c:v>
                </c:pt>
                <c:pt idx="342">
                  <c:v>0.17737575</c:v>
                </c:pt>
                <c:pt idx="343">
                  <c:v>0.17737575</c:v>
                </c:pt>
                <c:pt idx="344">
                  <c:v>0.17737575</c:v>
                </c:pt>
                <c:pt idx="345">
                  <c:v>0.17737575</c:v>
                </c:pt>
                <c:pt idx="346">
                  <c:v>0.17737575</c:v>
                </c:pt>
                <c:pt idx="347">
                  <c:v>0.17737575</c:v>
                </c:pt>
                <c:pt idx="348">
                  <c:v>0.17737575</c:v>
                </c:pt>
                <c:pt idx="349">
                  <c:v>0.17737575</c:v>
                </c:pt>
                <c:pt idx="350">
                  <c:v>0.17737575</c:v>
                </c:pt>
                <c:pt idx="351">
                  <c:v>0.17737575</c:v>
                </c:pt>
                <c:pt idx="352">
                  <c:v>0.17737575</c:v>
                </c:pt>
                <c:pt idx="353">
                  <c:v>0.17737575</c:v>
                </c:pt>
                <c:pt idx="354">
                  <c:v>0.17737575</c:v>
                </c:pt>
                <c:pt idx="355">
                  <c:v>0.17737575</c:v>
                </c:pt>
                <c:pt idx="356">
                  <c:v>0.17737575</c:v>
                </c:pt>
                <c:pt idx="357">
                  <c:v>0.17737575</c:v>
                </c:pt>
                <c:pt idx="358">
                  <c:v>0.17737575</c:v>
                </c:pt>
                <c:pt idx="359">
                  <c:v>0.17737575</c:v>
                </c:pt>
                <c:pt idx="360">
                  <c:v>0.17737575</c:v>
                </c:pt>
                <c:pt idx="361">
                  <c:v>0.17737575</c:v>
                </c:pt>
                <c:pt idx="362">
                  <c:v>0.17737575</c:v>
                </c:pt>
                <c:pt idx="363">
                  <c:v>0.17737575</c:v>
                </c:pt>
                <c:pt idx="364">
                  <c:v>0.17737575</c:v>
                </c:pt>
                <c:pt idx="365">
                  <c:v>0.17737575</c:v>
                </c:pt>
                <c:pt idx="366">
                  <c:v>0.17737575</c:v>
                </c:pt>
                <c:pt idx="367">
                  <c:v>0.17737575</c:v>
                </c:pt>
                <c:pt idx="368">
                  <c:v>0.17737575</c:v>
                </c:pt>
                <c:pt idx="369">
                  <c:v>0.17737575</c:v>
                </c:pt>
                <c:pt idx="370">
                  <c:v>0.17737575</c:v>
                </c:pt>
                <c:pt idx="371">
                  <c:v>0.17737575</c:v>
                </c:pt>
                <c:pt idx="372">
                  <c:v>0.17737575</c:v>
                </c:pt>
                <c:pt idx="373">
                  <c:v>0.17737575</c:v>
                </c:pt>
                <c:pt idx="374">
                  <c:v>0.17737575</c:v>
                </c:pt>
                <c:pt idx="375">
                  <c:v>0.17737575</c:v>
                </c:pt>
                <c:pt idx="376">
                  <c:v>0.17737575</c:v>
                </c:pt>
                <c:pt idx="377">
                  <c:v>0.17737575</c:v>
                </c:pt>
                <c:pt idx="378">
                  <c:v>0.17737575</c:v>
                </c:pt>
                <c:pt idx="379">
                  <c:v>0.17737575</c:v>
                </c:pt>
                <c:pt idx="380">
                  <c:v>0.17737575</c:v>
                </c:pt>
                <c:pt idx="381">
                  <c:v>0.17737575</c:v>
                </c:pt>
                <c:pt idx="382">
                  <c:v>0.17737575</c:v>
                </c:pt>
                <c:pt idx="383">
                  <c:v>0.17737575</c:v>
                </c:pt>
                <c:pt idx="384">
                  <c:v>0.17737575</c:v>
                </c:pt>
                <c:pt idx="385">
                  <c:v>0.17737575</c:v>
                </c:pt>
                <c:pt idx="386">
                  <c:v>0.17737575</c:v>
                </c:pt>
                <c:pt idx="387">
                  <c:v>0.17737575</c:v>
                </c:pt>
                <c:pt idx="388">
                  <c:v>0.17737575</c:v>
                </c:pt>
                <c:pt idx="389">
                  <c:v>0.17737575</c:v>
                </c:pt>
                <c:pt idx="390">
                  <c:v>0.17737575</c:v>
                </c:pt>
                <c:pt idx="391">
                  <c:v>0.17737575</c:v>
                </c:pt>
                <c:pt idx="392">
                  <c:v>0.17737575</c:v>
                </c:pt>
                <c:pt idx="393">
                  <c:v>0.17737575</c:v>
                </c:pt>
                <c:pt idx="394">
                  <c:v>0.17737575</c:v>
                </c:pt>
                <c:pt idx="395">
                  <c:v>0.17737575</c:v>
                </c:pt>
                <c:pt idx="396">
                  <c:v>0.17737575</c:v>
                </c:pt>
                <c:pt idx="397">
                  <c:v>0.17737575</c:v>
                </c:pt>
                <c:pt idx="398">
                  <c:v>0.17737575</c:v>
                </c:pt>
                <c:pt idx="399">
                  <c:v>0.17737575</c:v>
                </c:pt>
                <c:pt idx="400">
                  <c:v>0.17737575</c:v>
                </c:pt>
                <c:pt idx="401">
                  <c:v>0.17737575</c:v>
                </c:pt>
                <c:pt idx="402">
                  <c:v>0.17737575</c:v>
                </c:pt>
                <c:pt idx="403">
                  <c:v>0.17737575</c:v>
                </c:pt>
                <c:pt idx="404">
                  <c:v>0.17737575</c:v>
                </c:pt>
                <c:pt idx="405">
                  <c:v>0.17737575</c:v>
                </c:pt>
                <c:pt idx="406">
                  <c:v>0.17737575</c:v>
                </c:pt>
                <c:pt idx="407">
                  <c:v>0.17737575</c:v>
                </c:pt>
                <c:pt idx="408">
                  <c:v>0.17737575</c:v>
                </c:pt>
                <c:pt idx="409">
                  <c:v>0.17737575</c:v>
                </c:pt>
                <c:pt idx="410">
                  <c:v>0.17737575</c:v>
                </c:pt>
                <c:pt idx="411">
                  <c:v>0.17737575</c:v>
                </c:pt>
                <c:pt idx="412">
                  <c:v>0.17737575</c:v>
                </c:pt>
                <c:pt idx="413">
                  <c:v>0.17737575</c:v>
                </c:pt>
                <c:pt idx="414">
                  <c:v>0.17737575</c:v>
                </c:pt>
                <c:pt idx="415">
                  <c:v>0.17737575</c:v>
                </c:pt>
                <c:pt idx="416">
                  <c:v>0.17737575</c:v>
                </c:pt>
                <c:pt idx="417">
                  <c:v>0.17737575</c:v>
                </c:pt>
                <c:pt idx="418">
                  <c:v>0.17737575</c:v>
                </c:pt>
                <c:pt idx="419">
                  <c:v>0.17737575</c:v>
                </c:pt>
                <c:pt idx="420">
                  <c:v>0.17737575</c:v>
                </c:pt>
                <c:pt idx="421">
                  <c:v>0.17737575</c:v>
                </c:pt>
                <c:pt idx="422">
                  <c:v>0.17737575</c:v>
                </c:pt>
                <c:pt idx="423">
                  <c:v>0.17737575</c:v>
                </c:pt>
                <c:pt idx="424">
                  <c:v>0.17737575</c:v>
                </c:pt>
                <c:pt idx="425">
                  <c:v>0.17737575</c:v>
                </c:pt>
                <c:pt idx="426">
                  <c:v>0.17737575</c:v>
                </c:pt>
                <c:pt idx="427">
                  <c:v>0.17737575</c:v>
                </c:pt>
                <c:pt idx="428">
                  <c:v>0.17737575</c:v>
                </c:pt>
                <c:pt idx="429">
                  <c:v>0.17737575</c:v>
                </c:pt>
                <c:pt idx="430">
                  <c:v>0.17737575</c:v>
                </c:pt>
                <c:pt idx="431">
                  <c:v>0.17737575</c:v>
                </c:pt>
                <c:pt idx="432">
                  <c:v>0.17737575</c:v>
                </c:pt>
                <c:pt idx="433">
                  <c:v>0.17737575</c:v>
                </c:pt>
                <c:pt idx="434">
                  <c:v>0.17737575</c:v>
                </c:pt>
                <c:pt idx="435">
                  <c:v>0.17737575</c:v>
                </c:pt>
                <c:pt idx="436">
                  <c:v>0.17737575</c:v>
                </c:pt>
                <c:pt idx="437">
                  <c:v>0.17737575</c:v>
                </c:pt>
                <c:pt idx="438">
                  <c:v>0.17737575</c:v>
                </c:pt>
                <c:pt idx="439">
                  <c:v>0.17737575</c:v>
                </c:pt>
                <c:pt idx="440">
                  <c:v>0.17737575</c:v>
                </c:pt>
                <c:pt idx="441">
                  <c:v>0.17737575</c:v>
                </c:pt>
                <c:pt idx="442">
                  <c:v>0.17737575</c:v>
                </c:pt>
                <c:pt idx="443">
                  <c:v>0.17737575</c:v>
                </c:pt>
                <c:pt idx="444">
                  <c:v>0.17737575</c:v>
                </c:pt>
                <c:pt idx="445">
                  <c:v>0.17737575</c:v>
                </c:pt>
                <c:pt idx="446">
                  <c:v>0.17737575</c:v>
                </c:pt>
                <c:pt idx="447">
                  <c:v>0.17737575</c:v>
                </c:pt>
                <c:pt idx="448">
                  <c:v>0.17737575</c:v>
                </c:pt>
                <c:pt idx="449">
                  <c:v>0.17737575</c:v>
                </c:pt>
                <c:pt idx="450">
                  <c:v>0.17737575</c:v>
                </c:pt>
                <c:pt idx="451">
                  <c:v>0.17737575</c:v>
                </c:pt>
                <c:pt idx="452">
                  <c:v>0.17737575</c:v>
                </c:pt>
                <c:pt idx="453">
                  <c:v>0.17737575</c:v>
                </c:pt>
                <c:pt idx="454">
                  <c:v>0.17737575</c:v>
                </c:pt>
                <c:pt idx="455">
                  <c:v>0.17737575</c:v>
                </c:pt>
                <c:pt idx="456">
                  <c:v>0.17737575</c:v>
                </c:pt>
                <c:pt idx="457">
                  <c:v>0.17737575</c:v>
                </c:pt>
                <c:pt idx="458">
                  <c:v>0.17737575</c:v>
                </c:pt>
                <c:pt idx="459">
                  <c:v>0.17737575</c:v>
                </c:pt>
                <c:pt idx="460">
                  <c:v>0.17737575</c:v>
                </c:pt>
                <c:pt idx="461">
                  <c:v>0.17737575</c:v>
                </c:pt>
                <c:pt idx="462">
                  <c:v>0.17737575</c:v>
                </c:pt>
                <c:pt idx="463">
                  <c:v>0.17737575</c:v>
                </c:pt>
                <c:pt idx="464">
                  <c:v>0.17737575</c:v>
                </c:pt>
                <c:pt idx="465">
                  <c:v>0.17737575</c:v>
                </c:pt>
                <c:pt idx="466">
                  <c:v>0.17737575</c:v>
                </c:pt>
                <c:pt idx="467">
                  <c:v>0.17737575</c:v>
                </c:pt>
                <c:pt idx="468">
                  <c:v>0.17737575</c:v>
                </c:pt>
                <c:pt idx="469">
                  <c:v>0.17737575</c:v>
                </c:pt>
                <c:pt idx="470">
                  <c:v>0.17737575</c:v>
                </c:pt>
                <c:pt idx="471">
                  <c:v>0.17737575</c:v>
                </c:pt>
                <c:pt idx="472">
                  <c:v>0.17737575</c:v>
                </c:pt>
                <c:pt idx="473">
                  <c:v>0.17737575</c:v>
                </c:pt>
                <c:pt idx="474">
                  <c:v>0.17737575</c:v>
                </c:pt>
                <c:pt idx="475">
                  <c:v>0.17737575</c:v>
                </c:pt>
                <c:pt idx="476">
                  <c:v>0.17737575</c:v>
                </c:pt>
                <c:pt idx="477">
                  <c:v>0.17737575</c:v>
                </c:pt>
                <c:pt idx="478">
                  <c:v>0.17737575</c:v>
                </c:pt>
                <c:pt idx="479">
                  <c:v>0.17737575</c:v>
                </c:pt>
                <c:pt idx="480">
                  <c:v>0.17737575</c:v>
                </c:pt>
                <c:pt idx="481">
                  <c:v>0.17737575</c:v>
                </c:pt>
                <c:pt idx="482">
                  <c:v>0.17737575</c:v>
                </c:pt>
                <c:pt idx="483">
                  <c:v>0.17737575</c:v>
                </c:pt>
                <c:pt idx="484">
                  <c:v>0.17737575</c:v>
                </c:pt>
                <c:pt idx="485">
                  <c:v>0.17737575</c:v>
                </c:pt>
                <c:pt idx="486">
                  <c:v>0.17737575</c:v>
                </c:pt>
                <c:pt idx="487">
                  <c:v>0.17737575</c:v>
                </c:pt>
                <c:pt idx="488">
                  <c:v>0.17737575</c:v>
                </c:pt>
                <c:pt idx="489">
                  <c:v>0.17737575</c:v>
                </c:pt>
                <c:pt idx="490">
                  <c:v>0.17737575</c:v>
                </c:pt>
                <c:pt idx="491">
                  <c:v>0.17737575</c:v>
                </c:pt>
                <c:pt idx="492">
                  <c:v>0.17737575</c:v>
                </c:pt>
                <c:pt idx="493">
                  <c:v>0.17737575</c:v>
                </c:pt>
                <c:pt idx="494">
                  <c:v>0.17737575</c:v>
                </c:pt>
                <c:pt idx="495">
                  <c:v>0.17737575</c:v>
                </c:pt>
                <c:pt idx="496">
                  <c:v>0.17737575</c:v>
                </c:pt>
                <c:pt idx="497">
                  <c:v>0.17737575</c:v>
                </c:pt>
                <c:pt idx="498">
                  <c:v>0.17737575</c:v>
                </c:pt>
                <c:pt idx="499">
                  <c:v>0.17737575</c:v>
                </c:pt>
                <c:pt idx="500">
                  <c:v>0.17737575</c:v>
                </c:pt>
                <c:pt idx="501">
                  <c:v>0.17737575</c:v>
                </c:pt>
                <c:pt idx="502">
                  <c:v>0.17737575</c:v>
                </c:pt>
                <c:pt idx="503">
                  <c:v>0.17737575</c:v>
                </c:pt>
                <c:pt idx="504">
                  <c:v>0.17737575</c:v>
                </c:pt>
                <c:pt idx="505">
                  <c:v>0.17737575</c:v>
                </c:pt>
                <c:pt idx="506">
                  <c:v>0.17737575</c:v>
                </c:pt>
                <c:pt idx="507">
                  <c:v>0.17737575</c:v>
                </c:pt>
                <c:pt idx="508">
                  <c:v>0.17737575</c:v>
                </c:pt>
                <c:pt idx="509">
                  <c:v>0.17737575</c:v>
                </c:pt>
                <c:pt idx="510">
                  <c:v>0.17737575</c:v>
                </c:pt>
                <c:pt idx="511">
                  <c:v>0.17737575</c:v>
                </c:pt>
                <c:pt idx="512">
                  <c:v>0.17737575</c:v>
                </c:pt>
                <c:pt idx="513">
                  <c:v>0.17737575</c:v>
                </c:pt>
                <c:pt idx="514">
                  <c:v>0.17737575</c:v>
                </c:pt>
                <c:pt idx="515">
                  <c:v>0.17737575</c:v>
                </c:pt>
                <c:pt idx="516">
                  <c:v>0.17737575</c:v>
                </c:pt>
                <c:pt idx="517">
                  <c:v>0.17737575</c:v>
                </c:pt>
                <c:pt idx="518">
                  <c:v>0.17737575</c:v>
                </c:pt>
                <c:pt idx="519">
                  <c:v>0.17737575</c:v>
                </c:pt>
                <c:pt idx="520">
                  <c:v>0.17735799999999999</c:v>
                </c:pt>
                <c:pt idx="521">
                  <c:v>0.17735799999999999</c:v>
                </c:pt>
                <c:pt idx="522">
                  <c:v>0.17735799999999999</c:v>
                </c:pt>
                <c:pt idx="523">
                  <c:v>0.17735799999999999</c:v>
                </c:pt>
                <c:pt idx="524">
                  <c:v>0.17735799999999999</c:v>
                </c:pt>
                <c:pt idx="525">
                  <c:v>0.17735799999999999</c:v>
                </c:pt>
                <c:pt idx="526">
                  <c:v>0.17735799999999999</c:v>
                </c:pt>
                <c:pt idx="527">
                  <c:v>0.17735799999999999</c:v>
                </c:pt>
                <c:pt idx="528">
                  <c:v>0.17735799999999999</c:v>
                </c:pt>
                <c:pt idx="529">
                  <c:v>0.17735799999999999</c:v>
                </c:pt>
                <c:pt idx="530">
                  <c:v>0.17735799999999999</c:v>
                </c:pt>
                <c:pt idx="531">
                  <c:v>0.17735799999999999</c:v>
                </c:pt>
                <c:pt idx="532">
                  <c:v>0.17735799999999999</c:v>
                </c:pt>
                <c:pt idx="533">
                  <c:v>0.17735799999999999</c:v>
                </c:pt>
                <c:pt idx="534">
                  <c:v>0.17735799999999999</c:v>
                </c:pt>
                <c:pt idx="535">
                  <c:v>0.17735799999999999</c:v>
                </c:pt>
                <c:pt idx="536">
                  <c:v>0.17735799999999999</c:v>
                </c:pt>
                <c:pt idx="537">
                  <c:v>0.17735799999999999</c:v>
                </c:pt>
                <c:pt idx="538">
                  <c:v>0.17735799999999999</c:v>
                </c:pt>
                <c:pt idx="539">
                  <c:v>0.17735799999999999</c:v>
                </c:pt>
                <c:pt idx="540">
                  <c:v>0.17735799999999999</c:v>
                </c:pt>
                <c:pt idx="541">
                  <c:v>0.17735799999999999</c:v>
                </c:pt>
                <c:pt idx="542">
                  <c:v>0.17735799999999999</c:v>
                </c:pt>
                <c:pt idx="543">
                  <c:v>0.17735799999999999</c:v>
                </c:pt>
                <c:pt idx="544">
                  <c:v>0.17735799999999999</c:v>
                </c:pt>
                <c:pt idx="545">
                  <c:v>0.17735799999999999</c:v>
                </c:pt>
                <c:pt idx="546">
                  <c:v>0.17735799999999999</c:v>
                </c:pt>
                <c:pt idx="547">
                  <c:v>0.17735799999999999</c:v>
                </c:pt>
                <c:pt idx="548">
                  <c:v>0.17735799999999999</c:v>
                </c:pt>
                <c:pt idx="549">
                  <c:v>0.17735799999999999</c:v>
                </c:pt>
                <c:pt idx="550">
                  <c:v>0.17735799999999999</c:v>
                </c:pt>
                <c:pt idx="551">
                  <c:v>0.17735799999999999</c:v>
                </c:pt>
                <c:pt idx="552">
                  <c:v>0.17735799999999999</c:v>
                </c:pt>
                <c:pt idx="553">
                  <c:v>0.17735799999999999</c:v>
                </c:pt>
                <c:pt idx="554">
                  <c:v>0.17735799999999999</c:v>
                </c:pt>
                <c:pt idx="555">
                  <c:v>0.17735799999999999</c:v>
                </c:pt>
                <c:pt idx="556">
                  <c:v>0.17735799999999999</c:v>
                </c:pt>
                <c:pt idx="557">
                  <c:v>0.17735799999999999</c:v>
                </c:pt>
                <c:pt idx="558">
                  <c:v>0.17735799999999999</c:v>
                </c:pt>
                <c:pt idx="559">
                  <c:v>0.17735799999999999</c:v>
                </c:pt>
                <c:pt idx="560">
                  <c:v>0.17735799999999999</c:v>
                </c:pt>
                <c:pt idx="561">
                  <c:v>0.17735799999999999</c:v>
                </c:pt>
                <c:pt idx="562">
                  <c:v>0.17735799999999999</c:v>
                </c:pt>
                <c:pt idx="563">
                  <c:v>0.17735799999999999</c:v>
                </c:pt>
                <c:pt idx="564">
                  <c:v>0.17735799999999999</c:v>
                </c:pt>
                <c:pt idx="565">
                  <c:v>0.17737575</c:v>
                </c:pt>
                <c:pt idx="566">
                  <c:v>0.17737575</c:v>
                </c:pt>
                <c:pt idx="567">
                  <c:v>0.17737575</c:v>
                </c:pt>
                <c:pt idx="568">
                  <c:v>0.17737575</c:v>
                </c:pt>
                <c:pt idx="569">
                  <c:v>0.17737575</c:v>
                </c:pt>
                <c:pt idx="570">
                  <c:v>0.17737575</c:v>
                </c:pt>
                <c:pt idx="571">
                  <c:v>0.17737575</c:v>
                </c:pt>
                <c:pt idx="572">
                  <c:v>0.17737575</c:v>
                </c:pt>
                <c:pt idx="573">
                  <c:v>0.17737575</c:v>
                </c:pt>
                <c:pt idx="574">
                  <c:v>0.17737575</c:v>
                </c:pt>
                <c:pt idx="575">
                  <c:v>0.17737575</c:v>
                </c:pt>
                <c:pt idx="576">
                  <c:v>0.17737575</c:v>
                </c:pt>
                <c:pt idx="577">
                  <c:v>0.17737575</c:v>
                </c:pt>
                <c:pt idx="578">
                  <c:v>0.17737575</c:v>
                </c:pt>
                <c:pt idx="579">
                  <c:v>0.17737575</c:v>
                </c:pt>
                <c:pt idx="580">
                  <c:v>0.17737575</c:v>
                </c:pt>
                <c:pt idx="581">
                  <c:v>0.17737575</c:v>
                </c:pt>
                <c:pt idx="582">
                  <c:v>0.17737575</c:v>
                </c:pt>
                <c:pt idx="583">
                  <c:v>0.17737575</c:v>
                </c:pt>
                <c:pt idx="584">
                  <c:v>0.17737575</c:v>
                </c:pt>
                <c:pt idx="585">
                  <c:v>0.17737575</c:v>
                </c:pt>
                <c:pt idx="586">
                  <c:v>0.17737575</c:v>
                </c:pt>
                <c:pt idx="587">
                  <c:v>0.17737575</c:v>
                </c:pt>
                <c:pt idx="588">
                  <c:v>0.17737575</c:v>
                </c:pt>
                <c:pt idx="589">
                  <c:v>0.17737575</c:v>
                </c:pt>
                <c:pt idx="590">
                  <c:v>0.17737575</c:v>
                </c:pt>
                <c:pt idx="591">
                  <c:v>0.17737575</c:v>
                </c:pt>
                <c:pt idx="592">
                  <c:v>0.17737575</c:v>
                </c:pt>
                <c:pt idx="593">
                  <c:v>0.17737575</c:v>
                </c:pt>
                <c:pt idx="594">
                  <c:v>0.17737575</c:v>
                </c:pt>
                <c:pt idx="595">
                  <c:v>0.17737575</c:v>
                </c:pt>
                <c:pt idx="596">
                  <c:v>0.17737575</c:v>
                </c:pt>
                <c:pt idx="597">
                  <c:v>0.17737575</c:v>
                </c:pt>
                <c:pt idx="598">
                  <c:v>0.17737575</c:v>
                </c:pt>
                <c:pt idx="599">
                  <c:v>0.17737575</c:v>
                </c:pt>
                <c:pt idx="600">
                  <c:v>0.17737575</c:v>
                </c:pt>
                <c:pt idx="601">
                  <c:v>0.17737575</c:v>
                </c:pt>
                <c:pt idx="602">
                  <c:v>0.17737575</c:v>
                </c:pt>
                <c:pt idx="603">
                  <c:v>0.17737575</c:v>
                </c:pt>
                <c:pt idx="604">
                  <c:v>0.17737575</c:v>
                </c:pt>
                <c:pt idx="605">
                  <c:v>0.17737575</c:v>
                </c:pt>
                <c:pt idx="606">
                  <c:v>0.17737575</c:v>
                </c:pt>
                <c:pt idx="607">
                  <c:v>0.17737575</c:v>
                </c:pt>
                <c:pt idx="608">
                  <c:v>0.17737575</c:v>
                </c:pt>
                <c:pt idx="609">
                  <c:v>0.17737575</c:v>
                </c:pt>
                <c:pt idx="610">
                  <c:v>0.17737575</c:v>
                </c:pt>
                <c:pt idx="611">
                  <c:v>0.17737575</c:v>
                </c:pt>
                <c:pt idx="612">
                  <c:v>0.17737575</c:v>
                </c:pt>
                <c:pt idx="613">
                  <c:v>0.17737575</c:v>
                </c:pt>
                <c:pt idx="614">
                  <c:v>0.17737575</c:v>
                </c:pt>
                <c:pt idx="615">
                  <c:v>0.17737575</c:v>
                </c:pt>
                <c:pt idx="616">
                  <c:v>0.17737575</c:v>
                </c:pt>
                <c:pt idx="617">
                  <c:v>0.17737575</c:v>
                </c:pt>
                <c:pt idx="618">
                  <c:v>0.17737575</c:v>
                </c:pt>
                <c:pt idx="619">
                  <c:v>0.17737575</c:v>
                </c:pt>
                <c:pt idx="620">
                  <c:v>0.17737575</c:v>
                </c:pt>
                <c:pt idx="621">
                  <c:v>0.17737575</c:v>
                </c:pt>
                <c:pt idx="622">
                  <c:v>0.17737575</c:v>
                </c:pt>
                <c:pt idx="623">
                  <c:v>0.17737575</c:v>
                </c:pt>
                <c:pt idx="624">
                  <c:v>0.17737575</c:v>
                </c:pt>
                <c:pt idx="625">
                  <c:v>0.17737575</c:v>
                </c:pt>
                <c:pt idx="626">
                  <c:v>0.17737575</c:v>
                </c:pt>
                <c:pt idx="627">
                  <c:v>0.17737575</c:v>
                </c:pt>
                <c:pt idx="628">
                  <c:v>0.17737575</c:v>
                </c:pt>
                <c:pt idx="629">
                  <c:v>0.17737575</c:v>
                </c:pt>
                <c:pt idx="630">
                  <c:v>0.17737575</c:v>
                </c:pt>
                <c:pt idx="631">
                  <c:v>0.17737575</c:v>
                </c:pt>
                <c:pt idx="632">
                  <c:v>0.17737575</c:v>
                </c:pt>
                <c:pt idx="633">
                  <c:v>0.17737575</c:v>
                </c:pt>
                <c:pt idx="634">
                  <c:v>0.17737575</c:v>
                </c:pt>
                <c:pt idx="635">
                  <c:v>0.17737575</c:v>
                </c:pt>
                <c:pt idx="636">
                  <c:v>0.17737575</c:v>
                </c:pt>
                <c:pt idx="637">
                  <c:v>0.17737575</c:v>
                </c:pt>
                <c:pt idx="638">
                  <c:v>0.17737575</c:v>
                </c:pt>
                <c:pt idx="639">
                  <c:v>0.17737575</c:v>
                </c:pt>
                <c:pt idx="640">
                  <c:v>0.17737575</c:v>
                </c:pt>
                <c:pt idx="641">
                  <c:v>0.17737575</c:v>
                </c:pt>
                <c:pt idx="642">
                  <c:v>0.17737575</c:v>
                </c:pt>
                <c:pt idx="643">
                  <c:v>0.17737575</c:v>
                </c:pt>
                <c:pt idx="644">
                  <c:v>0.17737575</c:v>
                </c:pt>
                <c:pt idx="645">
                  <c:v>0.17737575</c:v>
                </c:pt>
                <c:pt idx="646">
                  <c:v>0.17737575</c:v>
                </c:pt>
                <c:pt idx="647">
                  <c:v>0.17737575</c:v>
                </c:pt>
                <c:pt idx="648">
                  <c:v>0.17737575</c:v>
                </c:pt>
                <c:pt idx="649">
                  <c:v>0.17737575</c:v>
                </c:pt>
                <c:pt idx="650">
                  <c:v>0.17737575</c:v>
                </c:pt>
                <c:pt idx="651">
                  <c:v>0.17737575</c:v>
                </c:pt>
                <c:pt idx="652">
                  <c:v>0.17737575</c:v>
                </c:pt>
                <c:pt idx="653">
                  <c:v>0.17737575</c:v>
                </c:pt>
                <c:pt idx="654">
                  <c:v>0.17737575</c:v>
                </c:pt>
                <c:pt idx="655">
                  <c:v>0.17737575</c:v>
                </c:pt>
                <c:pt idx="656">
                  <c:v>0.17737575</c:v>
                </c:pt>
                <c:pt idx="657">
                  <c:v>0.17737575</c:v>
                </c:pt>
                <c:pt idx="658">
                  <c:v>0.17737575</c:v>
                </c:pt>
                <c:pt idx="659">
                  <c:v>0.17737575</c:v>
                </c:pt>
                <c:pt idx="660">
                  <c:v>0.17737575</c:v>
                </c:pt>
                <c:pt idx="661">
                  <c:v>0.17737575</c:v>
                </c:pt>
                <c:pt idx="662">
                  <c:v>0.17739349999999998</c:v>
                </c:pt>
                <c:pt idx="663">
                  <c:v>0.17739349999999998</c:v>
                </c:pt>
                <c:pt idx="664">
                  <c:v>0.17739349999999998</c:v>
                </c:pt>
                <c:pt idx="665">
                  <c:v>0.17739349999999998</c:v>
                </c:pt>
                <c:pt idx="666">
                  <c:v>0.17739349999999998</c:v>
                </c:pt>
                <c:pt idx="667">
                  <c:v>0.17739349999999998</c:v>
                </c:pt>
                <c:pt idx="668">
                  <c:v>0.17739349999999998</c:v>
                </c:pt>
                <c:pt idx="669">
                  <c:v>0.17739349999999998</c:v>
                </c:pt>
                <c:pt idx="670">
                  <c:v>0.17739349999999998</c:v>
                </c:pt>
                <c:pt idx="671">
                  <c:v>0.17739349999999998</c:v>
                </c:pt>
                <c:pt idx="672">
                  <c:v>0.17739349999999998</c:v>
                </c:pt>
                <c:pt idx="673">
                  <c:v>0.17739349999999998</c:v>
                </c:pt>
                <c:pt idx="674">
                  <c:v>0.17739349999999998</c:v>
                </c:pt>
                <c:pt idx="675">
                  <c:v>0.17739349999999998</c:v>
                </c:pt>
                <c:pt idx="676">
                  <c:v>0.17739349999999998</c:v>
                </c:pt>
                <c:pt idx="677">
                  <c:v>0.17739349999999998</c:v>
                </c:pt>
                <c:pt idx="678">
                  <c:v>0.17739349999999998</c:v>
                </c:pt>
                <c:pt idx="679">
                  <c:v>0.17739349999999998</c:v>
                </c:pt>
                <c:pt idx="680">
                  <c:v>0.17739349999999998</c:v>
                </c:pt>
                <c:pt idx="681">
                  <c:v>0.17739349999999998</c:v>
                </c:pt>
                <c:pt idx="682">
                  <c:v>8.8696749999999991E-2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B9E-4095-81BC-5549F93F7157}"/>
            </c:ext>
          </c:extLst>
        </c:ser>
        <c:ser>
          <c:idx val="4"/>
          <c:order val="3"/>
          <c:tx>
            <c:v>ERYA</c:v>
          </c:tx>
          <c:spPr>
            <a:ln w="15875" cap="rnd">
              <a:solidFill>
                <a:srgbClr val="92D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92D050"/>
              </a:solidFill>
              <a:ln w="3175">
                <a:solidFill>
                  <a:srgbClr val="92D050"/>
                </a:solidFill>
              </a:ln>
              <a:effectLst/>
            </c:spPr>
          </c:marker>
          <c:xVal>
            <c:numRef>
              <c:f>'Ex 2 FULL 0 50 eV'!$L$3:$L$123</c:f>
              <c:numCache>
                <c:formatCode>General</c:formatCode>
                <c:ptCount val="121"/>
                <c:pt idx="0">
                  <c:v>1682</c:v>
                </c:pt>
                <c:pt idx="1">
                  <c:v>1682.05</c:v>
                </c:pt>
                <c:pt idx="2">
                  <c:v>1682.1</c:v>
                </c:pt>
                <c:pt idx="3">
                  <c:v>1682.15</c:v>
                </c:pt>
                <c:pt idx="4">
                  <c:v>1682.2</c:v>
                </c:pt>
                <c:pt idx="5">
                  <c:v>1682.25</c:v>
                </c:pt>
                <c:pt idx="6">
                  <c:v>1682.3</c:v>
                </c:pt>
                <c:pt idx="7">
                  <c:v>1682.35</c:v>
                </c:pt>
                <c:pt idx="8">
                  <c:v>1682.4</c:v>
                </c:pt>
                <c:pt idx="9">
                  <c:v>1682.45</c:v>
                </c:pt>
                <c:pt idx="10">
                  <c:v>1682.5</c:v>
                </c:pt>
                <c:pt idx="11">
                  <c:v>1682.55</c:v>
                </c:pt>
                <c:pt idx="12">
                  <c:v>1682.6</c:v>
                </c:pt>
                <c:pt idx="13">
                  <c:v>1682.65</c:v>
                </c:pt>
                <c:pt idx="14">
                  <c:v>1682.7</c:v>
                </c:pt>
                <c:pt idx="15">
                  <c:v>1682.75</c:v>
                </c:pt>
                <c:pt idx="16">
                  <c:v>1682.8</c:v>
                </c:pt>
                <c:pt idx="17">
                  <c:v>1682.85</c:v>
                </c:pt>
                <c:pt idx="18">
                  <c:v>1682.9</c:v>
                </c:pt>
                <c:pt idx="19">
                  <c:v>1682.95</c:v>
                </c:pt>
                <c:pt idx="20">
                  <c:v>1683</c:v>
                </c:pt>
                <c:pt idx="21">
                  <c:v>1683.05</c:v>
                </c:pt>
                <c:pt idx="22">
                  <c:v>1683.1</c:v>
                </c:pt>
                <c:pt idx="23">
                  <c:v>1683.15</c:v>
                </c:pt>
                <c:pt idx="24">
                  <c:v>1683.2</c:v>
                </c:pt>
                <c:pt idx="25">
                  <c:v>1683.25</c:v>
                </c:pt>
                <c:pt idx="26">
                  <c:v>1683.3</c:v>
                </c:pt>
                <c:pt idx="27">
                  <c:v>1683.35</c:v>
                </c:pt>
                <c:pt idx="28">
                  <c:v>1683.4</c:v>
                </c:pt>
                <c:pt idx="29">
                  <c:v>1683.45</c:v>
                </c:pt>
                <c:pt idx="30">
                  <c:v>1683.5</c:v>
                </c:pt>
                <c:pt idx="31">
                  <c:v>1683.55</c:v>
                </c:pt>
                <c:pt idx="32">
                  <c:v>1683.6</c:v>
                </c:pt>
                <c:pt idx="33">
                  <c:v>1683.65</c:v>
                </c:pt>
                <c:pt idx="34">
                  <c:v>1683.7</c:v>
                </c:pt>
                <c:pt idx="35">
                  <c:v>1683.75</c:v>
                </c:pt>
                <c:pt idx="36">
                  <c:v>1683.8</c:v>
                </c:pt>
                <c:pt idx="37">
                  <c:v>1683.85</c:v>
                </c:pt>
                <c:pt idx="38">
                  <c:v>1683.9</c:v>
                </c:pt>
                <c:pt idx="39">
                  <c:v>1683.95</c:v>
                </c:pt>
                <c:pt idx="40">
                  <c:v>1684</c:v>
                </c:pt>
                <c:pt idx="41">
                  <c:v>1684.05</c:v>
                </c:pt>
                <c:pt idx="42">
                  <c:v>1684.1</c:v>
                </c:pt>
                <c:pt idx="43">
                  <c:v>1684.15</c:v>
                </c:pt>
                <c:pt idx="44">
                  <c:v>1684.2</c:v>
                </c:pt>
                <c:pt idx="45">
                  <c:v>1684.25</c:v>
                </c:pt>
                <c:pt idx="46">
                  <c:v>1684.3</c:v>
                </c:pt>
                <c:pt idx="47">
                  <c:v>1684.35</c:v>
                </c:pt>
                <c:pt idx="48">
                  <c:v>1684.4</c:v>
                </c:pt>
                <c:pt idx="49">
                  <c:v>1684.45</c:v>
                </c:pt>
                <c:pt idx="50">
                  <c:v>1684.5</c:v>
                </c:pt>
                <c:pt idx="51">
                  <c:v>1684.55</c:v>
                </c:pt>
                <c:pt idx="52">
                  <c:v>1684.6</c:v>
                </c:pt>
                <c:pt idx="53">
                  <c:v>1684.65</c:v>
                </c:pt>
                <c:pt idx="54">
                  <c:v>1684.7</c:v>
                </c:pt>
                <c:pt idx="55">
                  <c:v>1684.75</c:v>
                </c:pt>
                <c:pt idx="56">
                  <c:v>1684.8</c:v>
                </c:pt>
                <c:pt idx="57">
                  <c:v>1684.85</c:v>
                </c:pt>
                <c:pt idx="58">
                  <c:v>1684.9</c:v>
                </c:pt>
                <c:pt idx="59">
                  <c:v>1684.95</c:v>
                </c:pt>
                <c:pt idx="60">
                  <c:v>1685</c:v>
                </c:pt>
                <c:pt idx="61">
                  <c:v>1685.05</c:v>
                </c:pt>
                <c:pt idx="62">
                  <c:v>1685.1</c:v>
                </c:pt>
                <c:pt idx="63">
                  <c:v>1685.15</c:v>
                </c:pt>
                <c:pt idx="64">
                  <c:v>1685.2</c:v>
                </c:pt>
                <c:pt idx="65">
                  <c:v>1685.25</c:v>
                </c:pt>
                <c:pt idx="66">
                  <c:v>1685.3</c:v>
                </c:pt>
                <c:pt idx="67">
                  <c:v>1685.35</c:v>
                </c:pt>
                <c:pt idx="68">
                  <c:v>1685.4</c:v>
                </c:pt>
                <c:pt idx="69">
                  <c:v>1685.45</c:v>
                </c:pt>
                <c:pt idx="70">
                  <c:v>1685.5</c:v>
                </c:pt>
                <c:pt idx="71">
                  <c:v>1685.55</c:v>
                </c:pt>
                <c:pt idx="72">
                  <c:v>1685.6</c:v>
                </c:pt>
                <c:pt idx="73">
                  <c:v>1685.65</c:v>
                </c:pt>
                <c:pt idx="74">
                  <c:v>1685.7</c:v>
                </c:pt>
                <c:pt idx="75">
                  <c:v>1685.75</c:v>
                </c:pt>
                <c:pt idx="76">
                  <c:v>1685.8</c:v>
                </c:pt>
                <c:pt idx="77">
                  <c:v>1685.85</c:v>
                </c:pt>
                <c:pt idx="78">
                  <c:v>1685.9</c:v>
                </c:pt>
                <c:pt idx="79">
                  <c:v>1685.95</c:v>
                </c:pt>
                <c:pt idx="80">
                  <c:v>1686</c:v>
                </c:pt>
                <c:pt idx="81">
                  <c:v>1686.05</c:v>
                </c:pt>
                <c:pt idx="82">
                  <c:v>1686.1</c:v>
                </c:pt>
                <c:pt idx="83">
                  <c:v>1686.15</c:v>
                </c:pt>
                <c:pt idx="84">
                  <c:v>1686.2</c:v>
                </c:pt>
                <c:pt idx="85">
                  <c:v>1686.25</c:v>
                </c:pt>
                <c:pt idx="86">
                  <c:v>1686.3</c:v>
                </c:pt>
                <c:pt idx="87">
                  <c:v>1686.35</c:v>
                </c:pt>
                <c:pt idx="88">
                  <c:v>1686.4</c:v>
                </c:pt>
                <c:pt idx="89">
                  <c:v>1686.45</c:v>
                </c:pt>
                <c:pt idx="90">
                  <c:v>1686.5</c:v>
                </c:pt>
                <c:pt idx="91">
                  <c:v>1686.55</c:v>
                </c:pt>
                <c:pt idx="92">
                  <c:v>1686.6</c:v>
                </c:pt>
                <c:pt idx="93">
                  <c:v>1686.65</c:v>
                </c:pt>
                <c:pt idx="94">
                  <c:v>1686.7</c:v>
                </c:pt>
                <c:pt idx="95">
                  <c:v>1686.75</c:v>
                </c:pt>
                <c:pt idx="96">
                  <c:v>1686.8</c:v>
                </c:pt>
                <c:pt idx="97">
                  <c:v>1686.85</c:v>
                </c:pt>
                <c:pt idx="98">
                  <c:v>1686.9</c:v>
                </c:pt>
                <c:pt idx="99">
                  <c:v>1686.95</c:v>
                </c:pt>
                <c:pt idx="100">
                  <c:v>1687</c:v>
                </c:pt>
                <c:pt idx="101">
                  <c:v>1687.05</c:v>
                </c:pt>
                <c:pt idx="102">
                  <c:v>1687.1</c:v>
                </c:pt>
                <c:pt idx="103">
                  <c:v>1687.15</c:v>
                </c:pt>
                <c:pt idx="104">
                  <c:v>1687.2</c:v>
                </c:pt>
                <c:pt idx="105">
                  <c:v>1687.25</c:v>
                </c:pt>
                <c:pt idx="106">
                  <c:v>1687.3</c:v>
                </c:pt>
                <c:pt idx="107">
                  <c:v>1687.35</c:v>
                </c:pt>
                <c:pt idx="108">
                  <c:v>1687.4</c:v>
                </c:pt>
                <c:pt idx="109">
                  <c:v>1687.45</c:v>
                </c:pt>
                <c:pt idx="110">
                  <c:v>1687.5</c:v>
                </c:pt>
                <c:pt idx="111">
                  <c:v>1687.55</c:v>
                </c:pt>
                <c:pt idx="112">
                  <c:v>1687.6</c:v>
                </c:pt>
                <c:pt idx="113">
                  <c:v>1687.65</c:v>
                </c:pt>
                <c:pt idx="114">
                  <c:v>1687.7</c:v>
                </c:pt>
                <c:pt idx="115">
                  <c:v>1687.75</c:v>
                </c:pt>
                <c:pt idx="116">
                  <c:v>1687.8</c:v>
                </c:pt>
                <c:pt idx="117">
                  <c:v>1687.85</c:v>
                </c:pt>
                <c:pt idx="118">
                  <c:v>1687.9</c:v>
                </c:pt>
                <c:pt idx="119">
                  <c:v>1687.95</c:v>
                </c:pt>
                <c:pt idx="120">
                  <c:v>1688</c:v>
                </c:pt>
              </c:numCache>
            </c:numRef>
          </c:xVal>
          <c:yVal>
            <c:numRef>
              <c:f>'Ex 2 FULL 0 50 eV'!$N$3:$N$123</c:f>
              <c:numCache>
                <c:formatCode>General</c:formatCode>
                <c:ptCount val="1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1.34E-5</c:v>
                </c:pt>
                <c:pt idx="16">
                  <c:v>1.206E-4</c:v>
                </c:pt>
                <c:pt idx="17">
                  <c:v>5.0920000000000002E-4</c:v>
                </c:pt>
                <c:pt idx="18">
                  <c:v>1.2998E-3</c:v>
                </c:pt>
                <c:pt idx="19">
                  <c:v>2.5326000000000003E-3</c:v>
                </c:pt>
                <c:pt idx="20">
                  <c:v>4.1942000000000004E-3</c:v>
                </c:pt>
                <c:pt idx="21">
                  <c:v>6.5258E-3</c:v>
                </c:pt>
                <c:pt idx="22">
                  <c:v>9.8892000000000008E-3</c:v>
                </c:pt>
                <c:pt idx="23">
                  <c:v>1.5182199999999998E-2</c:v>
                </c:pt>
                <c:pt idx="24">
                  <c:v>2.4937400000000002E-2</c:v>
                </c:pt>
                <c:pt idx="25">
                  <c:v>4.4930200000000003E-2</c:v>
                </c:pt>
                <c:pt idx="26">
                  <c:v>8.2450200000000001E-2</c:v>
                </c:pt>
                <c:pt idx="27">
                  <c:v>0.13433499999999998</c:v>
                </c:pt>
                <c:pt idx="28">
                  <c:v>0.18270900000000001</c:v>
                </c:pt>
                <c:pt idx="29">
                  <c:v>0.21520400000000003</c:v>
                </c:pt>
                <c:pt idx="30">
                  <c:v>0.23399079999999997</c:v>
                </c:pt>
                <c:pt idx="31">
                  <c:v>0.2418566</c:v>
                </c:pt>
                <c:pt idx="32">
                  <c:v>0.23864059999999998</c:v>
                </c:pt>
                <c:pt idx="33">
                  <c:v>0.23169940000000003</c:v>
                </c:pt>
                <c:pt idx="34">
                  <c:v>0.22466440000000001</c:v>
                </c:pt>
                <c:pt idx="35">
                  <c:v>0.21824579999999999</c:v>
                </c:pt>
                <c:pt idx="36">
                  <c:v>0.21251060000000002</c:v>
                </c:pt>
                <c:pt idx="37">
                  <c:v>0.20752580000000001</c:v>
                </c:pt>
                <c:pt idx="38">
                  <c:v>0.203211</c:v>
                </c:pt>
                <c:pt idx="39">
                  <c:v>0.1995796</c:v>
                </c:pt>
                <c:pt idx="40">
                  <c:v>0.1966986</c:v>
                </c:pt>
                <c:pt idx="41">
                  <c:v>0.19444739999999999</c:v>
                </c:pt>
                <c:pt idx="42">
                  <c:v>0.19289300000000001</c:v>
                </c:pt>
                <c:pt idx="43">
                  <c:v>0.19182099999999999</c:v>
                </c:pt>
                <c:pt idx="44">
                  <c:v>0.191084</c:v>
                </c:pt>
                <c:pt idx="45">
                  <c:v>0.19044080000000002</c:v>
                </c:pt>
                <c:pt idx="46">
                  <c:v>0.18987800000000002</c:v>
                </c:pt>
                <c:pt idx="47">
                  <c:v>0.18942239999999999</c:v>
                </c:pt>
                <c:pt idx="48">
                  <c:v>0.18899360000000001</c:v>
                </c:pt>
                <c:pt idx="49">
                  <c:v>0.1884844</c:v>
                </c:pt>
                <c:pt idx="50">
                  <c:v>0.18790820000000003</c:v>
                </c:pt>
                <c:pt idx="51">
                  <c:v>0.18718460000000001</c:v>
                </c:pt>
                <c:pt idx="52">
                  <c:v>0.18644759999999999</c:v>
                </c:pt>
                <c:pt idx="53">
                  <c:v>0.18568380000000001</c:v>
                </c:pt>
                <c:pt idx="54">
                  <c:v>0.18487980000000001</c:v>
                </c:pt>
                <c:pt idx="55">
                  <c:v>0.18396860000000001</c:v>
                </c:pt>
                <c:pt idx="56">
                  <c:v>0.18301719999999999</c:v>
                </c:pt>
                <c:pt idx="57">
                  <c:v>0.18211940000000001</c:v>
                </c:pt>
                <c:pt idx="58">
                  <c:v>0.1812484</c:v>
                </c:pt>
                <c:pt idx="59">
                  <c:v>0.18043100000000001</c:v>
                </c:pt>
                <c:pt idx="60">
                  <c:v>0.17964040000000001</c:v>
                </c:pt>
                <c:pt idx="61">
                  <c:v>0.1788498</c:v>
                </c:pt>
                <c:pt idx="62">
                  <c:v>0.17815300000000001</c:v>
                </c:pt>
                <c:pt idx="63">
                  <c:v>0.17755000000000001</c:v>
                </c:pt>
                <c:pt idx="64">
                  <c:v>0.1770408</c:v>
                </c:pt>
                <c:pt idx="65">
                  <c:v>0.1765852</c:v>
                </c:pt>
                <c:pt idx="66">
                  <c:v>0.1763306</c:v>
                </c:pt>
                <c:pt idx="67">
                  <c:v>0.1759956</c:v>
                </c:pt>
                <c:pt idx="68">
                  <c:v>0.17575440000000001</c:v>
                </c:pt>
                <c:pt idx="69">
                  <c:v>0.17545959999999999</c:v>
                </c:pt>
                <c:pt idx="70">
                  <c:v>0.17533899999999999</c:v>
                </c:pt>
                <c:pt idx="71">
                  <c:v>0.1752988</c:v>
                </c:pt>
                <c:pt idx="72">
                  <c:v>0.17523179999999999</c:v>
                </c:pt>
                <c:pt idx="73">
                  <c:v>0.17525860000000001</c:v>
                </c:pt>
                <c:pt idx="74">
                  <c:v>0.17536579999999999</c:v>
                </c:pt>
                <c:pt idx="75">
                  <c:v>0.17545959999999999</c:v>
                </c:pt>
                <c:pt idx="76">
                  <c:v>0.17562040000000001</c:v>
                </c:pt>
                <c:pt idx="77">
                  <c:v>0.17575440000000001</c:v>
                </c:pt>
                <c:pt idx="78">
                  <c:v>0.17591520000000002</c:v>
                </c:pt>
                <c:pt idx="79">
                  <c:v>0.17603579999999999</c:v>
                </c:pt>
                <c:pt idx="80">
                  <c:v>0.17619659999999998</c:v>
                </c:pt>
                <c:pt idx="81">
                  <c:v>0.1763306</c:v>
                </c:pt>
                <c:pt idx="82">
                  <c:v>0.1764512</c:v>
                </c:pt>
                <c:pt idx="83">
                  <c:v>0.1765852</c:v>
                </c:pt>
                <c:pt idx="84">
                  <c:v>0.17670580000000002</c:v>
                </c:pt>
                <c:pt idx="85">
                  <c:v>0.17682639999999999</c:v>
                </c:pt>
                <c:pt idx="86">
                  <c:v>0.1769068</c:v>
                </c:pt>
                <c:pt idx="87">
                  <c:v>0.1770274</c:v>
                </c:pt>
                <c:pt idx="88">
                  <c:v>0.17708099999999999</c:v>
                </c:pt>
                <c:pt idx="89">
                  <c:v>0.17714800000000003</c:v>
                </c:pt>
                <c:pt idx="90">
                  <c:v>0.17720159999999999</c:v>
                </c:pt>
                <c:pt idx="91">
                  <c:v>0.1772418</c:v>
                </c:pt>
                <c:pt idx="92">
                  <c:v>0.1772552</c:v>
                </c:pt>
                <c:pt idx="93">
                  <c:v>0.17729539999999999</c:v>
                </c:pt>
                <c:pt idx="94">
                  <c:v>0.17763040000000002</c:v>
                </c:pt>
                <c:pt idx="95">
                  <c:v>0.17764379999999999</c:v>
                </c:pt>
                <c:pt idx="96">
                  <c:v>0.17767060000000001</c:v>
                </c:pt>
                <c:pt idx="97">
                  <c:v>0.17765720000000002</c:v>
                </c:pt>
                <c:pt idx="98">
                  <c:v>0.17767060000000001</c:v>
                </c:pt>
                <c:pt idx="99">
                  <c:v>0.17767060000000001</c:v>
                </c:pt>
                <c:pt idx="100">
                  <c:v>0.17765720000000002</c:v>
                </c:pt>
                <c:pt idx="101">
                  <c:v>0.17767060000000001</c:v>
                </c:pt>
                <c:pt idx="102">
                  <c:v>0.17764379999999999</c:v>
                </c:pt>
                <c:pt idx="103">
                  <c:v>0.17765720000000002</c:v>
                </c:pt>
                <c:pt idx="104">
                  <c:v>0.17767060000000001</c:v>
                </c:pt>
                <c:pt idx="105">
                  <c:v>0.17768399999999998</c:v>
                </c:pt>
                <c:pt idx="106">
                  <c:v>0.17768399999999998</c:v>
                </c:pt>
                <c:pt idx="107">
                  <c:v>0.1777108</c:v>
                </c:pt>
                <c:pt idx="108">
                  <c:v>0.17776440000000002</c:v>
                </c:pt>
                <c:pt idx="109">
                  <c:v>0.17780460000000001</c:v>
                </c:pt>
                <c:pt idx="110">
                  <c:v>0.17787159999999999</c:v>
                </c:pt>
                <c:pt idx="111">
                  <c:v>0.17792520000000001</c:v>
                </c:pt>
                <c:pt idx="112">
                  <c:v>0.17799219999999999</c:v>
                </c:pt>
                <c:pt idx="113">
                  <c:v>0.17801900000000001</c:v>
                </c:pt>
                <c:pt idx="114">
                  <c:v>0.17808599999999999</c:v>
                </c:pt>
                <c:pt idx="115">
                  <c:v>0.17819320000000002</c:v>
                </c:pt>
                <c:pt idx="116">
                  <c:v>0.1783004</c:v>
                </c:pt>
                <c:pt idx="117">
                  <c:v>0.17843439999999999</c:v>
                </c:pt>
                <c:pt idx="118">
                  <c:v>0.17855499999999999</c:v>
                </c:pt>
                <c:pt idx="119">
                  <c:v>0.17867560000000002</c:v>
                </c:pt>
                <c:pt idx="120">
                  <c:v>0.17879620000000002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82-433D-8A28-A05FC77FC4B5}"/>
            </c:ext>
          </c:extLst>
        </c:ser>
        <c:ser>
          <c:idx val="3"/>
          <c:order val="4"/>
          <c:tx>
            <c:v>POWERMEIS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'Ex 2 FULL 0 50 eV'!$P$3:$P$122</c:f>
              <c:numCache>
                <c:formatCode>General</c:formatCode>
                <c:ptCount val="120"/>
                <c:pt idx="0">
                  <c:v>1682</c:v>
                </c:pt>
                <c:pt idx="1">
                  <c:v>1682.05</c:v>
                </c:pt>
                <c:pt idx="2">
                  <c:v>1682.1</c:v>
                </c:pt>
                <c:pt idx="3">
                  <c:v>1682.15</c:v>
                </c:pt>
                <c:pt idx="4">
                  <c:v>1682.2</c:v>
                </c:pt>
                <c:pt idx="5">
                  <c:v>1682.25</c:v>
                </c:pt>
                <c:pt idx="6">
                  <c:v>1682.3</c:v>
                </c:pt>
                <c:pt idx="7">
                  <c:v>1682.35</c:v>
                </c:pt>
                <c:pt idx="8">
                  <c:v>1682.4</c:v>
                </c:pt>
                <c:pt idx="9">
                  <c:v>1682.45</c:v>
                </c:pt>
                <c:pt idx="10">
                  <c:v>1682.5</c:v>
                </c:pt>
                <c:pt idx="11">
                  <c:v>1682.55</c:v>
                </c:pt>
                <c:pt idx="12">
                  <c:v>1682.6</c:v>
                </c:pt>
                <c:pt idx="13">
                  <c:v>1682.65</c:v>
                </c:pt>
                <c:pt idx="14">
                  <c:v>1682.7</c:v>
                </c:pt>
                <c:pt idx="15">
                  <c:v>1682.75</c:v>
                </c:pt>
                <c:pt idx="16">
                  <c:v>1682.8</c:v>
                </c:pt>
                <c:pt idx="17">
                  <c:v>1682.85</c:v>
                </c:pt>
                <c:pt idx="18">
                  <c:v>1682.9</c:v>
                </c:pt>
                <c:pt idx="19">
                  <c:v>1682.95</c:v>
                </c:pt>
                <c:pt idx="20">
                  <c:v>1683</c:v>
                </c:pt>
                <c:pt idx="21">
                  <c:v>1683.05</c:v>
                </c:pt>
                <c:pt idx="22">
                  <c:v>1683.1</c:v>
                </c:pt>
                <c:pt idx="23">
                  <c:v>1683.15</c:v>
                </c:pt>
                <c:pt idx="24">
                  <c:v>1683.2</c:v>
                </c:pt>
                <c:pt idx="25">
                  <c:v>1683.25</c:v>
                </c:pt>
                <c:pt idx="26">
                  <c:v>1683.3</c:v>
                </c:pt>
                <c:pt idx="27">
                  <c:v>1683.35</c:v>
                </c:pt>
                <c:pt idx="28">
                  <c:v>1683.4</c:v>
                </c:pt>
                <c:pt idx="29">
                  <c:v>1683.45</c:v>
                </c:pt>
                <c:pt idx="30">
                  <c:v>1683.5</c:v>
                </c:pt>
                <c:pt idx="31">
                  <c:v>1683.55</c:v>
                </c:pt>
                <c:pt idx="32">
                  <c:v>1683.6</c:v>
                </c:pt>
                <c:pt idx="33">
                  <c:v>1683.65</c:v>
                </c:pt>
                <c:pt idx="34">
                  <c:v>1683.7</c:v>
                </c:pt>
                <c:pt idx="35">
                  <c:v>1683.75</c:v>
                </c:pt>
                <c:pt idx="36">
                  <c:v>1683.8</c:v>
                </c:pt>
                <c:pt idx="37">
                  <c:v>1683.85</c:v>
                </c:pt>
                <c:pt idx="38">
                  <c:v>1683.9</c:v>
                </c:pt>
                <c:pt idx="39">
                  <c:v>1683.95</c:v>
                </c:pt>
                <c:pt idx="40">
                  <c:v>1684</c:v>
                </c:pt>
                <c:pt idx="41">
                  <c:v>1684.05</c:v>
                </c:pt>
                <c:pt idx="42">
                  <c:v>1684.1</c:v>
                </c:pt>
                <c:pt idx="43">
                  <c:v>1684.15</c:v>
                </c:pt>
                <c:pt idx="44">
                  <c:v>1684.2</c:v>
                </c:pt>
                <c:pt idx="45">
                  <c:v>1684.25</c:v>
                </c:pt>
                <c:pt idx="46">
                  <c:v>1684.3</c:v>
                </c:pt>
                <c:pt idx="47">
                  <c:v>1684.35</c:v>
                </c:pt>
                <c:pt idx="48">
                  <c:v>1684.4</c:v>
                </c:pt>
                <c:pt idx="49">
                  <c:v>1684.45</c:v>
                </c:pt>
                <c:pt idx="50">
                  <c:v>1684.5</c:v>
                </c:pt>
                <c:pt idx="51">
                  <c:v>1684.55</c:v>
                </c:pt>
                <c:pt idx="52">
                  <c:v>1684.6</c:v>
                </c:pt>
                <c:pt idx="53">
                  <c:v>1684.65</c:v>
                </c:pt>
                <c:pt idx="54">
                  <c:v>1684.7</c:v>
                </c:pt>
                <c:pt idx="55">
                  <c:v>1684.75</c:v>
                </c:pt>
                <c:pt idx="56">
                  <c:v>1684.8</c:v>
                </c:pt>
                <c:pt idx="57">
                  <c:v>1684.85</c:v>
                </c:pt>
                <c:pt idx="58">
                  <c:v>1684.9</c:v>
                </c:pt>
                <c:pt idx="59">
                  <c:v>1684.95</c:v>
                </c:pt>
                <c:pt idx="60">
                  <c:v>1685</c:v>
                </c:pt>
                <c:pt idx="61">
                  <c:v>1685.05</c:v>
                </c:pt>
                <c:pt idx="62">
                  <c:v>1685.1</c:v>
                </c:pt>
                <c:pt idx="63">
                  <c:v>1685.15</c:v>
                </c:pt>
                <c:pt idx="64">
                  <c:v>1685.2</c:v>
                </c:pt>
                <c:pt idx="65">
                  <c:v>1685.25</c:v>
                </c:pt>
                <c:pt idx="66">
                  <c:v>1685.3</c:v>
                </c:pt>
                <c:pt idx="67">
                  <c:v>1685.35</c:v>
                </c:pt>
                <c:pt idx="68">
                  <c:v>1685.4</c:v>
                </c:pt>
                <c:pt idx="69">
                  <c:v>1685.45</c:v>
                </c:pt>
                <c:pt idx="70">
                  <c:v>1685.5</c:v>
                </c:pt>
                <c:pt idx="71">
                  <c:v>1685.55</c:v>
                </c:pt>
                <c:pt idx="72">
                  <c:v>1685.6</c:v>
                </c:pt>
                <c:pt idx="73">
                  <c:v>1685.65</c:v>
                </c:pt>
                <c:pt idx="74">
                  <c:v>1685.7</c:v>
                </c:pt>
                <c:pt idx="75">
                  <c:v>1685.75</c:v>
                </c:pt>
                <c:pt idx="76">
                  <c:v>1685.8</c:v>
                </c:pt>
                <c:pt idx="77">
                  <c:v>1685.85</c:v>
                </c:pt>
                <c:pt idx="78">
                  <c:v>1685.9</c:v>
                </c:pt>
                <c:pt idx="79">
                  <c:v>1685.95</c:v>
                </c:pt>
                <c:pt idx="80">
                  <c:v>1686</c:v>
                </c:pt>
                <c:pt idx="81">
                  <c:v>1686.05</c:v>
                </c:pt>
                <c:pt idx="82">
                  <c:v>1686.1</c:v>
                </c:pt>
                <c:pt idx="83">
                  <c:v>1686.15</c:v>
                </c:pt>
                <c:pt idx="84">
                  <c:v>1686.2</c:v>
                </c:pt>
                <c:pt idx="85">
                  <c:v>1686.25</c:v>
                </c:pt>
                <c:pt idx="86">
                  <c:v>1686.3</c:v>
                </c:pt>
                <c:pt idx="87">
                  <c:v>1686.35</c:v>
                </c:pt>
                <c:pt idx="88">
                  <c:v>1686.4</c:v>
                </c:pt>
                <c:pt idx="89">
                  <c:v>1686.45</c:v>
                </c:pt>
                <c:pt idx="90">
                  <c:v>1686.5</c:v>
                </c:pt>
                <c:pt idx="91">
                  <c:v>1686.55</c:v>
                </c:pt>
                <c:pt idx="92">
                  <c:v>1686.6</c:v>
                </c:pt>
                <c:pt idx="93">
                  <c:v>1686.65</c:v>
                </c:pt>
                <c:pt idx="94">
                  <c:v>1686.7</c:v>
                </c:pt>
                <c:pt idx="95">
                  <c:v>1686.75</c:v>
                </c:pt>
                <c:pt idx="96">
                  <c:v>1686.8</c:v>
                </c:pt>
                <c:pt idx="97">
                  <c:v>1686.85</c:v>
                </c:pt>
                <c:pt idx="98">
                  <c:v>1686.9</c:v>
                </c:pt>
                <c:pt idx="99">
                  <c:v>1686.95</c:v>
                </c:pt>
                <c:pt idx="100">
                  <c:v>1687</c:v>
                </c:pt>
                <c:pt idx="101">
                  <c:v>1687.05</c:v>
                </c:pt>
                <c:pt idx="102">
                  <c:v>1687.1</c:v>
                </c:pt>
                <c:pt idx="103">
                  <c:v>1687.15</c:v>
                </c:pt>
                <c:pt idx="104">
                  <c:v>1687.2</c:v>
                </c:pt>
                <c:pt idx="105">
                  <c:v>1687.25</c:v>
                </c:pt>
                <c:pt idx="106">
                  <c:v>1687.3</c:v>
                </c:pt>
                <c:pt idx="107">
                  <c:v>1687.35</c:v>
                </c:pt>
                <c:pt idx="108">
                  <c:v>1687.4</c:v>
                </c:pt>
                <c:pt idx="109">
                  <c:v>1687.45</c:v>
                </c:pt>
                <c:pt idx="110">
                  <c:v>1687.5</c:v>
                </c:pt>
                <c:pt idx="111">
                  <c:v>1687.55</c:v>
                </c:pt>
                <c:pt idx="112">
                  <c:v>1687.6</c:v>
                </c:pt>
                <c:pt idx="113">
                  <c:v>1687.65</c:v>
                </c:pt>
                <c:pt idx="114">
                  <c:v>1687.7</c:v>
                </c:pt>
                <c:pt idx="115">
                  <c:v>1687.75</c:v>
                </c:pt>
                <c:pt idx="116">
                  <c:v>1687.8</c:v>
                </c:pt>
                <c:pt idx="117">
                  <c:v>1687.85</c:v>
                </c:pt>
                <c:pt idx="118">
                  <c:v>1687.9</c:v>
                </c:pt>
                <c:pt idx="119">
                  <c:v>1687.95</c:v>
                </c:pt>
              </c:numCache>
            </c:numRef>
          </c:xVal>
          <c:yVal>
            <c:numRef>
              <c:f>'Ex 2 FULL 0 50 eV'!$R$3:$R$122</c:f>
              <c:numCache>
                <c:formatCode>General</c:formatCode>
                <c:ptCount val="120"/>
                <c:pt idx="0">
                  <c:v>5.0080522911688102E-3</c:v>
                </c:pt>
                <c:pt idx="1">
                  <c:v>6.0703226644960402E-3</c:v>
                </c:pt>
                <c:pt idx="2">
                  <c:v>6.6048122914087503E-3</c:v>
                </c:pt>
                <c:pt idx="3">
                  <c:v>7.27464128057018E-3</c:v>
                </c:pt>
                <c:pt idx="4">
                  <c:v>7.8147931501980194E-3</c:v>
                </c:pt>
                <c:pt idx="5">
                  <c:v>8.9817095211236608E-3</c:v>
                </c:pt>
                <c:pt idx="6">
                  <c:v>9.7407496146322808E-3</c:v>
                </c:pt>
                <c:pt idx="7">
                  <c:v>1.11445946592905E-2</c:v>
                </c:pt>
                <c:pt idx="8">
                  <c:v>1.22969944512139E-2</c:v>
                </c:pt>
                <c:pt idx="9">
                  <c:v>1.36457276633531E-2</c:v>
                </c:pt>
                <c:pt idx="10">
                  <c:v>1.5633121723057E-2</c:v>
                </c:pt>
                <c:pt idx="11">
                  <c:v>1.7269770378046501E-2</c:v>
                </c:pt>
                <c:pt idx="12">
                  <c:v>1.9199771999063499E-2</c:v>
                </c:pt>
                <c:pt idx="13">
                  <c:v>2.2337207525730599E-2</c:v>
                </c:pt>
                <c:pt idx="14">
                  <c:v>2.5003493028651902E-2</c:v>
                </c:pt>
                <c:pt idx="15">
                  <c:v>2.9394171970608902E-2</c:v>
                </c:pt>
                <c:pt idx="16">
                  <c:v>3.2868916537984398E-2</c:v>
                </c:pt>
                <c:pt idx="17">
                  <c:v>3.8034084509527902E-2</c:v>
                </c:pt>
                <c:pt idx="18">
                  <c:v>4.2597824767491306E-2</c:v>
                </c:pt>
                <c:pt idx="19">
                  <c:v>4.84576574359247E-2</c:v>
                </c:pt>
                <c:pt idx="20">
                  <c:v>5.4751539706344901E-2</c:v>
                </c:pt>
                <c:pt idx="21">
                  <c:v>6.29925525638039E-2</c:v>
                </c:pt>
                <c:pt idx="22">
                  <c:v>7.1783887747449288E-2</c:v>
                </c:pt>
                <c:pt idx="23">
                  <c:v>8.0668291811656398E-2</c:v>
                </c:pt>
                <c:pt idx="24">
                  <c:v>9.1698494379495801E-2</c:v>
                </c:pt>
                <c:pt idx="25">
                  <c:v>0.100628912037991</c:v>
                </c:pt>
                <c:pt idx="26">
                  <c:v>0.106147758683994</c:v>
                </c:pt>
                <c:pt idx="27">
                  <c:v>0.11014220352603699</c:v>
                </c:pt>
                <c:pt idx="28">
                  <c:v>0.11483954005213401</c:v>
                </c:pt>
                <c:pt idx="29">
                  <c:v>0.11569312338279</c:v>
                </c:pt>
                <c:pt idx="30">
                  <c:v>0.11766158150775101</c:v>
                </c:pt>
                <c:pt idx="31">
                  <c:v>0.122687294489538</c:v>
                </c:pt>
                <c:pt idx="32">
                  <c:v>0.12455215250307999</c:v>
                </c:pt>
                <c:pt idx="33">
                  <c:v>0.12303399198878101</c:v>
                </c:pt>
                <c:pt idx="34">
                  <c:v>0.12377989200353601</c:v>
                </c:pt>
                <c:pt idx="35">
                  <c:v>0.123992257541452</c:v>
                </c:pt>
                <c:pt idx="36">
                  <c:v>0.121531493107257</c:v>
                </c:pt>
                <c:pt idx="37">
                  <c:v>0.124519232239039</c:v>
                </c:pt>
                <c:pt idx="38">
                  <c:v>0.12400448103870899</c:v>
                </c:pt>
                <c:pt idx="39">
                  <c:v>0.12399513808359601</c:v>
                </c:pt>
                <c:pt idx="40">
                  <c:v>0.125295778064546</c:v>
                </c:pt>
                <c:pt idx="41">
                  <c:v>0.12546811874210101</c:v>
                </c:pt>
                <c:pt idx="42">
                  <c:v>0.12633715600522699</c:v>
                </c:pt>
                <c:pt idx="43">
                  <c:v>0.125499763771347</c:v>
                </c:pt>
                <c:pt idx="44">
                  <c:v>0.12631058380944499</c:v>
                </c:pt>
                <c:pt idx="45">
                  <c:v>0.126625704527315</c:v>
                </c:pt>
                <c:pt idx="46">
                  <c:v>0.12616335251638899</c:v>
                </c:pt>
                <c:pt idx="47">
                  <c:v>0.125805465770159</c:v>
                </c:pt>
                <c:pt idx="48">
                  <c:v>0.12472946291636799</c:v>
                </c:pt>
                <c:pt idx="49">
                  <c:v>0.12631247826914599</c:v>
                </c:pt>
                <c:pt idx="50">
                  <c:v>0.12763116023281798</c:v>
                </c:pt>
                <c:pt idx="51">
                  <c:v>0.12484608784873601</c:v>
                </c:pt>
                <c:pt idx="52">
                  <c:v>0.125452706815152</c:v>
                </c:pt>
                <c:pt idx="53">
                  <c:v>0.12597301832824301</c:v>
                </c:pt>
                <c:pt idx="54">
                  <c:v>0.12705546357183201</c:v>
                </c:pt>
                <c:pt idx="55">
                  <c:v>0.12641120608645601</c:v>
                </c:pt>
                <c:pt idx="56">
                  <c:v>0.12840344122766401</c:v>
                </c:pt>
                <c:pt idx="57">
                  <c:v>0.12729803285986499</c:v>
                </c:pt>
                <c:pt idx="58">
                  <c:v>0.126755039072243</c:v>
                </c:pt>
                <c:pt idx="59">
                  <c:v>0.128526566420471</c:v>
                </c:pt>
                <c:pt idx="60">
                  <c:v>0.127851564517316</c:v>
                </c:pt>
                <c:pt idx="61">
                  <c:v>0.128835293172364</c:v>
                </c:pt>
                <c:pt idx="62">
                  <c:v>0.12651124670715</c:v>
                </c:pt>
                <c:pt idx="63">
                  <c:v>0.126782550240956</c:v>
                </c:pt>
                <c:pt idx="64">
                  <c:v>0.12864264758753199</c:v>
                </c:pt>
                <c:pt idx="65">
                  <c:v>0.12839601084187799</c:v>
                </c:pt>
                <c:pt idx="66">
                  <c:v>0.12797807991474799</c:v>
                </c:pt>
                <c:pt idx="67">
                  <c:v>0.12777302617128899</c:v>
                </c:pt>
                <c:pt idx="68">
                  <c:v>0.126746008601516</c:v>
                </c:pt>
                <c:pt idx="69">
                  <c:v>0.129836202967509</c:v>
                </c:pt>
                <c:pt idx="70">
                  <c:v>0.12726870837224399</c:v>
                </c:pt>
                <c:pt idx="71">
                  <c:v>0.12709873324589299</c:v>
                </c:pt>
                <c:pt idx="72">
                  <c:v>0.12946139008382601</c:v>
                </c:pt>
                <c:pt idx="73">
                  <c:v>0.128725065780984</c:v>
                </c:pt>
                <c:pt idx="74">
                  <c:v>0.125114506180762</c:v>
                </c:pt>
                <c:pt idx="75">
                  <c:v>0.12514570861753299</c:v>
                </c:pt>
                <c:pt idx="76">
                  <c:v>0.12602433944677402</c:v>
                </c:pt>
                <c:pt idx="77">
                  <c:v>0.128135490183788</c:v>
                </c:pt>
                <c:pt idx="78">
                  <c:v>0.12832536002071598</c:v>
                </c:pt>
                <c:pt idx="79">
                  <c:v>0.127178055564654</c:v>
                </c:pt>
                <c:pt idx="80">
                  <c:v>0.12852303470752499</c:v>
                </c:pt>
                <c:pt idx="81">
                  <c:v>0.127958679456565</c:v>
                </c:pt>
                <c:pt idx="82">
                  <c:v>0.125329997146367</c:v>
                </c:pt>
                <c:pt idx="83">
                  <c:v>0.127729870007535</c:v>
                </c:pt>
                <c:pt idx="84">
                  <c:v>0.12815754582444899</c:v>
                </c:pt>
                <c:pt idx="85">
                  <c:v>0.12678204790574202</c:v>
                </c:pt>
                <c:pt idx="86">
                  <c:v>0.12955807626145499</c:v>
                </c:pt>
                <c:pt idx="87">
                  <c:v>0.12861439266399902</c:v>
                </c:pt>
                <c:pt idx="88">
                  <c:v>0.128498048810684</c:v>
                </c:pt>
                <c:pt idx="89">
                  <c:v>0.12712297334035499</c:v>
                </c:pt>
                <c:pt idx="90">
                  <c:v>0.128879580167341</c:v>
                </c:pt>
                <c:pt idx="91">
                  <c:v>0.12921498277361801</c:v>
                </c:pt>
                <c:pt idx="92">
                  <c:v>0.127676935924605</c:v>
                </c:pt>
                <c:pt idx="93">
                  <c:v>0.128089524846387</c:v>
                </c:pt>
                <c:pt idx="94">
                  <c:v>0.12735729183583799</c:v>
                </c:pt>
                <c:pt idx="95">
                  <c:v>0.12812325060289201</c:v>
                </c:pt>
                <c:pt idx="96">
                  <c:v>0.12998885202347901</c:v>
                </c:pt>
                <c:pt idx="97">
                  <c:v>0.12935111496035201</c:v>
                </c:pt>
                <c:pt idx="98">
                  <c:v>0.12827161928498199</c:v>
                </c:pt>
                <c:pt idx="99">
                  <c:v>0.12666341831147399</c:v>
                </c:pt>
                <c:pt idx="100">
                  <c:v>0.12495867176381201</c:v>
                </c:pt>
                <c:pt idx="101">
                  <c:v>0.12822630406393201</c:v>
                </c:pt>
                <c:pt idx="102">
                  <c:v>0.12945454765306802</c:v>
                </c:pt>
                <c:pt idx="103">
                  <c:v>0.13001355963664601</c:v>
                </c:pt>
                <c:pt idx="104">
                  <c:v>0.131423190220358</c:v>
                </c:pt>
                <c:pt idx="105">
                  <c:v>0.13028329729079699</c:v>
                </c:pt>
                <c:pt idx="106">
                  <c:v>0.12752905845339399</c:v>
                </c:pt>
                <c:pt idx="107">
                  <c:v>0.12720550459805299</c:v>
                </c:pt>
                <c:pt idx="108">
                  <c:v>0.12847825612330399</c:v>
                </c:pt>
                <c:pt idx="109">
                  <c:v>0.12832427432978399</c:v>
                </c:pt>
                <c:pt idx="110">
                  <c:v>0.13095469308250501</c:v>
                </c:pt>
                <c:pt idx="111">
                  <c:v>0.12840387557880101</c:v>
                </c:pt>
                <c:pt idx="112">
                  <c:v>0.12758201069928599</c:v>
                </c:pt>
                <c:pt idx="113">
                  <c:v>0.127499279093612</c:v>
                </c:pt>
                <c:pt idx="114">
                  <c:v>0.12798443539611098</c:v>
                </c:pt>
                <c:pt idx="115">
                  <c:v>0.12852752175017701</c:v>
                </c:pt>
                <c:pt idx="116">
                  <c:v>0.12743709586573701</c:v>
                </c:pt>
                <c:pt idx="117">
                  <c:v>0.12783505296006301</c:v>
                </c:pt>
                <c:pt idx="118">
                  <c:v>0.11243430705223299</c:v>
                </c:pt>
                <c:pt idx="119">
                  <c:v>1.6349584378327401E-2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7A-4DA8-8F6E-A911D2AA30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4501896"/>
        <c:axId val="584099264"/>
      </c:scatterChart>
      <c:valAx>
        <c:axId val="494501896"/>
        <c:scaling>
          <c:orientation val="minMax"/>
          <c:max val="1688"/>
          <c:min val="168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beam energy (keV)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099264"/>
        <c:crosses val="autoZero"/>
        <c:crossBetween val="midCat"/>
      </c:valAx>
      <c:valAx>
        <c:axId val="584099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yield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E+00" sourceLinked="0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5018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800"/>
              <a:t>Ex 2 Full Straggling </a:t>
            </a:r>
            <a:r>
              <a:rPr lang="el-GR" sz="1800"/>
              <a:t>Δ</a:t>
            </a:r>
            <a:r>
              <a:rPr lang="en-GB" sz="1800"/>
              <a:t>E=0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072415746129483"/>
          <c:y val="0.14579240961274123"/>
          <c:w val="0.81140681144258631"/>
          <c:h val="0.74328324390296741"/>
        </c:manualLayout>
      </c:layout>
      <c:scatterChart>
        <c:scatterStyle val="lineMarker"/>
        <c:varyColors val="0"/>
        <c:ser>
          <c:idx val="0"/>
          <c:order val="0"/>
          <c:tx>
            <c:v>NDF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 2 FULL 0 50 eV'!$E$3:$E$123</c:f>
              <c:numCache>
                <c:formatCode>0.00</c:formatCode>
                <c:ptCount val="121"/>
                <c:pt idx="0">
                  <c:v>1682</c:v>
                </c:pt>
                <c:pt idx="1">
                  <c:v>1682.05</c:v>
                </c:pt>
                <c:pt idx="2">
                  <c:v>1682.1</c:v>
                </c:pt>
                <c:pt idx="3">
                  <c:v>1682.15</c:v>
                </c:pt>
                <c:pt idx="4">
                  <c:v>1682.2</c:v>
                </c:pt>
                <c:pt idx="5">
                  <c:v>1682.25</c:v>
                </c:pt>
                <c:pt idx="6">
                  <c:v>1682.3</c:v>
                </c:pt>
                <c:pt idx="7">
                  <c:v>1682.35</c:v>
                </c:pt>
                <c:pt idx="8">
                  <c:v>1682.4</c:v>
                </c:pt>
                <c:pt idx="9">
                  <c:v>1682.45</c:v>
                </c:pt>
                <c:pt idx="10">
                  <c:v>1682.5</c:v>
                </c:pt>
                <c:pt idx="11">
                  <c:v>1682.55</c:v>
                </c:pt>
                <c:pt idx="12">
                  <c:v>1682.6</c:v>
                </c:pt>
                <c:pt idx="13">
                  <c:v>1682.65</c:v>
                </c:pt>
                <c:pt idx="14">
                  <c:v>1682.7</c:v>
                </c:pt>
                <c:pt idx="15">
                  <c:v>1682.75</c:v>
                </c:pt>
                <c:pt idx="16">
                  <c:v>1682.8</c:v>
                </c:pt>
                <c:pt idx="17">
                  <c:v>1682.85</c:v>
                </c:pt>
                <c:pt idx="18">
                  <c:v>1682.9</c:v>
                </c:pt>
                <c:pt idx="19">
                  <c:v>1682.95</c:v>
                </c:pt>
                <c:pt idx="20">
                  <c:v>1683</c:v>
                </c:pt>
                <c:pt idx="21">
                  <c:v>1683.05</c:v>
                </c:pt>
                <c:pt idx="22">
                  <c:v>1683.1</c:v>
                </c:pt>
                <c:pt idx="23">
                  <c:v>1683.15</c:v>
                </c:pt>
                <c:pt idx="24">
                  <c:v>1683.2</c:v>
                </c:pt>
                <c:pt idx="25">
                  <c:v>1683.25</c:v>
                </c:pt>
                <c:pt idx="26">
                  <c:v>1683.3</c:v>
                </c:pt>
                <c:pt idx="27">
                  <c:v>1683.35</c:v>
                </c:pt>
                <c:pt idx="28">
                  <c:v>1683.4</c:v>
                </c:pt>
                <c:pt idx="29">
                  <c:v>1683.45</c:v>
                </c:pt>
                <c:pt idx="30">
                  <c:v>1683.5</c:v>
                </c:pt>
                <c:pt idx="31">
                  <c:v>1683.55</c:v>
                </c:pt>
                <c:pt idx="32">
                  <c:v>1683.6</c:v>
                </c:pt>
                <c:pt idx="33">
                  <c:v>1683.65</c:v>
                </c:pt>
                <c:pt idx="34">
                  <c:v>1683.7</c:v>
                </c:pt>
                <c:pt idx="35">
                  <c:v>1683.75</c:v>
                </c:pt>
                <c:pt idx="36">
                  <c:v>1683.8</c:v>
                </c:pt>
                <c:pt idx="37">
                  <c:v>1683.85</c:v>
                </c:pt>
                <c:pt idx="38">
                  <c:v>1683.9</c:v>
                </c:pt>
                <c:pt idx="39">
                  <c:v>1683.95</c:v>
                </c:pt>
                <c:pt idx="40">
                  <c:v>1684</c:v>
                </c:pt>
                <c:pt idx="41">
                  <c:v>1684.05</c:v>
                </c:pt>
                <c:pt idx="42">
                  <c:v>1684.1</c:v>
                </c:pt>
                <c:pt idx="43">
                  <c:v>1684.15</c:v>
                </c:pt>
                <c:pt idx="44">
                  <c:v>1684.2</c:v>
                </c:pt>
                <c:pt idx="45">
                  <c:v>1684.25</c:v>
                </c:pt>
                <c:pt idx="46">
                  <c:v>1684.3</c:v>
                </c:pt>
                <c:pt idx="47">
                  <c:v>1684.35</c:v>
                </c:pt>
                <c:pt idx="48">
                  <c:v>1684.4</c:v>
                </c:pt>
                <c:pt idx="49">
                  <c:v>1684.45</c:v>
                </c:pt>
                <c:pt idx="50">
                  <c:v>1684.5</c:v>
                </c:pt>
                <c:pt idx="51">
                  <c:v>1684.55</c:v>
                </c:pt>
                <c:pt idx="52">
                  <c:v>1684.6</c:v>
                </c:pt>
                <c:pt idx="53">
                  <c:v>1684.65</c:v>
                </c:pt>
                <c:pt idx="54">
                  <c:v>1684.7</c:v>
                </c:pt>
                <c:pt idx="55">
                  <c:v>1684.75</c:v>
                </c:pt>
                <c:pt idx="56">
                  <c:v>1684.8</c:v>
                </c:pt>
                <c:pt idx="57">
                  <c:v>1684.85</c:v>
                </c:pt>
                <c:pt idx="58">
                  <c:v>1684.9</c:v>
                </c:pt>
                <c:pt idx="59">
                  <c:v>1684.95</c:v>
                </c:pt>
                <c:pt idx="60">
                  <c:v>1685</c:v>
                </c:pt>
                <c:pt idx="61">
                  <c:v>1685.05</c:v>
                </c:pt>
                <c:pt idx="62">
                  <c:v>1685.1</c:v>
                </c:pt>
                <c:pt idx="63">
                  <c:v>1685.15</c:v>
                </c:pt>
                <c:pt idx="64">
                  <c:v>1685.2</c:v>
                </c:pt>
                <c:pt idx="65">
                  <c:v>1685.25</c:v>
                </c:pt>
                <c:pt idx="66">
                  <c:v>1685.3</c:v>
                </c:pt>
                <c:pt idx="67">
                  <c:v>1685.35</c:v>
                </c:pt>
                <c:pt idx="68">
                  <c:v>1685.4</c:v>
                </c:pt>
                <c:pt idx="69">
                  <c:v>1685.45</c:v>
                </c:pt>
                <c:pt idx="70">
                  <c:v>1685.5</c:v>
                </c:pt>
                <c:pt idx="71">
                  <c:v>1685.55</c:v>
                </c:pt>
                <c:pt idx="72">
                  <c:v>1685.6</c:v>
                </c:pt>
                <c:pt idx="73">
                  <c:v>1685.65</c:v>
                </c:pt>
                <c:pt idx="74">
                  <c:v>1685.7</c:v>
                </c:pt>
                <c:pt idx="75">
                  <c:v>1685.75</c:v>
                </c:pt>
                <c:pt idx="76">
                  <c:v>1685.8</c:v>
                </c:pt>
                <c:pt idx="77">
                  <c:v>1685.85</c:v>
                </c:pt>
                <c:pt idx="78">
                  <c:v>1685.9</c:v>
                </c:pt>
                <c:pt idx="79">
                  <c:v>1685.95</c:v>
                </c:pt>
                <c:pt idx="80">
                  <c:v>1686</c:v>
                </c:pt>
                <c:pt idx="81">
                  <c:v>1686.05</c:v>
                </c:pt>
                <c:pt idx="82">
                  <c:v>1686.1</c:v>
                </c:pt>
                <c:pt idx="83">
                  <c:v>1686.15</c:v>
                </c:pt>
                <c:pt idx="84">
                  <c:v>1686.2</c:v>
                </c:pt>
                <c:pt idx="85">
                  <c:v>1686.25</c:v>
                </c:pt>
                <c:pt idx="86">
                  <c:v>1686.3</c:v>
                </c:pt>
                <c:pt idx="87">
                  <c:v>1686.35</c:v>
                </c:pt>
                <c:pt idx="88">
                  <c:v>1686.4</c:v>
                </c:pt>
                <c:pt idx="89">
                  <c:v>1686.45</c:v>
                </c:pt>
                <c:pt idx="90">
                  <c:v>1686.5</c:v>
                </c:pt>
                <c:pt idx="91">
                  <c:v>1686.55</c:v>
                </c:pt>
                <c:pt idx="92">
                  <c:v>1686.6</c:v>
                </c:pt>
                <c:pt idx="93">
                  <c:v>1686.65</c:v>
                </c:pt>
                <c:pt idx="94">
                  <c:v>1686.7</c:v>
                </c:pt>
                <c:pt idx="95">
                  <c:v>1686.75</c:v>
                </c:pt>
                <c:pt idx="96">
                  <c:v>1686.8</c:v>
                </c:pt>
                <c:pt idx="97">
                  <c:v>1686.85</c:v>
                </c:pt>
                <c:pt idx="98">
                  <c:v>1686.9</c:v>
                </c:pt>
                <c:pt idx="99">
                  <c:v>1686.95</c:v>
                </c:pt>
                <c:pt idx="100">
                  <c:v>1687</c:v>
                </c:pt>
                <c:pt idx="101">
                  <c:v>1687.05</c:v>
                </c:pt>
                <c:pt idx="102">
                  <c:v>1687.1</c:v>
                </c:pt>
                <c:pt idx="103">
                  <c:v>1687.15</c:v>
                </c:pt>
                <c:pt idx="104">
                  <c:v>1687.2</c:v>
                </c:pt>
                <c:pt idx="105">
                  <c:v>1687.25</c:v>
                </c:pt>
                <c:pt idx="106">
                  <c:v>1687.3</c:v>
                </c:pt>
                <c:pt idx="107">
                  <c:v>1687.35</c:v>
                </c:pt>
                <c:pt idx="108">
                  <c:v>1687.4</c:v>
                </c:pt>
                <c:pt idx="109">
                  <c:v>1687.45</c:v>
                </c:pt>
                <c:pt idx="110">
                  <c:v>1687.5</c:v>
                </c:pt>
                <c:pt idx="111">
                  <c:v>1687.55</c:v>
                </c:pt>
                <c:pt idx="112">
                  <c:v>1687.6</c:v>
                </c:pt>
                <c:pt idx="113">
                  <c:v>1687.65</c:v>
                </c:pt>
                <c:pt idx="114">
                  <c:v>1687.7</c:v>
                </c:pt>
                <c:pt idx="115">
                  <c:v>1687.75</c:v>
                </c:pt>
                <c:pt idx="116">
                  <c:v>1687.8</c:v>
                </c:pt>
                <c:pt idx="117">
                  <c:v>1687.85</c:v>
                </c:pt>
                <c:pt idx="118">
                  <c:v>1687.9</c:v>
                </c:pt>
                <c:pt idx="119">
                  <c:v>1687.95</c:v>
                </c:pt>
                <c:pt idx="120">
                  <c:v>1688</c:v>
                </c:pt>
              </c:numCache>
            </c:numRef>
          </c:xVal>
          <c:yVal>
            <c:numRef>
              <c:f>'Ex 2 FULL 0 50 eV'!$F$3:$F$123</c:f>
              <c:numCache>
                <c:formatCode>0.0000000000</c:formatCode>
                <c:ptCount val="121"/>
                <c:pt idx="0">
                  <c:v>2.0776745E-3</c:v>
                </c:pt>
                <c:pt idx="1">
                  <c:v>2.2027320000000002E-3</c:v>
                </c:pt>
                <c:pt idx="2">
                  <c:v>2.3390132000000001E-3</c:v>
                </c:pt>
                <c:pt idx="3">
                  <c:v>2.4896807E-3</c:v>
                </c:pt>
                <c:pt idx="4">
                  <c:v>2.6560158000000001E-3</c:v>
                </c:pt>
                <c:pt idx="5">
                  <c:v>2.8411839E-3</c:v>
                </c:pt>
                <c:pt idx="6">
                  <c:v>3.0485208000000001E-3</c:v>
                </c:pt>
                <c:pt idx="7">
                  <c:v>3.2803791E-3</c:v>
                </c:pt>
                <c:pt idx="8">
                  <c:v>3.5431311000000002E-3</c:v>
                </c:pt>
                <c:pt idx="9">
                  <c:v>3.8431601E-3</c:v>
                </c:pt>
                <c:pt idx="10">
                  <c:v>4.1881161999999996E-3</c:v>
                </c:pt>
                <c:pt idx="11">
                  <c:v>4.5890076999999998E-3</c:v>
                </c:pt>
                <c:pt idx="12">
                  <c:v>5.0570737000000003E-3</c:v>
                </c:pt>
                <c:pt idx="13">
                  <c:v>5.6165722000000003E-3</c:v>
                </c:pt>
                <c:pt idx="14">
                  <c:v>6.2856791000000002E-3</c:v>
                </c:pt>
                <c:pt idx="15">
                  <c:v>7.1109970999999996E-3</c:v>
                </c:pt>
                <c:pt idx="16">
                  <c:v>8.1463874999999995E-3</c:v>
                </c:pt>
                <c:pt idx="17">
                  <c:v>9.4757126999999997E-3</c:v>
                </c:pt>
                <c:pt idx="18">
                  <c:v>1.1237403999999999E-2</c:v>
                </c:pt>
                <c:pt idx="19">
                  <c:v>1.3667609000000001E-2</c:v>
                </c:pt>
                <c:pt idx="20">
                  <c:v>1.7196759999999998E-2</c:v>
                </c:pt>
                <c:pt idx="21">
                  <c:v>2.2769365E-2</c:v>
                </c:pt>
                <c:pt idx="22">
                  <c:v>3.2487745999999998E-2</c:v>
                </c:pt>
                <c:pt idx="23">
                  <c:v>5.2492737999999997E-2</c:v>
                </c:pt>
                <c:pt idx="24">
                  <c:v>9.7877353E-2</c:v>
                </c:pt>
                <c:pt idx="25">
                  <c:v>0.18590569000000001</c:v>
                </c:pt>
                <c:pt idx="26">
                  <c:v>0.28274336</c:v>
                </c:pt>
                <c:pt idx="27">
                  <c:v>0.30596441000000002</c:v>
                </c:pt>
                <c:pt idx="28">
                  <c:v>0.26946869000000001</c:v>
                </c:pt>
                <c:pt idx="29">
                  <c:v>0.23140484</c:v>
                </c:pt>
                <c:pt idx="30">
                  <c:v>0.20889969</c:v>
                </c:pt>
                <c:pt idx="31">
                  <c:v>0.19693793000000001</c:v>
                </c:pt>
                <c:pt idx="32">
                  <c:v>0.19006819999999999</c:v>
                </c:pt>
                <c:pt idx="33">
                  <c:v>0.18564718999999999</c:v>
                </c:pt>
                <c:pt idx="34">
                  <c:v>0.18253274</c:v>
                </c:pt>
                <c:pt idx="35">
                  <c:v>0.18037934999999999</c:v>
                </c:pt>
                <c:pt idx="36">
                  <c:v>0.17881755999999999</c:v>
                </c:pt>
                <c:pt idx="37">
                  <c:v>0.17765750999999999</c:v>
                </c:pt>
                <c:pt idx="38">
                  <c:v>0.17688666</c:v>
                </c:pt>
                <c:pt idx="39">
                  <c:v>0.17613303999999999</c:v>
                </c:pt>
                <c:pt idx="40">
                  <c:v>0.17561863</c:v>
                </c:pt>
                <c:pt idx="41">
                  <c:v>0.17519699</c:v>
                </c:pt>
                <c:pt idx="42">
                  <c:v>0.17500863999999999</c:v>
                </c:pt>
                <c:pt idx="43">
                  <c:v>0.17473538</c:v>
                </c:pt>
                <c:pt idx="44">
                  <c:v>0.17448949999999999</c:v>
                </c:pt>
                <c:pt idx="45">
                  <c:v>0.17436299</c:v>
                </c:pt>
                <c:pt idx="46">
                  <c:v>0.17425291000000001</c:v>
                </c:pt>
                <c:pt idx="47">
                  <c:v>0.17420262</c:v>
                </c:pt>
                <c:pt idx="48">
                  <c:v>0.17412654999999999</c:v>
                </c:pt>
                <c:pt idx="49">
                  <c:v>0.17411381000000001</c:v>
                </c:pt>
                <c:pt idx="50">
                  <c:v>0.17409754999999999</c:v>
                </c:pt>
                <c:pt idx="51">
                  <c:v>0.17409379999999999</c:v>
                </c:pt>
                <c:pt idx="52">
                  <c:v>0.1740873</c:v>
                </c:pt>
                <c:pt idx="53">
                  <c:v>0.17412612</c:v>
                </c:pt>
                <c:pt idx="54">
                  <c:v>0.17411272</c:v>
                </c:pt>
                <c:pt idx="55">
                  <c:v>0.17412604000000001</c:v>
                </c:pt>
                <c:pt idx="56">
                  <c:v>0.17415367000000001</c:v>
                </c:pt>
                <c:pt idx="57">
                  <c:v>0.17417784</c:v>
                </c:pt>
                <c:pt idx="58">
                  <c:v>0.17422362999999999</c:v>
                </c:pt>
                <c:pt idx="59">
                  <c:v>0.17423000999999999</c:v>
                </c:pt>
                <c:pt idx="60">
                  <c:v>0.17426610000000001</c:v>
                </c:pt>
                <c:pt idx="61">
                  <c:v>0.17430572</c:v>
                </c:pt>
                <c:pt idx="62">
                  <c:v>0.17434375999999999</c:v>
                </c:pt>
                <c:pt idx="63">
                  <c:v>0.17437021</c:v>
                </c:pt>
                <c:pt idx="64">
                  <c:v>0.17440085</c:v>
                </c:pt>
                <c:pt idx="65">
                  <c:v>0.17444204999999999</c:v>
                </c:pt>
                <c:pt idx="66">
                  <c:v>0.17448099</c:v>
                </c:pt>
                <c:pt idx="67">
                  <c:v>0.17452566</c:v>
                </c:pt>
                <c:pt idx="68">
                  <c:v>0.17454995000000001</c:v>
                </c:pt>
                <c:pt idx="69">
                  <c:v>0.17458022000000001</c:v>
                </c:pt>
                <c:pt idx="70">
                  <c:v>0.17461247999999999</c:v>
                </c:pt>
                <c:pt idx="71">
                  <c:v>0.17463819999999999</c:v>
                </c:pt>
                <c:pt idx="72">
                  <c:v>0.17467352999999999</c:v>
                </c:pt>
                <c:pt idx="73">
                  <c:v>0.17470136</c:v>
                </c:pt>
                <c:pt idx="74">
                  <c:v>0.17471941999999999</c:v>
                </c:pt>
                <c:pt idx="75">
                  <c:v>0.17474160999999999</c:v>
                </c:pt>
                <c:pt idx="76">
                  <c:v>0.17477413</c:v>
                </c:pt>
                <c:pt idx="77">
                  <c:v>0.17480572999999999</c:v>
                </c:pt>
                <c:pt idx="78">
                  <c:v>0.17482391999999999</c:v>
                </c:pt>
                <c:pt idx="79">
                  <c:v>0.17483172999999999</c:v>
                </c:pt>
                <c:pt idx="80">
                  <c:v>0.17484209000000001</c:v>
                </c:pt>
                <c:pt idx="81">
                  <c:v>0.17485382999999999</c:v>
                </c:pt>
                <c:pt idx="82">
                  <c:v>0.17486731999999999</c:v>
                </c:pt>
                <c:pt idx="83">
                  <c:v>0.17489115999999999</c:v>
                </c:pt>
                <c:pt idx="84">
                  <c:v>0.17488734</c:v>
                </c:pt>
                <c:pt idx="85">
                  <c:v>0.17490163</c:v>
                </c:pt>
                <c:pt idx="86">
                  <c:v>0.17489875999999999</c:v>
                </c:pt>
                <c:pt idx="87">
                  <c:v>0.17490827</c:v>
                </c:pt>
                <c:pt idx="88">
                  <c:v>0.17491393999999999</c:v>
                </c:pt>
                <c:pt idx="89">
                  <c:v>0.17490701</c:v>
                </c:pt>
                <c:pt idx="90">
                  <c:v>0.17489579</c:v>
                </c:pt>
                <c:pt idx="91">
                  <c:v>0.17489663</c:v>
                </c:pt>
                <c:pt idx="92">
                  <c:v>0.17488818</c:v>
                </c:pt>
                <c:pt idx="93">
                  <c:v>0.17488993999999999</c:v>
                </c:pt>
                <c:pt idx="94">
                  <c:v>0.17488565</c:v>
                </c:pt>
                <c:pt idx="95">
                  <c:v>0.17487897999999999</c:v>
                </c:pt>
                <c:pt idx="96">
                  <c:v>0.17486209999999999</c:v>
                </c:pt>
                <c:pt idx="97">
                  <c:v>0.17485212</c:v>
                </c:pt>
                <c:pt idx="98">
                  <c:v>0.17484189999999999</c:v>
                </c:pt>
                <c:pt idx="99">
                  <c:v>0.17483926</c:v>
                </c:pt>
                <c:pt idx="100">
                  <c:v>0.17482258000000001</c:v>
                </c:pt>
                <c:pt idx="101">
                  <c:v>0.17480977</c:v>
                </c:pt>
                <c:pt idx="102">
                  <c:v>0.17480385000000001</c:v>
                </c:pt>
                <c:pt idx="103">
                  <c:v>0.17478543999999999</c:v>
                </c:pt>
                <c:pt idx="104">
                  <c:v>0.17477508999999999</c:v>
                </c:pt>
                <c:pt idx="105">
                  <c:v>0.17477988</c:v>
                </c:pt>
                <c:pt idx="106">
                  <c:v>0.17477706000000001</c:v>
                </c:pt>
                <c:pt idx="107">
                  <c:v>0.17476781</c:v>
                </c:pt>
                <c:pt idx="108">
                  <c:v>0.17475495999999999</c:v>
                </c:pt>
                <c:pt idx="109">
                  <c:v>0.17475319</c:v>
                </c:pt>
                <c:pt idx="110">
                  <c:v>0.17475122000000001</c:v>
                </c:pt>
                <c:pt idx="111">
                  <c:v>0.17474307</c:v>
                </c:pt>
                <c:pt idx="112">
                  <c:v>0.17473959999999999</c:v>
                </c:pt>
                <c:pt idx="113">
                  <c:v>0.17472599</c:v>
                </c:pt>
                <c:pt idx="114">
                  <c:v>0.17471965</c:v>
                </c:pt>
                <c:pt idx="115">
                  <c:v>0.17472199999999999</c:v>
                </c:pt>
                <c:pt idx="116">
                  <c:v>0.1747351</c:v>
                </c:pt>
                <c:pt idx="117">
                  <c:v>0.17472945000000001</c:v>
                </c:pt>
                <c:pt idx="118">
                  <c:v>0.17473274</c:v>
                </c:pt>
                <c:pt idx="119">
                  <c:v>0.17475889999999999</c:v>
                </c:pt>
                <c:pt idx="120">
                  <c:v>0.17475057999999999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CB-45CB-AB22-C70AD99D5E7B}"/>
            </c:ext>
          </c:extLst>
        </c:ser>
        <c:ser>
          <c:idx val="2"/>
          <c:order val="1"/>
          <c:tx>
            <c:v>SIMNRA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 2 FULL 0 50 eV'!$H$3:$H$143</c:f>
              <c:numCache>
                <c:formatCode>General</c:formatCode>
                <c:ptCount val="141"/>
                <c:pt idx="0">
                  <c:v>1681</c:v>
                </c:pt>
                <c:pt idx="1">
                  <c:v>1681.05</c:v>
                </c:pt>
                <c:pt idx="2">
                  <c:v>1681.1</c:v>
                </c:pt>
                <c:pt idx="3">
                  <c:v>1681.15</c:v>
                </c:pt>
                <c:pt idx="4">
                  <c:v>1681.2</c:v>
                </c:pt>
                <c:pt idx="5">
                  <c:v>1681.25</c:v>
                </c:pt>
                <c:pt idx="6">
                  <c:v>1681.3</c:v>
                </c:pt>
                <c:pt idx="7">
                  <c:v>1681.35</c:v>
                </c:pt>
                <c:pt idx="8">
                  <c:v>1681.4</c:v>
                </c:pt>
                <c:pt idx="9">
                  <c:v>1681.45</c:v>
                </c:pt>
                <c:pt idx="10">
                  <c:v>1681.5</c:v>
                </c:pt>
                <c:pt idx="11">
                  <c:v>1681.55</c:v>
                </c:pt>
                <c:pt idx="12">
                  <c:v>1681.6</c:v>
                </c:pt>
                <c:pt idx="13">
                  <c:v>1681.65</c:v>
                </c:pt>
                <c:pt idx="14">
                  <c:v>1681.7</c:v>
                </c:pt>
                <c:pt idx="15">
                  <c:v>1681.75</c:v>
                </c:pt>
                <c:pt idx="16">
                  <c:v>1681.8</c:v>
                </c:pt>
                <c:pt idx="17">
                  <c:v>1681.85</c:v>
                </c:pt>
                <c:pt idx="18">
                  <c:v>1681.9</c:v>
                </c:pt>
                <c:pt idx="19">
                  <c:v>1681.95</c:v>
                </c:pt>
                <c:pt idx="20">
                  <c:v>1682</c:v>
                </c:pt>
                <c:pt idx="21">
                  <c:v>1682.05</c:v>
                </c:pt>
                <c:pt idx="22">
                  <c:v>1682.1</c:v>
                </c:pt>
                <c:pt idx="23">
                  <c:v>1682.15</c:v>
                </c:pt>
                <c:pt idx="24">
                  <c:v>1682.2</c:v>
                </c:pt>
                <c:pt idx="25">
                  <c:v>1682.25</c:v>
                </c:pt>
                <c:pt idx="26">
                  <c:v>1682.3</c:v>
                </c:pt>
                <c:pt idx="27">
                  <c:v>1682.35</c:v>
                </c:pt>
                <c:pt idx="28">
                  <c:v>1682.4</c:v>
                </c:pt>
                <c:pt idx="29">
                  <c:v>1682.45</c:v>
                </c:pt>
                <c:pt idx="30">
                  <c:v>1682.5</c:v>
                </c:pt>
                <c:pt idx="31">
                  <c:v>1682.55</c:v>
                </c:pt>
                <c:pt idx="32">
                  <c:v>1682.6</c:v>
                </c:pt>
                <c:pt idx="33">
                  <c:v>1682.65</c:v>
                </c:pt>
                <c:pt idx="34">
                  <c:v>1682.7</c:v>
                </c:pt>
                <c:pt idx="35">
                  <c:v>1682.75</c:v>
                </c:pt>
                <c:pt idx="36">
                  <c:v>1682.8</c:v>
                </c:pt>
                <c:pt idx="37">
                  <c:v>1682.85</c:v>
                </c:pt>
                <c:pt idx="38">
                  <c:v>1682.9</c:v>
                </c:pt>
                <c:pt idx="39">
                  <c:v>1682.95</c:v>
                </c:pt>
                <c:pt idx="40">
                  <c:v>1683</c:v>
                </c:pt>
                <c:pt idx="41">
                  <c:v>1683.05</c:v>
                </c:pt>
                <c:pt idx="42">
                  <c:v>1683.1</c:v>
                </c:pt>
                <c:pt idx="43">
                  <c:v>1683.15</c:v>
                </c:pt>
                <c:pt idx="44">
                  <c:v>1683.2</c:v>
                </c:pt>
                <c:pt idx="45">
                  <c:v>1683.25</c:v>
                </c:pt>
                <c:pt idx="46">
                  <c:v>1683.3</c:v>
                </c:pt>
                <c:pt idx="47">
                  <c:v>1683.35</c:v>
                </c:pt>
                <c:pt idx="48">
                  <c:v>1683.4</c:v>
                </c:pt>
                <c:pt idx="49">
                  <c:v>1683.45</c:v>
                </c:pt>
                <c:pt idx="50">
                  <c:v>1683.5</c:v>
                </c:pt>
                <c:pt idx="51">
                  <c:v>1683.55</c:v>
                </c:pt>
                <c:pt idx="52">
                  <c:v>1683.6</c:v>
                </c:pt>
                <c:pt idx="53">
                  <c:v>1683.65</c:v>
                </c:pt>
                <c:pt idx="54">
                  <c:v>1683.7</c:v>
                </c:pt>
                <c:pt idx="55">
                  <c:v>1683.75</c:v>
                </c:pt>
                <c:pt idx="56">
                  <c:v>1683.8</c:v>
                </c:pt>
                <c:pt idx="57">
                  <c:v>1683.85</c:v>
                </c:pt>
                <c:pt idx="58">
                  <c:v>1683.9</c:v>
                </c:pt>
                <c:pt idx="59">
                  <c:v>1683.95</c:v>
                </c:pt>
                <c:pt idx="60">
                  <c:v>1684</c:v>
                </c:pt>
                <c:pt idx="61">
                  <c:v>1684.05</c:v>
                </c:pt>
                <c:pt idx="62">
                  <c:v>1684.1</c:v>
                </c:pt>
                <c:pt idx="63">
                  <c:v>1684.15</c:v>
                </c:pt>
                <c:pt idx="64">
                  <c:v>1684.2</c:v>
                </c:pt>
                <c:pt idx="65">
                  <c:v>1684.25</c:v>
                </c:pt>
                <c:pt idx="66">
                  <c:v>1684.3</c:v>
                </c:pt>
                <c:pt idx="67">
                  <c:v>1684.35</c:v>
                </c:pt>
                <c:pt idx="68">
                  <c:v>1684.4</c:v>
                </c:pt>
                <c:pt idx="69">
                  <c:v>1684.45</c:v>
                </c:pt>
                <c:pt idx="70">
                  <c:v>1684.5</c:v>
                </c:pt>
                <c:pt idx="71">
                  <c:v>1684.55</c:v>
                </c:pt>
                <c:pt idx="72">
                  <c:v>1684.6</c:v>
                </c:pt>
                <c:pt idx="73">
                  <c:v>1684.65</c:v>
                </c:pt>
                <c:pt idx="74">
                  <c:v>1684.7</c:v>
                </c:pt>
                <c:pt idx="75">
                  <c:v>1684.75</c:v>
                </c:pt>
                <c:pt idx="76">
                  <c:v>1684.8</c:v>
                </c:pt>
                <c:pt idx="77">
                  <c:v>1684.85</c:v>
                </c:pt>
                <c:pt idx="78">
                  <c:v>1684.9</c:v>
                </c:pt>
                <c:pt idx="79">
                  <c:v>1684.95</c:v>
                </c:pt>
                <c:pt idx="80">
                  <c:v>1685</c:v>
                </c:pt>
                <c:pt idx="81">
                  <c:v>1685.05</c:v>
                </c:pt>
                <c:pt idx="82">
                  <c:v>1685.1</c:v>
                </c:pt>
                <c:pt idx="83">
                  <c:v>1685.15</c:v>
                </c:pt>
                <c:pt idx="84">
                  <c:v>1685.2</c:v>
                </c:pt>
                <c:pt idx="85">
                  <c:v>1685.25</c:v>
                </c:pt>
                <c:pt idx="86">
                  <c:v>1685.3</c:v>
                </c:pt>
                <c:pt idx="87">
                  <c:v>1685.35</c:v>
                </c:pt>
                <c:pt idx="88">
                  <c:v>1685.4</c:v>
                </c:pt>
                <c:pt idx="89">
                  <c:v>1685.45</c:v>
                </c:pt>
                <c:pt idx="90">
                  <c:v>1685.5</c:v>
                </c:pt>
                <c:pt idx="91">
                  <c:v>1685.55</c:v>
                </c:pt>
                <c:pt idx="92">
                  <c:v>1685.6</c:v>
                </c:pt>
                <c:pt idx="93">
                  <c:v>1685.65</c:v>
                </c:pt>
                <c:pt idx="94">
                  <c:v>1685.7</c:v>
                </c:pt>
                <c:pt idx="95">
                  <c:v>1685.75</c:v>
                </c:pt>
                <c:pt idx="96">
                  <c:v>1685.8</c:v>
                </c:pt>
                <c:pt idx="97">
                  <c:v>1685.85</c:v>
                </c:pt>
                <c:pt idx="98">
                  <c:v>1685.9</c:v>
                </c:pt>
                <c:pt idx="99">
                  <c:v>1685.95</c:v>
                </c:pt>
                <c:pt idx="100">
                  <c:v>1686</c:v>
                </c:pt>
                <c:pt idx="101">
                  <c:v>1686.05</c:v>
                </c:pt>
                <c:pt idx="102">
                  <c:v>1686.1</c:v>
                </c:pt>
                <c:pt idx="103">
                  <c:v>1686.15</c:v>
                </c:pt>
                <c:pt idx="104">
                  <c:v>1686.2</c:v>
                </c:pt>
                <c:pt idx="105">
                  <c:v>1686.25</c:v>
                </c:pt>
                <c:pt idx="106">
                  <c:v>1686.3</c:v>
                </c:pt>
                <c:pt idx="107">
                  <c:v>1686.35</c:v>
                </c:pt>
                <c:pt idx="108">
                  <c:v>1686.4</c:v>
                </c:pt>
                <c:pt idx="109">
                  <c:v>1686.45</c:v>
                </c:pt>
                <c:pt idx="110">
                  <c:v>1686.5</c:v>
                </c:pt>
                <c:pt idx="111">
                  <c:v>1686.55</c:v>
                </c:pt>
                <c:pt idx="112">
                  <c:v>1686.6</c:v>
                </c:pt>
                <c:pt idx="113">
                  <c:v>1686.65</c:v>
                </c:pt>
                <c:pt idx="114">
                  <c:v>1686.7</c:v>
                </c:pt>
                <c:pt idx="115">
                  <c:v>1686.75</c:v>
                </c:pt>
                <c:pt idx="116">
                  <c:v>1686.8</c:v>
                </c:pt>
                <c:pt idx="117">
                  <c:v>1686.85</c:v>
                </c:pt>
                <c:pt idx="118">
                  <c:v>1686.9</c:v>
                </c:pt>
                <c:pt idx="119">
                  <c:v>1686.95</c:v>
                </c:pt>
                <c:pt idx="120">
                  <c:v>1687</c:v>
                </c:pt>
                <c:pt idx="121">
                  <c:v>1687.05</c:v>
                </c:pt>
                <c:pt idx="122">
                  <c:v>1687.1</c:v>
                </c:pt>
                <c:pt idx="123">
                  <c:v>1687.15</c:v>
                </c:pt>
                <c:pt idx="124">
                  <c:v>1687.2</c:v>
                </c:pt>
                <c:pt idx="125">
                  <c:v>1687.25</c:v>
                </c:pt>
                <c:pt idx="126">
                  <c:v>1687.3</c:v>
                </c:pt>
                <c:pt idx="127">
                  <c:v>1687.35</c:v>
                </c:pt>
                <c:pt idx="128">
                  <c:v>1687.4</c:v>
                </c:pt>
                <c:pt idx="129">
                  <c:v>1687.45</c:v>
                </c:pt>
                <c:pt idx="130">
                  <c:v>1687.5</c:v>
                </c:pt>
                <c:pt idx="131">
                  <c:v>1687.55</c:v>
                </c:pt>
                <c:pt idx="132">
                  <c:v>1687.6</c:v>
                </c:pt>
                <c:pt idx="133">
                  <c:v>1687.65</c:v>
                </c:pt>
                <c:pt idx="134">
                  <c:v>1687.7</c:v>
                </c:pt>
                <c:pt idx="135">
                  <c:v>1687.75</c:v>
                </c:pt>
                <c:pt idx="136">
                  <c:v>1687.8</c:v>
                </c:pt>
                <c:pt idx="137">
                  <c:v>1687.85</c:v>
                </c:pt>
                <c:pt idx="138">
                  <c:v>1687.9</c:v>
                </c:pt>
                <c:pt idx="139">
                  <c:v>1687.95</c:v>
                </c:pt>
                <c:pt idx="140">
                  <c:v>1688</c:v>
                </c:pt>
              </c:numCache>
            </c:numRef>
          </c:xVal>
          <c:yVal>
            <c:numRef>
              <c:f>'Ex 2 FULL 0 50 eV'!$I$3:$I$143</c:f>
              <c:numCache>
                <c:formatCode>0.00000000000</c:formatCode>
                <c:ptCount val="141"/>
                <c:pt idx="0">
                  <c:v>7.87976000229725E-4</c:v>
                </c:pt>
                <c:pt idx="1">
                  <c:v>8.2058766360420903E-4</c:v>
                </c:pt>
                <c:pt idx="2">
                  <c:v>8.5479271552429297E-4</c:v>
                </c:pt>
                <c:pt idx="3">
                  <c:v>8.9071343936604703E-4</c:v>
                </c:pt>
                <c:pt idx="4">
                  <c:v>9.2847858372412996E-4</c:v>
                </c:pt>
                <c:pt idx="5">
                  <c:v>9.6823432447511702E-4</c:v>
                </c:pt>
                <c:pt idx="6">
                  <c:v>1.0101405412136801E-3</c:v>
                </c:pt>
                <c:pt idx="7">
                  <c:v>1.0543758188392501E-3</c:v>
                </c:pt>
                <c:pt idx="8">
                  <c:v>1.1011398145780299E-3</c:v>
                </c:pt>
                <c:pt idx="9">
                  <c:v>1.15065454143946E-3</c:v>
                </c:pt>
                <c:pt idx="10">
                  <c:v>1.2031664982350501E-3</c:v>
                </c:pt>
                <c:pt idx="11">
                  <c:v>1.25894984338515E-3</c:v>
                </c:pt>
                <c:pt idx="12">
                  <c:v>1.3183188611452399E-3</c:v>
                </c:pt>
                <c:pt idx="13">
                  <c:v>1.38162996283886E-3</c:v>
                </c:pt>
                <c:pt idx="14">
                  <c:v>1.44928470933037E-3</c:v>
                </c:pt>
                <c:pt idx="15">
                  <c:v>1.5217389147336401E-3</c:v>
                </c:pt>
                <c:pt idx="16">
                  <c:v>1.5995155319849701E-3</c:v>
                </c:pt>
                <c:pt idx="17">
                  <c:v>1.68322149124147E-3</c:v>
                </c:pt>
                <c:pt idx="18">
                  <c:v>1.77355074134764E-3</c:v>
                </c:pt>
                <c:pt idx="19">
                  <c:v>1.87130835254383E-3</c:v>
                </c:pt>
                <c:pt idx="20">
                  <c:v>1.97744115148545E-3</c:v>
                </c:pt>
                <c:pt idx="21">
                  <c:v>2.0930634944291899E-3</c:v>
                </c:pt>
                <c:pt idx="22">
                  <c:v>2.21948977058094E-3</c:v>
                </c:pt>
                <c:pt idx="23">
                  <c:v>2.3582851708168701E-3</c:v>
                </c:pt>
                <c:pt idx="24">
                  <c:v>2.5113317578930199E-3</c:v>
                </c:pt>
                <c:pt idx="25">
                  <c:v>2.6809159855615398E-3</c:v>
                </c:pt>
                <c:pt idx="26">
                  <c:v>2.8698285740755298E-3</c:v>
                </c:pt>
                <c:pt idx="27">
                  <c:v>3.0815271769687098E-3</c:v>
                </c:pt>
                <c:pt idx="28">
                  <c:v>3.3203367739556601E-3</c:v>
                </c:pt>
                <c:pt idx="29">
                  <c:v>3.59173435873352E-3</c:v>
                </c:pt>
                <c:pt idx="30">
                  <c:v>3.9027647619729699E-3</c:v>
                </c:pt>
                <c:pt idx="31">
                  <c:v>4.2626482690576502E-3</c:v>
                </c:pt>
                <c:pt idx="32">
                  <c:v>4.6836771537741503E-3</c:v>
                </c:pt>
                <c:pt idx="33">
                  <c:v>5.1825871269549203E-3</c:v>
                </c:pt>
                <c:pt idx="34">
                  <c:v>5.7827726039933903E-3</c:v>
                </c:pt>
                <c:pt idx="35">
                  <c:v>6.5179370707269301E-3</c:v>
                </c:pt>
                <c:pt idx="36">
                  <c:v>7.4384104394721101E-3</c:v>
                </c:pt>
                <c:pt idx="37">
                  <c:v>8.6227632542506295E-3</c:v>
                </c:pt>
                <c:pt idx="38">
                  <c:v>1.02006326372705E-2</c:v>
                </c:pt>
                <c:pt idx="39">
                  <c:v>1.24017317506789E-2</c:v>
                </c:pt>
                <c:pt idx="40">
                  <c:v>1.56737699012497E-2</c:v>
                </c:pt>
                <c:pt idx="41">
                  <c:v>2.1012502588133801E-2</c:v>
                </c:pt>
                <c:pt idx="42">
                  <c:v>3.10708123349203E-2</c:v>
                </c:pt>
                <c:pt idx="43">
                  <c:v>5.37665374487842E-2</c:v>
                </c:pt>
                <c:pt idx="44">
                  <c:v>0.10220121162377201</c:v>
                </c:pt>
                <c:pt idx="45">
                  <c:v>0.16157651023368899</c:v>
                </c:pt>
                <c:pt idx="46">
                  <c:v>0.19097850067573699</c:v>
                </c:pt>
                <c:pt idx="47">
                  <c:v>0.19810687780573999</c:v>
                </c:pt>
                <c:pt idx="48">
                  <c:v>0.20047349538878201</c:v>
                </c:pt>
                <c:pt idx="49">
                  <c:v>0.201995139440135</c:v>
                </c:pt>
                <c:pt idx="50">
                  <c:v>0.202450718170643</c:v>
                </c:pt>
                <c:pt idx="51">
                  <c:v>0.201666479011682</c:v>
                </c:pt>
                <c:pt idx="52">
                  <c:v>0.19990451827783001</c:v>
                </c:pt>
                <c:pt idx="53">
                  <c:v>0.19762206464783799</c:v>
                </c:pt>
                <c:pt idx="54">
                  <c:v>0.19524877673628699</c:v>
                </c:pt>
                <c:pt idx="55">
                  <c:v>0.19305351344461599</c:v>
                </c:pt>
                <c:pt idx="56">
                  <c:v>0.191166171711243</c:v>
                </c:pt>
                <c:pt idx="57">
                  <c:v>0.18966581903225199</c:v>
                </c:pt>
                <c:pt idx="58">
                  <c:v>0.18861122832956101</c:v>
                </c:pt>
                <c:pt idx="59">
                  <c:v>0.18786019371628199</c:v>
                </c:pt>
                <c:pt idx="60">
                  <c:v>0.187223948680907</c:v>
                </c:pt>
                <c:pt idx="61">
                  <c:v>0.18661477129179599</c:v>
                </c:pt>
                <c:pt idx="62">
                  <c:v>0.18600481909047401</c:v>
                </c:pt>
                <c:pt idx="63">
                  <c:v>0.18538834888347699</c:v>
                </c:pt>
                <c:pt idx="64">
                  <c:v>0.18476886756779401</c:v>
                </c:pt>
                <c:pt idx="65">
                  <c:v>0.184153328425467</c:v>
                </c:pt>
                <c:pt idx="66">
                  <c:v>0.18354924767615799</c:v>
                </c:pt>
                <c:pt idx="67">
                  <c:v>0.18296328049198601</c:v>
                </c:pt>
                <c:pt idx="68">
                  <c:v>0.18240072031551999</c:v>
                </c:pt>
                <c:pt idx="69">
                  <c:v>0.18186498539499801</c:v>
                </c:pt>
                <c:pt idx="70">
                  <c:v>0.18135776180619501</c:v>
                </c:pt>
                <c:pt idx="71">
                  <c:v>0.18087994363626</c:v>
                </c:pt>
                <c:pt idx="72">
                  <c:v>0.180431672831634</c:v>
                </c:pt>
                <c:pt idx="73">
                  <c:v>0.18001225920420599</c:v>
                </c:pt>
                <c:pt idx="74">
                  <c:v>0.17962088853880401</c:v>
                </c:pt>
                <c:pt idx="75">
                  <c:v>0.17925639879397401</c:v>
                </c:pt>
                <c:pt idx="76">
                  <c:v>0.178917395056959</c:v>
                </c:pt>
                <c:pt idx="77">
                  <c:v>0.17860256668458499</c:v>
                </c:pt>
                <c:pt idx="78">
                  <c:v>0.178310484405169</c:v>
                </c:pt>
                <c:pt idx="79">
                  <c:v>0.178039628383618</c:v>
                </c:pt>
                <c:pt idx="80">
                  <c:v>0.17778863917976101</c:v>
                </c:pt>
                <c:pt idx="81">
                  <c:v>0.177556188316074</c:v>
                </c:pt>
                <c:pt idx="82">
                  <c:v>0.177341028122141</c:v>
                </c:pt>
                <c:pt idx="83">
                  <c:v>0.17714195284202999</c:v>
                </c:pt>
                <c:pt idx="84">
                  <c:v>0.17695783278001001</c:v>
                </c:pt>
                <c:pt idx="85">
                  <c:v>0.17678763365486999</c:v>
                </c:pt>
                <c:pt idx="86">
                  <c:v>0.176630356845033</c:v>
                </c:pt>
                <c:pt idx="87">
                  <c:v>0.176485055486679</c:v>
                </c:pt>
                <c:pt idx="88">
                  <c:v>0.17635086281260501</c:v>
                </c:pt>
                <c:pt idx="89">
                  <c:v>0.17622697772109699</c:v>
                </c:pt>
                <c:pt idx="90">
                  <c:v>0.17611264908834601</c:v>
                </c:pt>
                <c:pt idx="91">
                  <c:v>0.176007171829896</c:v>
                </c:pt>
                <c:pt idx="92">
                  <c:v>0.175909922115669</c:v>
                </c:pt>
                <c:pt idx="93">
                  <c:v>0.175820316526272</c:v>
                </c:pt>
                <c:pt idx="94">
                  <c:v>0.17573780462754601</c:v>
                </c:pt>
                <c:pt idx="95">
                  <c:v>0.17566187165497801</c:v>
                </c:pt>
                <c:pt idx="96">
                  <c:v>0.175592025303206</c:v>
                </c:pt>
                <c:pt idx="97">
                  <c:v>0.175527829670378</c:v>
                </c:pt>
                <c:pt idx="98">
                  <c:v>0.17546889464335599</c:v>
                </c:pt>
                <c:pt idx="99">
                  <c:v>0.175414836503309</c:v>
                </c:pt>
                <c:pt idx="100">
                  <c:v>0.17536529030385301</c:v>
                </c:pt>
                <c:pt idx="101">
                  <c:v>0.17531992575352001</c:v>
                </c:pt>
                <c:pt idx="102">
                  <c:v>0.17527846175042699</c:v>
                </c:pt>
                <c:pt idx="103">
                  <c:v>0.175240634999307</c:v>
                </c:pt>
                <c:pt idx="104">
                  <c:v>0.175206163434934</c:v>
                </c:pt>
                <c:pt idx="105">
                  <c:v>0.17517481080931899</c:v>
                </c:pt>
                <c:pt idx="106">
                  <c:v>0.175146354650212</c:v>
                </c:pt>
                <c:pt idx="107">
                  <c:v>0.175120578090002</c:v>
                </c:pt>
                <c:pt idx="108">
                  <c:v>0.17509728989179599</c:v>
                </c:pt>
                <c:pt idx="109">
                  <c:v>0.17507630968549201</c:v>
                </c:pt>
                <c:pt idx="110">
                  <c:v>0.17505746383710299</c:v>
                </c:pt>
                <c:pt idx="111">
                  <c:v>0.17504060369772201</c:v>
                </c:pt>
                <c:pt idx="112">
                  <c:v>0.17502558608544999</c:v>
                </c:pt>
                <c:pt idx="113">
                  <c:v>0.17501227022417201</c:v>
                </c:pt>
                <c:pt idx="114">
                  <c:v>0.17500053159512</c:v>
                </c:pt>
                <c:pt idx="115">
                  <c:v>0.17499024221349299</c:v>
                </c:pt>
                <c:pt idx="116">
                  <c:v>0.17498131412370499</c:v>
                </c:pt>
                <c:pt idx="117">
                  <c:v>0.17497365421363201</c:v>
                </c:pt>
                <c:pt idx="118">
                  <c:v>0.174967155171498</c:v>
                </c:pt>
                <c:pt idx="119">
                  <c:v>0.17496173056018199</c:v>
                </c:pt>
                <c:pt idx="120">
                  <c:v>0.17495729420879</c:v>
                </c:pt>
                <c:pt idx="121">
                  <c:v>0.174953772857561</c:v>
                </c:pt>
                <c:pt idx="122">
                  <c:v>0.17495109090262601</c:v>
                </c:pt>
                <c:pt idx="123">
                  <c:v>0.17494918086092301</c:v>
                </c:pt>
                <c:pt idx="124">
                  <c:v>0.17494799075293399</c:v>
                </c:pt>
                <c:pt idx="125">
                  <c:v>0.174947461535016</c:v>
                </c:pt>
                <c:pt idx="126">
                  <c:v>0.174947536751591</c:v>
                </c:pt>
                <c:pt idx="127">
                  <c:v>0.174948162654777</c:v>
                </c:pt>
                <c:pt idx="128">
                  <c:v>0.17494930001945999</c:v>
                </c:pt>
                <c:pt idx="129">
                  <c:v>0.17495090932381799</c:v>
                </c:pt>
                <c:pt idx="130">
                  <c:v>0.17495294585037399</c:v>
                </c:pt>
                <c:pt idx="131">
                  <c:v>0.17495537056910099</c:v>
                </c:pt>
                <c:pt idx="132">
                  <c:v>0.17495814475124799</c:v>
                </c:pt>
                <c:pt idx="133">
                  <c:v>0.174961233972802</c:v>
                </c:pt>
                <c:pt idx="134">
                  <c:v>0.17496460501567501</c:v>
                </c:pt>
                <c:pt idx="135">
                  <c:v>0.174968246630856</c:v>
                </c:pt>
                <c:pt idx="136">
                  <c:v>0.17497213158123101</c:v>
                </c:pt>
                <c:pt idx="137">
                  <c:v>0.17497623317560901</c:v>
                </c:pt>
                <c:pt idx="138">
                  <c:v>0.174980526926025</c:v>
                </c:pt>
                <c:pt idx="139">
                  <c:v>0.17498499103344001</c:v>
                </c:pt>
                <c:pt idx="140">
                  <c:v>0.174989601882728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C7-48AF-A8C2-4399E258DABE}"/>
            </c:ext>
          </c:extLst>
        </c:ser>
        <c:ser>
          <c:idx val="1"/>
          <c:order val="2"/>
          <c:tx>
            <c:v>SPACES-renorm</c:v>
          </c:tx>
          <c:spPr>
            <a:ln w="19050" cap="rnd">
              <a:solidFill>
                <a:schemeClr val="bg2">
                  <a:lumMod val="9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'Ex 2 FULL 0 50 eV'!$A$3:$A$144</c:f>
              <c:numCache>
                <c:formatCode>General</c:formatCode>
                <c:ptCount val="142"/>
                <c:pt idx="0">
                  <c:v>1678.7890400000001</c:v>
                </c:pt>
                <c:pt idx="1">
                  <c:v>1678.8357800000001</c:v>
                </c:pt>
                <c:pt idx="2">
                  <c:v>1678.8825099999999</c:v>
                </c:pt>
                <c:pt idx="3">
                  <c:v>1678.9292499999999</c:v>
                </c:pt>
                <c:pt idx="4">
                  <c:v>1678.9759899999999</c:v>
                </c:pt>
                <c:pt idx="5">
                  <c:v>1679.0227199999999</c:v>
                </c:pt>
                <c:pt idx="6">
                  <c:v>1679.0694599999999</c:v>
                </c:pt>
                <c:pt idx="7">
                  <c:v>1679.11619</c:v>
                </c:pt>
                <c:pt idx="8">
                  <c:v>1679.16293</c:v>
                </c:pt>
                <c:pt idx="9">
                  <c:v>1679.20966</c:v>
                </c:pt>
                <c:pt idx="10">
                  <c:v>1679.2564</c:v>
                </c:pt>
                <c:pt idx="11">
                  <c:v>1679.30313</c:v>
                </c:pt>
                <c:pt idx="12">
                  <c:v>1679.34987</c:v>
                </c:pt>
                <c:pt idx="13">
                  <c:v>1679.3966</c:v>
                </c:pt>
                <c:pt idx="14">
                  <c:v>1679.44334</c:v>
                </c:pt>
                <c:pt idx="15">
                  <c:v>1679.4900700000001</c:v>
                </c:pt>
                <c:pt idx="16">
                  <c:v>1679.5368100000001</c:v>
                </c:pt>
                <c:pt idx="17">
                  <c:v>1679.5835400000001</c:v>
                </c:pt>
                <c:pt idx="18">
                  <c:v>1679.6302800000001</c:v>
                </c:pt>
                <c:pt idx="19">
                  <c:v>1679.6770100000001</c:v>
                </c:pt>
                <c:pt idx="20">
                  <c:v>1679.7237500000001</c:v>
                </c:pt>
                <c:pt idx="21">
                  <c:v>1679.7704799999999</c:v>
                </c:pt>
                <c:pt idx="22">
                  <c:v>1679.8172199999999</c:v>
                </c:pt>
                <c:pt idx="23">
                  <c:v>1679.8639499999999</c:v>
                </c:pt>
                <c:pt idx="24">
                  <c:v>1679.9106899999999</c:v>
                </c:pt>
                <c:pt idx="25">
                  <c:v>1679.95742</c:v>
                </c:pt>
                <c:pt idx="26">
                  <c:v>1680.00416</c:v>
                </c:pt>
                <c:pt idx="27">
                  <c:v>1680.05089</c:v>
                </c:pt>
                <c:pt idx="28">
                  <c:v>1680.09763</c:v>
                </c:pt>
                <c:pt idx="29">
                  <c:v>1680.14436</c:v>
                </c:pt>
                <c:pt idx="30">
                  <c:v>1680.1911</c:v>
                </c:pt>
                <c:pt idx="31">
                  <c:v>1680.23783</c:v>
                </c:pt>
                <c:pt idx="32">
                  <c:v>1680.28457</c:v>
                </c:pt>
                <c:pt idx="33">
                  <c:v>1680.3313000000001</c:v>
                </c:pt>
                <c:pt idx="34">
                  <c:v>1680.3780400000001</c:v>
                </c:pt>
                <c:pt idx="35">
                  <c:v>1680.4247700000001</c:v>
                </c:pt>
                <c:pt idx="36">
                  <c:v>1680.4715100000001</c:v>
                </c:pt>
                <c:pt idx="37">
                  <c:v>1680.5182400000001</c:v>
                </c:pt>
                <c:pt idx="38">
                  <c:v>1680.5649800000001</c:v>
                </c:pt>
                <c:pt idx="39">
                  <c:v>1680.6117099999999</c:v>
                </c:pt>
                <c:pt idx="40">
                  <c:v>1680.6584499999999</c:v>
                </c:pt>
                <c:pt idx="41">
                  <c:v>1680.7051799999999</c:v>
                </c:pt>
                <c:pt idx="42">
                  <c:v>1680.7519199999999</c:v>
                </c:pt>
                <c:pt idx="43">
                  <c:v>1680.79865</c:v>
                </c:pt>
                <c:pt idx="44">
                  <c:v>1680.84539</c:v>
                </c:pt>
                <c:pt idx="45">
                  <c:v>1680.89213</c:v>
                </c:pt>
                <c:pt idx="46">
                  <c:v>1680.93886</c:v>
                </c:pt>
                <c:pt idx="47">
                  <c:v>1680.9856</c:v>
                </c:pt>
                <c:pt idx="48">
                  <c:v>1681.03233</c:v>
                </c:pt>
                <c:pt idx="49">
                  <c:v>1681.07907</c:v>
                </c:pt>
                <c:pt idx="50">
                  <c:v>1681.1258</c:v>
                </c:pt>
                <c:pt idx="51">
                  <c:v>1681.17254</c:v>
                </c:pt>
                <c:pt idx="52">
                  <c:v>1681.2192700000001</c:v>
                </c:pt>
                <c:pt idx="53">
                  <c:v>1681.2660100000001</c:v>
                </c:pt>
                <c:pt idx="54">
                  <c:v>1681.3127400000001</c:v>
                </c:pt>
                <c:pt idx="55">
                  <c:v>1681.3594800000001</c:v>
                </c:pt>
                <c:pt idx="56">
                  <c:v>1681.4062100000001</c:v>
                </c:pt>
                <c:pt idx="57">
                  <c:v>1681.4529500000001</c:v>
                </c:pt>
                <c:pt idx="58">
                  <c:v>1681.4996799999999</c:v>
                </c:pt>
                <c:pt idx="59">
                  <c:v>1681.5464199999999</c:v>
                </c:pt>
                <c:pt idx="60">
                  <c:v>1681.5931499999999</c:v>
                </c:pt>
                <c:pt idx="61">
                  <c:v>1681.6398899999999</c:v>
                </c:pt>
                <c:pt idx="62">
                  <c:v>1681.6866199999999</c:v>
                </c:pt>
                <c:pt idx="63">
                  <c:v>1681.7333599999999</c:v>
                </c:pt>
                <c:pt idx="64">
                  <c:v>1681.78009</c:v>
                </c:pt>
                <c:pt idx="65">
                  <c:v>1681.82683</c:v>
                </c:pt>
                <c:pt idx="66">
                  <c:v>1681.87356</c:v>
                </c:pt>
                <c:pt idx="67">
                  <c:v>1681.9203</c:v>
                </c:pt>
                <c:pt idx="68">
                  <c:v>1681.96703</c:v>
                </c:pt>
                <c:pt idx="69">
                  <c:v>1682.01377</c:v>
                </c:pt>
                <c:pt idx="70">
                  <c:v>1682.0605</c:v>
                </c:pt>
                <c:pt idx="71">
                  <c:v>1682.10724</c:v>
                </c:pt>
                <c:pt idx="72">
                  <c:v>1682.1539700000001</c:v>
                </c:pt>
                <c:pt idx="73">
                  <c:v>1682.2007100000001</c:v>
                </c:pt>
                <c:pt idx="74">
                  <c:v>1682.2474400000001</c:v>
                </c:pt>
                <c:pt idx="75">
                  <c:v>1682.2941800000001</c:v>
                </c:pt>
                <c:pt idx="76">
                  <c:v>1682.3409099999999</c:v>
                </c:pt>
                <c:pt idx="77">
                  <c:v>1682.3876499999999</c:v>
                </c:pt>
                <c:pt idx="78">
                  <c:v>1682.4343799999999</c:v>
                </c:pt>
                <c:pt idx="79">
                  <c:v>1682.4811199999999</c:v>
                </c:pt>
                <c:pt idx="80">
                  <c:v>1682.5278499999999</c:v>
                </c:pt>
                <c:pt idx="81">
                  <c:v>1682.5745899999999</c:v>
                </c:pt>
                <c:pt idx="82">
                  <c:v>1682.62132</c:v>
                </c:pt>
                <c:pt idx="83">
                  <c:v>1682.66806</c:v>
                </c:pt>
                <c:pt idx="84">
                  <c:v>1682.71479</c:v>
                </c:pt>
                <c:pt idx="85">
                  <c:v>1682.76153</c:v>
                </c:pt>
                <c:pt idx="86">
                  <c:v>1682.80826</c:v>
                </c:pt>
                <c:pt idx="87">
                  <c:v>1682.855</c:v>
                </c:pt>
                <c:pt idx="88">
                  <c:v>1682.90174</c:v>
                </c:pt>
                <c:pt idx="89">
                  <c:v>1682.94847</c:v>
                </c:pt>
                <c:pt idx="90">
                  <c:v>1682.99521</c:v>
                </c:pt>
                <c:pt idx="91">
                  <c:v>1683.0419400000001</c:v>
                </c:pt>
                <c:pt idx="92">
                  <c:v>1683.0886800000001</c:v>
                </c:pt>
                <c:pt idx="93">
                  <c:v>1683.1354100000001</c:v>
                </c:pt>
                <c:pt idx="94">
                  <c:v>1683.1821500000001</c:v>
                </c:pt>
                <c:pt idx="95">
                  <c:v>1683.2288799999999</c:v>
                </c:pt>
                <c:pt idx="96">
                  <c:v>1683.2756199999999</c:v>
                </c:pt>
                <c:pt idx="97">
                  <c:v>1683.3223499999999</c:v>
                </c:pt>
                <c:pt idx="98">
                  <c:v>1683.3690899999999</c:v>
                </c:pt>
                <c:pt idx="99">
                  <c:v>1683.4158199999999</c:v>
                </c:pt>
                <c:pt idx="100">
                  <c:v>1683.4625599999999</c:v>
                </c:pt>
                <c:pt idx="101">
                  <c:v>1683.50929</c:v>
                </c:pt>
                <c:pt idx="102">
                  <c:v>1683.55603</c:v>
                </c:pt>
                <c:pt idx="103">
                  <c:v>1683.60276</c:v>
                </c:pt>
                <c:pt idx="104">
                  <c:v>1683.6495</c:v>
                </c:pt>
                <c:pt idx="105">
                  <c:v>1683.69623</c:v>
                </c:pt>
                <c:pt idx="106">
                  <c:v>1683.74297</c:v>
                </c:pt>
                <c:pt idx="107">
                  <c:v>1683.7897</c:v>
                </c:pt>
                <c:pt idx="108">
                  <c:v>1683.83644</c:v>
                </c:pt>
                <c:pt idx="109">
                  <c:v>1683.8831700000001</c:v>
                </c:pt>
                <c:pt idx="110">
                  <c:v>1683.9299100000001</c:v>
                </c:pt>
                <c:pt idx="111">
                  <c:v>1683.9766400000001</c:v>
                </c:pt>
                <c:pt idx="112">
                  <c:v>1684.0233800000001</c:v>
                </c:pt>
                <c:pt idx="113">
                  <c:v>1684.0701100000001</c:v>
                </c:pt>
                <c:pt idx="114">
                  <c:v>1684.1168500000001</c:v>
                </c:pt>
                <c:pt idx="115">
                  <c:v>1684.1635799999999</c:v>
                </c:pt>
                <c:pt idx="116">
                  <c:v>1684.2103199999999</c:v>
                </c:pt>
                <c:pt idx="117">
                  <c:v>1684.2570499999999</c:v>
                </c:pt>
                <c:pt idx="118">
                  <c:v>1684.3037899999999</c:v>
                </c:pt>
                <c:pt idx="119">
                  <c:v>1684.35052</c:v>
                </c:pt>
                <c:pt idx="120">
                  <c:v>1684.39726</c:v>
                </c:pt>
                <c:pt idx="121">
                  <c:v>1684.44399</c:v>
                </c:pt>
                <c:pt idx="122">
                  <c:v>1684.49073</c:v>
                </c:pt>
                <c:pt idx="123">
                  <c:v>1684.53746</c:v>
                </c:pt>
                <c:pt idx="124">
                  <c:v>1684.5842</c:v>
                </c:pt>
                <c:pt idx="125">
                  <c:v>1684.63093</c:v>
                </c:pt>
                <c:pt idx="126">
                  <c:v>1684.67767</c:v>
                </c:pt>
                <c:pt idx="127">
                  <c:v>1684.7244000000001</c:v>
                </c:pt>
                <c:pt idx="128">
                  <c:v>1684.7711400000001</c:v>
                </c:pt>
                <c:pt idx="129">
                  <c:v>1684.8178800000001</c:v>
                </c:pt>
                <c:pt idx="130">
                  <c:v>1684.8646100000001</c:v>
                </c:pt>
                <c:pt idx="131">
                  <c:v>1684.9113500000001</c:v>
                </c:pt>
                <c:pt idx="132">
                  <c:v>1684.9580800000001</c:v>
                </c:pt>
                <c:pt idx="133">
                  <c:v>1685.0048200000001</c:v>
                </c:pt>
                <c:pt idx="134">
                  <c:v>1685.0515499999999</c:v>
                </c:pt>
                <c:pt idx="135">
                  <c:v>1685.0982899999999</c:v>
                </c:pt>
                <c:pt idx="136">
                  <c:v>1685.1450199999999</c:v>
                </c:pt>
                <c:pt idx="137">
                  <c:v>1685.1917599999999</c:v>
                </c:pt>
                <c:pt idx="138">
                  <c:v>1685.23849</c:v>
                </c:pt>
                <c:pt idx="139">
                  <c:v>1685.28523</c:v>
                </c:pt>
                <c:pt idx="140">
                  <c:v>1685.33196</c:v>
                </c:pt>
                <c:pt idx="141">
                  <c:v>1685.3787</c:v>
                </c:pt>
              </c:numCache>
            </c:numRef>
          </c:xVal>
          <c:yVal>
            <c:numRef>
              <c:f>'Ex 2 FULL 0 50 eV'!$C$3:$C$144</c:f>
              <c:numCache>
                <c:formatCode>0.00E+00</c:formatCode>
                <c:ptCount val="142"/>
                <c:pt idx="0">
                  <c:v>2.4281999999999999E-5</c:v>
                </c:pt>
                <c:pt idx="1">
                  <c:v>3.0281499999999998E-5</c:v>
                </c:pt>
                <c:pt idx="2">
                  <c:v>4.0363500000000001E-5</c:v>
                </c:pt>
                <c:pt idx="3">
                  <c:v>5.0108249999999992E-5</c:v>
                </c:pt>
                <c:pt idx="4">
                  <c:v>5.9675499999999995E-5</c:v>
                </c:pt>
                <c:pt idx="5">
                  <c:v>6.917174999999999E-5</c:v>
                </c:pt>
                <c:pt idx="6">
                  <c:v>7.8650249999999991E-5</c:v>
                </c:pt>
                <c:pt idx="7">
                  <c:v>8.8182000000000004E-5</c:v>
                </c:pt>
                <c:pt idx="8">
                  <c:v>9.7802499999999991E-5</c:v>
                </c:pt>
                <c:pt idx="9">
                  <c:v>1.0749399999999998E-4</c:v>
                </c:pt>
                <c:pt idx="10">
                  <c:v>1.173275E-4</c:v>
                </c:pt>
                <c:pt idx="11">
                  <c:v>1.27303E-4</c:v>
                </c:pt>
                <c:pt idx="12">
                  <c:v>1.3743824999999998E-4</c:v>
                </c:pt>
                <c:pt idx="13">
                  <c:v>1.4775099999999998E-4</c:v>
                </c:pt>
                <c:pt idx="14">
                  <c:v>1.5824125E-4</c:v>
                </c:pt>
                <c:pt idx="15">
                  <c:v>1.6896224999999999E-4</c:v>
                </c:pt>
                <c:pt idx="16">
                  <c:v>1.7998499999999996E-4</c:v>
                </c:pt>
                <c:pt idx="17">
                  <c:v>1.9098999999999999E-4</c:v>
                </c:pt>
                <c:pt idx="18">
                  <c:v>2.0252750000000002E-4</c:v>
                </c:pt>
                <c:pt idx="19">
                  <c:v>2.1424249999999999E-4</c:v>
                </c:pt>
                <c:pt idx="20">
                  <c:v>2.2613499999999998E-4</c:v>
                </c:pt>
                <c:pt idx="21">
                  <c:v>2.3838249999999999E-4</c:v>
                </c:pt>
                <c:pt idx="22">
                  <c:v>2.5098499999999996E-4</c:v>
                </c:pt>
                <c:pt idx="23">
                  <c:v>2.6394249999999998E-4</c:v>
                </c:pt>
                <c:pt idx="24">
                  <c:v>2.7725500000000001E-4</c:v>
                </c:pt>
                <c:pt idx="25">
                  <c:v>2.9074499999999997E-4</c:v>
                </c:pt>
                <c:pt idx="26">
                  <c:v>3.0476749999999996E-4</c:v>
                </c:pt>
                <c:pt idx="27">
                  <c:v>3.1914499999999995E-4</c:v>
                </c:pt>
                <c:pt idx="28">
                  <c:v>3.3405499999999999E-4</c:v>
                </c:pt>
                <c:pt idx="29">
                  <c:v>3.4932000000000002E-4</c:v>
                </c:pt>
                <c:pt idx="30">
                  <c:v>3.6511749999999993E-4</c:v>
                </c:pt>
                <c:pt idx="31">
                  <c:v>3.8127000000000001E-4</c:v>
                </c:pt>
                <c:pt idx="32">
                  <c:v>3.9795499999999997E-4</c:v>
                </c:pt>
                <c:pt idx="33">
                  <c:v>4.1534999999999999E-4</c:v>
                </c:pt>
                <c:pt idx="34">
                  <c:v>4.3309999999999996E-4</c:v>
                </c:pt>
                <c:pt idx="35">
                  <c:v>4.5155999999999994E-4</c:v>
                </c:pt>
                <c:pt idx="36">
                  <c:v>4.7072999999999993E-4</c:v>
                </c:pt>
                <c:pt idx="37">
                  <c:v>4.9043249999999991E-4</c:v>
                </c:pt>
                <c:pt idx="38">
                  <c:v>5.1084500000000001E-4</c:v>
                </c:pt>
                <c:pt idx="39">
                  <c:v>5.3196750000000001E-4</c:v>
                </c:pt>
                <c:pt idx="40">
                  <c:v>5.5397749999999994E-4</c:v>
                </c:pt>
                <c:pt idx="41">
                  <c:v>5.7687499999999991E-4</c:v>
                </c:pt>
                <c:pt idx="42">
                  <c:v>6.0048250000000001E-4</c:v>
                </c:pt>
                <c:pt idx="43">
                  <c:v>6.2515499999999996E-4</c:v>
                </c:pt>
                <c:pt idx="44">
                  <c:v>6.5071499999999995E-4</c:v>
                </c:pt>
                <c:pt idx="45">
                  <c:v>6.7733999999999991E-4</c:v>
                </c:pt>
                <c:pt idx="46">
                  <c:v>7.0520749999999997E-4</c:v>
                </c:pt>
                <c:pt idx="47">
                  <c:v>7.3413999999999999E-4</c:v>
                </c:pt>
                <c:pt idx="48">
                  <c:v>7.64315E-4</c:v>
                </c:pt>
                <c:pt idx="49">
                  <c:v>7.9590999999999993E-4</c:v>
                </c:pt>
                <c:pt idx="50">
                  <c:v>8.2892499999999989E-4</c:v>
                </c:pt>
                <c:pt idx="51">
                  <c:v>8.635375E-4</c:v>
                </c:pt>
                <c:pt idx="52">
                  <c:v>8.9974749999999996E-4</c:v>
                </c:pt>
                <c:pt idx="53">
                  <c:v>9.3773249999999999E-4</c:v>
                </c:pt>
                <c:pt idx="54">
                  <c:v>9.774924999999999E-4</c:v>
                </c:pt>
                <c:pt idx="55">
                  <c:v>1.0193824999999998E-3</c:v>
                </c:pt>
                <c:pt idx="56">
                  <c:v>1.0637575E-3</c:v>
                </c:pt>
                <c:pt idx="57">
                  <c:v>1.1102625000000001E-3</c:v>
                </c:pt>
                <c:pt idx="58">
                  <c:v>1.1592525000000001E-3</c:v>
                </c:pt>
                <c:pt idx="59">
                  <c:v>1.21126E-3</c:v>
                </c:pt>
                <c:pt idx="60">
                  <c:v>1.2662849999999998E-3</c:v>
                </c:pt>
                <c:pt idx="61">
                  <c:v>1.3245049999999999E-3</c:v>
                </c:pt>
                <c:pt idx="62">
                  <c:v>1.3864525E-3</c:v>
                </c:pt>
                <c:pt idx="63">
                  <c:v>1.4524824999999999E-3</c:v>
                </c:pt>
                <c:pt idx="64">
                  <c:v>1.5227724999999999E-3</c:v>
                </c:pt>
                <c:pt idx="65">
                  <c:v>1.5978549999999998E-3</c:v>
                </c:pt>
                <c:pt idx="66">
                  <c:v>1.6782625E-3</c:v>
                </c:pt>
                <c:pt idx="67">
                  <c:v>1.7645274999999998E-3</c:v>
                </c:pt>
                <c:pt idx="68">
                  <c:v>1.8566500000000001E-3</c:v>
                </c:pt>
                <c:pt idx="69">
                  <c:v>1.9578249999999998E-3</c:v>
                </c:pt>
                <c:pt idx="70">
                  <c:v>2.0661E-3</c:v>
                </c:pt>
                <c:pt idx="71">
                  <c:v>2.1832499999999999E-3</c:v>
                </c:pt>
                <c:pt idx="72">
                  <c:v>2.3110499999999998E-3</c:v>
                </c:pt>
                <c:pt idx="73">
                  <c:v>2.4512749999999997E-3</c:v>
                </c:pt>
                <c:pt idx="74">
                  <c:v>2.603925E-3</c:v>
                </c:pt>
                <c:pt idx="75">
                  <c:v>2.7743250000000002E-3</c:v>
                </c:pt>
                <c:pt idx="76">
                  <c:v>2.9606999999999997E-3</c:v>
                </c:pt>
                <c:pt idx="77">
                  <c:v>3.1683750000000002E-3</c:v>
                </c:pt>
                <c:pt idx="78">
                  <c:v>3.4008999999999997E-3</c:v>
                </c:pt>
                <c:pt idx="79">
                  <c:v>3.6618249999999996E-3</c:v>
                </c:pt>
                <c:pt idx="80">
                  <c:v>3.9600249999999998E-3</c:v>
                </c:pt>
                <c:pt idx="81">
                  <c:v>4.2972749999999997E-3</c:v>
                </c:pt>
                <c:pt idx="82">
                  <c:v>4.6877749999999999E-3</c:v>
                </c:pt>
                <c:pt idx="83">
                  <c:v>5.1403999999999998E-3</c:v>
                </c:pt>
                <c:pt idx="84">
                  <c:v>5.6764499999999996E-3</c:v>
                </c:pt>
                <c:pt idx="85">
                  <c:v>6.3118999999999996E-3</c:v>
                </c:pt>
                <c:pt idx="86">
                  <c:v>7.0840249999999999E-3</c:v>
                </c:pt>
                <c:pt idx="87">
                  <c:v>8.0354249999999988E-3</c:v>
                </c:pt>
                <c:pt idx="88">
                  <c:v>9.2388749999999988E-3</c:v>
                </c:pt>
                <c:pt idx="89">
                  <c:v>1.0799099999999999E-2</c:v>
                </c:pt>
                <c:pt idx="90">
                  <c:v>1.2893599999999998E-2</c:v>
                </c:pt>
                <c:pt idx="91">
                  <c:v>1.5838325E-2</c:v>
                </c:pt>
                <c:pt idx="92">
                  <c:v>2.0252749999999996E-2</c:v>
                </c:pt>
                <c:pt idx="93">
                  <c:v>2.7406E-2</c:v>
                </c:pt>
                <c:pt idx="94">
                  <c:v>4.0594249999999998E-2</c:v>
                </c:pt>
                <c:pt idx="95">
                  <c:v>6.9651000000000005E-2</c:v>
                </c:pt>
                <c:pt idx="96">
                  <c:v>0.14129</c:v>
                </c:pt>
                <c:pt idx="97">
                  <c:v>0.22791</c:v>
                </c:pt>
                <c:pt idx="98">
                  <c:v>0.2433525</c:v>
                </c:pt>
                <c:pt idx="99">
                  <c:v>0.23607500000000001</c:v>
                </c:pt>
                <c:pt idx="100">
                  <c:v>0.22844249999999997</c:v>
                </c:pt>
                <c:pt idx="101">
                  <c:v>0.22205249999999996</c:v>
                </c:pt>
                <c:pt idx="102">
                  <c:v>0.21690499999999999</c:v>
                </c:pt>
                <c:pt idx="103">
                  <c:v>0.2124675</c:v>
                </c:pt>
                <c:pt idx="104">
                  <c:v>0.20891750000000001</c:v>
                </c:pt>
                <c:pt idx="105">
                  <c:v>0.20589999999999997</c:v>
                </c:pt>
                <c:pt idx="106">
                  <c:v>0.20305999999999996</c:v>
                </c:pt>
                <c:pt idx="107">
                  <c:v>0.2007525</c:v>
                </c:pt>
                <c:pt idx="108">
                  <c:v>0.19862249999999998</c:v>
                </c:pt>
                <c:pt idx="109">
                  <c:v>0.19684749999999998</c:v>
                </c:pt>
                <c:pt idx="110">
                  <c:v>0.19507249999999998</c:v>
                </c:pt>
                <c:pt idx="111">
                  <c:v>0.19347500000000001</c:v>
                </c:pt>
                <c:pt idx="112">
                  <c:v>0.19223249999999997</c:v>
                </c:pt>
                <c:pt idx="113">
                  <c:v>0.19098999999999999</c:v>
                </c:pt>
                <c:pt idx="114">
                  <c:v>0.18974749999999999</c:v>
                </c:pt>
                <c:pt idx="115">
                  <c:v>0.18886</c:v>
                </c:pt>
                <c:pt idx="116">
                  <c:v>0.18779499999999999</c:v>
                </c:pt>
                <c:pt idx="117">
                  <c:v>0.187085</c:v>
                </c:pt>
                <c:pt idx="118">
                  <c:v>0.18619749999999999</c:v>
                </c:pt>
                <c:pt idx="119">
                  <c:v>0.18548749999999997</c:v>
                </c:pt>
                <c:pt idx="120">
                  <c:v>0.18477749999999998</c:v>
                </c:pt>
                <c:pt idx="121">
                  <c:v>0.18424499999999999</c:v>
                </c:pt>
                <c:pt idx="122">
                  <c:v>0.183535</c:v>
                </c:pt>
                <c:pt idx="123">
                  <c:v>0.18300249999999998</c:v>
                </c:pt>
                <c:pt idx="124">
                  <c:v>0.18246999999999999</c:v>
                </c:pt>
                <c:pt idx="125">
                  <c:v>0.18193749999999997</c:v>
                </c:pt>
                <c:pt idx="126">
                  <c:v>0.18158249999999998</c:v>
                </c:pt>
                <c:pt idx="127">
                  <c:v>0.18122749999999999</c:v>
                </c:pt>
                <c:pt idx="128">
                  <c:v>0.18087249999999996</c:v>
                </c:pt>
                <c:pt idx="129">
                  <c:v>0.18051749999999997</c:v>
                </c:pt>
                <c:pt idx="130">
                  <c:v>0.18016249999999998</c:v>
                </c:pt>
                <c:pt idx="131">
                  <c:v>0.17980749999999998</c:v>
                </c:pt>
                <c:pt idx="132">
                  <c:v>0.17945249999999996</c:v>
                </c:pt>
                <c:pt idx="133">
                  <c:v>0.17927499999999999</c:v>
                </c:pt>
                <c:pt idx="134">
                  <c:v>0.17909749999999997</c:v>
                </c:pt>
                <c:pt idx="135">
                  <c:v>0.17874249999999997</c:v>
                </c:pt>
                <c:pt idx="136">
                  <c:v>0.178565</c:v>
                </c:pt>
                <c:pt idx="137">
                  <c:v>0.17838749999999998</c:v>
                </c:pt>
                <c:pt idx="138">
                  <c:v>0.17820999999999998</c:v>
                </c:pt>
                <c:pt idx="139">
                  <c:v>0.17803249999999998</c:v>
                </c:pt>
                <c:pt idx="140">
                  <c:v>0.17785499999999999</c:v>
                </c:pt>
                <c:pt idx="141">
                  <c:v>0.17767749999999996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7C7-48AF-A8C2-4399E258DABE}"/>
            </c:ext>
          </c:extLst>
        </c:ser>
        <c:ser>
          <c:idx val="4"/>
          <c:order val="3"/>
          <c:tx>
            <c:v>ERYA</c:v>
          </c:tx>
          <c:spPr>
            <a:ln w="19050" cap="rnd">
              <a:solidFill>
                <a:srgbClr val="92D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xVal>
            <c:numRef>
              <c:f>'Ex 2 FULL 0 50 eV'!$L$3:$L$123</c:f>
              <c:numCache>
                <c:formatCode>General</c:formatCode>
                <c:ptCount val="121"/>
                <c:pt idx="0">
                  <c:v>1682</c:v>
                </c:pt>
                <c:pt idx="1">
                  <c:v>1682.05</c:v>
                </c:pt>
                <c:pt idx="2">
                  <c:v>1682.1</c:v>
                </c:pt>
                <c:pt idx="3">
                  <c:v>1682.15</c:v>
                </c:pt>
                <c:pt idx="4">
                  <c:v>1682.2</c:v>
                </c:pt>
                <c:pt idx="5">
                  <c:v>1682.25</c:v>
                </c:pt>
                <c:pt idx="6">
                  <c:v>1682.3</c:v>
                </c:pt>
                <c:pt idx="7">
                  <c:v>1682.35</c:v>
                </c:pt>
                <c:pt idx="8">
                  <c:v>1682.4</c:v>
                </c:pt>
                <c:pt idx="9">
                  <c:v>1682.45</c:v>
                </c:pt>
                <c:pt idx="10">
                  <c:v>1682.5</c:v>
                </c:pt>
                <c:pt idx="11">
                  <c:v>1682.55</c:v>
                </c:pt>
                <c:pt idx="12">
                  <c:v>1682.6</c:v>
                </c:pt>
                <c:pt idx="13">
                  <c:v>1682.65</c:v>
                </c:pt>
                <c:pt idx="14">
                  <c:v>1682.7</c:v>
                </c:pt>
                <c:pt idx="15">
                  <c:v>1682.75</c:v>
                </c:pt>
                <c:pt idx="16">
                  <c:v>1682.8</c:v>
                </c:pt>
                <c:pt idx="17">
                  <c:v>1682.85</c:v>
                </c:pt>
                <c:pt idx="18">
                  <c:v>1682.9</c:v>
                </c:pt>
                <c:pt idx="19">
                  <c:v>1682.95</c:v>
                </c:pt>
                <c:pt idx="20">
                  <c:v>1683</c:v>
                </c:pt>
                <c:pt idx="21">
                  <c:v>1683.05</c:v>
                </c:pt>
                <c:pt idx="22">
                  <c:v>1683.1</c:v>
                </c:pt>
                <c:pt idx="23">
                  <c:v>1683.15</c:v>
                </c:pt>
                <c:pt idx="24">
                  <c:v>1683.2</c:v>
                </c:pt>
                <c:pt idx="25">
                  <c:v>1683.25</c:v>
                </c:pt>
                <c:pt idx="26">
                  <c:v>1683.3</c:v>
                </c:pt>
                <c:pt idx="27">
                  <c:v>1683.35</c:v>
                </c:pt>
                <c:pt idx="28">
                  <c:v>1683.4</c:v>
                </c:pt>
                <c:pt idx="29">
                  <c:v>1683.45</c:v>
                </c:pt>
                <c:pt idx="30">
                  <c:v>1683.5</c:v>
                </c:pt>
                <c:pt idx="31">
                  <c:v>1683.55</c:v>
                </c:pt>
                <c:pt idx="32">
                  <c:v>1683.6</c:v>
                </c:pt>
                <c:pt idx="33">
                  <c:v>1683.65</c:v>
                </c:pt>
                <c:pt idx="34">
                  <c:v>1683.7</c:v>
                </c:pt>
                <c:pt idx="35">
                  <c:v>1683.75</c:v>
                </c:pt>
                <c:pt idx="36">
                  <c:v>1683.8</c:v>
                </c:pt>
                <c:pt idx="37">
                  <c:v>1683.85</c:v>
                </c:pt>
                <c:pt idx="38">
                  <c:v>1683.9</c:v>
                </c:pt>
                <c:pt idx="39">
                  <c:v>1683.95</c:v>
                </c:pt>
                <c:pt idx="40">
                  <c:v>1684</c:v>
                </c:pt>
                <c:pt idx="41">
                  <c:v>1684.05</c:v>
                </c:pt>
                <c:pt idx="42">
                  <c:v>1684.1</c:v>
                </c:pt>
                <c:pt idx="43">
                  <c:v>1684.15</c:v>
                </c:pt>
                <c:pt idx="44">
                  <c:v>1684.2</c:v>
                </c:pt>
                <c:pt idx="45">
                  <c:v>1684.25</c:v>
                </c:pt>
                <c:pt idx="46">
                  <c:v>1684.3</c:v>
                </c:pt>
                <c:pt idx="47">
                  <c:v>1684.35</c:v>
                </c:pt>
                <c:pt idx="48">
                  <c:v>1684.4</c:v>
                </c:pt>
                <c:pt idx="49">
                  <c:v>1684.45</c:v>
                </c:pt>
                <c:pt idx="50">
                  <c:v>1684.5</c:v>
                </c:pt>
                <c:pt idx="51">
                  <c:v>1684.55</c:v>
                </c:pt>
                <c:pt idx="52">
                  <c:v>1684.6</c:v>
                </c:pt>
                <c:pt idx="53">
                  <c:v>1684.65</c:v>
                </c:pt>
                <c:pt idx="54">
                  <c:v>1684.7</c:v>
                </c:pt>
                <c:pt idx="55">
                  <c:v>1684.75</c:v>
                </c:pt>
                <c:pt idx="56">
                  <c:v>1684.8</c:v>
                </c:pt>
                <c:pt idx="57">
                  <c:v>1684.85</c:v>
                </c:pt>
                <c:pt idx="58">
                  <c:v>1684.9</c:v>
                </c:pt>
                <c:pt idx="59">
                  <c:v>1684.95</c:v>
                </c:pt>
                <c:pt idx="60">
                  <c:v>1685</c:v>
                </c:pt>
                <c:pt idx="61">
                  <c:v>1685.05</c:v>
                </c:pt>
                <c:pt idx="62">
                  <c:v>1685.1</c:v>
                </c:pt>
                <c:pt idx="63">
                  <c:v>1685.15</c:v>
                </c:pt>
                <c:pt idx="64">
                  <c:v>1685.2</c:v>
                </c:pt>
                <c:pt idx="65">
                  <c:v>1685.25</c:v>
                </c:pt>
                <c:pt idx="66">
                  <c:v>1685.3</c:v>
                </c:pt>
                <c:pt idx="67">
                  <c:v>1685.35</c:v>
                </c:pt>
                <c:pt idx="68">
                  <c:v>1685.4</c:v>
                </c:pt>
                <c:pt idx="69">
                  <c:v>1685.45</c:v>
                </c:pt>
                <c:pt idx="70">
                  <c:v>1685.5</c:v>
                </c:pt>
                <c:pt idx="71">
                  <c:v>1685.55</c:v>
                </c:pt>
                <c:pt idx="72">
                  <c:v>1685.6</c:v>
                </c:pt>
                <c:pt idx="73">
                  <c:v>1685.65</c:v>
                </c:pt>
                <c:pt idx="74">
                  <c:v>1685.7</c:v>
                </c:pt>
                <c:pt idx="75">
                  <c:v>1685.75</c:v>
                </c:pt>
                <c:pt idx="76">
                  <c:v>1685.8</c:v>
                </c:pt>
                <c:pt idx="77">
                  <c:v>1685.85</c:v>
                </c:pt>
                <c:pt idx="78">
                  <c:v>1685.9</c:v>
                </c:pt>
                <c:pt idx="79">
                  <c:v>1685.95</c:v>
                </c:pt>
                <c:pt idx="80">
                  <c:v>1686</c:v>
                </c:pt>
                <c:pt idx="81">
                  <c:v>1686.05</c:v>
                </c:pt>
                <c:pt idx="82">
                  <c:v>1686.1</c:v>
                </c:pt>
                <c:pt idx="83">
                  <c:v>1686.15</c:v>
                </c:pt>
                <c:pt idx="84">
                  <c:v>1686.2</c:v>
                </c:pt>
                <c:pt idx="85">
                  <c:v>1686.25</c:v>
                </c:pt>
                <c:pt idx="86">
                  <c:v>1686.3</c:v>
                </c:pt>
                <c:pt idx="87">
                  <c:v>1686.35</c:v>
                </c:pt>
                <c:pt idx="88">
                  <c:v>1686.4</c:v>
                </c:pt>
                <c:pt idx="89">
                  <c:v>1686.45</c:v>
                </c:pt>
                <c:pt idx="90">
                  <c:v>1686.5</c:v>
                </c:pt>
                <c:pt idx="91">
                  <c:v>1686.55</c:v>
                </c:pt>
                <c:pt idx="92">
                  <c:v>1686.6</c:v>
                </c:pt>
                <c:pt idx="93">
                  <c:v>1686.65</c:v>
                </c:pt>
                <c:pt idx="94">
                  <c:v>1686.7</c:v>
                </c:pt>
                <c:pt idx="95">
                  <c:v>1686.75</c:v>
                </c:pt>
                <c:pt idx="96">
                  <c:v>1686.8</c:v>
                </c:pt>
                <c:pt idx="97">
                  <c:v>1686.85</c:v>
                </c:pt>
                <c:pt idx="98">
                  <c:v>1686.9</c:v>
                </c:pt>
                <c:pt idx="99">
                  <c:v>1686.95</c:v>
                </c:pt>
                <c:pt idx="100">
                  <c:v>1687</c:v>
                </c:pt>
                <c:pt idx="101">
                  <c:v>1687.05</c:v>
                </c:pt>
                <c:pt idx="102">
                  <c:v>1687.1</c:v>
                </c:pt>
                <c:pt idx="103">
                  <c:v>1687.15</c:v>
                </c:pt>
                <c:pt idx="104">
                  <c:v>1687.2</c:v>
                </c:pt>
                <c:pt idx="105">
                  <c:v>1687.25</c:v>
                </c:pt>
                <c:pt idx="106">
                  <c:v>1687.3</c:v>
                </c:pt>
                <c:pt idx="107">
                  <c:v>1687.35</c:v>
                </c:pt>
                <c:pt idx="108">
                  <c:v>1687.4</c:v>
                </c:pt>
                <c:pt idx="109">
                  <c:v>1687.45</c:v>
                </c:pt>
                <c:pt idx="110">
                  <c:v>1687.5</c:v>
                </c:pt>
                <c:pt idx="111">
                  <c:v>1687.55</c:v>
                </c:pt>
                <c:pt idx="112">
                  <c:v>1687.6</c:v>
                </c:pt>
                <c:pt idx="113">
                  <c:v>1687.65</c:v>
                </c:pt>
                <c:pt idx="114">
                  <c:v>1687.7</c:v>
                </c:pt>
                <c:pt idx="115">
                  <c:v>1687.75</c:v>
                </c:pt>
                <c:pt idx="116">
                  <c:v>1687.8</c:v>
                </c:pt>
                <c:pt idx="117">
                  <c:v>1687.85</c:v>
                </c:pt>
                <c:pt idx="118">
                  <c:v>1687.9</c:v>
                </c:pt>
                <c:pt idx="119">
                  <c:v>1687.95</c:v>
                </c:pt>
                <c:pt idx="120">
                  <c:v>1688</c:v>
                </c:pt>
              </c:numCache>
            </c:numRef>
          </c:xVal>
          <c:yVal>
            <c:numRef>
              <c:f>'Ex 2 FULL 0 50 eV'!$N$3:$N$123</c:f>
              <c:numCache>
                <c:formatCode>General</c:formatCode>
                <c:ptCount val="1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1.34E-5</c:v>
                </c:pt>
                <c:pt idx="16">
                  <c:v>1.206E-4</c:v>
                </c:pt>
                <c:pt idx="17">
                  <c:v>5.0920000000000002E-4</c:v>
                </c:pt>
                <c:pt idx="18">
                  <c:v>1.2998E-3</c:v>
                </c:pt>
                <c:pt idx="19">
                  <c:v>2.5326000000000003E-3</c:v>
                </c:pt>
                <c:pt idx="20">
                  <c:v>4.1942000000000004E-3</c:v>
                </c:pt>
                <c:pt idx="21">
                  <c:v>6.5258E-3</c:v>
                </c:pt>
                <c:pt idx="22">
                  <c:v>9.8892000000000008E-3</c:v>
                </c:pt>
                <c:pt idx="23">
                  <c:v>1.5182199999999998E-2</c:v>
                </c:pt>
                <c:pt idx="24">
                  <c:v>2.4937400000000002E-2</c:v>
                </c:pt>
                <c:pt idx="25">
                  <c:v>4.4930200000000003E-2</c:v>
                </c:pt>
                <c:pt idx="26">
                  <c:v>8.2450200000000001E-2</c:v>
                </c:pt>
                <c:pt idx="27">
                  <c:v>0.13433499999999998</c:v>
                </c:pt>
                <c:pt idx="28">
                  <c:v>0.18270900000000001</c:v>
                </c:pt>
                <c:pt idx="29">
                  <c:v>0.21520400000000003</c:v>
                </c:pt>
                <c:pt idx="30">
                  <c:v>0.23399079999999997</c:v>
                </c:pt>
                <c:pt idx="31">
                  <c:v>0.2418566</c:v>
                </c:pt>
                <c:pt idx="32">
                  <c:v>0.23864059999999998</c:v>
                </c:pt>
                <c:pt idx="33">
                  <c:v>0.23169940000000003</c:v>
                </c:pt>
                <c:pt idx="34">
                  <c:v>0.22466440000000001</c:v>
                </c:pt>
                <c:pt idx="35">
                  <c:v>0.21824579999999999</c:v>
                </c:pt>
                <c:pt idx="36">
                  <c:v>0.21251060000000002</c:v>
                </c:pt>
                <c:pt idx="37">
                  <c:v>0.20752580000000001</c:v>
                </c:pt>
                <c:pt idx="38">
                  <c:v>0.203211</c:v>
                </c:pt>
                <c:pt idx="39">
                  <c:v>0.1995796</c:v>
                </c:pt>
                <c:pt idx="40">
                  <c:v>0.1966986</c:v>
                </c:pt>
                <c:pt idx="41">
                  <c:v>0.19444739999999999</c:v>
                </c:pt>
                <c:pt idx="42">
                  <c:v>0.19289300000000001</c:v>
                </c:pt>
                <c:pt idx="43">
                  <c:v>0.19182099999999999</c:v>
                </c:pt>
                <c:pt idx="44">
                  <c:v>0.191084</c:v>
                </c:pt>
                <c:pt idx="45">
                  <c:v>0.19044080000000002</c:v>
                </c:pt>
                <c:pt idx="46">
                  <c:v>0.18987800000000002</c:v>
                </c:pt>
                <c:pt idx="47">
                  <c:v>0.18942239999999999</c:v>
                </c:pt>
                <c:pt idx="48">
                  <c:v>0.18899360000000001</c:v>
                </c:pt>
                <c:pt idx="49">
                  <c:v>0.1884844</c:v>
                </c:pt>
                <c:pt idx="50">
                  <c:v>0.18790820000000003</c:v>
                </c:pt>
                <c:pt idx="51">
                  <c:v>0.18718460000000001</c:v>
                </c:pt>
                <c:pt idx="52">
                  <c:v>0.18644759999999999</c:v>
                </c:pt>
                <c:pt idx="53">
                  <c:v>0.18568380000000001</c:v>
                </c:pt>
                <c:pt idx="54">
                  <c:v>0.18487980000000001</c:v>
                </c:pt>
                <c:pt idx="55">
                  <c:v>0.18396860000000001</c:v>
                </c:pt>
                <c:pt idx="56">
                  <c:v>0.18301719999999999</c:v>
                </c:pt>
                <c:pt idx="57">
                  <c:v>0.18211940000000001</c:v>
                </c:pt>
                <c:pt idx="58">
                  <c:v>0.1812484</c:v>
                </c:pt>
                <c:pt idx="59">
                  <c:v>0.18043100000000001</c:v>
                </c:pt>
                <c:pt idx="60">
                  <c:v>0.17964040000000001</c:v>
                </c:pt>
                <c:pt idx="61">
                  <c:v>0.1788498</c:v>
                </c:pt>
                <c:pt idx="62">
                  <c:v>0.17815300000000001</c:v>
                </c:pt>
                <c:pt idx="63">
                  <c:v>0.17755000000000001</c:v>
                </c:pt>
                <c:pt idx="64">
                  <c:v>0.1770408</c:v>
                </c:pt>
                <c:pt idx="65">
                  <c:v>0.1765852</c:v>
                </c:pt>
                <c:pt idx="66">
                  <c:v>0.1763306</c:v>
                </c:pt>
                <c:pt idx="67">
                  <c:v>0.1759956</c:v>
                </c:pt>
                <c:pt idx="68">
                  <c:v>0.17575440000000001</c:v>
                </c:pt>
                <c:pt idx="69">
                  <c:v>0.17545959999999999</c:v>
                </c:pt>
                <c:pt idx="70">
                  <c:v>0.17533899999999999</c:v>
                </c:pt>
                <c:pt idx="71">
                  <c:v>0.1752988</c:v>
                </c:pt>
                <c:pt idx="72">
                  <c:v>0.17523179999999999</c:v>
                </c:pt>
                <c:pt idx="73">
                  <c:v>0.17525860000000001</c:v>
                </c:pt>
                <c:pt idx="74">
                  <c:v>0.17536579999999999</c:v>
                </c:pt>
                <c:pt idx="75">
                  <c:v>0.17545959999999999</c:v>
                </c:pt>
                <c:pt idx="76">
                  <c:v>0.17562040000000001</c:v>
                </c:pt>
                <c:pt idx="77">
                  <c:v>0.17575440000000001</c:v>
                </c:pt>
                <c:pt idx="78">
                  <c:v>0.17591520000000002</c:v>
                </c:pt>
                <c:pt idx="79">
                  <c:v>0.17603579999999999</c:v>
                </c:pt>
                <c:pt idx="80">
                  <c:v>0.17619659999999998</c:v>
                </c:pt>
                <c:pt idx="81">
                  <c:v>0.1763306</c:v>
                </c:pt>
                <c:pt idx="82">
                  <c:v>0.1764512</c:v>
                </c:pt>
                <c:pt idx="83">
                  <c:v>0.1765852</c:v>
                </c:pt>
                <c:pt idx="84">
                  <c:v>0.17670580000000002</c:v>
                </c:pt>
                <c:pt idx="85">
                  <c:v>0.17682639999999999</c:v>
                </c:pt>
                <c:pt idx="86">
                  <c:v>0.1769068</c:v>
                </c:pt>
                <c:pt idx="87">
                  <c:v>0.1770274</c:v>
                </c:pt>
                <c:pt idx="88">
                  <c:v>0.17708099999999999</c:v>
                </c:pt>
                <c:pt idx="89">
                  <c:v>0.17714800000000003</c:v>
                </c:pt>
                <c:pt idx="90">
                  <c:v>0.17720159999999999</c:v>
                </c:pt>
                <c:pt idx="91">
                  <c:v>0.1772418</c:v>
                </c:pt>
                <c:pt idx="92">
                  <c:v>0.1772552</c:v>
                </c:pt>
                <c:pt idx="93">
                  <c:v>0.17729539999999999</c:v>
                </c:pt>
                <c:pt idx="94">
                  <c:v>0.17763040000000002</c:v>
                </c:pt>
                <c:pt idx="95">
                  <c:v>0.17764379999999999</c:v>
                </c:pt>
                <c:pt idx="96">
                  <c:v>0.17767060000000001</c:v>
                </c:pt>
                <c:pt idx="97">
                  <c:v>0.17765720000000002</c:v>
                </c:pt>
                <c:pt idx="98">
                  <c:v>0.17767060000000001</c:v>
                </c:pt>
                <c:pt idx="99">
                  <c:v>0.17767060000000001</c:v>
                </c:pt>
                <c:pt idx="100">
                  <c:v>0.17765720000000002</c:v>
                </c:pt>
                <c:pt idx="101">
                  <c:v>0.17767060000000001</c:v>
                </c:pt>
                <c:pt idx="102">
                  <c:v>0.17764379999999999</c:v>
                </c:pt>
                <c:pt idx="103">
                  <c:v>0.17765720000000002</c:v>
                </c:pt>
                <c:pt idx="104">
                  <c:v>0.17767060000000001</c:v>
                </c:pt>
                <c:pt idx="105">
                  <c:v>0.17768399999999998</c:v>
                </c:pt>
                <c:pt idx="106">
                  <c:v>0.17768399999999998</c:v>
                </c:pt>
                <c:pt idx="107">
                  <c:v>0.1777108</c:v>
                </c:pt>
                <c:pt idx="108">
                  <c:v>0.17776440000000002</c:v>
                </c:pt>
                <c:pt idx="109">
                  <c:v>0.17780460000000001</c:v>
                </c:pt>
                <c:pt idx="110">
                  <c:v>0.17787159999999999</c:v>
                </c:pt>
                <c:pt idx="111">
                  <c:v>0.17792520000000001</c:v>
                </c:pt>
                <c:pt idx="112">
                  <c:v>0.17799219999999999</c:v>
                </c:pt>
                <c:pt idx="113">
                  <c:v>0.17801900000000001</c:v>
                </c:pt>
                <c:pt idx="114">
                  <c:v>0.17808599999999999</c:v>
                </c:pt>
                <c:pt idx="115">
                  <c:v>0.17819320000000002</c:v>
                </c:pt>
                <c:pt idx="116">
                  <c:v>0.1783004</c:v>
                </c:pt>
                <c:pt idx="117">
                  <c:v>0.17843439999999999</c:v>
                </c:pt>
                <c:pt idx="118">
                  <c:v>0.17855499999999999</c:v>
                </c:pt>
                <c:pt idx="119">
                  <c:v>0.17867560000000002</c:v>
                </c:pt>
                <c:pt idx="120">
                  <c:v>0.17879620000000002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98-43B4-91B1-D287BDDEF0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4501896"/>
        <c:axId val="584099264"/>
      </c:scatterChart>
      <c:valAx>
        <c:axId val="494501896"/>
        <c:scaling>
          <c:orientation val="minMax"/>
          <c:max val="1684"/>
          <c:min val="1682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beam energy (keV)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099264"/>
        <c:crosses val="autoZero"/>
        <c:crossBetween val="midCat"/>
      </c:valAx>
      <c:valAx>
        <c:axId val="584099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yield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5018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800"/>
              <a:t>Ex 2 Full Straggling </a:t>
            </a:r>
            <a:r>
              <a:rPr lang="el-GR" sz="1800"/>
              <a:t>Δ</a:t>
            </a:r>
            <a:r>
              <a:rPr lang="en-GB" sz="1800"/>
              <a:t>E=0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NDF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 2 FULL 0 50 eV'!$E$3:$E$123</c:f>
              <c:numCache>
                <c:formatCode>0.00</c:formatCode>
                <c:ptCount val="121"/>
                <c:pt idx="0">
                  <c:v>1682</c:v>
                </c:pt>
                <c:pt idx="1">
                  <c:v>1682.05</c:v>
                </c:pt>
                <c:pt idx="2">
                  <c:v>1682.1</c:v>
                </c:pt>
                <c:pt idx="3">
                  <c:v>1682.15</c:v>
                </c:pt>
                <c:pt idx="4">
                  <c:v>1682.2</c:v>
                </c:pt>
                <c:pt idx="5">
                  <c:v>1682.25</c:v>
                </c:pt>
                <c:pt idx="6">
                  <c:v>1682.3</c:v>
                </c:pt>
                <c:pt idx="7">
                  <c:v>1682.35</c:v>
                </c:pt>
                <c:pt idx="8">
                  <c:v>1682.4</c:v>
                </c:pt>
                <c:pt idx="9">
                  <c:v>1682.45</c:v>
                </c:pt>
                <c:pt idx="10">
                  <c:v>1682.5</c:v>
                </c:pt>
                <c:pt idx="11">
                  <c:v>1682.55</c:v>
                </c:pt>
                <c:pt idx="12">
                  <c:v>1682.6</c:v>
                </c:pt>
                <c:pt idx="13">
                  <c:v>1682.65</c:v>
                </c:pt>
                <c:pt idx="14">
                  <c:v>1682.7</c:v>
                </c:pt>
                <c:pt idx="15">
                  <c:v>1682.75</c:v>
                </c:pt>
                <c:pt idx="16">
                  <c:v>1682.8</c:v>
                </c:pt>
                <c:pt idx="17">
                  <c:v>1682.85</c:v>
                </c:pt>
                <c:pt idx="18">
                  <c:v>1682.9</c:v>
                </c:pt>
                <c:pt idx="19">
                  <c:v>1682.95</c:v>
                </c:pt>
                <c:pt idx="20">
                  <c:v>1683</c:v>
                </c:pt>
                <c:pt idx="21">
                  <c:v>1683.05</c:v>
                </c:pt>
                <c:pt idx="22">
                  <c:v>1683.1</c:v>
                </c:pt>
                <c:pt idx="23">
                  <c:v>1683.15</c:v>
                </c:pt>
                <c:pt idx="24">
                  <c:v>1683.2</c:v>
                </c:pt>
                <c:pt idx="25">
                  <c:v>1683.25</c:v>
                </c:pt>
                <c:pt idx="26">
                  <c:v>1683.3</c:v>
                </c:pt>
                <c:pt idx="27">
                  <c:v>1683.35</c:v>
                </c:pt>
                <c:pt idx="28">
                  <c:v>1683.4</c:v>
                </c:pt>
                <c:pt idx="29">
                  <c:v>1683.45</c:v>
                </c:pt>
                <c:pt idx="30">
                  <c:v>1683.5</c:v>
                </c:pt>
                <c:pt idx="31">
                  <c:v>1683.55</c:v>
                </c:pt>
                <c:pt idx="32">
                  <c:v>1683.6</c:v>
                </c:pt>
                <c:pt idx="33">
                  <c:v>1683.65</c:v>
                </c:pt>
                <c:pt idx="34">
                  <c:v>1683.7</c:v>
                </c:pt>
                <c:pt idx="35">
                  <c:v>1683.75</c:v>
                </c:pt>
                <c:pt idx="36">
                  <c:v>1683.8</c:v>
                </c:pt>
                <c:pt idx="37">
                  <c:v>1683.85</c:v>
                </c:pt>
                <c:pt idx="38">
                  <c:v>1683.9</c:v>
                </c:pt>
                <c:pt idx="39">
                  <c:v>1683.95</c:v>
                </c:pt>
                <c:pt idx="40">
                  <c:v>1684</c:v>
                </c:pt>
                <c:pt idx="41">
                  <c:v>1684.05</c:v>
                </c:pt>
                <c:pt idx="42">
                  <c:v>1684.1</c:v>
                </c:pt>
                <c:pt idx="43">
                  <c:v>1684.15</c:v>
                </c:pt>
                <c:pt idx="44">
                  <c:v>1684.2</c:v>
                </c:pt>
                <c:pt idx="45">
                  <c:v>1684.25</c:v>
                </c:pt>
                <c:pt idx="46">
                  <c:v>1684.3</c:v>
                </c:pt>
                <c:pt idx="47">
                  <c:v>1684.35</c:v>
                </c:pt>
                <c:pt idx="48">
                  <c:v>1684.4</c:v>
                </c:pt>
                <c:pt idx="49">
                  <c:v>1684.45</c:v>
                </c:pt>
                <c:pt idx="50">
                  <c:v>1684.5</c:v>
                </c:pt>
                <c:pt idx="51">
                  <c:v>1684.55</c:v>
                </c:pt>
                <c:pt idx="52">
                  <c:v>1684.6</c:v>
                </c:pt>
                <c:pt idx="53">
                  <c:v>1684.65</c:v>
                </c:pt>
                <c:pt idx="54">
                  <c:v>1684.7</c:v>
                </c:pt>
                <c:pt idx="55">
                  <c:v>1684.75</c:v>
                </c:pt>
                <c:pt idx="56">
                  <c:v>1684.8</c:v>
                </c:pt>
                <c:pt idx="57">
                  <c:v>1684.85</c:v>
                </c:pt>
                <c:pt idx="58">
                  <c:v>1684.9</c:v>
                </c:pt>
                <c:pt idx="59">
                  <c:v>1684.95</c:v>
                </c:pt>
                <c:pt idx="60">
                  <c:v>1685</c:v>
                </c:pt>
                <c:pt idx="61">
                  <c:v>1685.05</c:v>
                </c:pt>
                <c:pt idx="62">
                  <c:v>1685.1</c:v>
                </c:pt>
                <c:pt idx="63">
                  <c:v>1685.15</c:v>
                </c:pt>
                <c:pt idx="64">
                  <c:v>1685.2</c:v>
                </c:pt>
                <c:pt idx="65">
                  <c:v>1685.25</c:v>
                </c:pt>
                <c:pt idx="66">
                  <c:v>1685.3</c:v>
                </c:pt>
                <c:pt idx="67">
                  <c:v>1685.35</c:v>
                </c:pt>
                <c:pt idx="68">
                  <c:v>1685.4</c:v>
                </c:pt>
                <c:pt idx="69">
                  <c:v>1685.45</c:v>
                </c:pt>
                <c:pt idx="70">
                  <c:v>1685.5</c:v>
                </c:pt>
                <c:pt idx="71">
                  <c:v>1685.55</c:v>
                </c:pt>
                <c:pt idx="72">
                  <c:v>1685.6</c:v>
                </c:pt>
                <c:pt idx="73">
                  <c:v>1685.65</c:v>
                </c:pt>
                <c:pt idx="74">
                  <c:v>1685.7</c:v>
                </c:pt>
                <c:pt idx="75">
                  <c:v>1685.75</c:v>
                </c:pt>
                <c:pt idx="76">
                  <c:v>1685.8</c:v>
                </c:pt>
                <c:pt idx="77">
                  <c:v>1685.85</c:v>
                </c:pt>
                <c:pt idx="78">
                  <c:v>1685.9</c:v>
                </c:pt>
                <c:pt idx="79">
                  <c:v>1685.95</c:v>
                </c:pt>
                <c:pt idx="80">
                  <c:v>1686</c:v>
                </c:pt>
                <c:pt idx="81">
                  <c:v>1686.05</c:v>
                </c:pt>
                <c:pt idx="82">
                  <c:v>1686.1</c:v>
                </c:pt>
                <c:pt idx="83">
                  <c:v>1686.15</c:v>
                </c:pt>
                <c:pt idx="84">
                  <c:v>1686.2</c:v>
                </c:pt>
                <c:pt idx="85">
                  <c:v>1686.25</c:v>
                </c:pt>
                <c:pt idx="86">
                  <c:v>1686.3</c:v>
                </c:pt>
                <c:pt idx="87">
                  <c:v>1686.35</c:v>
                </c:pt>
                <c:pt idx="88">
                  <c:v>1686.4</c:v>
                </c:pt>
                <c:pt idx="89">
                  <c:v>1686.45</c:v>
                </c:pt>
                <c:pt idx="90">
                  <c:v>1686.5</c:v>
                </c:pt>
                <c:pt idx="91">
                  <c:v>1686.55</c:v>
                </c:pt>
                <c:pt idx="92">
                  <c:v>1686.6</c:v>
                </c:pt>
                <c:pt idx="93">
                  <c:v>1686.65</c:v>
                </c:pt>
                <c:pt idx="94">
                  <c:v>1686.7</c:v>
                </c:pt>
                <c:pt idx="95">
                  <c:v>1686.75</c:v>
                </c:pt>
                <c:pt idx="96">
                  <c:v>1686.8</c:v>
                </c:pt>
                <c:pt idx="97">
                  <c:v>1686.85</c:v>
                </c:pt>
                <c:pt idx="98">
                  <c:v>1686.9</c:v>
                </c:pt>
                <c:pt idx="99">
                  <c:v>1686.95</c:v>
                </c:pt>
                <c:pt idx="100">
                  <c:v>1687</c:v>
                </c:pt>
                <c:pt idx="101">
                  <c:v>1687.05</c:v>
                </c:pt>
                <c:pt idx="102">
                  <c:v>1687.1</c:v>
                </c:pt>
                <c:pt idx="103">
                  <c:v>1687.15</c:v>
                </c:pt>
                <c:pt idx="104">
                  <c:v>1687.2</c:v>
                </c:pt>
                <c:pt idx="105">
                  <c:v>1687.25</c:v>
                </c:pt>
                <c:pt idx="106">
                  <c:v>1687.3</c:v>
                </c:pt>
                <c:pt idx="107">
                  <c:v>1687.35</c:v>
                </c:pt>
                <c:pt idx="108">
                  <c:v>1687.4</c:v>
                </c:pt>
                <c:pt idx="109">
                  <c:v>1687.45</c:v>
                </c:pt>
                <c:pt idx="110">
                  <c:v>1687.5</c:v>
                </c:pt>
                <c:pt idx="111">
                  <c:v>1687.55</c:v>
                </c:pt>
                <c:pt idx="112">
                  <c:v>1687.6</c:v>
                </c:pt>
                <c:pt idx="113">
                  <c:v>1687.65</c:v>
                </c:pt>
                <c:pt idx="114">
                  <c:v>1687.7</c:v>
                </c:pt>
                <c:pt idx="115">
                  <c:v>1687.75</c:v>
                </c:pt>
                <c:pt idx="116">
                  <c:v>1687.8</c:v>
                </c:pt>
                <c:pt idx="117">
                  <c:v>1687.85</c:v>
                </c:pt>
                <c:pt idx="118">
                  <c:v>1687.9</c:v>
                </c:pt>
                <c:pt idx="119">
                  <c:v>1687.95</c:v>
                </c:pt>
                <c:pt idx="120">
                  <c:v>1688</c:v>
                </c:pt>
              </c:numCache>
            </c:numRef>
          </c:xVal>
          <c:yVal>
            <c:numRef>
              <c:f>'Ex 2 FULL 0 50 eV'!$F$3:$F$123</c:f>
              <c:numCache>
                <c:formatCode>0.0000000000</c:formatCode>
                <c:ptCount val="121"/>
                <c:pt idx="0">
                  <c:v>2.0776745E-3</c:v>
                </c:pt>
                <c:pt idx="1">
                  <c:v>2.2027320000000002E-3</c:v>
                </c:pt>
                <c:pt idx="2">
                  <c:v>2.3390132000000001E-3</c:v>
                </c:pt>
                <c:pt idx="3">
                  <c:v>2.4896807E-3</c:v>
                </c:pt>
                <c:pt idx="4">
                  <c:v>2.6560158000000001E-3</c:v>
                </c:pt>
                <c:pt idx="5">
                  <c:v>2.8411839E-3</c:v>
                </c:pt>
                <c:pt idx="6">
                  <c:v>3.0485208000000001E-3</c:v>
                </c:pt>
                <c:pt idx="7">
                  <c:v>3.2803791E-3</c:v>
                </c:pt>
                <c:pt idx="8">
                  <c:v>3.5431311000000002E-3</c:v>
                </c:pt>
                <c:pt idx="9">
                  <c:v>3.8431601E-3</c:v>
                </c:pt>
                <c:pt idx="10">
                  <c:v>4.1881161999999996E-3</c:v>
                </c:pt>
                <c:pt idx="11">
                  <c:v>4.5890076999999998E-3</c:v>
                </c:pt>
                <c:pt idx="12">
                  <c:v>5.0570737000000003E-3</c:v>
                </c:pt>
                <c:pt idx="13">
                  <c:v>5.6165722000000003E-3</c:v>
                </c:pt>
                <c:pt idx="14">
                  <c:v>6.2856791000000002E-3</c:v>
                </c:pt>
                <c:pt idx="15">
                  <c:v>7.1109970999999996E-3</c:v>
                </c:pt>
                <c:pt idx="16">
                  <c:v>8.1463874999999995E-3</c:v>
                </c:pt>
                <c:pt idx="17">
                  <c:v>9.4757126999999997E-3</c:v>
                </c:pt>
                <c:pt idx="18">
                  <c:v>1.1237403999999999E-2</c:v>
                </c:pt>
                <c:pt idx="19">
                  <c:v>1.3667609000000001E-2</c:v>
                </c:pt>
                <c:pt idx="20">
                  <c:v>1.7196759999999998E-2</c:v>
                </c:pt>
                <c:pt idx="21">
                  <c:v>2.2769365E-2</c:v>
                </c:pt>
                <c:pt idx="22">
                  <c:v>3.2487745999999998E-2</c:v>
                </c:pt>
                <c:pt idx="23">
                  <c:v>5.2492737999999997E-2</c:v>
                </c:pt>
                <c:pt idx="24">
                  <c:v>9.7877353E-2</c:v>
                </c:pt>
                <c:pt idx="25">
                  <c:v>0.18590569000000001</c:v>
                </c:pt>
                <c:pt idx="26">
                  <c:v>0.28274336</c:v>
                </c:pt>
                <c:pt idx="27">
                  <c:v>0.30596441000000002</c:v>
                </c:pt>
                <c:pt idx="28">
                  <c:v>0.26946869000000001</c:v>
                </c:pt>
                <c:pt idx="29">
                  <c:v>0.23140484</c:v>
                </c:pt>
                <c:pt idx="30">
                  <c:v>0.20889969</c:v>
                </c:pt>
                <c:pt idx="31">
                  <c:v>0.19693793000000001</c:v>
                </c:pt>
                <c:pt idx="32">
                  <c:v>0.19006819999999999</c:v>
                </c:pt>
                <c:pt idx="33">
                  <c:v>0.18564718999999999</c:v>
                </c:pt>
                <c:pt idx="34">
                  <c:v>0.18253274</c:v>
                </c:pt>
                <c:pt idx="35">
                  <c:v>0.18037934999999999</c:v>
                </c:pt>
                <c:pt idx="36">
                  <c:v>0.17881755999999999</c:v>
                </c:pt>
                <c:pt idx="37">
                  <c:v>0.17765750999999999</c:v>
                </c:pt>
                <c:pt idx="38">
                  <c:v>0.17688666</c:v>
                </c:pt>
                <c:pt idx="39">
                  <c:v>0.17613303999999999</c:v>
                </c:pt>
                <c:pt idx="40">
                  <c:v>0.17561863</c:v>
                </c:pt>
                <c:pt idx="41">
                  <c:v>0.17519699</c:v>
                </c:pt>
                <c:pt idx="42">
                  <c:v>0.17500863999999999</c:v>
                </c:pt>
                <c:pt idx="43">
                  <c:v>0.17473538</c:v>
                </c:pt>
                <c:pt idx="44">
                  <c:v>0.17448949999999999</c:v>
                </c:pt>
                <c:pt idx="45">
                  <c:v>0.17436299</c:v>
                </c:pt>
                <c:pt idx="46">
                  <c:v>0.17425291000000001</c:v>
                </c:pt>
                <c:pt idx="47">
                  <c:v>0.17420262</c:v>
                </c:pt>
                <c:pt idx="48">
                  <c:v>0.17412654999999999</c:v>
                </c:pt>
                <c:pt idx="49">
                  <c:v>0.17411381000000001</c:v>
                </c:pt>
                <c:pt idx="50">
                  <c:v>0.17409754999999999</c:v>
                </c:pt>
                <c:pt idx="51">
                  <c:v>0.17409379999999999</c:v>
                </c:pt>
                <c:pt idx="52">
                  <c:v>0.1740873</c:v>
                </c:pt>
                <c:pt idx="53">
                  <c:v>0.17412612</c:v>
                </c:pt>
                <c:pt idx="54">
                  <c:v>0.17411272</c:v>
                </c:pt>
                <c:pt idx="55">
                  <c:v>0.17412604000000001</c:v>
                </c:pt>
                <c:pt idx="56">
                  <c:v>0.17415367000000001</c:v>
                </c:pt>
                <c:pt idx="57">
                  <c:v>0.17417784</c:v>
                </c:pt>
                <c:pt idx="58">
                  <c:v>0.17422362999999999</c:v>
                </c:pt>
                <c:pt idx="59">
                  <c:v>0.17423000999999999</c:v>
                </c:pt>
                <c:pt idx="60">
                  <c:v>0.17426610000000001</c:v>
                </c:pt>
                <c:pt idx="61">
                  <c:v>0.17430572</c:v>
                </c:pt>
                <c:pt idx="62">
                  <c:v>0.17434375999999999</c:v>
                </c:pt>
                <c:pt idx="63">
                  <c:v>0.17437021</c:v>
                </c:pt>
                <c:pt idx="64">
                  <c:v>0.17440085</c:v>
                </c:pt>
                <c:pt idx="65">
                  <c:v>0.17444204999999999</c:v>
                </c:pt>
                <c:pt idx="66">
                  <c:v>0.17448099</c:v>
                </c:pt>
                <c:pt idx="67">
                  <c:v>0.17452566</c:v>
                </c:pt>
                <c:pt idx="68">
                  <c:v>0.17454995000000001</c:v>
                </c:pt>
                <c:pt idx="69">
                  <c:v>0.17458022000000001</c:v>
                </c:pt>
                <c:pt idx="70">
                  <c:v>0.17461247999999999</c:v>
                </c:pt>
                <c:pt idx="71">
                  <c:v>0.17463819999999999</c:v>
                </c:pt>
                <c:pt idx="72">
                  <c:v>0.17467352999999999</c:v>
                </c:pt>
                <c:pt idx="73">
                  <c:v>0.17470136</c:v>
                </c:pt>
                <c:pt idx="74">
                  <c:v>0.17471941999999999</c:v>
                </c:pt>
                <c:pt idx="75">
                  <c:v>0.17474160999999999</c:v>
                </c:pt>
                <c:pt idx="76">
                  <c:v>0.17477413</c:v>
                </c:pt>
                <c:pt idx="77">
                  <c:v>0.17480572999999999</c:v>
                </c:pt>
                <c:pt idx="78">
                  <c:v>0.17482391999999999</c:v>
                </c:pt>
                <c:pt idx="79">
                  <c:v>0.17483172999999999</c:v>
                </c:pt>
                <c:pt idx="80">
                  <c:v>0.17484209000000001</c:v>
                </c:pt>
                <c:pt idx="81">
                  <c:v>0.17485382999999999</c:v>
                </c:pt>
                <c:pt idx="82">
                  <c:v>0.17486731999999999</c:v>
                </c:pt>
                <c:pt idx="83">
                  <c:v>0.17489115999999999</c:v>
                </c:pt>
                <c:pt idx="84">
                  <c:v>0.17488734</c:v>
                </c:pt>
                <c:pt idx="85">
                  <c:v>0.17490163</c:v>
                </c:pt>
                <c:pt idx="86">
                  <c:v>0.17489875999999999</c:v>
                </c:pt>
                <c:pt idx="87">
                  <c:v>0.17490827</c:v>
                </c:pt>
                <c:pt idx="88">
                  <c:v>0.17491393999999999</c:v>
                </c:pt>
                <c:pt idx="89">
                  <c:v>0.17490701</c:v>
                </c:pt>
                <c:pt idx="90">
                  <c:v>0.17489579</c:v>
                </c:pt>
                <c:pt idx="91">
                  <c:v>0.17489663</c:v>
                </c:pt>
                <c:pt idx="92">
                  <c:v>0.17488818</c:v>
                </c:pt>
                <c:pt idx="93">
                  <c:v>0.17488993999999999</c:v>
                </c:pt>
                <c:pt idx="94">
                  <c:v>0.17488565</c:v>
                </c:pt>
                <c:pt idx="95">
                  <c:v>0.17487897999999999</c:v>
                </c:pt>
                <c:pt idx="96">
                  <c:v>0.17486209999999999</c:v>
                </c:pt>
                <c:pt idx="97">
                  <c:v>0.17485212</c:v>
                </c:pt>
                <c:pt idx="98">
                  <c:v>0.17484189999999999</c:v>
                </c:pt>
                <c:pt idx="99">
                  <c:v>0.17483926</c:v>
                </c:pt>
                <c:pt idx="100">
                  <c:v>0.17482258000000001</c:v>
                </c:pt>
                <c:pt idx="101">
                  <c:v>0.17480977</c:v>
                </c:pt>
                <c:pt idx="102">
                  <c:v>0.17480385000000001</c:v>
                </c:pt>
                <c:pt idx="103">
                  <c:v>0.17478543999999999</c:v>
                </c:pt>
                <c:pt idx="104">
                  <c:v>0.17477508999999999</c:v>
                </c:pt>
                <c:pt idx="105">
                  <c:v>0.17477988</c:v>
                </c:pt>
                <c:pt idx="106">
                  <c:v>0.17477706000000001</c:v>
                </c:pt>
                <c:pt idx="107">
                  <c:v>0.17476781</c:v>
                </c:pt>
                <c:pt idx="108">
                  <c:v>0.17475495999999999</c:v>
                </c:pt>
                <c:pt idx="109">
                  <c:v>0.17475319</c:v>
                </c:pt>
                <c:pt idx="110">
                  <c:v>0.17475122000000001</c:v>
                </c:pt>
                <c:pt idx="111">
                  <c:v>0.17474307</c:v>
                </c:pt>
                <c:pt idx="112">
                  <c:v>0.17473959999999999</c:v>
                </c:pt>
                <c:pt idx="113">
                  <c:v>0.17472599</c:v>
                </c:pt>
                <c:pt idx="114">
                  <c:v>0.17471965</c:v>
                </c:pt>
                <c:pt idx="115">
                  <c:v>0.17472199999999999</c:v>
                </c:pt>
                <c:pt idx="116">
                  <c:v>0.1747351</c:v>
                </c:pt>
                <c:pt idx="117">
                  <c:v>0.17472945000000001</c:v>
                </c:pt>
                <c:pt idx="118">
                  <c:v>0.17473274</c:v>
                </c:pt>
                <c:pt idx="119">
                  <c:v>0.17475889999999999</c:v>
                </c:pt>
                <c:pt idx="120">
                  <c:v>0.17475057999999999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D6-40D4-AAF9-D6A1362FD199}"/>
            </c:ext>
          </c:extLst>
        </c:ser>
        <c:ser>
          <c:idx val="2"/>
          <c:order val="1"/>
          <c:tx>
            <c:v>SIMNRA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 2 FULL 0 50 eV'!$H$3:$H$143</c:f>
              <c:numCache>
                <c:formatCode>General</c:formatCode>
                <c:ptCount val="141"/>
                <c:pt idx="0">
                  <c:v>1681</c:v>
                </c:pt>
                <c:pt idx="1">
                  <c:v>1681.05</c:v>
                </c:pt>
                <c:pt idx="2">
                  <c:v>1681.1</c:v>
                </c:pt>
                <c:pt idx="3">
                  <c:v>1681.15</c:v>
                </c:pt>
                <c:pt idx="4">
                  <c:v>1681.2</c:v>
                </c:pt>
                <c:pt idx="5">
                  <c:v>1681.25</c:v>
                </c:pt>
                <c:pt idx="6">
                  <c:v>1681.3</c:v>
                </c:pt>
                <c:pt idx="7">
                  <c:v>1681.35</c:v>
                </c:pt>
                <c:pt idx="8">
                  <c:v>1681.4</c:v>
                </c:pt>
                <c:pt idx="9">
                  <c:v>1681.45</c:v>
                </c:pt>
                <c:pt idx="10">
                  <c:v>1681.5</c:v>
                </c:pt>
                <c:pt idx="11">
                  <c:v>1681.55</c:v>
                </c:pt>
                <c:pt idx="12">
                  <c:v>1681.6</c:v>
                </c:pt>
                <c:pt idx="13">
                  <c:v>1681.65</c:v>
                </c:pt>
                <c:pt idx="14">
                  <c:v>1681.7</c:v>
                </c:pt>
                <c:pt idx="15">
                  <c:v>1681.75</c:v>
                </c:pt>
                <c:pt idx="16">
                  <c:v>1681.8</c:v>
                </c:pt>
                <c:pt idx="17">
                  <c:v>1681.85</c:v>
                </c:pt>
                <c:pt idx="18">
                  <c:v>1681.9</c:v>
                </c:pt>
                <c:pt idx="19">
                  <c:v>1681.95</c:v>
                </c:pt>
                <c:pt idx="20">
                  <c:v>1682</c:v>
                </c:pt>
                <c:pt idx="21">
                  <c:v>1682.05</c:v>
                </c:pt>
                <c:pt idx="22">
                  <c:v>1682.1</c:v>
                </c:pt>
                <c:pt idx="23">
                  <c:v>1682.15</c:v>
                </c:pt>
                <c:pt idx="24">
                  <c:v>1682.2</c:v>
                </c:pt>
                <c:pt idx="25">
                  <c:v>1682.25</c:v>
                </c:pt>
                <c:pt idx="26">
                  <c:v>1682.3</c:v>
                </c:pt>
                <c:pt idx="27">
                  <c:v>1682.35</c:v>
                </c:pt>
                <c:pt idx="28">
                  <c:v>1682.4</c:v>
                </c:pt>
                <c:pt idx="29">
                  <c:v>1682.45</c:v>
                </c:pt>
                <c:pt idx="30">
                  <c:v>1682.5</c:v>
                </c:pt>
                <c:pt idx="31">
                  <c:v>1682.55</c:v>
                </c:pt>
                <c:pt idx="32">
                  <c:v>1682.6</c:v>
                </c:pt>
                <c:pt idx="33">
                  <c:v>1682.65</c:v>
                </c:pt>
                <c:pt idx="34">
                  <c:v>1682.7</c:v>
                </c:pt>
                <c:pt idx="35">
                  <c:v>1682.75</c:v>
                </c:pt>
                <c:pt idx="36">
                  <c:v>1682.8</c:v>
                </c:pt>
                <c:pt idx="37">
                  <c:v>1682.85</c:v>
                </c:pt>
                <c:pt idx="38">
                  <c:v>1682.9</c:v>
                </c:pt>
                <c:pt idx="39">
                  <c:v>1682.95</c:v>
                </c:pt>
                <c:pt idx="40">
                  <c:v>1683</c:v>
                </c:pt>
                <c:pt idx="41">
                  <c:v>1683.05</c:v>
                </c:pt>
                <c:pt idx="42">
                  <c:v>1683.1</c:v>
                </c:pt>
                <c:pt idx="43">
                  <c:v>1683.15</c:v>
                </c:pt>
                <c:pt idx="44">
                  <c:v>1683.2</c:v>
                </c:pt>
                <c:pt idx="45">
                  <c:v>1683.25</c:v>
                </c:pt>
                <c:pt idx="46">
                  <c:v>1683.3</c:v>
                </c:pt>
                <c:pt idx="47">
                  <c:v>1683.35</c:v>
                </c:pt>
                <c:pt idx="48">
                  <c:v>1683.4</c:v>
                </c:pt>
                <c:pt idx="49">
                  <c:v>1683.45</c:v>
                </c:pt>
                <c:pt idx="50">
                  <c:v>1683.5</c:v>
                </c:pt>
                <c:pt idx="51">
                  <c:v>1683.55</c:v>
                </c:pt>
                <c:pt idx="52">
                  <c:v>1683.6</c:v>
                </c:pt>
                <c:pt idx="53">
                  <c:v>1683.65</c:v>
                </c:pt>
                <c:pt idx="54">
                  <c:v>1683.7</c:v>
                </c:pt>
                <c:pt idx="55">
                  <c:v>1683.75</c:v>
                </c:pt>
                <c:pt idx="56">
                  <c:v>1683.8</c:v>
                </c:pt>
                <c:pt idx="57">
                  <c:v>1683.85</c:v>
                </c:pt>
                <c:pt idx="58">
                  <c:v>1683.9</c:v>
                </c:pt>
                <c:pt idx="59">
                  <c:v>1683.95</c:v>
                </c:pt>
                <c:pt idx="60">
                  <c:v>1684</c:v>
                </c:pt>
                <c:pt idx="61">
                  <c:v>1684.05</c:v>
                </c:pt>
                <c:pt idx="62">
                  <c:v>1684.1</c:v>
                </c:pt>
                <c:pt idx="63">
                  <c:v>1684.15</c:v>
                </c:pt>
                <c:pt idx="64">
                  <c:v>1684.2</c:v>
                </c:pt>
                <c:pt idx="65">
                  <c:v>1684.25</c:v>
                </c:pt>
                <c:pt idx="66">
                  <c:v>1684.3</c:v>
                </c:pt>
                <c:pt idx="67">
                  <c:v>1684.35</c:v>
                </c:pt>
                <c:pt idx="68">
                  <c:v>1684.4</c:v>
                </c:pt>
                <c:pt idx="69">
                  <c:v>1684.45</c:v>
                </c:pt>
                <c:pt idx="70">
                  <c:v>1684.5</c:v>
                </c:pt>
                <c:pt idx="71">
                  <c:v>1684.55</c:v>
                </c:pt>
                <c:pt idx="72">
                  <c:v>1684.6</c:v>
                </c:pt>
                <c:pt idx="73">
                  <c:v>1684.65</c:v>
                </c:pt>
                <c:pt idx="74">
                  <c:v>1684.7</c:v>
                </c:pt>
                <c:pt idx="75">
                  <c:v>1684.75</c:v>
                </c:pt>
                <c:pt idx="76">
                  <c:v>1684.8</c:v>
                </c:pt>
                <c:pt idx="77">
                  <c:v>1684.85</c:v>
                </c:pt>
                <c:pt idx="78">
                  <c:v>1684.9</c:v>
                </c:pt>
                <c:pt idx="79">
                  <c:v>1684.95</c:v>
                </c:pt>
                <c:pt idx="80">
                  <c:v>1685</c:v>
                </c:pt>
                <c:pt idx="81">
                  <c:v>1685.05</c:v>
                </c:pt>
                <c:pt idx="82">
                  <c:v>1685.1</c:v>
                </c:pt>
                <c:pt idx="83">
                  <c:v>1685.15</c:v>
                </c:pt>
                <c:pt idx="84">
                  <c:v>1685.2</c:v>
                </c:pt>
                <c:pt idx="85">
                  <c:v>1685.25</c:v>
                </c:pt>
                <c:pt idx="86">
                  <c:v>1685.3</c:v>
                </c:pt>
                <c:pt idx="87">
                  <c:v>1685.35</c:v>
                </c:pt>
                <c:pt idx="88">
                  <c:v>1685.4</c:v>
                </c:pt>
                <c:pt idx="89">
                  <c:v>1685.45</c:v>
                </c:pt>
                <c:pt idx="90">
                  <c:v>1685.5</c:v>
                </c:pt>
                <c:pt idx="91">
                  <c:v>1685.55</c:v>
                </c:pt>
                <c:pt idx="92">
                  <c:v>1685.6</c:v>
                </c:pt>
                <c:pt idx="93">
                  <c:v>1685.65</c:v>
                </c:pt>
                <c:pt idx="94">
                  <c:v>1685.7</c:v>
                </c:pt>
                <c:pt idx="95">
                  <c:v>1685.75</c:v>
                </c:pt>
                <c:pt idx="96">
                  <c:v>1685.8</c:v>
                </c:pt>
                <c:pt idx="97">
                  <c:v>1685.85</c:v>
                </c:pt>
                <c:pt idx="98">
                  <c:v>1685.9</c:v>
                </c:pt>
                <c:pt idx="99">
                  <c:v>1685.95</c:v>
                </c:pt>
                <c:pt idx="100">
                  <c:v>1686</c:v>
                </c:pt>
                <c:pt idx="101">
                  <c:v>1686.05</c:v>
                </c:pt>
                <c:pt idx="102">
                  <c:v>1686.1</c:v>
                </c:pt>
                <c:pt idx="103">
                  <c:v>1686.15</c:v>
                </c:pt>
                <c:pt idx="104">
                  <c:v>1686.2</c:v>
                </c:pt>
                <c:pt idx="105">
                  <c:v>1686.25</c:v>
                </c:pt>
                <c:pt idx="106">
                  <c:v>1686.3</c:v>
                </c:pt>
                <c:pt idx="107">
                  <c:v>1686.35</c:v>
                </c:pt>
                <c:pt idx="108">
                  <c:v>1686.4</c:v>
                </c:pt>
                <c:pt idx="109">
                  <c:v>1686.45</c:v>
                </c:pt>
                <c:pt idx="110">
                  <c:v>1686.5</c:v>
                </c:pt>
                <c:pt idx="111">
                  <c:v>1686.55</c:v>
                </c:pt>
                <c:pt idx="112">
                  <c:v>1686.6</c:v>
                </c:pt>
                <c:pt idx="113">
                  <c:v>1686.65</c:v>
                </c:pt>
                <c:pt idx="114">
                  <c:v>1686.7</c:v>
                </c:pt>
                <c:pt idx="115">
                  <c:v>1686.75</c:v>
                </c:pt>
                <c:pt idx="116">
                  <c:v>1686.8</c:v>
                </c:pt>
                <c:pt idx="117">
                  <c:v>1686.85</c:v>
                </c:pt>
                <c:pt idx="118">
                  <c:v>1686.9</c:v>
                </c:pt>
                <c:pt idx="119">
                  <c:v>1686.95</c:v>
                </c:pt>
                <c:pt idx="120">
                  <c:v>1687</c:v>
                </c:pt>
                <c:pt idx="121">
                  <c:v>1687.05</c:v>
                </c:pt>
                <c:pt idx="122">
                  <c:v>1687.1</c:v>
                </c:pt>
                <c:pt idx="123">
                  <c:v>1687.15</c:v>
                </c:pt>
                <c:pt idx="124">
                  <c:v>1687.2</c:v>
                </c:pt>
                <c:pt idx="125">
                  <c:v>1687.25</c:v>
                </c:pt>
                <c:pt idx="126">
                  <c:v>1687.3</c:v>
                </c:pt>
                <c:pt idx="127">
                  <c:v>1687.35</c:v>
                </c:pt>
                <c:pt idx="128">
                  <c:v>1687.4</c:v>
                </c:pt>
                <c:pt idx="129">
                  <c:v>1687.45</c:v>
                </c:pt>
                <c:pt idx="130">
                  <c:v>1687.5</c:v>
                </c:pt>
                <c:pt idx="131">
                  <c:v>1687.55</c:v>
                </c:pt>
                <c:pt idx="132">
                  <c:v>1687.6</c:v>
                </c:pt>
                <c:pt idx="133">
                  <c:v>1687.65</c:v>
                </c:pt>
                <c:pt idx="134">
                  <c:v>1687.7</c:v>
                </c:pt>
                <c:pt idx="135">
                  <c:v>1687.75</c:v>
                </c:pt>
                <c:pt idx="136">
                  <c:v>1687.8</c:v>
                </c:pt>
                <c:pt idx="137">
                  <c:v>1687.85</c:v>
                </c:pt>
                <c:pt idx="138">
                  <c:v>1687.9</c:v>
                </c:pt>
                <c:pt idx="139">
                  <c:v>1687.95</c:v>
                </c:pt>
                <c:pt idx="140">
                  <c:v>1688</c:v>
                </c:pt>
              </c:numCache>
            </c:numRef>
          </c:xVal>
          <c:yVal>
            <c:numRef>
              <c:f>'Ex 2 FULL 0 50 eV'!$I$3:$I$143</c:f>
              <c:numCache>
                <c:formatCode>0.00000000000</c:formatCode>
                <c:ptCount val="141"/>
                <c:pt idx="0">
                  <c:v>7.87976000229725E-4</c:v>
                </c:pt>
                <c:pt idx="1">
                  <c:v>8.2058766360420903E-4</c:v>
                </c:pt>
                <c:pt idx="2">
                  <c:v>8.5479271552429297E-4</c:v>
                </c:pt>
                <c:pt idx="3">
                  <c:v>8.9071343936604703E-4</c:v>
                </c:pt>
                <c:pt idx="4">
                  <c:v>9.2847858372412996E-4</c:v>
                </c:pt>
                <c:pt idx="5">
                  <c:v>9.6823432447511702E-4</c:v>
                </c:pt>
                <c:pt idx="6">
                  <c:v>1.0101405412136801E-3</c:v>
                </c:pt>
                <c:pt idx="7">
                  <c:v>1.0543758188392501E-3</c:v>
                </c:pt>
                <c:pt idx="8">
                  <c:v>1.1011398145780299E-3</c:v>
                </c:pt>
                <c:pt idx="9">
                  <c:v>1.15065454143946E-3</c:v>
                </c:pt>
                <c:pt idx="10">
                  <c:v>1.2031664982350501E-3</c:v>
                </c:pt>
                <c:pt idx="11">
                  <c:v>1.25894984338515E-3</c:v>
                </c:pt>
                <c:pt idx="12">
                  <c:v>1.3183188611452399E-3</c:v>
                </c:pt>
                <c:pt idx="13">
                  <c:v>1.38162996283886E-3</c:v>
                </c:pt>
                <c:pt idx="14">
                  <c:v>1.44928470933037E-3</c:v>
                </c:pt>
                <c:pt idx="15">
                  <c:v>1.5217389147336401E-3</c:v>
                </c:pt>
                <c:pt idx="16">
                  <c:v>1.5995155319849701E-3</c:v>
                </c:pt>
                <c:pt idx="17">
                  <c:v>1.68322149124147E-3</c:v>
                </c:pt>
                <c:pt idx="18">
                  <c:v>1.77355074134764E-3</c:v>
                </c:pt>
                <c:pt idx="19">
                  <c:v>1.87130835254383E-3</c:v>
                </c:pt>
                <c:pt idx="20">
                  <c:v>1.97744115148545E-3</c:v>
                </c:pt>
                <c:pt idx="21">
                  <c:v>2.0930634944291899E-3</c:v>
                </c:pt>
                <c:pt idx="22">
                  <c:v>2.21948977058094E-3</c:v>
                </c:pt>
                <c:pt idx="23">
                  <c:v>2.3582851708168701E-3</c:v>
                </c:pt>
                <c:pt idx="24">
                  <c:v>2.5113317578930199E-3</c:v>
                </c:pt>
                <c:pt idx="25">
                  <c:v>2.6809159855615398E-3</c:v>
                </c:pt>
                <c:pt idx="26">
                  <c:v>2.8698285740755298E-3</c:v>
                </c:pt>
                <c:pt idx="27">
                  <c:v>3.0815271769687098E-3</c:v>
                </c:pt>
                <c:pt idx="28">
                  <c:v>3.3203367739556601E-3</c:v>
                </c:pt>
                <c:pt idx="29">
                  <c:v>3.59173435873352E-3</c:v>
                </c:pt>
                <c:pt idx="30">
                  <c:v>3.9027647619729699E-3</c:v>
                </c:pt>
                <c:pt idx="31">
                  <c:v>4.2626482690576502E-3</c:v>
                </c:pt>
                <c:pt idx="32">
                  <c:v>4.6836771537741503E-3</c:v>
                </c:pt>
                <c:pt idx="33">
                  <c:v>5.1825871269549203E-3</c:v>
                </c:pt>
                <c:pt idx="34">
                  <c:v>5.7827726039933903E-3</c:v>
                </c:pt>
                <c:pt idx="35">
                  <c:v>6.5179370707269301E-3</c:v>
                </c:pt>
                <c:pt idx="36">
                  <c:v>7.4384104394721101E-3</c:v>
                </c:pt>
                <c:pt idx="37">
                  <c:v>8.6227632542506295E-3</c:v>
                </c:pt>
                <c:pt idx="38">
                  <c:v>1.02006326372705E-2</c:v>
                </c:pt>
                <c:pt idx="39">
                  <c:v>1.24017317506789E-2</c:v>
                </c:pt>
                <c:pt idx="40">
                  <c:v>1.56737699012497E-2</c:v>
                </c:pt>
                <c:pt idx="41">
                  <c:v>2.1012502588133801E-2</c:v>
                </c:pt>
                <c:pt idx="42">
                  <c:v>3.10708123349203E-2</c:v>
                </c:pt>
                <c:pt idx="43">
                  <c:v>5.37665374487842E-2</c:v>
                </c:pt>
                <c:pt idx="44">
                  <c:v>0.10220121162377201</c:v>
                </c:pt>
                <c:pt idx="45">
                  <c:v>0.16157651023368899</c:v>
                </c:pt>
                <c:pt idx="46">
                  <c:v>0.19097850067573699</c:v>
                </c:pt>
                <c:pt idx="47">
                  <c:v>0.19810687780573999</c:v>
                </c:pt>
                <c:pt idx="48">
                  <c:v>0.20047349538878201</c:v>
                </c:pt>
                <c:pt idx="49">
                  <c:v>0.201995139440135</c:v>
                </c:pt>
                <c:pt idx="50">
                  <c:v>0.202450718170643</c:v>
                </c:pt>
                <c:pt idx="51">
                  <c:v>0.201666479011682</c:v>
                </c:pt>
                <c:pt idx="52">
                  <c:v>0.19990451827783001</c:v>
                </c:pt>
                <c:pt idx="53">
                  <c:v>0.19762206464783799</c:v>
                </c:pt>
                <c:pt idx="54">
                  <c:v>0.19524877673628699</c:v>
                </c:pt>
                <c:pt idx="55">
                  <c:v>0.19305351344461599</c:v>
                </c:pt>
                <c:pt idx="56">
                  <c:v>0.191166171711243</c:v>
                </c:pt>
                <c:pt idx="57">
                  <c:v>0.18966581903225199</c:v>
                </c:pt>
                <c:pt idx="58">
                  <c:v>0.18861122832956101</c:v>
                </c:pt>
                <c:pt idx="59">
                  <c:v>0.18786019371628199</c:v>
                </c:pt>
                <c:pt idx="60">
                  <c:v>0.187223948680907</c:v>
                </c:pt>
                <c:pt idx="61">
                  <c:v>0.18661477129179599</c:v>
                </c:pt>
                <c:pt idx="62">
                  <c:v>0.18600481909047401</c:v>
                </c:pt>
                <c:pt idx="63">
                  <c:v>0.18538834888347699</c:v>
                </c:pt>
                <c:pt idx="64">
                  <c:v>0.18476886756779401</c:v>
                </c:pt>
                <c:pt idx="65">
                  <c:v>0.184153328425467</c:v>
                </c:pt>
                <c:pt idx="66">
                  <c:v>0.18354924767615799</c:v>
                </c:pt>
                <c:pt idx="67">
                  <c:v>0.18296328049198601</c:v>
                </c:pt>
                <c:pt idx="68">
                  <c:v>0.18240072031551999</c:v>
                </c:pt>
                <c:pt idx="69">
                  <c:v>0.18186498539499801</c:v>
                </c:pt>
                <c:pt idx="70">
                  <c:v>0.18135776180619501</c:v>
                </c:pt>
                <c:pt idx="71">
                  <c:v>0.18087994363626</c:v>
                </c:pt>
                <c:pt idx="72">
                  <c:v>0.180431672831634</c:v>
                </c:pt>
                <c:pt idx="73">
                  <c:v>0.18001225920420599</c:v>
                </c:pt>
                <c:pt idx="74">
                  <c:v>0.17962088853880401</c:v>
                </c:pt>
                <c:pt idx="75">
                  <c:v>0.17925639879397401</c:v>
                </c:pt>
                <c:pt idx="76">
                  <c:v>0.178917395056959</c:v>
                </c:pt>
                <c:pt idx="77">
                  <c:v>0.17860256668458499</c:v>
                </c:pt>
                <c:pt idx="78">
                  <c:v>0.178310484405169</c:v>
                </c:pt>
                <c:pt idx="79">
                  <c:v>0.178039628383618</c:v>
                </c:pt>
                <c:pt idx="80">
                  <c:v>0.17778863917976101</c:v>
                </c:pt>
                <c:pt idx="81">
                  <c:v>0.177556188316074</c:v>
                </c:pt>
                <c:pt idx="82">
                  <c:v>0.177341028122141</c:v>
                </c:pt>
                <c:pt idx="83">
                  <c:v>0.17714195284202999</c:v>
                </c:pt>
                <c:pt idx="84">
                  <c:v>0.17695783278001001</c:v>
                </c:pt>
                <c:pt idx="85">
                  <c:v>0.17678763365486999</c:v>
                </c:pt>
                <c:pt idx="86">
                  <c:v>0.176630356845033</c:v>
                </c:pt>
                <c:pt idx="87">
                  <c:v>0.176485055486679</c:v>
                </c:pt>
                <c:pt idx="88">
                  <c:v>0.17635086281260501</c:v>
                </c:pt>
                <c:pt idx="89">
                  <c:v>0.17622697772109699</c:v>
                </c:pt>
                <c:pt idx="90">
                  <c:v>0.17611264908834601</c:v>
                </c:pt>
                <c:pt idx="91">
                  <c:v>0.176007171829896</c:v>
                </c:pt>
                <c:pt idx="92">
                  <c:v>0.175909922115669</c:v>
                </c:pt>
                <c:pt idx="93">
                  <c:v>0.175820316526272</c:v>
                </c:pt>
                <c:pt idx="94">
                  <c:v>0.17573780462754601</c:v>
                </c:pt>
                <c:pt idx="95">
                  <c:v>0.17566187165497801</c:v>
                </c:pt>
                <c:pt idx="96">
                  <c:v>0.175592025303206</c:v>
                </c:pt>
                <c:pt idx="97">
                  <c:v>0.175527829670378</c:v>
                </c:pt>
                <c:pt idx="98">
                  <c:v>0.17546889464335599</c:v>
                </c:pt>
                <c:pt idx="99">
                  <c:v>0.175414836503309</c:v>
                </c:pt>
                <c:pt idx="100">
                  <c:v>0.17536529030385301</c:v>
                </c:pt>
                <c:pt idx="101">
                  <c:v>0.17531992575352001</c:v>
                </c:pt>
                <c:pt idx="102">
                  <c:v>0.17527846175042699</c:v>
                </c:pt>
                <c:pt idx="103">
                  <c:v>0.175240634999307</c:v>
                </c:pt>
                <c:pt idx="104">
                  <c:v>0.175206163434934</c:v>
                </c:pt>
                <c:pt idx="105">
                  <c:v>0.17517481080931899</c:v>
                </c:pt>
                <c:pt idx="106">
                  <c:v>0.175146354650212</c:v>
                </c:pt>
                <c:pt idx="107">
                  <c:v>0.175120578090002</c:v>
                </c:pt>
                <c:pt idx="108">
                  <c:v>0.17509728989179599</c:v>
                </c:pt>
                <c:pt idx="109">
                  <c:v>0.17507630968549201</c:v>
                </c:pt>
                <c:pt idx="110">
                  <c:v>0.17505746383710299</c:v>
                </c:pt>
                <c:pt idx="111">
                  <c:v>0.17504060369772201</c:v>
                </c:pt>
                <c:pt idx="112">
                  <c:v>0.17502558608544999</c:v>
                </c:pt>
                <c:pt idx="113">
                  <c:v>0.17501227022417201</c:v>
                </c:pt>
                <c:pt idx="114">
                  <c:v>0.17500053159512</c:v>
                </c:pt>
                <c:pt idx="115">
                  <c:v>0.17499024221349299</c:v>
                </c:pt>
                <c:pt idx="116">
                  <c:v>0.17498131412370499</c:v>
                </c:pt>
                <c:pt idx="117">
                  <c:v>0.17497365421363201</c:v>
                </c:pt>
                <c:pt idx="118">
                  <c:v>0.174967155171498</c:v>
                </c:pt>
                <c:pt idx="119">
                  <c:v>0.17496173056018199</c:v>
                </c:pt>
                <c:pt idx="120">
                  <c:v>0.17495729420879</c:v>
                </c:pt>
                <c:pt idx="121">
                  <c:v>0.174953772857561</c:v>
                </c:pt>
                <c:pt idx="122">
                  <c:v>0.17495109090262601</c:v>
                </c:pt>
                <c:pt idx="123">
                  <c:v>0.17494918086092301</c:v>
                </c:pt>
                <c:pt idx="124">
                  <c:v>0.17494799075293399</c:v>
                </c:pt>
                <c:pt idx="125">
                  <c:v>0.174947461535016</c:v>
                </c:pt>
                <c:pt idx="126">
                  <c:v>0.174947536751591</c:v>
                </c:pt>
                <c:pt idx="127">
                  <c:v>0.174948162654777</c:v>
                </c:pt>
                <c:pt idx="128">
                  <c:v>0.17494930001945999</c:v>
                </c:pt>
                <c:pt idx="129">
                  <c:v>0.17495090932381799</c:v>
                </c:pt>
                <c:pt idx="130">
                  <c:v>0.17495294585037399</c:v>
                </c:pt>
                <c:pt idx="131">
                  <c:v>0.17495537056910099</c:v>
                </c:pt>
                <c:pt idx="132">
                  <c:v>0.17495814475124799</c:v>
                </c:pt>
                <c:pt idx="133">
                  <c:v>0.174961233972802</c:v>
                </c:pt>
                <c:pt idx="134">
                  <c:v>0.17496460501567501</c:v>
                </c:pt>
                <c:pt idx="135">
                  <c:v>0.174968246630856</c:v>
                </c:pt>
                <c:pt idx="136">
                  <c:v>0.17497213158123101</c:v>
                </c:pt>
                <c:pt idx="137">
                  <c:v>0.17497623317560901</c:v>
                </c:pt>
                <c:pt idx="138">
                  <c:v>0.174980526926025</c:v>
                </c:pt>
                <c:pt idx="139">
                  <c:v>0.17498499103344001</c:v>
                </c:pt>
                <c:pt idx="140">
                  <c:v>0.174989601882728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FD6-40D4-AAF9-D6A1362FD199}"/>
            </c:ext>
          </c:extLst>
        </c:ser>
        <c:ser>
          <c:idx val="1"/>
          <c:order val="2"/>
          <c:tx>
            <c:v>SPACES-renorm</c:v>
          </c:tx>
          <c:spPr>
            <a:ln w="19050" cap="rnd">
              <a:solidFill>
                <a:schemeClr val="bg2">
                  <a:lumMod val="9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'Ex 2 FULL 0 50 eV'!$A$3:$A$144</c:f>
              <c:numCache>
                <c:formatCode>General</c:formatCode>
                <c:ptCount val="142"/>
                <c:pt idx="0">
                  <c:v>1678.7890400000001</c:v>
                </c:pt>
                <c:pt idx="1">
                  <c:v>1678.8357800000001</c:v>
                </c:pt>
                <c:pt idx="2">
                  <c:v>1678.8825099999999</c:v>
                </c:pt>
                <c:pt idx="3">
                  <c:v>1678.9292499999999</c:v>
                </c:pt>
                <c:pt idx="4">
                  <c:v>1678.9759899999999</c:v>
                </c:pt>
                <c:pt idx="5">
                  <c:v>1679.0227199999999</c:v>
                </c:pt>
                <c:pt idx="6">
                  <c:v>1679.0694599999999</c:v>
                </c:pt>
                <c:pt idx="7">
                  <c:v>1679.11619</c:v>
                </c:pt>
                <c:pt idx="8">
                  <c:v>1679.16293</c:v>
                </c:pt>
                <c:pt idx="9">
                  <c:v>1679.20966</c:v>
                </c:pt>
                <c:pt idx="10">
                  <c:v>1679.2564</c:v>
                </c:pt>
                <c:pt idx="11">
                  <c:v>1679.30313</c:v>
                </c:pt>
                <c:pt idx="12">
                  <c:v>1679.34987</c:v>
                </c:pt>
                <c:pt idx="13">
                  <c:v>1679.3966</c:v>
                </c:pt>
                <c:pt idx="14">
                  <c:v>1679.44334</c:v>
                </c:pt>
                <c:pt idx="15">
                  <c:v>1679.4900700000001</c:v>
                </c:pt>
                <c:pt idx="16">
                  <c:v>1679.5368100000001</c:v>
                </c:pt>
                <c:pt idx="17">
                  <c:v>1679.5835400000001</c:v>
                </c:pt>
                <c:pt idx="18">
                  <c:v>1679.6302800000001</c:v>
                </c:pt>
                <c:pt idx="19">
                  <c:v>1679.6770100000001</c:v>
                </c:pt>
                <c:pt idx="20">
                  <c:v>1679.7237500000001</c:v>
                </c:pt>
                <c:pt idx="21">
                  <c:v>1679.7704799999999</c:v>
                </c:pt>
                <c:pt idx="22">
                  <c:v>1679.8172199999999</c:v>
                </c:pt>
                <c:pt idx="23">
                  <c:v>1679.8639499999999</c:v>
                </c:pt>
                <c:pt idx="24">
                  <c:v>1679.9106899999999</c:v>
                </c:pt>
                <c:pt idx="25">
                  <c:v>1679.95742</c:v>
                </c:pt>
                <c:pt idx="26">
                  <c:v>1680.00416</c:v>
                </c:pt>
                <c:pt idx="27">
                  <c:v>1680.05089</c:v>
                </c:pt>
                <c:pt idx="28">
                  <c:v>1680.09763</c:v>
                </c:pt>
                <c:pt idx="29">
                  <c:v>1680.14436</c:v>
                </c:pt>
                <c:pt idx="30">
                  <c:v>1680.1911</c:v>
                </c:pt>
                <c:pt idx="31">
                  <c:v>1680.23783</c:v>
                </c:pt>
                <c:pt idx="32">
                  <c:v>1680.28457</c:v>
                </c:pt>
                <c:pt idx="33">
                  <c:v>1680.3313000000001</c:v>
                </c:pt>
                <c:pt idx="34">
                  <c:v>1680.3780400000001</c:v>
                </c:pt>
                <c:pt idx="35">
                  <c:v>1680.4247700000001</c:v>
                </c:pt>
                <c:pt idx="36">
                  <c:v>1680.4715100000001</c:v>
                </c:pt>
                <c:pt idx="37">
                  <c:v>1680.5182400000001</c:v>
                </c:pt>
                <c:pt idx="38">
                  <c:v>1680.5649800000001</c:v>
                </c:pt>
                <c:pt idx="39">
                  <c:v>1680.6117099999999</c:v>
                </c:pt>
                <c:pt idx="40">
                  <c:v>1680.6584499999999</c:v>
                </c:pt>
                <c:pt idx="41">
                  <c:v>1680.7051799999999</c:v>
                </c:pt>
                <c:pt idx="42">
                  <c:v>1680.7519199999999</c:v>
                </c:pt>
                <c:pt idx="43">
                  <c:v>1680.79865</c:v>
                </c:pt>
                <c:pt idx="44">
                  <c:v>1680.84539</c:v>
                </c:pt>
                <c:pt idx="45">
                  <c:v>1680.89213</c:v>
                </c:pt>
                <c:pt idx="46">
                  <c:v>1680.93886</c:v>
                </c:pt>
                <c:pt idx="47">
                  <c:v>1680.9856</c:v>
                </c:pt>
                <c:pt idx="48">
                  <c:v>1681.03233</c:v>
                </c:pt>
                <c:pt idx="49">
                  <c:v>1681.07907</c:v>
                </c:pt>
                <c:pt idx="50">
                  <c:v>1681.1258</c:v>
                </c:pt>
                <c:pt idx="51">
                  <c:v>1681.17254</c:v>
                </c:pt>
                <c:pt idx="52">
                  <c:v>1681.2192700000001</c:v>
                </c:pt>
                <c:pt idx="53">
                  <c:v>1681.2660100000001</c:v>
                </c:pt>
                <c:pt idx="54">
                  <c:v>1681.3127400000001</c:v>
                </c:pt>
                <c:pt idx="55">
                  <c:v>1681.3594800000001</c:v>
                </c:pt>
                <c:pt idx="56">
                  <c:v>1681.4062100000001</c:v>
                </c:pt>
                <c:pt idx="57">
                  <c:v>1681.4529500000001</c:v>
                </c:pt>
                <c:pt idx="58">
                  <c:v>1681.4996799999999</c:v>
                </c:pt>
                <c:pt idx="59">
                  <c:v>1681.5464199999999</c:v>
                </c:pt>
                <c:pt idx="60">
                  <c:v>1681.5931499999999</c:v>
                </c:pt>
                <c:pt idx="61">
                  <c:v>1681.6398899999999</c:v>
                </c:pt>
                <c:pt idx="62">
                  <c:v>1681.6866199999999</c:v>
                </c:pt>
                <c:pt idx="63">
                  <c:v>1681.7333599999999</c:v>
                </c:pt>
                <c:pt idx="64">
                  <c:v>1681.78009</c:v>
                </c:pt>
                <c:pt idx="65">
                  <c:v>1681.82683</c:v>
                </c:pt>
                <c:pt idx="66">
                  <c:v>1681.87356</c:v>
                </c:pt>
                <c:pt idx="67">
                  <c:v>1681.9203</c:v>
                </c:pt>
                <c:pt idx="68">
                  <c:v>1681.96703</c:v>
                </c:pt>
                <c:pt idx="69">
                  <c:v>1682.01377</c:v>
                </c:pt>
                <c:pt idx="70">
                  <c:v>1682.0605</c:v>
                </c:pt>
                <c:pt idx="71">
                  <c:v>1682.10724</c:v>
                </c:pt>
                <c:pt idx="72">
                  <c:v>1682.1539700000001</c:v>
                </c:pt>
                <c:pt idx="73">
                  <c:v>1682.2007100000001</c:v>
                </c:pt>
                <c:pt idx="74">
                  <c:v>1682.2474400000001</c:v>
                </c:pt>
                <c:pt idx="75">
                  <c:v>1682.2941800000001</c:v>
                </c:pt>
                <c:pt idx="76">
                  <c:v>1682.3409099999999</c:v>
                </c:pt>
                <c:pt idx="77">
                  <c:v>1682.3876499999999</c:v>
                </c:pt>
                <c:pt idx="78">
                  <c:v>1682.4343799999999</c:v>
                </c:pt>
                <c:pt idx="79">
                  <c:v>1682.4811199999999</c:v>
                </c:pt>
                <c:pt idx="80">
                  <c:v>1682.5278499999999</c:v>
                </c:pt>
                <c:pt idx="81">
                  <c:v>1682.5745899999999</c:v>
                </c:pt>
                <c:pt idx="82">
                  <c:v>1682.62132</c:v>
                </c:pt>
                <c:pt idx="83">
                  <c:v>1682.66806</c:v>
                </c:pt>
                <c:pt idx="84">
                  <c:v>1682.71479</c:v>
                </c:pt>
                <c:pt idx="85">
                  <c:v>1682.76153</c:v>
                </c:pt>
                <c:pt idx="86">
                  <c:v>1682.80826</c:v>
                </c:pt>
                <c:pt idx="87">
                  <c:v>1682.855</c:v>
                </c:pt>
                <c:pt idx="88">
                  <c:v>1682.90174</c:v>
                </c:pt>
                <c:pt idx="89">
                  <c:v>1682.94847</c:v>
                </c:pt>
                <c:pt idx="90">
                  <c:v>1682.99521</c:v>
                </c:pt>
                <c:pt idx="91">
                  <c:v>1683.0419400000001</c:v>
                </c:pt>
                <c:pt idx="92">
                  <c:v>1683.0886800000001</c:v>
                </c:pt>
                <c:pt idx="93">
                  <c:v>1683.1354100000001</c:v>
                </c:pt>
                <c:pt idx="94">
                  <c:v>1683.1821500000001</c:v>
                </c:pt>
                <c:pt idx="95">
                  <c:v>1683.2288799999999</c:v>
                </c:pt>
                <c:pt idx="96">
                  <c:v>1683.2756199999999</c:v>
                </c:pt>
                <c:pt idx="97">
                  <c:v>1683.3223499999999</c:v>
                </c:pt>
                <c:pt idx="98">
                  <c:v>1683.3690899999999</c:v>
                </c:pt>
                <c:pt idx="99">
                  <c:v>1683.4158199999999</c:v>
                </c:pt>
                <c:pt idx="100">
                  <c:v>1683.4625599999999</c:v>
                </c:pt>
                <c:pt idx="101">
                  <c:v>1683.50929</c:v>
                </c:pt>
                <c:pt idx="102">
                  <c:v>1683.55603</c:v>
                </c:pt>
                <c:pt idx="103">
                  <c:v>1683.60276</c:v>
                </c:pt>
                <c:pt idx="104">
                  <c:v>1683.6495</c:v>
                </c:pt>
                <c:pt idx="105">
                  <c:v>1683.69623</c:v>
                </c:pt>
                <c:pt idx="106">
                  <c:v>1683.74297</c:v>
                </c:pt>
                <c:pt idx="107">
                  <c:v>1683.7897</c:v>
                </c:pt>
                <c:pt idx="108">
                  <c:v>1683.83644</c:v>
                </c:pt>
                <c:pt idx="109">
                  <c:v>1683.8831700000001</c:v>
                </c:pt>
                <c:pt idx="110">
                  <c:v>1683.9299100000001</c:v>
                </c:pt>
                <c:pt idx="111">
                  <c:v>1683.9766400000001</c:v>
                </c:pt>
                <c:pt idx="112">
                  <c:v>1684.0233800000001</c:v>
                </c:pt>
                <c:pt idx="113">
                  <c:v>1684.0701100000001</c:v>
                </c:pt>
                <c:pt idx="114">
                  <c:v>1684.1168500000001</c:v>
                </c:pt>
                <c:pt idx="115">
                  <c:v>1684.1635799999999</c:v>
                </c:pt>
                <c:pt idx="116">
                  <c:v>1684.2103199999999</c:v>
                </c:pt>
                <c:pt idx="117">
                  <c:v>1684.2570499999999</c:v>
                </c:pt>
                <c:pt idx="118">
                  <c:v>1684.3037899999999</c:v>
                </c:pt>
                <c:pt idx="119">
                  <c:v>1684.35052</c:v>
                </c:pt>
                <c:pt idx="120">
                  <c:v>1684.39726</c:v>
                </c:pt>
                <c:pt idx="121">
                  <c:v>1684.44399</c:v>
                </c:pt>
                <c:pt idx="122">
                  <c:v>1684.49073</c:v>
                </c:pt>
                <c:pt idx="123">
                  <c:v>1684.53746</c:v>
                </c:pt>
                <c:pt idx="124">
                  <c:v>1684.5842</c:v>
                </c:pt>
                <c:pt idx="125">
                  <c:v>1684.63093</c:v>
                </c:pt>
                <c:pt idx="126">
                  <c:v>1684.67767</c:v>
                </c:pt>
                <c:pt idx="127">
                  <c:v>1684.7244000000001</c:v>
                </c:pt>
                <c:pt idx="128">
                  <c:v>1684.7711400000001</c:v>
                </c:pt>
                <c:pt idx="129">
                  <c:v>1684.8178800000001</c:v>
                </c:pt>
                <c:pt idx="130">
                  <c:v>1684.8646100000001</c:v>
                </c:pt>
                <c:pt idx="131">
                  <c:v>1684.9113500000001</c:v>
                </c:pt>
                <c:pt idx="132">
                  <c:v>1684.9580800000001</c:v>
                </c:pt>
                <c:pt idx="133">
                  <c:v>1685.0048200000001</c:v>
                </c:pt>
                <c:pt idx="134">
                  <c:v>1685.0515499999999</c:v>
                </c:pt>
                <c:pt idx="135">
                  <c:v>1685.0982899999999</c:v>
                </c:pt>
                <c:pt idx="136">
                  <c:v>1685.1450199999999</c:v>
                </c:pt>
                <c:pt idx="137">
                  <c:v>1685.1917599999999</c:v>
                </c:pt>
                <c:pt idx="138">
                  <c:v>1685.23849</c:v>
                </c:pt>
                <c:pt idx="139">
                  <c:v>1685.28523</c:v>
                </c:pt>
                <c:pt idx="140">
                  <c:v>1685.33196</c:v>
                </c:pt>
                <c:pt idx="141">
                  <c:v>1685.3787</c:v>
                </c:pt>
              </c:numCache>
            </c:numRef>
          </c:xVal>
          <c:yVal>
            <c:numRef>
              <c:f>'Ex 2 FULL 0 50 eV'!$C$3:$C$144</c:f>
              <c:numCache>
                <c:formatCode>0.00E+00</c:formatCode>
                <c:ptCount val="142"/>
                <c:pt idx="0">
                  <c:v>2.4281999999999999E-5</c:v>
                </c:pt>
                <c:pt idx="1">
                  <c:v>3.0281499999999998E-5</c:v>
                </c:pt>
                <c:pt idx="2">
                  <c:v>4.0363500000000001E-5</c:v>
                </c:pt>
                <c:pt idx="3">
                  <c:v>5.0108249999999992E-5</c:v>
                </c:pt>
                <c:pt idx="4">
                  <c:v>5.9675499999999995E-5</c:v>
                </c:pt>
                <c:pt idx="5">
                  <c:v>6.917174999999999E-5</c:v>
                </c:pt>
                <c:pt idx="6">
                  <c:v>7.8650249999999991E-5</c:v>
                </c:pt>
                <c:pt idx="7">
                  <c:v>8.8182000000000004E-5</c:v>
                </c:pt>
                <c:pt idx="8">
                  <c:v>9.7802499999999991E-5</c:v>
                </c:pt>
                <c:pt idx="9">
                  <c:v>1.0749399999999998E-4</c:v>
                </c:pt>
                <c:pt idx="10">
                  <c:v>1.173275E-4</c:v>
                </c:pt>
                <c:pt idx="11">
                  <c:v>1.27303E-4</c:v>
                </c:pt>
                <c:pt idx="12">
                  <c:v>1.3743824999999998E-4</c:v>
                </c:pt>
                <c:pt idx="13">
                  <c:v>1.4775099999999998E-4</c:v>
                </c:pt>
                <c:pt idx="14">
                  <c:v>1.5824125E-4</c:v>
                </c:pt>
                <c:pt idx="15">
                  <c:v>1.6896224999999999E-4</c:v>
                </c:pt>
                <c:pt idx="16">
                  <c:v>1.7998499999999996E-4</c:v>
                </c:pt>
                <c:pt idx="17">
                  <c:v>1.9098999999999999E-4</c:v>
                </c:pt>
                <c:pt idx="18">
                  <c:v>2.0252750000000002E-4</c:v>
                </c:pt>
                <c:pt idx="19">
                  <c:v>2.1424249999999999E-4</c:v>
                </c:pt>
                <c:pt idx="20">
                  <c:v>2.2613499999999998E-4</c:v>
                </c:pt>
                <c:pt idx="21">
                  <c:v>2.3838249999999999E-4</c:v>
                </c:pt>
                <c:pt idx="22">
                  <c:v>2.5098499999999996E-4</c:v>
                </c:pt>
                <c:pt idx="23">
                  <c:v>2.6394249999999998E-4</c:v>
                </c:pt>
                <c:pt idx="24">
                  <c:v>2.7725500000000001E-4</c:v>
                </c:pt>
                <c:pt idx="25">
                  <c:v>2.9074499999999997E-4</c:v>
                </c:pt>
                <c:pt idx="26">
                  <c:v>3.0476749999999996E-4</c:v>
                </c:pt>
                <c:pt idx="27">
                  <c:v>3.1914499999999995E-4</c:v>
                </c:pt>
                <c:pt idx="28">
                  <c:v>3.3405499999999999E-4</c:v>
                </c:pt>
                <c:pt idx="29">
                  <c:v>3.4932000000000002E-4</c:v>
                </c:pt>
                <c:pt idx="30">
                  <c:v>3.6511749999999993E-4</c:v>
                </c:pt>
                <c:pt idx="31">
                  <c:v>3.8127000000000001E-4</c:v>
                </c:pt>
                <c:pt idx="32">
                  <c:v>3.9795499999999997E-4</c:v>
                </c:pt>
                <c:pt idx="33">
                  <c:v>4.1534999999999999E-4</c:v>
                </c:pt>
                <c:pt idx="34">
                  <c:v>4.3309999999999996E-4</c:v>
                </c:pt>
                <c:pt idx="35">
                  <c:v>4.5155999999999994E-4</c:v>
                </c:pt>
                <c:pt idx="36">
                  <c:v>4.7072999999999993E-4</c:v>
                </c:pt>
                <c:pt idx="37">
                  <c:v>4.9043249999999991E-4</c:v>
                </c:pt>
                <c:pt idx="38">
                  <c:v>5.1084500000000001E-4</c:v>
                </c:pt>
                <c:pt idx="39">
                  <c:v>5.3196750000000001E-4</c:v>
                </c:pt>
                <c:pt idx="40">
                  <c:v>5.5397749999999994E-4</c:v>
                </c:pt>
                <c:pt idx="41">
                  <c:v>5.7687499999999991E-4</c:v>
                </c:pt>
                <c:pt idx="42">
                  <c:v>6.0048250000000001E-4</c:v>
                </c:pt>
                <c:pt idx="43">
                  <c:v>6.2515499999999996E-4</c:v>
                </c:pt>
                <c:pt idx="44">
                  <c:v>6.5071499999999995E-4</c:v>
                </c:pt>
                <c:pt idx="45">
                  <c:v>6.7733999999999991E-4</c:v>
                </c:pt>
                <c:pt idx="46">
                  <c:v>7.0520749999999997E-4</c:v>
                </c:pt>
                <c:pt idx="47">
                  <c:v>7.3413999999999999E-4</c:v>
                </c:pt>
                <c:pt idx="48">
                  <c:v>7.64315E-4</c:v>
                </c:pt>
                <c:pt idx="49">
                  <c:v>7.9590999999999993E-4</c:v>
                </c:pt>
                <c:pt idx="50">
                  <c:v>8.2892499999999989E-4</c:v>
                </c:pt>
                <c:pt idx="51">
                  <c:v>8.635375E-4</c:v>
                </c:pt>
                <c:pt idx="52">
                  <c:v>8.9974749999999996E-4</c:v>
                </c:pt>
                <c:pt idx="53">
                  <c:v>9.3773249999999999E-4</c:v>
                </c:pt>
                <c:pt idx="54">
                  <c:v>9.774924999999999E-4</c:v>
                </c:pt>
                <c:pt idx="55">
                  <c:v>1.0193824999999998E-3</c:v>
                </c:pt>
                <c:pt idx="56">
                  <c:v>1.0637575E-3</c:v>
                </c:pt>
                <c:pt idx="57">
                  <c:v>1.1102625000000001E-3</c:v>
                </c:pt>
                <c:pt idx="58">
                  <c:v>1.1592525000000001E-3</c:v>
                </c:pt>
                <c:pt idx="59">
                  <c:v>1.21126E-3</c:v>
                </c:pt>
                <c:pt idx="60">
                  <c:v>1.2662849999999998E-3</c:v>
                </c:pt>
                <c:pt idx="61">
                  <c:v>1.3245049999999999E-3</c:v>
                </c:pt>
                <c:pt idx="62">
                  <c:v>1.3864525E-3</c:v>
                </c:pt>
                <c:pt idx="63">
                  <c:v>1.4524824999999999E-3</c:v>
                </c:pt>
                <c:pt idx="64">
                  <c:v>1.5227724999999999E-3</c:v>
                </c:pt>
                <c:pt idx="65">
                  <c:v>1.5978549999999998E-3</c:v>
                </c:pt>
                <c:pt idx="66">
                  <c:v>1.6782625E-3</c:v>
                </c:pt>
                <c:pt idx="67">
                  <c:v>1.7645274999999998E-3</c:v>
                </c:pt>
                <c:pt idx="68">
                  <c:v>1.8566500000000001E-3</c:v>
                </c:pt>
                <c:pt idx="69">
                  <c:v>1.9578249999999998E-3</c:v>
                </c:pt>
                <c:pt idx="70">
                  <c:v>2.0661E-3</c:v>
                </c:pt>
                <c:pt idx="71">
                  <c:v>2.1832499999999999E-3</c:v>
                </c:pt>
                <c:pt idx="72">
                  <c:v>2.3110499999999998E-3</c:v>
                </c:pt>
                <c:pt idx="73">
                  <c:v>2.4512749999999997E-3</c:v>
                </c:pt>
                <c:pt idx="74">
                  <c:v>2.603925E-3</c:v>
                </c:pt>
                <c:pt idx="75">
                  <c:v>2.7743250000000002E-3</c:v>
                </c:pt>
                <c:pt idx="76">
                  <c:v>2.9606999999999997E-3</c:v>
                </c:pt>
                <c:pt idx="77">
                  <c:v>3.1683750000000002E-3</c:v>
                </c:pt>
                <c:pt idx="78">
                  <c:v>3.4008999999999997E-3</c:v>
                </c:pt>
                <c:pt idx="79">
                  <c:v>3.6618249999999996E-3</c:v>
                </c:pt>
                <c:pt idx="80">
                  <c:v>3.9600249999999998E-3</c:v>
                </c:pt>
                <c:pt idx="81">
                  <c:v>4.2972749999999997E-3</c:v>
                </c:pt>
                <c:pt idx="82">
                  <c:v>4.6877749999999999E-3</c:v>
                </c:pt>
                <c:pt idx="83">
                  <c:v>5.1403999999999998E-3</c:v>
                </c:pt>
                <c:pt idx="84">
                  <c:v>5.6764499999999996E-3</c:v>
                </c:pt>
                <c:pt idx="85">
                  <c:v>6.3118999999999996E-3</c:v>
                </c:pt>
                <c:pt idx="86">
                  <c:v>7.0840249999999999E-3</c:v>
                </c:pt>
                <c:pt idx="87">
                  <c:v>8.0354249999999988E-3</c:v>
                </c:pt>
                <c:pt idx="88">
                  <c:v>9.2388749999999988E-3</c:v>
                </c:pt>
                <c:pt idx="89">
                  <c:v>1.0799099999999999E-2</c:v>
                </c:pt>
                <c:pt idx="90">
                  <c:v>1.2893599999999998E-2</c:v>
                </c:pt>
                <c:pt idx="91">
                  <c:v>1.5838325E-2</c:v>
                </c:pt>
                <c:pt idx="92">
                  <c:v>2.0252749999999996E-2</c:v>
                </c:pt>
                <c:pt idx="93">
                  <c:v>2.7406E-2</c:v>
                </c:pt>
                <c:pt idx="94">
                  <c:v>4.0594249999999998E-2</c:v>
                </c:pt>
                <c:pt idx="95">
                  <c:v>6.9651000000000005E-2</c:v>
                </c:pt>
                <c:pt idx="96">
                  <c:v>0.14129</c:v>
                </c:pt>
                <c:pt idx="97">
                  <c:v>0.22791</c:v>
                </c:pt>
                <c:pt idx="98">
                  <c:v>0.2433525</c:v>
                </c:pt>
                <c:pt idx="99">
                  <c:v>0.23607500000000001</c:v>
                </c:pt>
                <c:pt idx="100">
                  <c:v>0.22844249999999997</c:v>
                </c:pt>
                <c:pt idx="101">
                  <c:v>0.22205249999999996</c:v>
                </c:pt>
                <c:pt idx="102">
                  <c:v>0.21690499999999999</c:v>
                </c:pt>
                <c:pt idx="103">
                  <c:v>0.2124675</c:v>
                </c:pt>
                <c:pt idx="104">
                  <c:v>0.20891750000000001</c:v>
                </c:pt>
                <c:pt idx="105">
                  <c:v>0.20589999999999997</c:v>
                </c:pt>
                <c:pt idx="106">
                  <c:v>0.20305999999999996</c:v>
                </c:pt>
                <c:pt idx="107">
                  <c:v>0.2007525</c:v>
                </c:pt>
                <c:pt idx="108">
                  <c:v>0.19862249999999998</c:v>
                </c:pt>
                <c:pt idx="109">
                  <c:v>0.19684749999999998</c:v>
                </c:pt>
                <c:pt idx="110">
                  <c:v>0.19507249999999998</c:v>
                </c:pt>
                <c:pt idx="111">
                  <c:v>0.19347500000000001</c:v>
                </c:pt>
                <c:pt idx="112">
                  <c:v>0.19223249999999997</c:v>
                </c:pt>
                <c:pt idx="113">
                  <c:v>0.19098999999999999</c:v>
                </c:pt>
                <c:pt idx="114">
                  <c:v>0.18974749999999999</c:v>
                </c:pt>
                <c:pt idx="115">
                  <c:v>0.18886</c:v>
                </c:pt>
                <c:pt idx="116">
                  <c:v>0.18779499999999999</c:v>
                </c:pt>
                <c:pt idx="117">
                  <c:v>0.187085</c:v>
                </c:pt>
                <c:pt idx="118">
                  <c:v>0.18619749999999999</c:v>
                </c:pt>
                <c:pt idx="119">
                  <c:v>0.18548749999999997</c:v>
                </c:pt>
                <c:pt idx="120">
                  <c:v>0.18477749999999998</c:v>
                </c:pt>
                <c:pt idx="121">
                  <c:v>0.18424499999999999</c:v>
                </c:pt>
                <c:pt idx="122">
                  <c:v>0.183535</c:v>
                </c:pt>
                <c:pt idx="123">
                  <c:v>0.18300249999999998</c:v>
                </c:pt>
                <c:pt idx="124">
                  <c:v>0.18246999999999999</c:v>
                </c:pt>
                <c:pt idx="125">
                  <c:v>0.18193749999999997</c:v>
                </c:pt>
                <c:pt idx="126">
                  <c:v>0.18158249999999998</c:v>
                </c:pt>
                <c:pt idx="127">
                  <c:v>0.18122749999999999</c:v>
                </c:pt>
                <c:pt idx="128">
                  <c:v>0.18087249999999996</c:v>
                </c:pt>
                <c:pt idx="129">
                  <c:v>0.18051749999999997</c:v>
                </c:pt>
                <c:pt idx="130">
                  <c:v>0.18016249999999998</c:v>
                </c:pt>
                <c:pt idx="131">
                  <c:v>0.17980749999999998</c:v>
                </c:pt>
                <c:pt idx="132">
                  <c:v>0.17945249999999996</c:v>
                </c:pt>
                <c:pt idx="133">
                  <c:v>0.17927499999999999</c:v>
                </c:pt>
                <c:pt idx="134">
                  <c:v>0.17909749999999997</c:v>
                </c:pt>
                <c:pt idx="135">
                  <c:v>0.17874249999999997</c:v>
                </c:pt>
                <c:pt idx="136">
                  <c:v>0.178565</c:v>
                </c:pt>
                <c:pt idx="137">
                  <c:v>0.17838749999999998</c:v>
                </c:pt>
                <c:pt idx="138">
                  <c:v>0.17820999999999998</c:v>
                </c:pt>
                <c:pt idx="139">
                  <c:v>0.17803249999999998</c:v>
                </c:pt>
                <c:pt idx="140">
                  <c:v>0.17785499999999999</c:v>
                </c:pt>
                <c:pt idx="141">
                  <c:v>0.17767749999999996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FD6-40D4-AAF9-D6A1362FD199}"/>
            </c:ext>
          </c:extLst>
        </c:ser>
        <c:ser>
          <c:idx val="4"/>
          <c:order val="3"/>
          <c:tx>
            <c:v>ERYA</c:v>
          </c:tx>
          <c:spPr>
            <a:ln w="19050" cap="rnd">
              <a:solidFill>
                <a:srgbClr val="92D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xVal>
            <c:numRef>
              <c:f>'Ex 2 FULL 0 50 eV'!$L$3:$L$123</c:f>
              <c:numCache>
                <c:formatCode>General</c:formatCode>
                <c:ptCount val="121"/>
                <c:pt idx="0">
                  <c:v>1682</c:v>
                </c:pt>
                <c:pt idx="1">
                  <c:v>1682.05</c:v>
                </c:pt>
                <c:pt idx="2">
                  <c:v>1682.1</c:v>
                </c:pt>
                <c:pt idx="3">
                  <c:v>1682.15</c:v>
                </c:pt>
                <c:pt idx="4">
                  <c:v>1682.2</c:v>
                </c:pt>
                <c:pt idx="5">
                  <c:v>1682.25</c:v>
                </c:pt>
                <c:pt idx="6">
                  <c:v>1682.3</c:v>
                </c:pt>
                <c:pt idx="7">
                  <c:v>1682.35</c:v>
                </c:pt>
                <c:pt idx="8">
                  <c:v>1682.4</c:v>
                </c:pt>
                <c:pt idx="9">
                  <c:v>1682.45</c:v>
                </c:pt>
                <c:pt idx="10">
                  <c:v>1682.5</c:v>
                </c:pt>
                <c:pt idx="11">
                  <c:v>1682.55</c:v>
                </c:pt>
                <c:pt idx="12">
                  <c:v>1682.6</c:v>
                </c:pt>
                <c:pt idx="13">
                  <c:v>1682.65</c:v>
                </c:pt>
                <c:pt idx="14">
                  <c:v>1682.7</c:v>
                </c:pt>
                <c:pt idx="15">
                  <c:v>1682.75</c:v>
                </c:pt>
                <c:pt idx="16">
                  <c:v>1682.8</c:v>
                </c:pt>
                <c:pt idx="17">
                  <c:v>1682.85</c:v>
                </c:pt>
                <c:pt idx="18">
                  <c:v>1682.9</c:v>
                </c:pt>
                <c:pt idx="19">
                  <c:v>1682.95</c:v>
                </c:pt>
                <c:pt idx="20">
                  <c:v>1683</c:v>
                </c:pt>
                <c:pt idx="21">
                  <c:v>1683.05</c:v>
                </c:pt>
                <c:pt idx="22">
                  <c:v>1683.1</c:v>
                </c:pt>
                <c:pt idx="23">
                  <c:v>1683.15</c:v>
                </c:pt>
                <c:pt idx="24">
                  <c:v>1683.2</c:v>
                </c:pt>
                <c:pt idx="25">
                  <c:v>1683.25</c:v>
                </c:pt>
                <c:pt idx="26">
                  <c:v>1683.3</c:v>
                </c:pt>
                <c:pt idx="27">
                  <c:v>1683.35</c:v>
                </c:pt>
                <c:pt idx="28">
                  <c:v>1683.4</c:v>
                </c:pt>
                <c:pt idx="29">
                  <c:v>1683.45</c:v>
                </c:pt>
                <c:pt idx="30">
                  <c:v>1683.5</c:v>
                </c:pt>
                <c:pt idx="31">
                  <c:v>1683.55</c:v>
                </c:pt>
                <c:pt idx="32">
                  <c:v>1683.6</c:v>
                </c:pt>
                <c:pt idx="33">
                  <c:v>1683.65</c:v>
                </c:pt>
                <c:pt idx="34">
                  <c:v>1683.7</c:v>
                </c:pt>
                <c:pt idx="35">
                  <c:v>1683.75</c:v>
                </c:pt>
                <c:pt idx="36">
                  <c:v>1683.8</c:v>
                </c:pt>
                <c:pt idx="37">
                  <c:v>1683.85</c:v>
                </c:pt>
                <c:pt idx="38">
                  <c:v>1683.9</c:v>
                </c:pt>
                <c:pt idx="39">
                  <c:v>1683.95</c:v>
                </c:pt>
                <c:pt idx="40">
                  <c:v>1684</c:v>
                </c:pt>
                <c:pt idx="41">
                  <c:v>1684.05</c:v>
                </c:pt>
                <c:pt idx="42">
                  <c:v>1684.1</c:v>
                </c:pt>
                <c:pt idx="43">
                  <c:v>1684.15</c:v>
                </c:pt>
                <c:pt idx="44">
                  <c:v>1684.2</c:v>
                </c:pt>
                <c:pt idx="45">
                  <c:v>1684.25</c:v>
                </c:pt>
                <c:pt idx="46">
                  <c:v>1684.3</c:v>
                </c:pt>
                <c:pt idx="47">
                  <c:v>1684.35</c:v>
                </c:pt>
                <c:pt idx="48">
                  <c:v>1684.4</c:v>
                </c:pt>
                <c:pt idx="49">
                  <c:v>1684.45</c:v>
                </c:pt>
                <c:pt idx="50">
                  <c:v>1684.5</c:v>
                </c:pt>
                <c:pt idx="51">
                  <c:v>1684.55</c:v>
                </c:pt>
                <c:pt idx="52">
                  <c:v>1684.6</c:v>
                </c:pt>
                <c:pt idx="53">
                  <c:v>1684.65</c:v>
                </c:pt>
                <c:pt idx="54">
                  <c:v>1684.7</c:v>
                </c:pt>
                <c:pt idx="55">
                  <c:v>1684.75</c:v>
                </c:pt>
                <c:pt idx="56">
                  <c:v>1684.8</c:v>
                </c:pt>
                <c:pt idx="57">
                  <c:v>1684.85</c:v>
                </c:pt>
                <c:pt idx="58">
                  <c:v>1684.9</c:v>
                </c:pt>
                <c:pt idx="59">
                  <c:v>1684.95</c:v>
                </c:pt>
                <c:pt idx="60">
                  <c:v>1685</c:v>
                </c:pt>
                <c:pt idx="61">
                  <c:v>1685.05</c:v>
                </c:pt>
                <c:pt idx="62">
                  <c:v>1685.1</c:v>
                </c:pt>
                <c:pt idx="63">
                  <c:v>1685.15</c:v>
                </c:pt>
                <c:pt idx="64">
                  <c:v>1685.2</c:v>
                </c:pt>
                <c:pt idx="65">
                  <c:v>1685.25</c:v>
                </c:pt>
                <c:pt idx="66">
                  <c:v>1685.3</c:v>
                </c:pt>
                <c:pt idx="67">
                  <c:v>1685.35</c:v>
                </c:pt>
                <c:pt idx="68">
                  <c:v>1685.4</c:v>
                </c:pt>
                <c:pt idx="69">
                  <c:v>1685.45</c:v>
                </c:pt>
                <c:pt idx="70">
                  <c:v>1685.5</c:v>
                </c:pt>
                <c:pt idx="71">
                  <c:v>1685.55</c:v>
                </c:pt>
                <c:pt idx="72">
                  <c:v>1685.6</c:v>
                </c:pt>
                <c:pt idx="73">
                  <c:v>1685.65</c:v>
                </c:pt>
                <c:pt idx="74">
                  <c:v>1685.7</c:v>
                </c:pt>
                <c:pt idx="75">
                  <c:v>1685.75</c:v>
                </c:pt>
                <c:pt idx="76">
                  <c:v>1685.8</c:v>
                </c:pt>
                <c:pt idx="77">
                  <c:v>1685.85</c:v>
                </c:pt>
                <c:pt idx="78">
                  <c:v>1685.9</c:v>
                </c:pt>
                <c:pt idx="79">
                  <c:v>1685.95</c:v>
                </c:pt>
                <c:pt idx="80">
                  <c:v>1686</c:v>
                </c:pt>
                <c:pt idx="81">
                  <c:v>1686.05</c:v>
                </c:pt>
                <c:pt idx="82">
                  <c:v>1686.1</c:v>
                </c:pt>
                <c:pt idx="83">
                  <c:v>1686.15</c:v>
                </c:pt>
                <c:pt idx="84">
                  <c:v>1686.2</c:v>
                </c:pt>
                <c:pt idx="85">
                  <c:v>1686.25</c:v>
                </c:pt>
                <c:pt idx="86">
                  <c:v>1686.3</c:v>
                </c:pt>
                <c:pt idx="87">
                  <c:v>1686.35</c:v>
                </c:pt>
                <c:pt idx="88">
                  <c:v>1686.4</c:v>
                </c:pt>
                <c:pt idx="89">
                  <c:v>1686.45</c:v>
                </c:pt>
                <c:pt idx="90">
                  <c:v>1686.5</c:v>
                </c:pt>
                <c:pt idx="91">
                  <c:v>1686.55</c:v>
                </c:pt>
                <c:pt idx="92">
                  <c:v>1686.6</c:v>
                </c:pt>
                <c:pt idx="93">
                  <c:v>1686.65</c:v>
                </c:pt>
                <c:pt idx="94">
                  <c:v>1686.7</c:v>
                </c:pt>
                <c:pt idx="95">
                  <c:v>1686.75</c:v>
                </c:pt>
                <c:pt idx="96">
                  <c:v>1686.8</c:v>
                </c:pt>
                <c:pt idx="97">
                  <c:v>1686.85</c:v>
                </c:pt>
                <c:pt idx="98">
                  <c:v>1686.9</c:v>
                </c:pt>
                <c:pt idx="99">
                  <c:v>1686.95</c:v>
                </c:pt>
                <c:pt idx="100">
                  <c:v>1687</c:v>
                </c:pt>
                <c:pt idx="101">
                  <c:v>1687.05</c:v>
                </c:pt>
                <c:pt idx="102">
                  <c:v>1687.1</c:v>
                </c:pt>
                <c:pt idx="103">
                  <c:v>1687.15</c:v>
                </c:pt>
                <c:pt idx="104">
                  <c:v>1687.2</c:v>
                </c:pt>
                <c:pt idx="105">
                  <c:v>1687.25</c:v>
                </c:pt>
                <c:pt idx="106">
                  <c:v>1687.3</c:v>
                </c:pt>
                <c:pt idx="107">
                  <c:v>1687.35</c:v>
                </c:pt>
                <c:pt idx="108">
                  <c:v>1687.4</c:v>
                </c:pt>
                <c:pt idx="109">
                  <c:v>1687.45</c:v>
                </c:pt>
                <c:pt idx="110">
                  <c:v>1687.5</c:v>
                </c:pt>
                <c:pt idx="111">
                  <c:v>1687.55</c:v>
                </c:pt>
                <c:pt idx="112">
                  <c:v>1687.6</c:v>
                </c:pt>
                <c:pt idx="113">
                  <c:v>1687.65</c:v>
                </c:pt>
                <c:pt idx="114">
                  <c:v>1687.7</c:v>
                </c:pt>
                <c:pt idx="115">
                  <c:v>1687.75</c:v>
                </c:pt>
                <c:pt idx="116">
                  <c:v>1687.8</c:v>
                </c:pt>
                <c:pt idx="117">
                  <c:v>1687.85</c:v>
                </c:pt>
                <c:pt idx="118">
                  <c:v>1687.9</c:v>
                </c:pt>
                <c:pt idx="119">
                  <c:v>1687.95</c:v>
                </c:pt>
                <c:pt idx="120">
                  <c:v>1688</c:v>
                </c:pt>
              </c:numCache>
            </c:numRef>
          </c:xVal>
          <c:yVal>
            <c:numRef>
              <c:f>'Ex 2 FULL 0 50 eV'!$N$3:$N$123</c:f>
              <c:numCache>
                <c:formatCode>General</c:formatCode>
                <c:ptCount val="1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1.34E-5</c:v>
                </c:pt>
                <c:pt idx="16">
                  <c:v>1.206E-4</c:v>
                </c:pt>
                <c:pt idx="17">
                  <c:v>5.0920000000000002E-4</c:v>
                </c:pt>
                <c:pt idx="18">
                  <c:v>1.2998E-3</c:v>
                </c:pt>
                <c:pt idx="19">
                  <c:v>2.5326000000000003E-3</c:v>
                </c:pt>
                <c:pt idx="20">
                  <c:v>4.1942000000000004E-3</c:v>
                </c:pt>
                <c:pt idx="21">
                  <c:v>6.5258E-3</c:v>
                </c:pt>
                <c:pt idx="22">
                  <c:v>9.8892000000000008E-3</c:v>
                </c:pt>
                <c:pt idx="23">
                  <c:v>1.5182199999999998E-2</c:v>
                </c:pt>
                <c:pt idx="24">
                  <c:v>2.4937400000000002E-2</c:v>
                </c:pt>
                <c:pt idx="25">
                  <c:v>4.4930200000000003E-2</c:v>
                </c:pt>
                <c:pt idx="26">
                  <c:v>8.2450200000000001E-2</c:v>
                </c:pt>
                <c:pt idx="27">
                  <c:v>0.13433499999999998</c:v>
                </c:pt>
                <c:pt idx="28">
                  <c:v>0.18270900000000001</c:v>
                </c:pt>
                <c:pt idx="29">
                  <c:v>0.21520400000000003</c:v>
                </c:pt>
                <c:pt idx="30">
                  <c:v>0.23399079999999997</c:v>
                </c:pt>
                <c:pt idx="31">
                  <c:v>0.2418566</c:v>
                </c:pt>
                <c:pt idx="32">
                  <c:v>0.23864059999999998</c:v>
                </c:pt>
                <c:pt idx="33">
                  <c:v>0.23169940000000003</c:v>
                </c:pt>
                <c:pt idx="34">
                  <c:v>0.22466440000000001</c:v>
                </c:pt>
                <c:pt idx="35">
                  <c:v>0.21824579999999999</c:v>
                </c:pt>
                <c:pt idx="36">
                  <c:v>0.21251060000000002</c:v>
                </c:pt>
                <c:pt idx="37">
                  <c:v>0.20752580000000001</c:v>
                </c:pt>
                <c:pt idx="38">
                  <c:v>0.203211</c:v>
                </c:pt>
                <c:pt idx="39">
                  <c:v>0.1995796</c:v>
                </c:pt>
                <c:pt idx="40">
                  <c:v>0.1966986</c:v>
                </c:pt>
                <c:pt idx="41">
                  <c:v>0.19444739999999999</c:v>
                </c:pt>
                <c:pt idx="42">
                  <c:v>0.19289300000000001</c:v>
                </c:pt>
                <c:pt idx="43">
                  <c:v>0.19182099999999999</c:v>
                </c:pt>
                <c:pt idx="44">
                  <c:v>0.191084</c:v>
                </c:pt>
                <c:pt idx="45">
                  <c:v>0.19044080000000002</c:v>
                </c:pt>
                <c:pt idx="46">
                  <c:v>0.18987800000000002</c:v>
                </c:pt>
                <c:pt idx="47">
                  <c:v>0.18942239999999999</c:v>
                </c:pt>
                <c:pt idx="48">
                  <c:v>0.18899360000000001</c:v>
                </c:pt>
                <c:pt idx="49">
                  <c:v>0.1884844</c:v>
                </c:pt>
                <c:pt idx="50">
                  <c:v>0.18790820000000003</c:v>
                </c:pt>
                <c:pt idx="51">
                  <c:v>0.18718460000000001</c:v>
                </c:pt>
                <c:pt idx="52">
                  <c:v>0.18644759999999999</c:v>
                </c:pt>
                <c:pt idx="53">
                  <c:v>0.18568380000000001</c:v>
                </c:pt>
                <c:pt idx="54">
                  <c:v>0.18487980000000001</c:v>
                </c:pt>
                <c:pt idx="55">
                  <c:v>0.18396860000000001</c:v>
                </c:pt>
                <c:pt idx="56">
                  <c:v>0.18301719999999999</c:v>
                </c:pt>
                <c:pt idx="57">
                  <c:v>0.18211940000000001</c:v>
                </c:pt>
                <c:pt idx="58">
                  <c:v>0.1812484</c:v>
                </c:pt>
                <c:pt idx="59">
                  <c:v>0.18043100000000001</c:v>
                </c:pt>
                <c:pt idx="60">
                  <c:v>0.17964040000000001</c:v>
                </c:pt>
                <c:pt idx="61">
                  <c:v>0.1788498</c:v>
                </c:pt>
                <c:pt idx="62">
                  <c:v>0.17815300000000001</c:v>
                </c:pt>
                <c:pt idx="63">
                  <c:v>0.17755000000000001</c:v>
                </c:pt>
                <c:pt idx="64">
                  <c:v>0.1770408</c:v>
                </c:pt>
                <c:pt idx="65">
                  <c:v>0.1765852</c:v>
                </c:pt>
                <c:pt idx="66">
                  <c:v>0.1763306</c:v>
                </c:pt>
                <c:pt idx="67">
                  <c:v>0.1759956</c:v>
                </c:pt>
                <c:pt idx="68">
                  <c:v>0.17575440000000001</c:v>
                </c:pt>
                <c:pt idx="69">
                  <c:v>0.17545959999999999</c:v>
                </c:pt>
                <c:pt idx="70">
                  <c:v>0.17533899999999999</c:v>
                </c:pt>
                <c:pt idx="71">
                  <c:v>0.1752988</c:v>
                </c:pt>
                <c:pt idx="72">
                  <c:v>0.17523179999999999</c:v>
                </c:pt>
                <c:pt idx="73">
                  <c:v>0.17525860000000001</c:v>
                </c:pt>
                <c:pt idx="74">
                  <c:v>0.17536579999999999</c:v>
                </c:pt>
                <c:pt idx="75">
                  <c:v>0.17545959999999999</c:v>
                </c:pt>
                <c:pt idx="76">
                  <c:v>0.17562040000000001</c:v>
                </c:pt>
                <c:pt idx="77">
                  <c:v>0.17575440000000001</c:v>
                </c:pt>
                <c:pt idx="78">
                  <c:v>0.17591520000000002</c:v>
                </c:pt>
                <c:pt idx="79">
                  <c:v>0.17603579999999999</c:v>
                </c:pt>
                <c:pt idx="80">
                  <c:v>0.17619659999999998</c:v>
                </c:pt>
                <c:pt idx="81">
                  <c:v>0.1763306</c:v>
                </c:pt>
                <c:pt idx="82">
                  <c:v>0.1764512</c:v>
                </c:pt>
                <c:pt idx="83">
                  <c:v>0.1765852</c:v>
                </c:pt>
                <c:pt idx="84">
                  <c:v>0.17670580000000002</c:v>
                </c:pt>
                <c:pt idx="85">
                  <c:v>0.17682639999999999</c:v>
                </c:pt>
                <c:pt idx="86">
                  <c:v>0.1769068</c:v>
                </c:pt>
                <c:pt idx="87">
                  <c:v>0.1770274</c:v>
                </c:pt>
                <c:pt idx="88">
                  <c:v>0.17708099999999999</c:v>
                </c:pt>
                <c:pt idx="89">
                  <c:v>0.17714800000000003</c:v>
                </c:pt>
                <c:pt idx="90">
                  <c:v>0.17720159999999999</c:v>
                </c:pt>
                <c:pt idx="91">
                  <c:v>0.1772418</c:v>
                </c:pt>
                <c:pt idx="92">
                  <c:v>0.1772552</c:v>
                </c:pt>
                <c:pt idx="93">
                  <c:v>0.17729539999999999</c:v>
                </c:pt>
                <c:pt idx="94">
                  <c:v>0.17763040000000002</c:v>
                </c:pt>
                <c:pt idx="95">
                  <c:v>0.17764379999999999</c:v>
                </c:pt>
                <c:pt idx="96">
                  <c:v>0.17767060000000001</c:v>
                </c:pt>
                <c:pt idx="97">
                  <c:v>0.17765720000000002</c:v>
                </c:pt>
                <c:pt idx="98">
                  <c:v>0.17767060000000001</c:v>
                </c:pt>
                <c:pt idx="99">
                  <c:v>0.17767060000000001</c:v>
                </c:pt>
                <c:pt idx="100">
                  <c:v>0.17765720000000002</c:v>
                </c:pt>
                <c:pt idx="101">
                  <c:v>0.17767060000000001</c:v>
                </c:pt>
                <c:pt idx="102">
                  <c:v>0.17764379999999999</c:v>
                </c:pt>
                <c:pt idx="103">
                  <c:v>0.17765720000000002</c:v>
                </c:pt>
                <c:pt idx="104">
                  <c:v>0.17767060000000001</c:v>
                </c:pt>
                <c:pt idx="105">
                  <c:v>0.17768399999999998</c:v>
                </c:pt>
                <c:pt idx="106">
                  <c:v>0.17768399999999998</c:v>
                </c:pt>
                <c:pt idx="107">
                  <c:v>0.1777108</c:v>
                </c:pt>
                <c:pt idx="108">
                  <c:v>0.17776440000000002</c:v>
                </c:pt>
                <c:pt idx="109">
                  <c:v>0.17780460000000001</c:v>
                </c:pt>
                <c:pt idx="110">
                  <c:v>0.17787159999999999</c:v>
                </c:pt>
                <c:pt idx="111">
                  <c:v>0.17792520000000001</c:v>
                </c:pt>
                <c:pt idx="112">
                  <c:v>0.17799219999999999</c:v>
                </c:pt>
                <c:pt idx="113">
                  <c:v>0.17801900000000001</c:v>
                </c:pt>
                <c:pt idx="114">
                  <c:v>0.17808599999999999</c:v>
                </c:pt>
                <c:pt idx="115">
                  <c:v>0.17819320000000002</c:v>
                </c:pt>
                <c:pt idx="116">
                  <c:v>0.1783004</c:v>
                </c:pt>
                <c:pt idx="117">
                  <c:v>0.17843439999999999</c:v>
                </c:pt>
                <c:pt idx="118">
                  <c:v>0.17855499999999999</c:v>
                </c:pt>
                <c:pt idx="119">
                  <c:v>0.17867560000000002</c:v>
                </c:pt>
                <c:pt idx="120">
                  <c:v>0.17879620000000002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FD6-40D4-AAF9-D6A1362FD1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4501896"/>
        <c:axId val="584099264"/>
      </c:scatterChart>
      <c:valAx>
        <c:axId val="494501896"/>
        <c:scaling>
          <c:orientation val="minMax"/>
          <c:min val="168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beam energy (keV)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099264"/>
        <c:crosses val="autoZero"/>
        <c:crossBetween val="midCat"/>
      </c:valAx>
      <c:valAx>
        <c:axId val="584099264"/>
        <c:scaling>
          <c:orientation val="minMax"/>
          <c:max val="0.20500000000000002"/>
          <c:min val="0.1600000000000000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yield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5018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704947088522885"/>
          <c:y val="0.10539105451324755"/>
          <c:w val="0.80279398356873299"/>
          <c:h val="0.64362550360217319"/>
        </c:manualLayout>
      </c:layout>
      <c:scatterChart>
        <c:scatterStyle val="lineMarker"/>
        <c:varyColors val="0"/>
        <c:ser>
          <c:idx val="0"/>
          <c:order val="0"/>
          <c:tx>
            <c:v>NDF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 2 FULL 1 50 eV'!$E$2:$E$122</c:f>
              <c:numCache>
                <c:formatCode>0.00</c:formatCode>
                <c:ptCount val="121"/>
                <c:pt idx="0">
                  <c:v>1682</c:v>
                </c:pt>
                <c:pt idx="1">
                  <c:v>1682.05</c:v>
                </c:pt>
                <c:pt idx="2">
                  <c:v>1682.1</c:v>
                </c:pt>
                <c:pt idx="3">
                  <c:v>1682.15</c:v>
                </c:pt>
                <c:pt idx="4">
                  <c:v>1682.2</c:v>
                </c:pt>
                <c:pt idx="5">
                  <c:v>1682.25</c:v>
                </c:pt>
                <c:pt idx="6">
                  <c:v>1682.3</c:v>
                </c:pt>
                <c:pt idx="7">
                  <c:v>1682.35</c:v>
                </c:pt>
                <c:pt idx="8">
                  <c:v>1682.4</c:v>
                </c:pt>
                <c:pt idx="9">
                  <c:v>1682.45</c:v>
                </c:pt>
                <c:pt idx="10">
                  <c:v>1682.5</c:v>
                </c:pt>
                <c:pt idx="11">
                  <c:v>1682.55</c:v>
                </c:pt>
                <c:pt idx="12">
                  <c:v>1682.6</c:v>
                </c:pt>
                <c:pt idx="13">
                  <c:v>1682.65</c:v>
                </c:pt>
                <c:pt idx="14">
                  <c:v>1682.7</c:v>
                </c:pt>
                <c:pt idx="15">
                  <c:v>1682.75</c:v>
                </c:pt>
                <c:pt idx="16">
                  <c:v>1682.8</c:v>
                </c:pt>
                <c:pt idx="17">
                  <c:v>1682.85</c:v>
                </c:pt>
                <c:pt idx="18">
                  <c:v>1682.9</c:v>
                </c:pt>
                <c:pt idx="19">
                  <c:v>1682.95</c:v>
                </c:pt>
                <c:pt idx="20">
                  <c:v>1683</c:v>
                </c:pt>
                <c:pt idx="21">
                  <c:v>1683.05</c:v>
                </c:pt>
                <c:pt idx="22">
                  <c:v>1683.1</c:v>
                </c:pt>
                <c:pt idx="23">
                  <c:v>1683.15</c:v>
                </c:pt>
                <c:pt idx="24">
                  <c:v>1683.2</c:v>
                </c:pt>
                <c:pt idx="25">
                  <c:v>1683.25</c:v>
                </c:pt>
                <c:pt idx="26">
                  <c:v>1683.3</c:v>
                </c:pt>
                <c:pt idx="27">
                  <c:v>1683.35</c:v>
                </c:pt>
                <c:pt idx="28">
                  <c:v>1683.4</c:v>
                </c:pt>
                <c:pt idx="29">
                  <c:v>1683.45</c:v>
                </c:pt>
                <c:pt idx="30">
                  <c:v>1683.5</c:v>
                </c:pt>
                <c:pt idx="31">
                  <c:v>1683.55</c:v>
                </c:pt>
                <c:pt idx="32">
                  <c:v>1683.6</c:v>
                </c:pt>
                <c:pt idx="33">
                  <c:v>1683.65</c:v>
                </c:pt>
                <c:pt idx="34">
                  <c:v>1683.7</c:v>
                </c:pt>
                <c:pt idx="35">
                  <c:v>1683.75</c:v>
                </c:pt>
                <c:pt idx="36">
                  <c:v>1683.8</c:v>
                </c:pt>
                <c:pt idx="37">
                  <c:v>1683.85</c:v>
                </c:pt>
                <c:pt idx="38">
                  <c:v>1683.9</c:v>
                </c:pt>
                <c:pt idx="39">
                  <c:v>1683.95</c:v>
                </c:pt>
                <c:pt idx="40">
                  <c:v>1684</c:v>
                </c:pt>
                <c:pt idx="41">
                  <c:v>1684.05</c:v>
                </c:pt>
                <c:pt idx="42">
                  <c:v>1684.1</c:v>
                </c:pt>
                <c:pt idx="43">
                  <c:v>1684.15</c:v>
                </c:pt>
                <c:pt idx="44">
                  <c:v>1684.2</c:v>
                </c:pt>
                <c:pt idx="45">
                  <c:v>1684.25</c:v>
                </c:pt>
                <c:pt idx="46">
                  <c:v>1684.3</c:v>
                </c:pt>
                <c:pt idx="47">
                  <c:v>1684.35</c:v>
                </c:pt>
                <c:pt idx="48">
                  <c:v>1684.4</c:v>
                </c:pt>
                <c:pt idx="49">
                  <c:v>1684.45</c:v>
                </c:pt>
                <c:pt idx="50">
                  <c:v>1684.5</c:v>
                </c:pt>
                <c:pt idx="51">
                  <c:v>1684.55</c:v>
                </c:pt>
                <c:pt idx="52">
                  <c:v>1684.6</c:v>
                </c:pt>
                <c:pt idx="53">
                  <c:v>1684.65</c:v>
                </c:pt>
                <c:pt idx="54">
                  <c:v>1684.7</c:v>
                </c:pt>
                <c:pt idx="55">
                  <c:v>1684.75</c:v>
                </c:pt>
                <c:pt idx="56">
                  <c:v>1684.8</c:v>
                </c:pt>
                <c:pt idx="57">
                  <c:v>1684.85</c:v>
                </c:pt>
                <c:pt idx="58">
                  <c:v>1684.9</c:v>
                </c:pt>
                <c:pt idx="59">
                  <c:v>1684.95</c:v>
                </c:pt>
                <c:pt idx="60">
                  <c:v>1685</c:v>
                </c:pt>
                <c:pt idx="61">
                  <c:v>1685.05</c:v>
                </c:pt>
                <c:pt idx="62">
                  <c:v>1685.1</c:v>
                </c:pt>
                <c:pt idx="63">
                  <c:v>1685.15</c:v>
                </c:pt>
                <c:pt idx="64">
                  <c:v>1685.2</c:v>
                </c:pt>
                <c:pt idx="65">
                  <c:v>1685.25</c:v>
                </c:pt>
                <c:pt idx="66">
                  <c:v>1685.3</c:v>
                </c:pt>
                <c:pt idx="67">
                  <c:v>1685.35</c:v>
                </c:pt>
                <c:pt idx="68">
                  <c:v>1685.4</c:v>
                </c:pt>
                <c:pt idx="69">
                  <c:v>1685.45</c:v>
                </c:pt>
                <c:pt idx="70">
                  <c:v>1685.5</c:v>
                </c:pt>
                <c:pt idx="71">
                  <c:v>1685.55</c:v>
                </c:pt>
                <c:pt idx="72">
                  <c:v>1685.6</c:v>
                </c:pt>
                <c:pt idx="73">
                  <c:v>1685.65</c:v>
                </c:pt>
                <c:pt idx="74">
                  <c:v>1685.7</c:v>
                </c:pt>
                <c:pt idx="75">
                  <c:v>1685.75</c:v>
                </c:pt>
                <c:pt idx="76">
                  <c:v>1685.8</c:v>
                </c:pt>
                <c:pt idx="77">
                  <c:v>1685.85</c:v>
                </c:pt>
                <c:pt idx="78">
                  <c:v>1685.9</c:v>
                </c:pt>
                <c:pt idx="79">
                  <c:v>1685.95</c:v>
                </c:pt>
                <c:pt idx="80">
                  <c:v>1686</c:v>
                </c:pt>
                <c:pt idx="81">
                  <c:v>1686.05</c:v>
                </c:pt>
                <c:pt idx="82">
                  <c:v>1686.1</c:v>
                </c:pt>
                <c:pt idx="83">
                  <c:v>1686.15</c:v>
                </c:pt>
                <c:pt idx="84">
                  <c:v>1686.2</c:v>
                </c:pt>
                <c:pt idx="85">
                  <c:v>1686.25</c:v>
                </c:pt>
                <c:pt idx="86">
                  <c:v>1686.3</c:v>
                </c:pt>
                <c:pt idx="87">
                  <c:v>1686.35</c:v>
                </c:pt>
                <c:pt idx="88">
                  <c:v>1686.4</c:v>
                </c:pt>
                <c:pt idx="89">
                  <c:v>1686.45</c:v>
                </c:pt>
                <c:pt idx="90">
                  <c:v>1686.5</c:v>
                </c:pt>
                <c:pt idx="91">
                  <c:v>1686.55</c:v>
                </c:pt>
                <c:pt idx="92">
                  <c:v>1686.6</c:v>
                </c:pt>
                <c:pt idx="93">
                  <c:v>1686.65</c:v>
                </c:pt>
                <c:pt idx="94">
                  <c:v>1686.7</c:v>
                </c:pt>
                <c:pt idx="95">
                  <c:v>1686.75</c:v>
                </c:pt>
                <c:pt idx="96">
                  <c:v>1686.8</c:v>
                </c:pt>
                <c:pt idx="97">
                  <c:v>1686.85</c:v>
                </c:pt>
                <c:pt idx="98">
                  <c:v>1686.9</c:v>
                </c:pt>
                <c:pt idx="99">
                  <c:v>1686.95</c:v>
                </c:pt>
                <c:pt idx="100">
                  <c:v>1687</c:v>
                </c:pt>
                <c:pt idx="101">
                  <c:v>1687.05</c:v>
                </c:pt>
                <c:pt idx="102">
                  <c:v>1687.1</c:v>
                </c:pt>
                <c:pt idx="103">
                  <c:v>1687.15</c:v>
                </c:pt>
                <c:pt idx="104">
                  <c:v>1687.2</c:v>
                </c:pt>
                <c:pt idx="105">
                  <c:v>1687.25</c:v>
                </c:pt>
                <c:pt idx="106">
                  <c:v>1687.3</c:v>
                </c:pt>
                <c:pt idx="107">
                  <c:v>1687.35</c:v>
                </c:pt>
                <c:pt idx="108">
                  <c:v>1687.4</c:v>
                </c:pt>
                <c:pt idx="109">
                  <c:v>1687.45</c:v>
                </c:pt>
                <c:pt idx="110">
                  <c:v>1687.5</c:v>
                </c:pt>
                <c:pt idx="111">
                  <c:v>1687.55</c:v>
                </c:pt>
                <c:pt idx="112">
                  <c:v>1687.6</c:v>
                </c:pt>
                <c:pt idx="113">
                  <c:v>1687.65</c:v>
                </c:pt>
                <c:pt idx="114">
                  <c:v>1687.7</c:v>
                </c:pt>
                <c:pt idx="115">
                  <c:v>1687.75</c:v>
                </c:pt>
                <c:pt idx="116">
                  <c:v>1687.8</c:v>
                </c:pt>
                <c:pt idx="117">
                  <c:v>1687.85</c:v>
                </c:pt>
                <c:pt idx="118">
                  <c:v>1687.9</c:v>
                </c:pt>
                <c:pt idx="119">
                  <c:v>1687.95</c:v>
                </c:pt>
                <c:pt idx="120">
                  <c:v>1688</c:v>
                </c:pt>
              </c:numCache>
            </c:numRef>
          </c:xVal>
          <c:yVal>
            <c:numRef>
              <c:f>'Ex 2 FULL 1 50 eV'!$F$2:$F$122</c:f>
              <c:numCache>
                <c:formatCode>0.0000000000</c:formatCode>
                <c:ptCount val="121"/>
                <c:pt idx="0">
                  <c:v>2.7370939000000002E-3</c:v>
                </c:pt>
                <c:pt idx="1">
                  <c:v>3.0524591E-3</c:v>
                </c:pt>
                <c:pt idx="2">
                  <c:v>3.4754708999999999E-3</c:v>
                </c:pt>
                <c:pt idx="3">
                  <c:v>4.0102499000000003E-3</c:v>
                </c:pt>
                <c:pt idx="4">
                  <c:v>4.6990863000000004E-3</c:v>
                </c:pt>
                <c:pt idx="5">
                  <c:v>5.5869403E-3</c:v>
                </c:pt>
                <c:pt idx="6">
                  <c:v>6.7232302000000002E-3</c:v>
                </c:pt>
                <c:pt idx="7">
                  <c:v>8.1897759999999993E-3</c:v>
                </c:pt>
                <c:pt idx="8">
                  <c:v>1.0013273E-2</c:v>
                </c:pt>
                <c:pt idx="9">
                  <c:v>1.2274212E-2</c:v>
                </c:pt>
                <c:pt idx="10">
                  <c:v>1.5064162000000001E-2</c:v>
                </c:pt>
                <c:pt idx="11">
                  <c:v>1.8513373999999999E-2</c:v>
                </c:pt>
                <c:pt idx="12">
                  <c:v>2.2551112000000002E-2</c:v>
                </c:pt>
                <c:pt idx="13">
                  <c:v>2.7459839E-2</c:v>
                </c:pt>
                <c:pt idx="14">
                  <c:v>3.3179183000000001E-2</c:v>
                </c:pt>
                <c:pt idx="15">
                  <c:v>3.9814572999999999E-2</c:v>
                </c:pt>
                <c:pt idx="16">
                  <c:v>4.7403421000000001E-2</c:v>
                </c:pt>
                <c:pt idx="17">
                  <c:v>5.5631558999999997E-2</c:v>
                </c:pt>
                <c:pt idx="18">
                  <c:v>6.4110473000000001E-2</c:v>
                </c:pt>
                <c:pt idx="19">
                  <c:v>7.2848774000000005E-2</c:v>
                </c:pt>
                <c:pt idx="20">
                  <c:v>8.2017295000000004E-2</c:v>
                </c:pt>
                <c:pt idx="21">
                  <c:v>9.1680355000000005E-2</c:v>
                </c:pt>
                <c:pt idx="22">
                  <c:v>0.10195029999999999</c:v>
                </c:pt>
                <c:pt idx="23">
                  <c:v>0.1119132</c:v>
                </c:pt>
                <c:pt idx="24">
                  <c:v>0.12131079</c:v>
                </c:pt>
                <c:pt idx="25">
                  <c:v>0.13020799</c:v>
                </c:pt>
                <c:pt idx="26">
                  <c:v>0.13859434000000001</c:v>
                </c:pt>
                <c:pt idx="27">
                  <c:v>0.14634345000000001</c:v>
                </c:pt>
                <c:pt idx="28">
                  <c:v>0.15329222000000001</c:v>
                </c:pt>
                <c:pt idx="29">
                  <c:v>0.15941312999999999</c:v>
                </c:pt>
                <c:pt idx="30">
                  <c:v>0.16428645</c:v>
                </c:pt>
                <c:pt idx="31">
                  <c:v>0.16807900000000001</c:v>
                </c:pt>
                <c:pt idx="32">
                  <c:v>0.17151153</c:v>
                </c:pt>
                <c:pt idx="33">
                  <c:v>0.17441438000000001</c:v>
                </c:pt>
                <c:pt idx="34">
                  <c:v>0.17664406999999999</c:v>
                </c:pt>
                <c:pt idx="35">
                  <c:v>0.17803273</c:v>
                </c:pt>
                <c:pt idx="36">
                  <c:v>0.17852177</c:v>
                </c:pt>
                <c:pt idx="37">
                  <c:v>0.17841741</c:v>
                </c:pt>
                <c:pt idx="38">
                  <c:v>0.17827045999999999</c:v>
                </c:pt>
                <c:pt idx="39">
                  <c:v>0.17794119999999999</c:v>
                </c:pt>
                <c:pt idx="40">
                  <c:v>0.17751847000000001</c:v>
                </c:pt>
                <c:pt idx="41">
                  <c:v>0.17716961000000001</c:v>
                </c:pt>
                <c:pt idx="42">
                  <c:v>0.17672081000000001</c:v>
                </c:pt>
                <c:pt idx="43">
                  <c:v>0.17629126000000001</c:v>
                </c:pt>
                <c:pt idx="44">
                  <c:v>0.17587838</c:v>
                </c:pt>
                <c:pt idx="45">
                  <c:v>0.17552669000000001</c:v>
                </c:pt>
                <c:pt idx="46">
                  <c:v>0.17519355</c:v>
                </c:pt>
                <c:pt idx="47">
                  <c:v>0.17493705000000001</c:v>
                </c:pt>
                <c:pt idx="48">
                  <c:v>0.17473833</c:v>
                </c:pt>
                <c:pt idx="49">
                  <c:v>0.17453416999999999</c:v>
                </c:pt>
                <c:pt idx="50">
                  <c:v>0.17441699999999999</c:v>
                </c:pt>
                <c:pt idx="51">
                  <c:v>0.17426474</c:v>
                </c:pt>
                <c:pt idx="52">
                  <c:v>0.17417803000000001</c:v>
                </c:pt>
                <c:pt idx="53">
                  <c:v>0.17418742000000001</c:v>
                </c:pt>
                <c:pt idx="54">
                  <c:v>0.17412730000000001</c:v>
                </c:pt>
                <c:pt idx="55">
                  <c:v>0.17415041000000001</c:v>
                </c:pt>
                <c:pt idx="56">
                  <c:v>0.17410444999999999</c:v>
                </c:pt>
                <c:pt idx="57">
                  <c:v>0.17410967999999999</c:v>
                </c:pt>
                <c:pt idx="58">
                  <c:v>0.17416243000000001</c:v>
                </c:pt>
                <c:pt idx="59">
                  <c:v>0.17417161</c:v>
                </c:pt>
                <c:pt idx="60">
                  <c:v>0.17417605</c:v>
                </c:pt>
                <c:pt idx="61">
                  <c:v>0.1742108</c:v>
                </c:pt>
                <c:pt idx="62">
                  <c:v>0.1742484</c:v>
                </c:pt>
                <c:pt idx="63">
                  <c:v>0.17428927</c:v>
                </c:pt>
                <c:pt idx="64">
                  <c:v>0.17431190999999999</c:v>
                </c:pt>
                <c:pt idx="65">
                  <c:v>0.17434031</c:v>
                </c:pt>
                <c:pt idx="66">
                  <c:v>0.17438139</c:v>
                </c:pt>
                <c:pt idx="67">
                  <c:v>0.17442439000000001</c:v>
                </c:pt>
                <c:pt idx="68">
                  <c:v>0.17444836999999999</c:v>
                </c:pt>
                <c:pt idx="69">
                  <c:v>0.17449586</c:v>
                </c:pt>
                <c:pt idx="70">
                  <c:v>0.17452546999999999</c:v>
                </c:pt>
                <c:pt idx="71">
                  <c:v>0.17454185999999999</c:v>
                </c:pt>
                <c:pt idx="72">
                  <c:v>0.17458604</c:v>
                </c:pt>
                <c:pt idx="73">
                  <c:v>0.17460084000000001</c:v>
                </c:pt>
                <c:pt idx="74">
                  <c:v>0.17462697999999999</c:v>
                </c:pt>
                <c:pt idx="75">
                  <c:v>0.17464880999999999</c:v>
                </c:pt>
                <c:pt idx="76">
                  <c:v>0.17467329000000001</c:v>
                </c:pt>
                <c:pt idx="77">
                  <c:v>0.17470911</c:v>
                </c:pt>
                <c:pt idx="78">
                  <c:v>0.17472373999999999</c:v>
                </c:pt>
                <c:pt idx="79">
                  <c:v>0.17474824</c:v>
                </c:pt>
                <c:pt idx="80">
                  <c:v>0.17475961000000001</c:v>
                </c:pt>
                <c:pt idx="81">
                  <c:v>0.17476837000000001</c:v>
                </c:pt>
                <c:pt idx="82">
                  <c:v>0.17479033999999999</c:v>
                </c:pt>
                <c:pt idx="83">
                  <c:v>0.17480856</c:v>
                </c:pt>
                <c:pt idx="84">
                  <c:v>0.17481828999999999</c:v>
                </c:pt>
                <c:pt idx="85">
                  <c:v>0.17481959999999999</c:v>
                </c:pt>
                <c:pt idx="86">
                  <c:v>0.17482734</c:v>
                </c:pt>
                <c:pt idx="87">
                  <c:v>0.17483322000000001</c:v>
                </c:pt>
                <c:pt idx="88">
                  <c:v>0.17484568</c:v>
                </c:pt>
                <c:pt idx="89">
                  <c:v>0.17484417999999999</c:v>
                </c:pt>
                <c:pt idx="90">
                  <c:v>0.17484197000000001</c:v>
                </c:pt>
                <c:pt idx="91">
                  <c:v>0.17484533999999999</c:v>
                </c:pt>
                <c:pt idx="92">
                  <c:v>0.17483908000000001</c:v>
                </c:pt>
                <c:pt idx="93">
                  <c:v>0.17484875</c:v>
                </c:pt>
                <c:pt idx="94">
                  <c:v>0.17484986999999999</c:v>
                </c:pt>
                <c:pt idx="95">
                  <c:v>0.17483040999999999</c:v>
                </c:pt>
                <c:pt idx="96">
                  <c:v>0.17483209</c:v>
                </c:pt>
                <c:pt idx="97">
                  <c:v>0.17482545999999999</c:v>
                </c:pt>
                <c:pt idx="98">
                  <c:v>0.17482165</c:v>
                </c:pt>
                <c:pt idx="99">
                  <c:v>0.17481352</c:v>
                </c:pt>
                <c:pt idx="100">
                  <c:v>0.17481147999999999</c:v>
                </c:pt>
                <c:pt idx="101">
                  <c:v>0.17480551999999999</c:v>
                </c:pt>
                <c:pt idx="102">
                  <c:v>0.17480560000000001</c:v>
                </c:pt>
                <c:pt idx="103">
                  <c:v>0.17479285999999999</c:v>
                </c:pt>
                <c:pt idx="104">
                  <c:v>0.1747988</c:v>
                </c:pt>
                <c:pt idx="105">
                  <c:v>0.17478668999999999</c:v>
                </c:pt>
                <c:pt idx="106">
                  <c:v>0.17477672</c:v>
                </c:pt>
                <c:pt idx="107">
                  <c:v>0.17477012</c:v>
                </c:pt>
                <c:pt idx="108">
                  <c:v>0.17476311</c:v>
                </c:pt>
                <c:pt idx="109">
                  <c:v>0.17476778000000001</c:v>
                </c:pt>
                <c:pt idx="110">
                  <c:v>0.1747908</c:v>
                </c:pt>
                <c:pt idx="111">
                  <c:v>0.17477264000000001</c:v>
                </c:pt>
                <c:pt idx="112">
                  <c:v>0.17476555999999999</c:v>
                </c:pt>
                <c:pt idx="113">
                  <c:v>0.17476771999999999</c:v>
                </c:pt>
                <c:pt idx="114">
                  <c:v>0.17476082000000001</c:v>
                </c:pt>
                <c:pt idx="115">
                  <c:v>0.17476506999999999</c:v>
                </c:pt>
                <c:pt idx="116">
                  <c:v>0.17476699000000001</c:v>
                </c:pt>
                <c:pt idx="117">
                  <c:v>0.17476347</c:v>
                </c:pt>
                <c:pt idx="118">
                  <c:v>0.17476644999999999</c:v>
                </c:pt>
                <c:pt idx="119">
                  <c:v>0.17478518000000001</c:v>
                </c:pt>
                <c:pt idx="120">
                  <c:v>0.17478136999999999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CD7-4394-B73B-7E7200C09F13}"/>
            </c:ext>
          </c:extLst>
        </c:ser>
        <c:ser>
          <c:idx val="1"/>
          <c:order val="1"/>
          <c:tx>
            <c:v>SIMNRA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 2 FULL 1 50 eV'!$H$2:$H$142</c:f>
              <c:numCache>
                <c:formatCode>General</c:formatCode>
                <c:ptCount val="141"/>
                <c:pt idx="0">
                  <c:v>1681</c:v>
                </c:pt>
                <c:pt idx="1">
                  <c:v>1681.05</c:v>
                </c:pt>
                <c:pt idx="2">
                  <c:v>1681.1</c:v>
                </c:pt>
                <c:pt idx="3">
                  <c:v>1681.15</c:v>
                </c:pt>
                <c:pt idx="4">
                  <c:v>1681.2</c:v>
                </c:pt>
                <c:pt idx="5">
                  <c:v>1681.25</c:v>
                </c:pt>
                <c:pt idx="6">
                  <c:v>1681.3</c:v>
                </c:pt>
                <c:pt idx="7">
                  <c:v>1681.35</c:v>
                </c:pt>
                <c:pt idx="8">
                  <c:v>1681.4</c:v>
                </c:pt>
                <c:pt idx="9">
                  <c:v>1681.45</c:v>
                </c:pt>
                <c:pt idx="10">
                  <c:v>1681.5</c:v>
                </c:pt>
                <c:pt idx="11">
                  <c:v>1681.55</c:v>
                </c:pt>
                <c:pt idx="12">
                  <c:v>1681.6</c:v>
                </c:pt>
                <c:pt idx="13">
                  <c:v>1681.65</c:v>
                </c:pt>
                <c:pt idx="14">
                  <c:v>1681.7</c:v>
                </c:pt>
                <c:pt idx="15">
                  <c:v>1681.75</c:v>
                </c:pt>
                <c:pt idx="16">
                  <c:v>1681.8</c:v>
                </c:pt>
                <c:pt idx="17">
                  <c:v>1681.85</c:v>
                </c:pt>
                <c:pt idx="18">
                  <c:v>1681.9</c:v>
                </c:pt>
                <c:pt idx="19">
                  <c:v>1681.95</c:v>
                </c:pt>
                <c:pt idx="20">
                  <c:v>1682</c:v>
                </c:pt>
                <c:pt idx="21">
                  <c:v>1682.05</c:v>
                </c:pt>
                <c:pt idx="22">
                  <c:v>1682.1</c:v>
                </c:pt>
                <c:pt idx="23">
                  <c:v>1682.15</c:v>
                </c:pt>
                <c:pt idx="24">
                  <c:v>1682.2</c:v>
                </c:pt>
                <c:pt idx="25">
                  <c:v>1682.25</c:v>
                </c:pt>
                <c:pt idx="26">
                  <c:v>1682.3</c:v>
                </c:pt>
                <c:pt idx="27">
                  <c:v>1682.35</c:v>
                </c:pt>
                <c:pt idx="28">
                  <c:v>1682.4</c:v>
                </c:pt>
                <c:pt idx="29">
                  <c:v>1682.45</c:v>
                </c:pt>
                <c:pt idx="30">
                  <c:v>1682.5</c:v>
                </c:pt>
                <c:pt idx="31">
                  <c:v>1682.55</c:v>
                </c:pt>
                <c:pt idx="32">
                  <c:v>1682.6</c:v>
                </c:pt>
                <c:pt idx="33">
                  <c:v>1682.65</c:v>
                </c:pt>
                <c:pt idx="34">
                  <c:v>1682.7</c:v>
                </c:pt>
                <c:pt idx="35">
                  <c:v>1682.75</c:v>
                </c:pt>
                <c:pt idx="36">
                  <c:v>1682.8</c:v>
                </c:pt>
                <c:pt idx="37">
                  <c:v>1682.85</c:v>
                </c:pt>
                <c:pt idx="38">
                  <c:v>1682.9</c:v>
                </c:pt>
                <c:pt idx="39">
                  <c:v>1682.95</c:v>
                </c:pt>
                <c:pt idx="40">
                  <c:v>1683</c:v>
                </c:pt>
                <c:pt idx="41">
                  <c:v>1683.05</c:v>
                </c:pt>
                <c:pt idx="42">
                  <c:v>1683.1</c:v>
                </c:pt>
                <c:pt idx="43">
                  <c:v>1683.15</c:v>
                </c:pt>
                <c:pt idx="44">
                  <c:v>1683.2</c:v>
                </c:pt>
                <c:pt idx="45">
                  <c:v>1683.25</c:v>
                </c:pt>
                <c:pt idx="46">
                  <c:v>1683.3</c:v>
                </c:pt>
                <c:pt idx="47">
                  <c:v>1683.35</c:v>
                </c:pt>
                <c:pt idx="48">
                  <c:v>1683.4</c:v>
                </c:pt>
                <c:pt idx="49">
                  <c:v>1683.45</c:v>
                </c:pt>
                <c:pt idx="50">
                  <c:v>1683.5</c:v>
                </c:pt>
                <c:pt idx="51">
                  <c:v>1683.55</c:v>
                </c:pt>
                <c:pt idx="52">
                  <c:v>1683.6</c:v>
                </c:pt>
                <c:pt idx="53">
                  <c:v>1683.65</c:v>
                </c:pt>
                <c:pt idx="54">
                  <c:v>1683.7</c:v>
                </c:pt>
                <c:pt idx="55">
                  <c:v>1683.75</c:v>
                </c:pt>
                <c:pt idx="56">
                  <c:v>1683.8</c:v>
                </c:pt>
                <c:pt idx="57">
                  <c:v>1683.85</c:v>
                </c:pt>
                <c:pt idx="58">
                  <c:v>1683.9</c:v>
                </c:pt>
                <c:pt idx="59">
                  <c:v>1683.95</c:v>
                </c:pt>
                <c:pt idx="60">
                  <c:v>1684</c:v>
                </c:pt>
                <c:pt idx="61">
                  <c:v>1684.05</c:v>
                </c:pt>
                <c:pt idx="62">
                  <c:v>1684.1</c:v>
                </c:pt>
                <c:pt idx="63">
                  <c:v>1684.15</c:v>
                </c:pt>
                <c:pt idx="64">
                  <c:v>1684.2</c:v>
                </c:pt>
                <c:pt idx="65">
                  <c:v>1684.25</c:v>
                </c:pt>
                <c:pt idx="66">
                  <c:v>1684.3</c:v>
                </c:pt>
                <c:pt idx="67">
                  <c:v>1684.35</c:v>
                </c:pt>
                <c:pt idx="68">
                  <c:v>1684.4</c:v>
                </c:pt>
                <c:pt idx="69">
                  <c:v>1684.45</c:v>
                </c:pt>
                <c:pt idx="70">
                  <c:v>1684.5</c:v>
                </c:pt>
                <c:pt idx="71">
                  <c:v>1684.55</c:v>
                </c:pt>
                <c:pt idx="72">
                  <c:v>1684.6</c:v>
                </c:pt>
                <c:pt idx="73">
                  <c:v>1684.65</c:v>
                </c:pt>
                <c:pt idx="74">
                  <c:v>1684.7</c:v>
                </c:pt>
                <c:pt idx="75">
                  <c:v>1684.75</c:v>
                </c:pt>
                <c:pt idx="76">
                  <c:v>1684.8</c:v>
                </c:pt>
                <c:pt idx="77">
                  <c:v>1684.85</c:v>
                </c:pt>
                <c:pt idx="78">
                  <c:v>1684.9</c:v>
                </c:pt>
                <c:pt idx="79">
                  <c:v>1684.95</c:v>
                </c:pt>
                <c:pt idx="80">
                  <c:v>1685</c:v>
                </c:pt>
                <c:pt idx="81">
                  <c:v>1685.05</c:v>
                </c:pt>
                <c:pt idx="82">
                  <c:v>1685.1</c:v>
                </c:pt>
                <c:pt idx="83">
                  <c:v>1685.15</c:v>
                </c:pt>
                <c:pt idx="84">
                  <c:v>1685.2</c:v>
                </c:pt>
                <c:pt idx="85">
                  <c:v>1685.25</c:v>
                </c:pt>
                <c:pt idx="86">
                  <c:v>1685.3</c:v>
                </c:pt>
                <c:pt idx="87">
                  <c:v>1685.35</c:v>
                </c:pt>
                <c:pt idx="88">
                  <c:v>1685.4</c:v>
                </c:pt>
                <c:pt idx="89">
                  <c:v>1685.45</c:v>
                </c:pt>
                <c:pt idx="90">
                  <c:v>1685.5</c:v>
                </c:pt>
                <c:pt idx="91">
                  <c:v>1685.55</c:v>
                </c:pt>
                <c:pt idx="92">
                  <c:v>1685.6</c:v>
                </c:pt>
                <c:pt idx="93">
                  <c:v>1685.65</c:v>
                </c:pt>
                <c:pt idx="94">
                  <c:v>1685.7</c:v>
                </c:pt>
                <c:pt idx="95">
                  <c:v>1685.75</c:v>
                </c:pt>
                <c:pt idx="96">
                  <c:v>1685.8</c:v>
                </c:pt>
                <c:pt idx="97">
                  <c:v>1685.85</c:v>
                </c:pt>
                <c:pt idx="98">
                  <c:v>1685.9</c:v>
                </c:pt>
                <c:pt idx="99">
                  <c:v>1685.95</c:v>
                </c:pt>
                <c:pt idx="100">
                  <c:v>1686</c:v>
                </c:pt>
                <c:pt idx="101">
                  <c:v>1686.05</c:v>
                </c:pt>
                <c:pt idx="102">
                  <c:v>1686.1</c:v>
                </c:pt>
                <c:pt idx="103">
                  <c:v>1686.15</c:v>
                </c:pt>
                <c:pt idx="104">
                  <c:v>1686.2</c:v>
                </c:pt>
                <c:pt idx="105">
                  <c:v>1686.25</c:v>
                </c:pt>
                <c:pt idx="106">
                  <c:v>1686.3</c:v>
                </c:pt>
                <c:pt idx="107">
                  <c:v>1686.35</c:v>
                </c:pt>
                <c:pt idx="108">
                  <c:v>1686.4</c:v>
                </c:pt>
                <c:pt idx="109">
                  <c:v>1686.45</c:v>
                </c:pt>
                <c:pt idx="110">
                  <c:v>1686.5</c:v>
                </c:pt>
                <c:pt idx="111">
                  <c:v>1686.55</c:v>
                </c:pt>
                <c:pt idx="112">
                  <c:v>1686.6</c:v>
                </c:pt>
                <c:pt idx="113">
                  <c:v>1686.65</c:v>
                </c:pt>
                <c:pt idx="114">
                  <c:v>1686.7</c:v>
                </c:pt>
                <c:pt idx="115">
                  <c:v>1686.75</c:v>
                </c:pt>
                <c:pt idx="116">
                  <c:v>1686.8</c:v>
                </c:pt>
                <c:pt idx="117">
                  <c:v>1686.85</c:v>
                </c:pt>
                <c:pt idx="118">
                  <c:v>1686.9</c:v>
                </c:pt>
                <c:pt idx="119">
                  <c:v>1686.95</c:v>
                </c:pt>
                <c:pt idx="120">
                  <c:v>1687</c:v>
                </c:pt>
                <c:pt idx="121">
                  <c:v>1687.05</c:v>
                </c:pt>
                <c:pt idx="122">
                  <c:v>1687.1</c:v>
                </c:pt>
                <c:pt idx="123">
                  <c:v>1687.15</c:v>
                </c:pt>
                <c:pt idx="124">
                  <c:v>1687.2</c:v>
                </c:pt>
                <c:pt idx="125">
                  <c:v>1687.25</c:v>
                </c:pt>
                <c:pt idx="126">
                  <c:v>1687.3</c:v>
                </c:pt>
                <c:pt idx="127">
                  <c:v>1687.35</c:v>
                </c:pt>
                <c:pt idx="128">
                  <c:v>1687.4</c:v>
                </c:pt>
                <c:pt idx="129">
                  <c:v>1687.45</c:v>
                </c:pt>
                <c:pt idx="130">
                  <c:v>1687.5</c:v>
                </c:pt>
                <c:pt idx="131">
                  <c:v>1687.55</c:v>
                </c:pt>
                <c:pt idx="132">
                  <c:v>1687.6</c:v>
                </c:pt>
                <c:pt idx="133">
                  <c:v>1687.65</c:v>
                </c:pt>
                <c:pt idx="134">
                  <c:v>1687.7</c:v>
                </c:pt>
                <c:pt idx="135">
                  <c:v>1687.75</c:v>
                </c:pt>
                <c:pt idx="136">
                  <c:v>1687.8</c:v>
                </c:pt>
                <c:pt idx="137">
                  <c:v>1687.85</c:v>
                </c:pt>
                <c:pt idx="138">
                  <c:v>1687.9</c:v>
                </c:pt>
                <c:pt idx="139">
                  <c:v>1687.95</c:v>
                </c:pt>
                <c:pt idx="140">
                  <c:v>1688</c:v>
                </c:pt>
              </c:numCache>
            </c:numRef>
          </c:xVal>
          <c:yVal>
            <c:numRef>
              <c:f>'Ex 2 FULL 1 50 eV'!$I$2:$I$142</c:f>
              <c:numCache>
                <c:formatCode>0.00000000000000</c:formatCode>
                <c:ptCount val="141"/>
                <c:pt idx="0">
                  <c:v>8.35239556988702E-4</c:v>
                </c:pt>
                <c:pt idx="1">
                  <c:v>8.7127963241903205E-4</c:v>
                </c:pt>
                <c:pt idx="2">
                  <c:v>9.0925972884138703E-4</c:v>
                </c:pt>
                <c:pt idx="3">
                  <c:v>9.4934471626188105E-4</c:v>
                </c:pt>
                <c:pt idx="4">
                  <c:v>9.91719580401063E-4</c:v>
                </c:pt>
                <c:pt idx="5">
                  <c:v>1.0365929269842201E-3</c:v>
                </c:pt>
                <c:pt idx="6">
                  <c:v>1.0841995888372E-3</c:v>
                </c:pt>
                <c:pt idx="7">
                  <c:v>1.1348055750620401E-3</c:v>
                </c:pt>
                <c:pt idx="8">
                  <c:v>1.1887165105571699E-3</c:v>
                </c:pt>
                <c:pt idx="9">
                  <c:v>1.2462842950851801E-3</c:v>
                </c:pt>
                <c:pt idx="10">
                  <c:v>1.30791756170697E-3</c:v>
                </c:pt>
                <c:pt idx="11">
                  <c:v>1.37409572201772E-3</c:v>
                </c:pt>
                <c:pt idx="12">
                  <c:v>1.4453838309079999E-3</c:v>
                </c:pt>
                <c:pt idx="13">
                  <c:v>1.5224558887805099E-3</c:v>
                </c:pt>
                <c:pt idx="14">
                  <c:v>1.6061305392969501E-3</c:v>
                </c:pt>
                <c:pt idx="15">
                  <c:v>1.6974119071067599E-3</c:v>
                </c:pt>
                <c:pt idx="16">
                  <c:v>1.7975485895810701E-3</c:v>
                </c:pt>
                <c:pt idx="17">
                  <c:v>1.90811613558101E-3</c:v>
                </c:pt>
                <c:pt idx="18">
                  <c:v>2.0311299336521101E-3</c:v>
                </c:pt>
                <c:pt idx="19">
                  <c:v>2.1691990592895699E-3</c:v>
                </c:pt>
                <c:pt idx="20">
                  <c:v>2.32575779256707E-3</c:v>
                </c:pt>
                <c:pt idx="21">
                  <c:v>2.5053869041782098E-3</c:v>
                </c:pt>
                <c:pt idx="22">
                  <c:v>2.7142766417609502E-3</c:v>
                </c:pt>
                <c:pt idx="23">
                  <c:v>2.9609120384885301E-3</c:v>
                </c:pt>
                <c:pt idx="24">
                  <c:v>3.25706455762793E-3</c:v>
                </c:pt>
                <c:pt idx="25">
                  <c:v>3.6192369781207598E-3</c:v>
                </c:pt>
                <c:pt idx="26">
                  <c:v>4.0707523171846496E-3</c:v>
                </c:pt>
                <c:pt idx="27">
                  <c:v>4.6447448141404297E-3</c:v>
                </c:pt>
                <c:pt idx="28">
                  <c:v>5.3884022712208501E-3</c:v>
                </c:pt>
                <c:pt idx="29">
                  <c:v>6.3688804206117298E-3</c:v>
                </c:pt>
                <c:pt idx="30">
                  <c:v>7.6812645316553397E-3</c:v>
                </c:pt>
                <c:pt idx="31">
                  <c:v>9.4584019704718504E-3</c:v>
                </c:pt>
                <c:pt idx="32">
                  <c:v>1.18805999689081E-2</c:v>
                </c:pt>
                <c:pt idx="33">
                  <c:v>1.51793063612199E-2</c:v>
                </c:pt>
                <c:pt idx="34">
                  <c:v>1.96240007436062E-2</c:v>
                </c:pt>
                <c:pt idx="35">
                  <c:v>2.5480708106691299E-2</c:v>
                </c:pt>
                <c:pt idx="36">
                  <c:v>3.2940919279102997E-2</c:v>
                </c:pt>
                <c:pt idx="37">
                  <c:v>4.2041150885602202E-2</c:v>
                </c:pt>
                <c:pt idx="38">
                  <c:v>5.2611345224152103E-2</c:v>
                </c:pt>
                <c:pt idx="39">
                  <c:v>6.4285429464773503E-2</c:v>
                </c:pt>
                <c:pt idx="40">
                  <c:v>7.6576975950533796E-2</c:v>
                </c:pt>
                <c:pt idx="41">
                  <c:v>8.8987663963635694E-2</c:v>
                </c:pt>
                <c:pt idx="42">
                  <c:v>0.10109979621246901</c:v>
                </c:pt>
                <c:pt idx="43">
                  <c:v>0.112607559163247</c:v>
                </c:pt>
                <c:pt idx="44">
                  <c:v>0.123265032895164</c:v>
                </c:pt>
                <c:pt idx="45">
                  <c:v>0.132850396077176</c:v>
                </c:pt>
                <c:pt idx="46">
                  <c:v>0.14126223101270799</c:v>
                </c:pt>
                <c:pt idx="47">
                  <c:v>0.14850936588289501</c:v>
                </c:pt>
                <c:pt idx="48">
                  <c:v>0.15466284404462899</c:v>
                </c:pt>
                <c:pt idx="49">
                  <c:v>0.15982255330793299</c:v>
                </c:pt>
                <c:pt idx="50">
                  <c:v>0.164098006194105</c:v>
                </c:pt>
                <c:pt idx="51">
                  <c:v>0.16759879359117699</c:v>
                </c:pt>
                <c:pt idx="52">
                  <c:v>0.17042983533897499</c:v>
                </c:pt>
                <c:pt idx="53">
                  <c:v>0.17268870049683599</c:v>
                </c:pt>
                <c:pt idx="54">
                  <c:v>0.17446384626647299</c:v>
                </c:pt>
                <c:pt idx="55">
                  <c:v>0.17583455481070001</c:v>
                </c:pt>
                <c:pt idx="56">
                  <c:v>0.176870381470286</c:v>
                </c:pt>
                <c:pt idx="57">
                  <c:v>0.177632109559305</c:v>
                </c:pt>
                <c:pt idx="58">
                  <c:v>0.178171669261323</c:v>
                </c:pt>
                <c:pt idx="59">
                  <c:v>0.178533494736903</c:v>
                </c:pt>
                <c:pt idx="60">
                  <c:v>0.17875495401484001</c:v>
                </c:pt>
                <c:pt idx="61">
                  <c:v>0.178867088806105</c:v>
                </c:pt>
                <c:pt idx="62">
                  <c:v>0.178895465128385</c:v>
                </c:pt>
                <c:pt idx="63">
                  <c:v>0.17886103084416699</c:v>
                </c:pt>
                <c:pt idx="64">
                  <c:v>0.178780575989792</c:v>
                </c:pt>
                <c:pt idx="65">
                  <c:v>0.17866737980617001</c:v>
                </c:pt>
                <c:pt idx="66">
                  <c:v>0.178531951444689</c:v>
                </c:pt>
                <c:pt idx="67">
                  <c:v>0.17838239697623701</c:v>
                </c:pt>
                <c:pt idx="68">
                  <c:v>0.178224941707916</c:v>
                </c:pt>
                <c:pt idx="69">
                  <c:v>0.178064219523316</c:v>
                </c:pt>
                <c:pt idx="70">
                  <c:v>0.17790365022736801</c:v>
                </c:pt>
                <c:pt idx="71">
                  <c:v>0.17774568862849399</c:v>
                </c:pt>
                <c:pt idx="72">
                  <c:v>0.177592036802246</c:v>
                </c:pt>
                <c:pt idx="73">
                  <c:v>0.17744382889052299</c:v>
                </c:pt>
                <c:pt idx="74">
                  <c:v>0.17730177769497099</c:v>
                </c:pt>
                <c:pt idx="75">
                  <c:v>0.17716628851817001</c:v>
                </c:pt>
                <c:pt idx="76">
                  <c:v>0.17703752155482699</c:v>
                </c:pt>
                <c:pt idx="77">
                  <c:v>0.17691548432097201</c:v>
                </c:pt>
                <c:pt idx="78">
                  <c:v>0.17680008111265599</c:v>
                </c:pt>
                <c:pt idx="79">
                  <c:v>0.17669113286820701</c:v>
                </c:pt>
                <c:pt idx="80">
                  <c:v>0.176588424540435</c:v>
                </c:pt>
                <c:pt idx="81">
                  <c:v>0.17649169419129801</c:v>
                </c:pt>
                <c:pt idx="82">
                  <c:v>0.176400659315846</c:v>
                </c:pt>
                <c:pt idx="83">
                  <c:v>0.176315033139026</c:v>
                </c:pt>
                <c:pt idx="84">
                  <c:v>0.17623453302925701</c:v>
                </c:pt>
                <c:pt idx="85">
                  <c:v>0.17615889917064601</c:v>
                </c:pt>
                <c:pt idx="86">
                  <c:v>0.17608787284271399</c:v>
                </c:pt>
                <c:pt idx="87">
                  <c:v>0.17602118297081701</c:v>
                </c:pt>
                <c:pt idx="88">
                  <c:v>0.17595858187285501</c:v>
                </c:pt>
                <c:pt idx="89">
                  <c:v>0.17589984926617699</c:v>
                </c:pt>
                <c:pt idx="90">
                  <c:v>0.17584476382348899</c:v>
                </c:pt>
                <c:pt idx="91">
                  <c:v>0.17579310931299</c:v>
                </c:pt>
                <c:pt idx="92">
                  <c:v>0.17574468740031199</c:v>
                </c:pt>
                <c:pt idx="93">
                  <c:v>0.175699319643114</c:v>
                </c:pt>
                <c:pt idx="94">
                  <c:v>0.175656825350888</c:v>
                </c:pt>
                <c:pt idx="95">
                  <c:v>0.17561702807996199</c:v>
                </c:pt>
                <c:pt idx="96">
                  <c:v>0.17557977964785201</c:v>
                </c:pt>
                <c:pt idx="97">
                  <c:v>0.17554493425630899</c:v>
                </c:pt>
                <c:pt idx="98">
                  <c:v>0.1755123467487</c:v>
                </c:pt>
                <c:pt idx="99">
                  <c:v>0.175481890091712</c:v>
                </c:pt>
                <c:pt idx="100">
                  <c:v>0.17545344153921</c:v>
                </c:pt>
                <c:pt idx="101">
                  <c:v>0.17542687932467799</c:v>
                </c:pt>
                <c:pt idx="102">
                  <c:v>0.17540209656140099</c:v>
                </c:pt>
                <c:pt idx="103">
                  <c:v>0.17537899177598101</c:v>
                </c:pt>
                <c:pt idx="104">
                  <c:v>0.17535746305711</c:v>
                </c:pt>
                <c:pt idx="105">
                  <c:v>0.17533742240766301</c:v>
                </c:pt>
                <c:pt idx="106">
                  <c:v>0.175318779028413</c:v>
                </c:pt>
                <c:pt idx="107">
                  <c:v>0.175301451863456</c:v>
                </c:pt>
                <c:pt idx="108">
                  <c:v>0.175285366938082</c:v>
                </c:pt>
                <c:pt idx="109">
                  <c:v>0.17527045247048301</c:v>
                </c:pt>
                <c:pt idx="110">
                  <c:v>0.17525664287728701</c:v>
                </c:pt>
                <c:pt idx="111">
                  <c:v>0.175243870277519</c:v>
                </c:pt>
                <c:pt idx="112">
                  <c:v>0.17523207388631201</c:v>
                </c:pt>
                <c:pt idx="113">
                  <c:v>0.17522119751774801</c:v>
                </c:pt>
                <c:pt idx="114">
                  <c:v>0.17521118530464999</c:v>
                </c:pt>
                <c:pt idx="115">
                  <c:v>0.175201987460676</c:v>
                </c:pt>
                <c:pt idx="116">
                  <c:v>0.17519355499030601</c:v>
                </c:pt>
                <c:pt idx="117">
                  <c:v>0.175185842222153</c:v>
                </c:pt>
                <c:pt idx="118">
                  <c:v>0.175178809433164</c:v>
                </c:pt>
                <c:pt idx="119">
                  <c:v>0.17517241656676599</c:v>
                </c:pt>
                <c:pt idx="120">
                  <c:v>0.17516662632225</c:v>
                </c:pt>
                <c:pt idx="121">
                  <c:v>0.175161399906756</c:v>
                </c:pt>
                <c:pt idx="122">
                  <c:v>0.17515670473258399</c:v>
                </c:pt>
                <c:pt idx="123">
                  <c:v>0.175152507018072</c:v>
                </c:pt>
                <c:pt idx="124">
                  <c:v>0.175148777042825</c:v>
                </c:pt>
                <c:pt idx="125">
                  <c:v>0.17514548646112199</c:v>
                </c:pt>
                <c:pt idx="126">
                  <c:v>0.175142606063516</c:v>
                </c:pt>
                <c:pt idx="127">
                  <c:v>0.17514010903396801</c:v>
                </c:pt>
                <c:pt idx="128">
                  <c:v>0.17513796935517301</c:v>
                </c:pt>
                <c:pt idx="129">
                  <c:v>0.17513616096752499</c:v>
                </c:pt>
                <c:pt idx="130">
                  <c:v>0.175134654758028</c:v>
                </c:pt>
                <c:pt idx="131">
                  <c:v>0.17513342139034799</c:v>
                </c:pt>
                <c:pt idx="132">
                  <c:v>0.175132425274446</c:v>
                </c:pt>
                <c:pt idx="133">
                  <c:v>0.17513162818707101</c:v>
                </c:pt>
                <c:pt idx="134">
                  <c:v>0.175130980909776</c:v>
                </c:pt>
                <c:pt idx="135">
                  <c:v>0.17513042084960301</c:v>
                </c:pt>
                <c:pt idx="136">
                  <c:v>0.175129871174632</c:v>
                </c:pt>
                <c:pt idx="137">
                  <c:v>0.17512925119878001</c:v>
                </c:pt>
                <c:pt idx="138">
                  <c:v>0.175128480547973</c:v>
                </c:pt>
                <c:pt idx="139">
                  <c:v>0.17512749591092899</c:v>
                </c:pt>
                <c:pt idx="140">
                  <c:v>0.17512625456099901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CD7-4394-B73B-7E7200C09F13}"/>
            </c:ext>
          </c:extLst>
        </c:ser>
        <c:ser>
          <c:idx val="3"/>
          <c:order val="2"/>
          <c:tx>
            <c:v>SPACES NORM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bg2">
                  <a:lumMod val="75000"/>
                </a:schemeClr>
              </a:solidFill>
              <a:ln w="9525">
                <a:solidFill>
                  <a:schemeClr val="bg2">
                    <a:lumMod val="75000"/>
                  </a:schemeClr>
                </a:solidFill>
              </a:ln>
              <a:effectLst/>
            </c:spPr>
          </c:marker>
          <c:xVal>
            <c:numRef>
              <c:f>'Ex 2 FULL 1 50 eV'!$A$2:$A$639</c:f>
              <c:numCache>
                <c:formatCode>General</c:formatCode>
                <c:ptCount val="638"/>
                <c:pt idx="0">
                  <c:v>1674.2346</c:v>
                </c:pt>
                <c:pt idx="1">
                  <c:v>1674.2846300000001</c:v>
                </c:pt>
                <c:pt idx="2">
                  <c:v>1674.33466</c:v>
                </c:pt>
                <c:pt idx="3">
                  <c:v>1674.3847000000001</c:v>
                </c:pt>
                <c:pt idx="4">
                  <c:v>1674.4347299999999</c:v>
                </c:pt>
                <c:pt idx="5">
                  <c:v>1674.4847600000001</c:v>
                </c:pt>
                <c:pt idx="6">
                  <c:v>1674.5347899999999</c:v>
                </c:pt>
                <c:pt idx="7">
                  <c:v>1674.58482</c:v>
                </c:pt>
                <c:pt idx="8">
                  <c:v>1674.6348499999999</c:v>
                </c:pt>
                <c:pt idx="9">
                  <c:v>1674.68489</c:v>
                </c:pt>
                <c:pt idx="10">
                  <c:v>1674.7349200000001</c:v>
                </c:pt>
                <c:pt idx="11">
                  <c:v>1674.78495</c:v>
                </c:pt>
                <c:pt idx="12">
                  <c:v>1674.8349800000001</c:v>
                </c:pt>
                <c:pt idx="13">
                  <c:v>1674.88501</c:v>
                </c:pt>
                <c:pt idx="14">
                  <c:v>1674.9350400000001</c:v>
                </c:pt>
                <c:pt idx="15">
                  <c:v>1674.98507</c:v>
                </c:pt>
                <c:pt idx="16">
                  <c:v>1675.03511</c:v>
                </c:pt>
                <c:pt idx="17">
                  <c:v>1675.0851399999999</c:v>
                </c:pt>
                <c:pt idx="18">
                  <c:v>1675.13517</c:v>
                </c:pt>
                <c:pt idx="19">
                  <c:v>1675.1851999999999</c:v>
                </c:pt>
                <c:pt idx="20">
                  <c:v>1675.23523</c:v>
                </c:pt>
                <c:pt idx="21">
                  <c:v>1675.2852600000001</c:v>
                </c:pt>
                <c:pt idx="22">
                  <c:v>1675.33529</c:v>
                </c:pt>
                <c:pt idx="23">
                  <c:v>1675.3853300000001</c:v>
                </c:pt>
                <c:pt idx="24">
                  <c:v>1675.4353599999999</c:v>
                </c:pt>
                <c:pt idx="25">
                  <c:v>1675.4853900000001</c:v>
                </c:pt>
                <c:pt idx="26">
                  <c:v>1675.5354199999999</c:v>
                </c:pt>
                <c:pt idx="27">
                  <c:v>1675.58545</c:v>
                </c:pt>
                <c:pt idx="28">
                  <c:v>1675.6354799999999</c:v>
                </c:pt>
                <c:pt idx="29">
                  <c:v>1675.68551</c:v>
                </c:pt>
                <c:pt idx="30">
                  <c:v>1675.7355500000001</c:v>
                </c:pt>
                <c:pt idx="31">
                  <c:v>1675.78558</c:v>
                </c:pt>
                <c:pt idx="32">
                  <c:v>1675.8356100000001</c:v>
                </c:pt>
                <c:pt idx="33">
                  <c:v>1675.88564</c:v>
                </c:pt>
                <c:pt idx="34">
                  <c:v>1675.9356700000001</c:v>
                </c:pt>
                <c:pt idx="35">
                  <c:v>1675.9857</c:v>
                </c:pt>
                <c:pt idx="36">
                  <c:v>1676.03574</c:v>
                </c:pt>
                <c:pt idx="37">
                  <c:v>1676.0857699999999</c:v>
                </c:pt>
                <c:pt idx="38">
                  <c:v>1676.1358</c:v>
                </c:pt>
                <c:pt idx="39">
                  <c:v>1676.1858299999999</c:v>
                </c:pt>
                <c:pt idx="40">
                  <c:v>1676.23586</c:v>
                </c:pt>
                <c:pt idx="41">
                  <c:v>1676.2858900000001</c:v>
                </c:pt>
                <c:pt idx="42">
                  <c:v>1676.33592</c:v>
                </c:pt>
                <c:pt idx="43">
                  <c:v>1676.3859600000001</c:v>
                </c:pt>
                <c:pt idx="44">
                  <c:v>1676.4359899999999</c:v>
                </c:pt>
                <c:pt idx="45">
                  <c:v>1676.4860200000001</c:v>
                </c:pt>
                <c:pt idx="46">
                  <c:v>1676.5360499999999</c:v>
                </c:pt>
                <c:pt idx="47">
                  <c:v>1676.58608</c:v>
                </c:pt>
                <c:pt idx="48">
                  <c:v>1676.6361099999999</c:v>
                </c:pt>
                <c:pt idx="49">
                  <c:v>1676.68614</c:v>
                </c:pt>
                <c:pt idx="50">
                  <c:v>1676.7361800000001</c:v>
                </c:pt>
                <c:pt idx="51">
                  <c:v>1676.78621</c:v>
                </c:pt>
                <c:pt idx="52">
                  <c:v>1676.8362400000001</c:v>
                </c:pt>
                <c:pt idx="53">
                  <c:v>1676.88627</c:v>
                </c:pt>
                <c:pt idx="54">
                  <c:v>1676.9363000000001</c:v>
                </c:pt>
                <c:pt idx="55">
                  <c:v>1676.98633</c:v>
                </c:pt>
                <c:pt idx="56">
                  <c:v>1677.0363600000001</c:v>
                </c:pt>
                <c:pt idx="57">
                  <c:v>1677.0863999999999</c:v>
                </c:pt>
                <c:pt idx="58">
                  <c:v>1677.13643</c:v>
                </c:pt>
                <c:pt idx="59">
                  <c:v>1677.1864599999999</c:v>
                </c:pt>
                <c:pt idx="60">
                  <c:v>1677.23649</c:v>
                </c:pt>
                <c:pt idx="61">
                  <c:v>1677.2865200000001</c:v>
                </c:pt>
                <c:pt idx="62">
                  <c:v>1677.33655</c:v>
                </c:pt>
                <c:pt idx="63">
                  <c:v>1677.3865900000001</c:v>
                </c:pt>
                <c:pt idx="64">
                  <c:v>1677.4366199999999</c:v>
                </c:pt>
                <c:pt idx="65">
                  <c:v>1677.4866500000001</c:v>
                </c:pt>
                <c:pt idx="66">
                  <c:v>1677.5366799999999</c:v>
                </c:pt>
                <c:pt idx="67">
                  <c:v>1677.58671</c:v>
                </c:pt>
                <c:pt idx="68">
                  <c:v>1677.6367399999999</c:v>
                </c:pt>
                <c:pt idx="69">
                  <c:v>1677.68677</c:v>
                </c:pt>
                <c:pt idx="70">
                  <c:v>1677.7368100000001</c:v>
                </c:pt>
                <c:pt idx="71">
                  <c:v>1677.78684</c:v>
                </c:pt>
                <c:pt idx="72">
                  <c:v>1677.8368700000001</c:v>
                </c:pt>
                <c:pt idx="73">
                  <c:v>1677.8869</c:v>
                </c:pt>
                <c:pt idx="74">
                  <c:v>1677.9369300000001</c:v>
                </c:pt>
                <c:pt idx="75">
                  <c:v>1677.98696</c:v>
                </c:pt>
                <c:pt idx="76">
                  <c:v>1678.0369900000001</c:v>
                </c:pt>
                <c:pt idx="77">
                  <c:v>1678.0870299999999</c:v>
                </c:pt>
                <c:pt idx="78">
                  <c:v>1678.13706</c:v>
                </c:pt>
                <c:pt idx="79">
                  <c:v>1678.1870899999999</c:v>
                </c:pt>
                <c:pt idx="80">
                  <c:v>1678.23712</c:v>
                </c:pt>
                <c:pt idx="81">
                  <c:v>1678.2871500000001</c:v>
                </c:pt>
                <c:pt idx="82">
                  <c:v>1678.33718</c:v>
                </c:pt>
                <c:pt idx="83">
                  <c:v>1678.3872100000001</c:v>
                </c:pt>
                <c:pt idx="84">
                  <c:v>1678.4372499999999</c:v>
                </c:pt>
                <c:pt idx="85">
                  <c:v>1678.4872800000001</c:v>
                </c:pt>
                <c:pt idx="86">
                  <c:v>1678.5373099999999</c:v>
                </c:pt>
                <c:pt idx="87">
                  <c:v>1678.58734</c:v>
                </c:pt>
                <c:pt idx="88">
                  <c:v>1678.6373699999999</c:v>
                </c:pt>
                <c:pt idx="89">
                  <c:v>1678.6874</c:v>
                </c:pt>
                <c:pt idx="90">
                  <c:v>1678.7374400000001</c:v>
                </c:pt>
                <c:pt idx="91">
                  <c:v>1678.78747</c:v>
                </c:pt>
                <c:pt idx="92">
                  <c:v>1678.8375000000001</c:v>
                </c:pt>
                <c:pt idx="93">
                  <c:v>1678.88753</c:v>
                </c:pt>
                <c:pt idx="94">
                  <c:v>1678.9375600000001</c:v>
                </c:pt>
                <c:pt idx="95">
                  <c:v>1678.98759</c:v>
                </c:pt>
                <c:pt idx="96">
                  <c:v>1679.0376200000001</c:v>
                </c:pt>
                <c:pt idx="97">
                  <c:v>1679.0876599999999</c:v>
                </c:pt>
                <c:pt idx="98">
                  <c:v>1679.13769</c:v>
                </c:pt>
                <c:pt idx="99">
                  <c:v>1679.1877199999999</c:v>
                </c:pt>
                <c:pt idx="100">
                  <c:v>1679.23775</c:v>
                </c:pt>
                <c:pt idx="101">
                  <c:v>1679.2877800000001</c:v>
                </c:pt>
                <c:pt idx="102">
                  <c:v>1679.33781</c:v>
                </c:pt>
                <c:pt idx="103">
                  <c:v>1679.3878400000001</c:v>
                </c:pt>
                <c:pt idx="104">
                  <c:v>1679.43788</c:v>
                </c:pt>
                <c:pt idx="105">
                  <c:v>1679.4879100000001</c:v>
                </c:pt>
                <c:pt idx="106">
                  <c:v>1679.5379399999999</c:v>
                </c:pt>
                <c:pt idx="107">
                  <c:v>1679.58797</c:v>
                </c:pt>
                <c:pt idx="108">
                  <c:v>1679.6379999999999</c:v>
                </c:pt>
                <c:pt idx="109">
                  <c:v>1679.68803</c:v>
                </c:pt>
                <c:pt idx="110">
                  <c:v>1679.7380599999999</c:v>
                </c:pt>
                <c:pt idx="111">
                  <c:v>1679.7881</c:v>
                </c:pt>
                <c:pt idx="112">
                  <c:v>1679.8381300000001</c:v>
                </c:pt>
                <c:pt idx="113">
                  <c:v>1679.88816</c:v>
                </c:pt>
                <c:pt idx="114">
                  <c:v>1679.9381900000001</c:v>
                </c:pt>
                <c:pt idx="115">
                  <c:v>1679.98822</c:v>
                </c:pt>
                <c:pt idx="116">
                  <c:v>1680.0382500000001</c:v>
                </c:pt>
                <c:pt idx="117">
                  <c:v>1680.0882899999999</c:v>
                </c:pt>
                <c:pt idx="118">
                  <c:v>1680.13832</c:v>
                </c:pt>
                <c:pt idx="119">
                  <c:v>1680.1883499999999</c:v>
                </c:pt>
                <c:pt idx="120">
                  <c:v>1680.23838</c:v>
                </c:pt>
                <c:pt idx="121">
                  <c:v>1680.2884100000001</c:v>
                </c:pt>
                <c:pt idx="122">
                  <c:v>1680.33844</c:v>
                </c:pt>
                <c:pt idx="123">
                  <c:v>1680.3884700000001</c:v>
                </c:pt>
                <c:pt idx="124">
                  <c:v>1680.43851</c:v>
                </c:pt>
                <c:pt idx="125">
                  <c:v>1680.4885400000001</c:v>
                </c:pt>
                <c:pt idx="126">
                  <c:v>1680.5385699999999</c:v>
                </c:pt>
                <c:pt idx="127">
                  <c:v>1680.5886</c:v>
                </c:pt>
                <c:pt idx="128">
                  <c:v>1680.6386299999999</c:v>
                </c:pt>
                <c:pt idx="129">
                  <c:v>1680.68866</c:v>
                </c:pt>
                <c:pt idx="130">
                  <c:v>1680.7386899999999</c:v>
                </c:pt>
                <c:pt idx="131">
                  <c:v>1680.78873</c:v>
                </c:pt>
                <c:pt idx="132">
                  <c:v>1680.8387600000001</c:v>
                </c:pt>
                <c:pt idx="133">
                  <c:v>1680.88879</c:v>
                </c:pt>
                <c:pt idx="134">
                  <c:v>1680.9388200000001</c:v>
                </c:pt>
                <c:pt idx="135">
                  <c:v>1680.98885</c:v>
                </c:pt>
                <c:pt idx="136">
                  <c:v>1681.0388800000001</c:v>
                </c:pt>
                <c:pt idx="137">
                  <c:v>1681.0889099999999</c:v>
                </c:pt>
                <c:pt idx="138">
                  <c:v>1681.13895</c:v>
                </c:pt>
                <c:pt idx="139">
                  <c:v>1681.1889799999999</c:v>
                </c:pt>
                <c:pt idx="140">
                  <c:v>1681.23901</c:v>
                </c:pt>
                <c:pt idx="141">
                  <c:v>1681.2890400000001</c:v>
                </c:pt>
                <c:pt idx="142">
                  <c:v>1681.33907</c:v>
                </c:pt>
                <c:pt idx="143">
                  <c:v>1681.3891000000001</c:v>
                </c:pt>
                <c:pt idx="144">
                  <c:v>1681.43914</c:v>
                </c:pt>
                <c:pt idx="145">
                  <c:v>1681.4891700000001</c:v>
                </c:pt>
                <c:pt idx="146">
                  <c:v>1681.5391999999999</c:v>
                </c:pt>
                <c:pt idx="147">
                  <c:v>1681.58923</c:v>
                </c:pt>
                <c:pt idx="148">
                  <c:v>1681.6392599999999</c:v>
                </c:pt>
                <c:pt idx="149">
                  <c:v>1681.68929</c:v>
                </c:pt>
                <c:pt idx="150">
                  <c:v>1681.7393199999999</c:v>
                </c:pt>
                <c:pt idx="151">
                  <c:v>1681.78936</c:v>
                </c:pt>
                <c:pt idx="152">
                  <c:v>1681.8393900000001</c:v>
                </c:pt>
                <c:pt idx="153">
                  <c:v>1681.88942</c:v>
                </c:pt>
                <c:pt idx="154">
                  <c:v>1681.9394500000001</c:v>
                </c:pt>
                <c:pt idx="155">
                  <c:v>1681.98948</c:v>
                </c:pt>
                <c:pt idx="156">
                  <c:v>1682.0395100000001</c:v>
                </c:pt>
                <c:pt idx="157">
                  <c:v>1682.0895399999999</c:v>
                </c:pt>
                <c:pt idx="158">
                  <c:v>1682.13958</c:v>
                </c:pt>
                <c:pt idx="159">
                  <c:v>1682.1896099999999</c:v>
                </c:pt>
                <c:pt idx="160">
                  <c:v>1682.23964</c:v>
                </c:pt>
                <c:pt idx="161">
                  <c:v>1682.2896699999999</c:v>
                </c:pt>
                <c:pt idx="162">
                  <c:v>1682.3397</c:v>
                </c:pt>
                <c:pt idx="163">
                  <c:v>1682.3897300000001</c:v>
                </c:pt>
                <c:pt idx="164">
                  <c:v>1682.43977</c:v>
                </c:pt>
                <c:pt idx="165">
                  <c:v>1682.4898000000001</c:v>
                </c:pt>
                <c:pt idx="166">
                  <c:v>1682.5398299999999</c:v>
                </c:pt>
                <c:pt idx="167">
                  <c:v>1682.58986</c:v>
                </c:pt>
                <c:pt idx="168">
                  <c:v>1682.6398899999999</c:v>
                </c:pt>
                <c:pt idx="169">
                  <c:v>1682.68992</c:v>
                </c:pt>
                <c:pt idx="170">
                  <c:v>1682.7399499999999</c:v>
                </c:pt>
                <c:pt idx="171">
                  <c:v>1682.78999</c:v>
                </c:pt>
                <c:pt idx="172">
                  <c:v>1682.8400200000001</c:v>
                </c:pt>
                <c:pt idx="173">
                  <c:v>1682.89005</c:v>
                </c:pt>
                <c:pt idx="174">
                  <c:v>1682.9400800000001</c:v>
                </c:pt>
                <c:pt idx="175">
                  <c:v>1682.99011</c:v>
                </c:pt>
                <c:pt idx="176">
                  <c:v>1683.0401400000001</c:v>
                </c:pt>
                <c:pt idx="177">
                  <c:v>1683.0901699999999</c:v>
                </c:pt>
                <c:pt idx="178">
                  <c:v>1683.14021</c:v>
                </c:pt>
                <c:pt idx="179">
                  <c:v>1683.1902399999999</c:v>
                </c:pt>
                <c:pt idx="180">
                  <c:v>1683.24027</c:v>
                </c:pt>
                <c:pt idx="181">
                  <c:v>1683.2902999999999</c:v>
                </c:pt>
                <c:pt idx="182">
                  <c:v>1683.34033</c:v>
                </c:pt>
                <c:pt idx="183">
                  <c:v>1683.3903600000001</c:v>
                </c:pt>
                <c:pt idx="184">
                  <c:v>1683.44039</c:v>
                </c:pt>
                <c:pt idx="185">
                  <c:v>1683.4904300000001</c:v>
                </c:pt>
                <c:pt idx="186">
                  <c:v>1683.5404599999999</c:v>
                </c:pt>
                <c:pt idx="187">
                  <c:v>1683.59049</c:v>
                </c:pt>
                <c:pt idx="188">
                  <c:v>1683.6405199999999</c:v>
                </c:pt>
                <c:pt idx="189">
                  <c:v>1683.69055</c:v>
                </c:pt>
                <c:pt idx="190">
                  <c:v>1683.7405799999999</c:v>
                </c:pt>
                <c:pt idx="191">
                  <c:v>1683.79062</c:v>
                </c:pt>
                <c:pt idx="192">
                  <c:v>1683.8406500000001</c:v>
                </c:pt>
                <c:pt idx="193">
                  <c:v>1683.89068</c:v>
                </c:pt>
                <c:pt idx="194">
                  <c:v>1683.9407100000001</c:v>
                </c:pt>
                <c:pt idx="195">
                  <c:v>1683.99074</c:v>
                </c:pt>
                <c:pt idx="196">
                  <c:v>1684.0407700000001</c:v>
                </c:pt>
                <c:pt idx="197">
                  <c:v>1684.0907999999999</c:v>
                </c:pt>
                <c:pt idx="198">
                  <c:v>1684.14084</c:v>
                </c:pt>
                <c:pt idx="199">
                  <c:v>1684.1908699999999</c:v>
                </c:pt>
                <c:pt idx="200">
                  <c:v>1684.2409</c:v>
                </c:pt>
                <c:pt idx="201">
                  <c:v>1684.2909299999999</c:v>
                </c:pt>
                <c:pt idx="202">
                  <c:v>1684.34096</c:v>
                </c:pt>
                <c:pt idx="203">
                  <c:v>1684.3909900000001</c:v>
                </c:pt>
                <c:pt idx="204">
                  <c:v>1684.44102</c:v>
                </c:pt>
                <c:pt idx="205">
                  <c:v>1684.4910600000001</c:v>
                </c:pt>
                <c:pt idx="206">
                  <c:v>1684.5410899999999</c:v>
                </c:pt>
                <c:pt idx="207">
                  <c:v>1684.59112</c:v>
                </c:pt>
                <c:pt idx="208">
                  <c:v>1684.6411499999999</c:v>
                </c:pt>
                <c:pt idx="209">
                  <c:v>1684.69118</c:v>
                </c:pt>
                <c:pt idx="210">
                  <c:v>1684.7412099999999</c:v>
                </c:pt>
                <c:pt idx="211">
                  <c:v>1684.79124</c:v>
                </c:pt>
                <c:pt idx="212">
                  <c:v>1684.8412800000001</c:v>
                </c:pt>
                <c:pt idx="213">
                  <c:v>1684.89131</c:v>
                </c:pt>
                <c:pt idx="214">
                  <c:v>1684.9413400000001</c:v>
                </c:pt>
                <c:pt idx="215">
                  <c:v>1684.99137</c:v>
                </c:pt>
                <c:pt idx="216">
                  <c:v>1685.0414000000001</c:v>
                </c:pt>
                <c:pt idx="217">
                  <c:v>1685.0914299999999</c:v>
                </c:pt>
                <c:pt idx="218">
                  <c:v>1685.14147</c:v>
                </c:pt>
                <c:pt idx="219">
                  <c:v>1685.1914999999999</c:v>
                </c:pt>
                <c:pt idx="220">
                  <c:v>1685.24153</c:v>
                </c:pt>
                <c:pt idx="221">
                  <c:v>1685.2915599999999</c:v>
                </c:pt>
                <c:pt idx="222">
                  <c:v>1685.34159</c:v>
                </c:pt>
                <c:pt idx="223">
                  <c:v>1685.3916200000001</c:v>
                </c:pt>
                <c:pt idx="224">
                  <c:v>1685.44165</c:v>
                </c:pt>
                <c:pt idx="225">
                  <c:v>1685.4916900000001</c:v>
                </c:pt>
                <c:pt idx="226">
                  <c:v>1685.5417199999999</c:v>
                </c:pt>
                <c:pt idx="227">
                  <c:v>1685.59175</c:v>
                </c:pt>
                <c:pt idx="228">
                  <c:v>1685.6417799999999</c:v>
                </c:pt>
                <c:pt idx="229">
                  <c:v>1685.69181</c:v>
                </c:pt>
                <c:pt idx="230">
                  <c:v>1685.7418399999999</c:v>
                </c:pt>
                <c:pt idx="231">
                  <c:v>1685.79187</c:v>
                </c:pt>
                <c:pt idx="232">
                  <c:v>1685.8419100000001</c:v>
                </c:pt>
                <c:pt idx="233">
                  <c:v>1685.89194</c:v>
                </c:pt>
                <c:pt idx="234">
                  <c:v>1685.9419700000001</c:v>
                </c:pt>
                <c:pt idx="235">
                  <c:v>1685.992</c:v>
                </c:pt>
                <c:pt idx="236">
                  <c:v>1686.0420300000001</c:v>
                </c:pt>
                <c:pt idx="237">
                  <c:v>1686.0920599999999</c:v>
                </c:pt>
                <c:pt idx="238">
                  <c:v>1686.1420900000001</c:v>
                </c:pt>
                <c:pt idx="239">
                  <c:v>1686.1921299999999</c:v>
                </c:pt>
                <c:pt idx="240">
                  <c:v>1686.24216</c:v>
                </c:pt>
                <c:pt idx="241">
                  <c:v>1686.2921899999999</c:v>
                </c:pt>
                <c:pt idx="242">
                  <c:v>1686.34222</c:v>
                </c:pt>
                <c:pt idx="243">
                  <c:v>1686.3922500000001</c:v>
                </c:pt>
                <c:pt idx="244">
                  <c:v>1686.44228</c:v>
                </c:pt>
                <c:pt idx="245">
                  <c:v>1686.4923200000001</c:v>
                </c:pt>
                <c:pt idx="246">
                  <c:v>1686.5423499999999</c:v>
                </c:pt>
                <c:pt idx="247">
                  <c:v>1686.59238</c:v>
                </c:pt>
                <c:pt idx="248">
                  <c:v>1686.6424099999999</c:v>
                </c:pt>
                <c:pt idx="249">
                  <c:v>1686.69244</c:v>
                </c:pt>
                <c:pt idx="250">
                  <c:v>1686.7424699999999</c:v>
                </c:pt>
                <c:pt idx="251">
                  <c:v>1686.7925</c:v>
                </c:pt>
                <c:pt idx="252">
                  <c:v>1686.8425400000001</c:v>
                </c:pt>
                <c:pt idx="253">
                  <c:v>1686.89257</c:v>
                </c:pt>
                <c:pt idx="254">
                  <c:v>1686.9426000000001</c:v>
                </c:pt>
                <c:pt idx="255">
                  <c:v>1686.99263</c:v>
                </c:pt>
                <c:pt idx="256">
                  <c:v>1687.0426600000001</c:v>
                </c:pt>
                <c:pt idx="257">
                  <c:v>1687.0926899999999</c:v>
                </c:pt>
                <c:pt idx="258">
                  <c:v>1687.1427200000001</c:v>
                </c:pt>
                <c:pt idx="259">
                  <c:v>1687.1927599999999</c:v>
                </c:pt>
                <c:pt idx="260">
                  <c:v>1687.24279</c:v>
                </c:pt>
                <c:pt idx="261">
                  <c:v>1687.2928199999999</c:v>
                </c:pt>
                <c:pt idx="262">
                  <c:v>1687.34285</c:v>
                </c:pt>
                <c:pt idx="263">
                  <c:v>1687.3928800000001</c:v>
                </c:pt>
                <c:pt idx="264">
                  <c:v>1687.44291</c:v>
                </c:pt>
                <c:pt idx="265">
                  <c:v>1687.4929400000001</c:v>
                </c:pt>
                <c:pt idx="266">
                  <c:v>1687.5429799999999</c:v>
                </c:pt>
                <c:pt idx="267">
                  <c:v>1687.59301</c:v>
                </c:pt>
                <c:pt idx="268">
                  <c:v>1687.6430399999999</c:v>
                </c:pt>
                <c:pt idx="269">
                  <c:v>1687.69307</c:v>
                </c:pt>
                <c:pt idx="270">
                  <c:v>1687.7430999999999</c:v>
                </c:pt>
                <c:pt idx="271">
                  <c:v>1687.79313</c:v>
                </c:pt>
                <c:pt idx="272">
                  <c:v>1687.8431700000001</c:v>
                </c:pt>
                <c:pt idx="273">
                  <c:v>1687.8932</c:v>
                </c:pt>
                <c:pt idx="274">
                  <c:v>1687.9432300000001</c:v>
                </c:pt>
                <c:pt idx="275">
                  <c:v>1687.99326</c:v>
                </c:pt>
                <c:pt idx="276">
                  <c:v>1688.0432900000001</c:v>
                </c:pt>
                <c:pt idx="277">
                  <c:v>1688.0933199999999</c:v>
                </c:pt>
                <c:pt idx="278">
                  <c:v>1688.1433500000001</c:v>
                </c:pt>
                <c:pt idx="279">
                  <c:v>1688.1933899999999</c:v>
                </c:pt>
                <c:pt idx="280">
                  <c:v>1688.24342</c:v>
                </c:pt>
                <c:pt idx="281">
                  <c:v>1688.2934499999999</c:v>
                </c:pt>
                <c:pt idx="282">
                  <c:v>1688.34348</c:v>
                </c:pt>
                <c:pt idx="283">
                  <c:v>1688.3935100000001</c:v>
                </c:pt>
                <c:pt idx="284">
                  <c:v>1688.44354</c:v>
                </c:pt>
                <c:pt idx="285">
                  <c:v>1688.4935700000001</c:v>
                </c:pt>
                <c:pt idx="286">
                  <c:v>1688.5436099999999</c:v>
                </c:pt>
                <c:pt idx="287">
                  <c:v>1688.5936400000001</c:v>
                </c:pt>
                <c:pt idx="288">
                  <c:v>1688.6436699999999</c:v>
                </c:pt>
                <c:pt idx="289">
                  <c:v>1688.6937</c:v>
                </c:pt>
                <c:pt idx="290">
                  <c:v>1688.7437299999999</c:v>
                </c:pt>
                <c:pt idx="291">
                  <c:v>1688.79376</c:v>
                </c:pt>
                <c:pt idx="292">
                  <c:v>1688.8437899999999</c:v>
                </c:pt>
                <c:pt idx="293">
                  <c:v>1688.89383</c:v>
                </c:pt>
                <c:pt idx="294">
                  <c:v>1688.9438600000001</c:v>
                </c:pt>
                <c:pt idx="295">
                  <c:v>1688.99389</c:v>
                </c:pt>
                <c:pt idx="296">
                  <c:v>1689.0439200000001</c:v>
                </c:pt>
                <c:pt idx="297">
                  <c:v>1689.0939499999999</c:v>
                </c:pt>
                <c:pt idx="298">
                  <c:v>1689.1439800000001</c:v>
                </c:pt>
                <c:pt idx="299">
                  <c:v>1689.1940199999999</c:v>
                </c:pt>
                <c:pt idx="300">
                  <c:v>1689.24405</c:v>
                </c:pt>
                <c:pt idx="301">
                  <c:v>1689.2940799999999</c:v>
                </c:pt>
                <c:pt idx="302">
                  <c:v>1689.34411</c:v>
                </c:pt>
                <c:pt idx="303">
                  <c:v>1689.3941400000001</c:v>
                </c:pt>
                <c:pt idx="304">
                  <c:v>1689.44417</c:v>
                </c:pt>
                <c:pt idx="305">
                  <c:v>1689.4942000000001</c:v>
                </c:pt>
                <c:pt idx="306">
                  <c:v>1689.5442399999999</c:v>
                </c:pt>
                <c:pt idx="307">
                  <c:v>1689.5942700000001</c:v>
                </c:pt>
                <c:pt idx="308">
                  <c:v>1689.6442999999999</c:v>
                </c:pt>
                <c:pt idx="309">
                  <c:v>1689.69433</c:v>
                </c:pt>
                <c:pt idx="310">
                  <c:v>1689.7443599999999</c:v>
                </c:pt>
                <c:pt idx="311">
                  <c:v>1689.79439</c:v>
                </c:pt>
                <c:pt idx="312">
                  <c:v>1689.8444199999999</c:v>
                </c:pt>
                <c:pt idx="313">
                  <c:v>1689.89446</c:v>
                </c:pt>
                <c:pt idx="314">
                  <c:v>1689.9444900000001</c:v>
                </c:pt>
                <c:pt idx="315">
                  <c:v>1689.99452</c:v>
                </c:pt>
                <c:pt idx="316">
                  <c:v>1690.0445500000001</c:v>
                </c:pt>
                <c:pt idx="317">
                  <c:v>1690.09458</c:v>
                </c:pt>
                <c:pt idx="318">
                  <c:v>1690.1446100000001</c:v>
                </c:pt>
                <c:pt idx="319">
                  <c:v>1690.1946399999999</c:v>
                </c:pt>
                <c:pt idx="320">
                  <c:v>1690.24468</c:v>
                </c:pt>
                <c:pt idx="321">
                  <c:v>1690.2947099999999</c:v>
                </c:pt>
                <c:pt idx="322">
                  <c:v>1690.34474</c:v>
                </c:pt>
                <c:pt idx="323">
                  <c:v>1690.3947700000001</c:v>
                </c:pt>
                <c:pt idx="324">
                  <c:v>1690.4448</c:v>
                </c:pt>
                <c:pt idx="325">
                  <c:v>1690.4948300000001</c:v>
                </c:pt>
                <c:pt idx="326">
                  <c:v>1690.5448699999999</c:v>
                </c:pt>
                <c:pt idx="327">
                  <c:v>1690.5949000000001</c:v>
                </c:pt>
                <c:pt idx="328">
                  <c:v>1690.6449299999999</c:v>
                </c:pt>
                <c:pt idx="329">
                  <c:v>1690.69496</c:v>
                </c:pt>
                <c:pt idx="330">
                  <c:v>1690.7449899999999</c:v>
                </c:pt>
                <c:pt idx="331">
                  <c:v>1690.79502</c:v>
                </c:pt>
                <c:pt idx="332">
                  <c:v>1690.8450499999999</c:v>
                </c:pt>
                <c:pt idx="333">
                  <c:v>1690.89509</c:v>
                </c:pt>
                <c:pt idx="334">
                  <c:v>1690.9451200000001</c:v>
                </c:pt>
                <c:pt idx="335">
                  <c:v>1690.99515</c:v>
                </c:pt>
                <c:pt idx="336">
                  <c:v>1691.0451800000001</c:v>
                </c:pt>
                <c:pt idx="337">
                  <c:v>1691.09521</c:v>
                </c:pt>
                <c:pt idx="338">
                  <c:v>1691.1452400000001</c:v>
                </c:pt>
                <c:pt idx="339">
                  <c:v>1691.1952699999999</c:v>
                </c:pt>
                <c:pt idx="340">
                  <c:v>1691.24531</c:v>
                </c:pt>
                <c:pt idx="341">
                  <c:v>1691.2953399999999</c:v>
                </c:pt>
                <c:pt idx="342">
                  <c:v>1691.34537</c:v>
                </c:pt>
                <c:pt idx="343">
                  <c:v>1691.3954000000001</c:v>
                </c:pt>
                <c:pt idx="344">
                  <c:v>1691.44543</c:v>
                </c:pt>
                <c:pt idx="345">
                  <c:v>1691.4954600000001</c:v>
                </c:pt>
                <c:pt idx="346">
                  <c:v>1691.54549</c:v>
                </c:pt>
                <c:pt idx="347">
                  <c:v>1691.5955300000001</c:v>
                </c:pt>
                <c:pt idx="348">
                  <c:v>1691.6455599999999</c:v>
                </c:pt>
                <c:pt idx="349">
                  <c:v>1691.69559</c:v>
                </c:pt>
                <c:pt idx="350">
                  <c:v>1691.7456199999999</c:v>
                </c:pt>
                <c:pt idx="351">
                  <c:v>1691.79565</c:v>
                </c:pt>
                <c:pt idx="352">
                  <c:v>1691.8456799999999</c:v>
                </c:pt>
                <c:pt idx="353">
                  <c:v>1691.89572</c:v>
                </c:pt>
                <c:pt idx="354">
                  <c:v>1691.9457500000001</c:v>
                </c:pt>
                <c:pt idx="355">
                  <c:v>1691.99578</c:v>
                </c:pt>
                <c:pt idx="356">
                  <c:v>1692.0458100000001</c:v>
                </c:pt>
                <c:pt idx="357">
                  <c:v>1692.09584</c:v>
                </c:pt>
                <c:pt idx="358">
                  <c:v>1692.1458700000001</c:v>
                </c:pt>
                <c:pt idx="359">
                  <c:v>1692.1958999999999</c:v>
                </c:pt>
                <c:pt idx="360">
                  <c:v>1692.24594</c:v>
                </c:pt>
                <c:pt idx="361">
                  <c:v>1692.2959699999999</c:v>
                </c:pt>
                <c:pt idx="362">
                  <c:v>1692.346</c:v>
                </c:pt>
                <c:pt idx="363">
                  <c:v>1692.3960300000001</c:v>
                </c:pt>
                <c:pt idx="364">
                  <c:v>1692.44606</c:v>
                </c:pt>
                <c:pt idx="365">
                  <c:v>1692.4960900000001</c:v>
                </c:pt>
                <c:pt idx="366">
                  <c:v>1692.54612</c:v>
                </c:pt>
                <c:pt idx="367">
                  <c:v>1692.5961600000001</c:v>
                </c:pt>
                <c:pt idx="368">
                  <c:v>1692.6461899999999</c:v>
                </c:pt>
                <c:pt idx="369">
                  <c:v>1692.69622</c:v>
                </c:pt>
                <c:pt idx="370">
                  <c:v>1692.7462499999999</c:v>
                </c:pt>
                <c:pt idx="371">
                  <c:v>1692.79628</c:v>
                </c:pt>
                <c:pt idx="372">
                  <c:v>1692.8463099999999</c:v>
                </c:pt>
                <c:pt idx="373">
                  <c:v>1692.89635</c:v>
                </c:pt>
                <c:pt idx="374">
                  <c:v>1692.9463800000001</c:v>
                </c:pt>
                <c:pt idx="375">
                  <c:v>1692.99641</c:v>
                </c:pt>
                <c:pt idx="376">
                  <c:v>1693.0464400000001</c:v>
                </c:pt>
                <c:pt idx="377">
                  <c:v>1693.09647</c:v>
                </c:pt>
                <c:pt idx="378">
                  <c:v>1693.1465000000001</c:v>
                </c:pt>
                <c:pt idx="379">
                  <c:v>1693.1965299999999</c:v>
                </c:pt>
                <c:pt idx="380">
                  <c:v>1693.24657</c:v>
                </c:pt>
                <c:pt idx="381">
                  <c:v>1693.2965999999999</c:v>
                </c:pt>
                <c:pt idx="382">
                  <c:v>1693.34663</c:v>
                </c:pt>
                <c:pt idx="383">
                  <c:v>1693.3966600000001</c:v>
                </c:pt>
                <c:pt idx="384">
                  <c:v>1693.44669</c:v>
                </c:pt>
                <c:pt idx="385">
                  <c:v>1693.4967200000001</c:v>
                </c:pt>
                <c:pt idx="386">
                  <c:v>1693.54675</c:v>
                </c:pt>
                <c:pt idx="387">
                  <c:v>1693.5967900000001</c:v>
                </c:pt>
                <c:pt idx="388">
                  <c:v>1693.6468199999999</c:v>
                </c:pt>
                <c:pt idx="389">
                  <c:v>1693.69685</c:v>
                </c:pt>
                <c:pt idx="390">
                  <c:v>1693.7468799999999</c:v>
                </c:pt>
                <c:pt idx="391">
                  <c:v>1693.79691</c:v>
                </c:pt>
                <c:pt idx="392">
                  <c:v>1693.8469399999999</c:v>
                </c:pt>
                <c:pt idx="393">
                  <c:v>1693.89697</c:v>
                </c:pt>
                <c:pt idx="394">
                  <c:v>1693.9470100000001</c:v>
                </c:pt>
                <c:pt idx="395">
                  <c:v>1693.99704</c:v>
                </c:pt>
                <c:pt idx="396">
                  <c:v>1694.0470700000001</c:v>
                </c:pt>
                <c:pt idx="397">
                  <c:v>1694.0971</c:v>
                </c:pt>
                <c:pt idx="398">
                  <c:v>1694.1471300000001</c:v>
                </c:pt>
                <c:pt idx="399">
                  <c:v>1694.1971599999999</c:v>
                </c:pt>
                <c:pt idx="400">
                  <c:v>1694.2472</c:v>
                </c:pt>
                <c:pt idx="401">
                  <c:v>1694.2972299999999</c:v>
                </c:pt>
                <c:pt idx="402">
                  <c:v>1694.34726</c:v>
                </c:pt>
                <c:pt idx="403">
                  <c:v>1694.3972900000001</c:v>
                </c:pt>
                <c:pt idx="404">
                  <c:v>1694.44732</c:v>
                </c:pt>
                <c:pt idx="405">
                  <c:v>1694.4973500000001</c:v>
                </c:pt>
                <c:pt idx="406">
                  <c:v>1694.54738</c:v>
                </c:pt>
                <c:pt idx="407">
                  <c:v>1694.5974200000001</c:v>
                </c:pt>
                <c:pt idx="408">
                  <c:v>1694.6474499999999</c:v>
                </c:pt>
                <c:pt idx="409">
                  <c:v>1694.69748</c:v>
                </c:pt>
                <c:pt idx="410">
                  <c:v>1694.7475099999999</c:v>
                </c:pt>
                <c:pt idx="411">
                  <c:v>1694.79754</c:v>
                </c:pt>
                <c:pt idx="412">
                  <c:v>1694.8475699999999</c:v>
                </c:pt>
                <c:pt idx="413">
                  <c:v>1694.8976</c:v>
                </c:pt>
                <c:pt idx="414">
                  <c:v>1694.9476400000001</c:v>
                </c:pt>
                <c:pt idx="415">
                  <c:v>1694.99767</c:v>
                </c:pt>
                <c:pt idx="416">
                  <c:v>1695.0477000000001</c:v>
                </c:pt>
                <c:pt idx="417">
                  <c:v>1695.09773</c:v>
                </c:pt>
                <c:pt idx="418">
                  <c:v>1695.1477600000001</c:v>
                </c:pt>
                <c:pt idx="419">
                  <c:v>1695.1977899999999</c:v>
                </c:pt>
                <c:pt idx="420">
                  <c:v>1695.24782</c:v>
                </c:pt>
                <c:pt idx="421">
                  <c:v>1695.2978599999999</c:v>
                </c:pt>
                <c:pt idx="422">
                  <c:v>1695.34789</c:v>
                </c:pt>
                <c:pt idx="423">
                  <c:v>1695.3979200000001</c:v>
                </c:pt>
                <c:pt idx="424">
                  <c:v>1695.44795</c:v>
                </c:pt>
                <c:pt idx="425">
                  <c:v>1695.4979800000001</c:v>
                </c:pt>
                <c:pt idx="426">
                  <c:v>1695.54801</c:v>
                </c:pt>
                <c:pt idx="427">
                  <c:v>1695.5980500000001</c:v>
                </c:pt>
                <c:pt idx="428">
                  <c:v>1695.6480799999999</c:v>
                </c:pt>
                <c:pt idx="429">
                  <c:v>1695.69811</c:v>
                </c:pt>
                <c:pt idx="430">
                  <c:v>1695.7481399999999</c:v>
                </c:pt>
                <c:pt idx="431">
                  <c:v>1695.79817</c:v>
                </c:pt>
                <c:pt idx="432">
                  <c:v>1695.8481999999999</c:v>
                </c:pt>
                <c:pt idx="433">
                  <c:v>1695.89823</c:v>
                </c:pt>
                <c:pt idx="434">
                  <c:v>1695.9482700000001</c:v>
                </c:pt>
                <c:pt idx="435">
                  <c:v>1695.9983</c:v>
                </c:pt>
                <c:pt idx="436">
                  <c:v>1696.0483300000001</c:v>
                </c:pt>
                <c:pt idx="437">
                  <c:v>1696.09836</c:v>
                </c:pt>
                <c:pt idx="438">
                  <c:v>1696.1483900000001</c:v>
                </c:pt>
                <c:pt idx="439">
                  <c:v>1696.1984199999999</c:v>
                </c:pt>
                <c:pt idx="440">
                  <c:v>1696.24845</c:v>
                </c:pt>
                <c:pt idx="441">
                  <c:v>1696.2984899999999</c:v>
                </c:pt>
                <c:pt idx="442">
                  <c:v>1696.34852</c:v>
                </c:pt>
                <c:pt idx="443">
                  <c:v>1696.3985499999999</c:v>
                </c:pt>
                <c:pt idx="444">
                  <c:v>1696.44858</c:v>
                </c:pt>
                <c:pt idx="445">
                  <c:v>1696.4986100000001</c:v>
                </c:pt>
                <c:pt idx="446">
                  <c:v>1696.54864</c:v>
                </c:pt>
                <c:pt idx="447">
                  <c:v>1696.5986700000001</c:v>
                </c:pt>
                <c:pt idx="448">
                  <c:v>1696.6487099999999</c:v>
                </c:pt>
                <c:pt idx="449">
                  <c:v>1696.69874</c:v>
                </c:pt>
                <c:pt idx="450">
                  <c:v>1696.7487699999999</c:v>
                </c:pt>
                <c:pt idx="451">
                  <c:v>1696.7988</c:v>
                </c:pt>
                <c:pt idx="452">
                  <c:v>1696.8488299999999</c:v>
                </c:pt>
                <c:pt idx="453">
                  <c:v>1696.89886</c:v>
                </c:pt>
                <c:pt idx="454">
                  <c:v>1696.9489000000001</c:v>
                </c:pt>
                <c:pt idx="455">
                  <c:v>1696.99893</c:v>
                </c:pt>
                <c:pt idx="456">
                  <c:v>1697.0489600000001</c:v>
                </c:pt>
                <c:pt idx="457">
                  <c:v>1697.09899</c:v>
                </c:pt>
                <c:pt idx="458">
                  <c:v>1697.1490200000001</c:v>
                </c:pt>
                <c:pt idx="459">
                  <c:v>1697.1990499999999</c:v>
                </c:pt>
                <c:pt idx="460">
                  <c:v>1697.24908</c:v>
                </c:pt>
                <c:pt idx="461">
                  <c:v>1697.2991199999999</c:v>
                </c:pt>
                <c:pt idx="462">
                  <c:v>1697.34915</c:v>
                </c:pt>
                <c:pt idx="463">
                  <c:v>1697.3991799999999</c:v>
                </c:pt>
                <c:pt idx="464">
                  <c:v>1697.44921</c:v>
                </c:pt>
                <c:pt idx="465">
                  <c:v>1697.4992400000001</c:v>
                </c:pt>
                <c:pt idx="466">
                  <c:v>1697.54927</c:v>
                </c:pt>
                <c:pt idx="467">
                  <c:v>1697.5993000000001</c:v>
                </c:pt>
                <c:pt idx="468">
                  <c:v>1697.6493399999999</c:v>
                </c:pt>
                <c:pt idx="469">
                  <c:v>1697.69937</c:v>
                </c:pt>
                <c:pt idx="470">
                  <c:v>1697.7493999999999</c:v>
                </c:pt>
                <c:pt idx="471">
                  <c:v>1697.79943</c:v>
                </c:pt>
                <c:pt idx="472">
                  <c:v>1697.8494599999999</c:v>
                </c:pt>
                <c:pt idx="473">
                  <c:v>1697.89949</c:v>
                </c:pt>
                <c:pt idx="474">
                  <c:v>1697.9495199999999</c:v>
                </c:pt>
                <c:pt idx="475">
                  <c:v>1697.99956</c:v>
                </c:pt>
                <c:pt idx="476">
                  <c:v>1698.0495900000001</c:v>
                </c:pt>
                <c:pt idx="477">
                  <c:v>1698.09962</c:v>
                </c:pt>
                <c:pt idx="478">
                  <c:v>1698.1496500000001</c:v>
                </c:pt>
                <c:pt idx="479">
                  <c:v>1698.1996799999999</c:v>
                </c:pt>
                <c:pt idx="480">
                  <c:v>1698.2497100000001</c:v>
                </c:pt>
                <c:pt idx="481">
                  <c:v>1698.2997499999999</c:v>
                </c:pt>
                <c:pt idx="482">
                  <c:v>1698.34978</c:v>
                </c:pt>
                <c:pt idx="483">
                  <c:v>1698.3998099999999</c:v>
                </c:pt>
                <c:pt idx="484">
                  <c:v>1698.44984</c:v>
                </c:pt>
                <c:pt idx="485">
                  <c:v>1698.4998700000001</c:v>
                </c:pt>
                <c:pt idx="486">
                  <c:v>1698.5499</c:v>
                </c:pt>
                <c:pt idx="487">
                  <c:v>1698.5999300000001</c:v>
                </c:pt>
                <c:pt idx="488">
                  <c:v>1698.6499699999999</c:v>
                </c:pt>
                <c:pt idx="489">
                  <c:v>1698.7</c:v>
                </c:pt>
                <c:pt idx="490">
                  <c:v>1698.7500299999999</c:v>
                </c:pt>
                <c:pt idx="491">
                  <c:v>1698.80006</c:v>
                </c:pt>
                <c:pt idx="492">
                  <c:v>1698.8500899999999</c:v>
                </c:pt>
                <c:pt idx="493">
                  <c:v>1698.90012</c:v>
                </c:pt>
                <c:pt idx="494">
                  <c:v>1698.9501499999999</c:v>
                </c:pt>
                <c:pt idx="495">
                  <c:v>1699.00019</c:v>
                </c:pt>
                <c:pt idx="496">
                  <c:v>1699.0502200000001</c:v>
                </c:pt>
                <c:pt idx="497">
                  <c:v>1699.10025</c:v>
                </c:pt>
                <c:pt idx="498">
                  <c:v>1699.1502800000001</c:v>
                </c:pt>
                <c:pt idx="499">
                  <c:v>1699.2003099999999</c:v>
                </c:pt>
                <c:pt idx="500">
                  <c:v>1699.2503400000001</c:v>
                </c:pt>
                <c:pt idx="501">
                  <c:v>1699.3003699999999</c:v>
                </c:pt>
                <c:pt idx="502">
                  <c:v>1699.35041</c:v>
                </c:pt>
                <c:pt idx="503">
                  <c:v>1699.4004399999999</c:v>
                </c:pt>
                <c:pt idx="504">
                  <c:v>1699.45047</c:v>
                </c:pt>
                <c:pt idx="505">
                  <c:v>1699.5005000000001</c:v>
                </c:pt>
                <c:pt idx="506">
                  <c:v>1699.55053</c:v>
                </c:pt>
                <c:pt idx="507">
                  <c:v>1699.6005600000001</c:v>
                </c:pt>
                <c:pt idx="508">
                  <c:v>1699.6505999999999</c:v>
                </c:pt>
                <c:pt idx="509">
                  <c:v>1699.70063</c:v>
                </c:pt>
                <c:pt idx="510">
                  <c:v>1699.7506599999999</c:v>
                </c:pt>
                <c:pt idx="511">
                  <c:v>1699.80069</c:v>
                </c:pt>
                <c:pt idx="512">
                  <c:v>1699.8507199999999</c:v>
                </c:pt>
                <c:pt idx="513">
                  <c:v>1699.90075</c:v>
                </c:pt>
                <c:pt idx="514">
                  <c:v>1699.9507799999999</c:v>
                </c:pt>
                <c:pt idx="515">
                  <c:v>1700.00082</c:v>
                </c:pt>
                <c:pt idx="516">
                  <c:v>1700.0508500000001</c:v>
                </c:pt>
                <c:pt idx="517">
                  <c:v>1700.10088</c:v>
                </c:pt>
                <c:pt idx="518">
                  <c:v>1700.1509100000001</c:v>
                </c:pt>
                <c:pt idx="519">
                  <c:v>1700.2009399999999</c:v>
                </c:pt>
                <c:pt idx="520">
                  <c:v>1700.2509700000001</c:v>
                </c:pt>
                <c:pt idx="521">
                  <c:v>1700.3009999999999</c:v>
                </c:pt>
                <c:pt idx="522">
                  <c:v>1700.35104</c:v>
                </c:pt>
                <c:pt idx="523">
                  <c:v>1700.4010699999999</c:v>
                </c:pt>
                <c:pt idx="524">
                  <c:v>1700.4511</c:v>
                </c:pt>
                <c:pt idx="525">
                  <c:v>1700.5011300000001</c:v>
                </c:pt>
                <c:pt idx="526">
                  <c:v>1700.55116</c:v>
                </c:pt>
                <c:pt idx="527">
                  <c:v>1700.6011900000001</c:v>
                </c:pt>
                <c:pt idx="528">
                  <c:v>1700.65122</c:v>
                </c:pt>
                <c:pt idx="529">
                  <c:v>1700.70126</c:v>
                </c:pt>
                <c:pt idx="530">
                  <c:v>1700.7512899999999</c:v>
                </c:pt>
                <c:pt idx="531">
                  <c:v>1700.80132</c:v>
                </c:pt>
                <c:pt idx="532">
                  <c:v>1700.8513499999999</c:v>
                </c:pt>
                <c:pt idx="533">
                  <c:v>1700.90138</c:v>
                </c:pt>
                <c:pt idx="534">
                  <c:v>1700.9514099999999</c:v>
                </c:pt>
                <c:pt idx="535">
                  <c:v>1701.00145</c:v>
                </c:pt>
                <c:pt idx="536">
                  <c:v>1701.0514800000001</c:v>
                </c:pt>
                <c:pt idx="537">
                  <c:v>1701.10151</c:v>
                </c:pt>
                <c:pt idx="538">
                  <c:v>1701.1515400000001</c:v>
                </c:pt>
                <c:pt idx="539">
                  <c:v>1701.2015699999999</c:v>
                </c:pt>
                <c:pt idx="540">
                  <c:v>1701.2516000000001</c:v>
                </c:pt>
                <c:pt idx="541">
                  <c:v>1701.3016299999999</c:v>
                </c:pt>
                <c:pt idx="542">
                  <c:v>1701.35167</c:v>
                </c:pt>
                <c:pt idx="543">
                  <c:v>1701.4016999999999</c:v>
                </c:pt>
                <c:pt idx="544">
                  <c:v>1701.45173</c:v>
                </c:pt>
                <c:pt idx="545">
                  <c:v>1701.5017600000001</c:v>
                </c:pt>
                <c:pt idx="546">
                  <c:v>1701.55179</c:v>
                </c:pt>
                <c:pt idx="547">
                  <c:v>1701.6018200000001</c:v>
                </c:pt>
                <c:pt idx="548">
                  <c:v>1701.65185</c:v>
                </c:pt>
                <c:pt idx="549">
                  <c:v>1701.70189</c:v>
                </c:pt>
                <c:pt idx="550">
                  <c:v>1701.7519199999999</c:v>
                </c:pt>
                <c:pt idx="551">
                  <c:v>1701.80195</c:v>
                </c:pt>
                <c:pt idx="552">
                  <c:v>1701.8519799999999</c:v>
                </c:pt>
                <c:pt idx="553">
                  <c:v>1701.90201</c:v>
                </c:pt>
                <c:pt idx="554">
                  <c:v>1701.9520399999999</c:v>
                </c:pt>
                <c:pt idx="555">
                  <c:v>1702.00207</c:v>
                </c:pt>
                <c:pt idx="556">
                  <c:v>1702.0521100000001</c:v>
                </c:pt>
                <c:pt idx="557">
                  <c:v>1702.10214</c:v>
                </c:pt>
                <c:pt idx="558">
                  <c:v>1702.1521700000001</c:v>
                </c:pt>
                <c:pt idx="559">
                  <c:v>1702.2021999999999</c:v>
                </c:pt>
                <c:pt idx="560">
                  <c:v>1702.2522300000001</c:v>
                </c:pt>
                <c:pt idx="561">
                  <c:v>1702.3022599999999</c:v>
                </c:pt>
                <c:pt idx="562">
                  <c:v>1702.3523</c:v>
                </c:pt>
                <c:pt idx="563">
                  <c:v>1702.4023299999999</c:v>
                </c:pt>
                <c:pt idx="564">
                  <c:v>1702.45236</c:v>
                </c:pt>
                <c:pt idx="565">
                  <c:v>1702.5023900000001</c:v>
                </c:pt>
                <c:pt idx="566">
                  <c:v>1702.55242</c:v>
                </c:pt>
                <c:pt idx="567">
                  <c:v>1702.6024500000001</c:v>
                </c:pt>
                <c:pt idx="568">
                  <c:v>1702.65248</c:v>
                </c:pt>
                <c:pt idx="569">
                  <c:v>1702.70252</c:v>
                </c:pt>
                <c:pt idx="570">
                  <c:v>1702.7525499999999</c:v>
                </c:pt>
                <c:pt idx="571">
                  <c:v>1702.80258</c:v>
                </c:pt>
                <c:pt idx="572">
                  <c:v>1702.8526099999999</c:v>
                </c:pt>
                <c:pt idx="573">
                  <c:v>1702.90264</c:v>
                </c:pt>
                <c:pt idx="574">
                  <c:v>1702.9526699999999</c:v>
                </c:pt>
                <c:pt idx="575">
                  <c:v>1703.0027</c:v>
                </c:pt>
                <c:pt idx="576">
                  <c:v>1703.0527400000001</c:v>
                </c:pt>
                <c:pt idx="577">
                  <c:v>1703.10277</c:v>
                </c:pt>
                <c:pt idx="578">
                  <c:v>1703.1528000000001</c:v>
                </c:pt>
                <c:pt idx="579">
                  <c:v>1703.2028299999999</c:v>
                </c:pt>
                <c:pt idx="580">
                  <c:v>1703.2528600000001</c:v>
                </c:pt>
                <c:pt idx="581">
                  <c:v>1703.3028899999999</c:v>
                </c:pt>
                <c:pt idx="582">
                  <c:v>1703.35293</c:v>
                </c:pt>
                <c:pt idx="583">
                  <c:v>1703.4029599999999</c:v>
                </c:pt>
                <c:pt idx="584">
                  <c:v>1703.45299</c:v>
                </c:pt>
                <c:pt idx="585">
                  <c:v>1703.5030200000001</c:v>
                </c:pt>
                <c:pt idx="586">
                  <c:v>1703.55305</c:v>
                </c:pt>
                <c:pt idx="587">
                  <c:v>1703.6030800000001</c:v>
                </c:pt>
                <c:pt idx="588">
                  <c:v>1703.65311</c:v>
                </c:pt>
                <c:pt idx="589">
                  <c:v>1703.7031500000001</c:v>
                </c:pt>
                <c:pt idx="590">
                  <c:v>1703.7531799999999</c:v>
                </c:pt>
                <c:pt idx="591">
                  <c:v>1703.80321</c:v>
                </c:pt>
                <c:pt idx="592">
                  <c:v>1703.8532399999999</c:v>
                </c:pt>
                <c:pt idx="593">
                  <c:v>1703.90327</c:v>
                </c:pt>
                <c:pt idx="594">
                  <c:v>1703.9532999999999</c:v>
                </c:pt>
                <c:pt idx="595">
                  <c:v>1704.00333</c:v>
                </c:pt>
                <c:pt idx="596">
                  <c:v>1704.0533700000001</c:v>
                </c:pt>
                <c:pt idx="597">
                  <c:v>1704.1034</c:v>
                </c:pt>
                <c:pt idx="598">
                  <c:v>1704.1534300000001</c:v>
                </c:pt>
                <c:pt idx="599">
                  <c:v>1704.20346</c:v>
                </c:pt>
                <c:pt idx="600">
                  <c:v>1704.2534900000001</c:v>
                </c:pt>
                <c:pt idx="601">
                  <c:v>1704.3035199999999</c:v>
                </c:pt>
                <c:pt idx="602">
                  <c:v>1704.35355</c:v>
                </c:pt>
                <c:pt idx="603">
                  <c:v>1704.4035899999999</c:v>
                </c:pt>
                <c:pt idx="604">
                  <c:v>1704.45362</c:v>
                </c:pt>
                <c:pt idx="605">
                  <c:v>1704.5036500000001</c:v>
                </c:pt>
                <c:pt idx="606">
                  <c:v>1704.55368</c:v>
                </c:pt>
                <c:pt idx="607">
                  <c:v>1704.6037100000001</c:v>
                </c:pt>
                <c:pt idx="608">
                  <c:v>1704.65374</c:v>
                </c:pt>
                <c:pt idx="609">
                  <c:v>1704.7037800000001</c:v>
                </c:pt>
                <c:pt idx="610">
                  <c:v>1704.7538099999999</c:v>
                </c:pt>
                <c:pt idx="611">
                  <c:v>1704.80384</c:v>
                </c:pt>
                <c:pt idx="612">
                  <c:v>1704.8538699999999</c:v>
                </c:pt>
                <c:pt idx="613">
                  <c:v>1704.9039</c:v>
                </c:pt>
                <c:pt idx="614">
                  <c:v>1704.9539299999999</c:v>
                </c:pt>
                <c:pt idx="615">
                  <c:v>1705.00396</c:v>
                </c:pt>
                <c:pt idx="616">
                  <c:v>1705.0540000000001</c:v>
                </c:pt>
                <c:pt idx="617">
                  <c:v>1705.10403</c:v>
                </c:pt>
                <c:pt idx="618">
                  <c:v>1705.1540600000001</c:v>
                </c:pt>
                <c:pt idx="619">
                  <c:v>1705.20409</c:v>
                </c:pt>
                <c:pt idx="620">
                  <c:v>1705.2541200000001</c:v>
                </c:pt>
                <c:pt idx="621">
                  <c:v>1705.3041499999999</c:v>
                </c:pt>
                <c:pt idx="622">
                  <c:v>1705.35418</c:v>
                </c:pt>
                <c:pt idx="623">
                  <c:v>1705.4042199999999</c:v>
                </c:pt>
                <c:pt idx="624">
                  <c:v>1705.45425</c:v>
                </c:pt>
                <c:pt idx="625">
                  <c:v>1705.5042800000001</c:v>
                </c:pt>
                <c:pt idx="626">
                  <c:v>1705.55431</c:v>
                </c:pt>
                <c:pt idx="627">
                  <c:v>1705.6043400000001</c:v>
                </c:pt>
                <c:pt idx="628">
                  <c:v>1705.65437</c:v>
                </c:pt>
                <c:pt idx="629">
                  <c:v>1705.7044000000001</c:v>
                </c:pt>
                <c:pt idx="630">
                  <c:v>1705.7544399999999</c:v>
                </c:pt>
                <c:pt idx="631">
                  <c:v>1705.80447</c:v>
                </c:pt>
                <c:pt idx="632">
                  <c:v>1705.8544999999999</c:v>
                </c:pt>
                <c:pt idx="633">
                  <c:v>1705.90453</c:v>
                </c:pt>
                <c:pt idx="634">
                  <c:v>1705.9545599999999</c:v>
                </c:pt>
                <c:pt idx="635">
                  <c:v>1706.00459</c:v>
                </c:pt>
                <c:pt idx="636">
                  <c:v>1706.0546300000001</c:v>
                </c:pt>
                <c:pt idx="637">
                  <c:v>1706.10466</c:v>
                </c:pt>
              </c:numCache>
            </c:numRef>
          </c:xVal>
          <c:yVal>
            <c:numRef>
              <c:f>'Ex 2 FULL 1 50 eV'!$C$2:$C$639</c:f>
              <c:numCache>
                <c:formatCode>0.00E+00</c:formatCode>
                <c:ptCount val="638"/>
                <c:pt idx="0">
                  <c:v>8.2022750000000003E-31</c:v>
                </c:pt>
                <c:pt idx="1">
                  <c:v>5.94625E-30</c:v>
                </c:pt>
                <c:pt idx="2">
                  <c:v>2.4565999999999995E-29</c:v>
                </c:pt>
                <c:pt idx="3">
                  <c:v>8.6176249999999995E-29</c:v>
                </c:pt>
                <c:pt idx="4">
                  <c:v>2.8346749999999998E-28</c:v>
                </c:pt>
                <c:pt idx="5">
                  <c:v>9.0329749999999984E-28</c:v>
                </c:pt>
                <c:pt idx="6">
                  <c:v>2.8222499999999999E-27</c:v>
                </c:pt>
                <c:pt idx="7">
                  <c:v>8.685075E-27</c:v>
                </c:pt>
                <c:pt idx="8">
                  <c:v>2.6358749999999995E-26</c:v>
                </c:pt>
                <c:pt idx="9">
                  <c:v>7.8934249999999997E-26</c:v>
                </c:pt>
                <c:pt idx="10">
                  <c:v>2.3341249999999999E-25</c:v>
                </c:pt>
                <c:pt idx="11">
                  <c:v>6.8088999999999997E-25</c:v>
                </c:pt>
                <c:pt idx="12">
                  <c:v>1.9613749999999998E-24</c:v>
                </c:pt>
                <c:pt idx="13">
                  <c:v>5.5788249999999999E-24</c:v>
                </c:pt>
                <c:pt idx="14">
                  <c:v>1.5662600000000001E-23</c:v>
                </c:pt>
                <c:pt idx="15">
                  <c:v>4.3416499999999998E-23</c:v>
                </c:pt>
                <c:pt idx="16">
                  <c:v>1.1880075E-22</c:v>
                </c:pt>
                <c:pt idx="17">
                  <c:v>3.2091999999999999E-22</c:v>
                </c:pt>
                <c:pt idx="18">
                  <c:v>8.5590499999999987E-22</c:v>
                </c:pt>
                <c:pt idx="19">
                  <c:v>2.2542499999999999E-21</c:v>
                </c:pt>
                <c:pt idx="20">
                  <c:v>5.8574999999999995E-21</c:v>
                </c:pt>
                <c:pt idx="21">
                  <c:v>1.5032474999999999E-20</c:v>
                </c:pt>
                <c:pt idx="22">
                  <c:v>3.8091499999999998E-20</c:v>
                </c:pt>
                <c:pt idx="23">
                  <c:v>9.5264249999999997E-20</c:v>
                </c:pt>
                <c:pt idx="24">
                  <c:v>2.3536499999999996E-19</c:v>
                </c:pt>
                <c:pt idx="25">
                  <c:v>5.7367999999999992E-19</c:v>
                </c:pt>
                <c:pt idx="26">
                  <c:v>1.3811275E-18</c:v>
                </c:pt>
                <c:pt idx="27">
                  <c:v>3.2837499999999996E-18</c:v>
                </c:pt>
                <c:pt idx="28">
                  <c:v>7.705275E-18</c:v>
                </c:pt>
                <c:pt idx="29">
                  <c:v>1.7856499999999997E-17</c:v>
                </c:pt>
                <c:pt idx="30">
                  <c:v>4.0842749999999993E-17</c:v>
                </c:pt>
                <c:pt idx="31">
                  <c:v>9.2264499999999998E-17</c:v>
                </c:pt>
                <c:pt idx="32">
                  <c:v>2.0572250000000001E-16</c:v>
                </c:pt>
                <c:pt idx="33">
                  <c:v>4.5315749999999991E-16</c:v>
                </c:pt>
                <c:pt idx="34">
                  <c:v>9.8565749999999998E-16</c:v>
                </c:pt>
                <c:pt idx="35">
                  <c:v>2.1175749999999997E-15</c:v>
                </c:pt>
                <c:pt idx="36">
                  <c:v>4.4889749999999999E-15</c:v>
                </c:pt>
                <c:pt idx="37">
                  <c:v>9.4004000000000003E-15</c:v>
                </c:pt>
                <c:pt idx="38">
                  <c:v>1.943625E-14</c:v>
                </c:pt>
                <c:pt idx="39">
                  <c:v>3.9688999999999996E-14</c:v>
                </c:pt>
                <c:pt idx="40">
                  <c:v>8.0034749999999991E-14</c:v>
                </c:pt>
                <c:pt idx="41">
                  <c:v>1.5935949999999998E-13</c:v>
                </c:pt>
                <c:pt idx="42">
                  <c:v>3.1346499999999997E-13</c:v>
                </c:pt>
                <c:pt idx="43">
                  <c:v>6.0864750000000001E-13</c:v>
                </c:pt>
                <c:pt idx="44">
                  <c:v>1.16724E-12</c:v>
                </c:pt>
                <c:pt idx="45">
                  <c:v>2.2116499999999998E-12</c:v>
                </c:pt>
                <c:pt idx="46">
                  <c:v>4.1357499999999996E-12</c:v>
                </c:pt>
                <c:pt idx="47">
                  <c:v>7.6413749999999994E-12</c:v>
                </c:pt>
                <c:pt idx="48">
                  <c:v>1.3944399999999999E-11</c:v>
                </c:pt>
                <c:pt idx="49">
                  <c:v>2.5134E-11</c:v>
                </c:pt>
                <c:pt idx="50">
                  <c:v>4.4747749999999994E-11</c:v>
                </c:pt>
                <c:pt idx="51">
                  <c:v>7.8685750000000004E-11</c:v>
                </c:pt>
                <c:pt idx="52">
                  <c:v>1.3671049999999999E-10</c:v>
                </c:pt>
                <c:pt idx="53">
                  <c:v>2.34655E-10</c:v>
                </c:pt>
                <c:pt idx="54">
                  <c:v>3.976E-10</c:v>
                </c:pt>
                <c:pt idx="55">
                  <c:v>6.6598000000000001E-10</c:v>
                </c:pt>
                <c:pt idx="56">
                  <c:v>1.1019200000000001E-9</c:v>
                </c:pt>
                <c:pt idx="57">
                  <c:v>1.801625E-9</c:v>
                </c:pt>
                <c:pt idx="58">
                  <c:v>2.9092249999999999E-9</c:v>
                </c:pt>
                <c:pt idx="59">
                  <c:v>4.6433999999999999E-9</c:v>
                </c:pt>
                <c:pt idx="60">
                  <c:v>7.321875E-9</c:v>
                </c:pt>
                <c:pt idx="61">
                  <c:v>1.1411475E-8</c:v>
                </c:pt>
                <c:pt idx="62">
                  <c:v>1.7574274999999997E-8</c:v>
                </c:pt>
                <c:pt idx="63">
                  <c:v>2.6749249999999997E-8</c:v>
                </c:pt>
                <c:pt idx="64">
                  <c:v>4.0239250000000001E-8</c:v>
                </c:pt>
                <c:pt idx="65">
                  <c:v>5.983525E-8</c:v>
                </c:pt>
                <c:pt idx="66">
                  <c:v>8.7968999999999985E-8</c:v>
                </c:pt>
                <c:pt idx="67">
                  <c:v>1.2783549999999999E-7</c:v>
                </c:pt>
                <c:pt idx="68">
                  <c:v>1.8371250000000001E-7</c:v>
                </c:pt>
                <c:pt idx="69">
                  <c:v>2.6092499999999996E-7</c:v>
                </c:pt>
                <c:pt idx="70">
                  <c:v>3.6653749999999998E-7</c:v>
                </c:pt>
                <c:pt idx="71">
                  <c:v>5.0924749999999997E-7</c:v>
                </c:pt>
                <c:pt idx="72">
                  <c:v>6.9952749999999995E-7</c:v>
                </c:pt>
                <c:pt idx="73">
                  <c:v>9.5086749999999992E-7</c:v>
                </c:pt>
                <c:pt idx="74">
                  <c:v>1.2785325000000001E-6</c:v>
                </c:pt>
                <c:pt idx="75">
                  <c:v>1.700805E-6</c:v>
                </c:pt>
                <c:pt idx="76">
                  <c:v>2.2382749999999998E-6</c:v>
                </c:pt>
                <c:pt idx="77">
                  <c:v>2.916325E-6</c:v>
                </c:pt>
                <c:pt idx="78">
                  <c:v>3.7612249999999997E-6</c:v>
                </c:pt>
                <c:pt idx="79">
                  <c:v>4.8013749999999994E-6</c:v>
                </c:pt>
                <c:pt idx="80">
                  <c:v>6.0687250000000001E-6</c:v>
                </c:pt>
                <c:pt idx="81">
                  <c:v>7.5987749999999991E-6</c:v>
                </c:pt>
                <c:pt idx="82">
                  <c:v>9.4216999999999999E-6</c:v>
                </c:pt>
                <c:pt idx="83">
                  <c:v>1.1572999999999999E-5</c:v>
                </c:pt>
                <c:pt idx="84">
                  <c:v>1.4088174999999998E-5</c:v>
                </c:pt>
                <c:pt idx="85">
                  <c:v>1.6999175E-5</c:v>
                </c:pt>
                <c:pt idx="86">
                  <c:v>2.032375E-5</c:v>
                </c:pt>
                <c:pt idx="87">
                  <c:v>2.4122249999999998E-5</c:v>
                </c:pt>
                <c:pt idx="88">
                  <c:v>2.8382250000000001E-5</c:v>
                </c:pt>
                <c:pt idx="89">
                  <c:v>3.3121499999999998E-5</c:v>
                </c:pt>
                <c:pt idx="90">
                  <c:v>3.8375499999999999E-5</c:v>
                </c:pt>
                <c:pt idx="91">
                  <c:v>4.4126500000000005E-5</c:v>
                </c:pt>
                <c:pt idx="92">
                  <c:v>5.0392249999999999E-5</c:v>
                </c:pt>
                <c:pt idx="93">
                  <c:v>5.7154999999999997E-5</c:v>
                </c:pt>
                <c:pt idx="94">
                  <c:v>6.443249999999999E-5</c:v>
                </c:pt>
                <c:pt idx="95">
                  <c:v>7.2171500000000005E-5</c:v>
                </c:pt>
                <c:pt idx="96">
                  <c:v>8.038974999999999E-5</c:v>
                </c:pt>
                <c:pt idx="97">
                  <c:v>8.9051749999999997E-5</c:v>
                </c:pt>
                <c:pt idx="98">
                  <c:v>9.8157499999999997E-5</c:v>
                </c:pt>
                <c:pt idx="99">
                  <c:v>1.076715E-4</c:v>
                </c:pt>
                <c:pt idx="100">
                  <c:v>1.1757599999999999E-4</c:v>
                </c:pt>
                <c:pt idx="101">
                  <c:v>1.2785324999999999E-4</c:v>
                </c:pt>
                <c:pt idx="102">
                  <c:v>1.3850325E-4</c:v>
                </c:pt>
                <c:pt idx="103">
                  <c:v>1.4950825E-4</c:v>
                </c:pt>
                <c:pt idx="104">
                  <c:v>1.6085049999999999E-4</c:v>
                </c:pt>
                <c:pt idx="105">
                  <c:v>1.7254775000000001E-4</c:v>
                </c:pt>
                <c:pt idx="106">
                  <c:v>1.8459999999999999E-4</c:v>
                </c:pt>
                <c:pt idx="107">
                  <c:v>1.9702500000000001E-4</c:v>
                </c:pt>
                <c:pt idx="108">
                  <c:v>2.096275E-4</c:v>
                </c:pt>
                <c:pt idx="109">
                  <c:v>2.227625E-4</c:v>
                </c:pt>
                <c:pt idx="110">
                  <c:v>2.3625249999999998E-4</c:v>
                </c:pt>
                <c:pt idx="111">
                  <c:v>2.4991999999999999E-4</c:v>
                </c:pt>
                <c:pt idx="112">
                  <c:v>2.6429749999999999E-4</c:v>
                </c:pt>
                <c:pt idx="113">
                  <c:v>2.7885249999999996E-4</c:v>
                </c:pt>
                <c:pt idx="114">
                  <c:v>2.9393999999999997E-4</c:v>
                </c:pt>
                <c:pt idx="115">
                  <c:v>3.0956000000000001E-4</c:v>
                </c:pt>
                <c:pt idx="116">
                  <c:v>3.2553499999999995E-4</c:v>
                </c:pt>
                <c:pt idx="117">
                  <c:v>3.4204249999999998E-4</c:v>
                </c:pt>
                <c:pt idx="118">
                  <c:v>3.5926000000000003E-4</c:v>
                </c:pt>
                <c:pt idx="119">
                  <c:v>3.7701E-4</c:v>
                </c:pt>
                <c:pt idx="120">
                  <c:v>3.9529249999999995E-4</c:v>
                </c:pt>
                <c:pt idx="121">
                  <c:v>4.1428500000000002E-4</c:v>
                </c:pt>
                <c:pt idx="122">
                  <c:v>4.339875E-4</c:v>
                </c:pt>
                <c:pt idx="123">
                  <c:v>4.5440000000000004E-4</c:v>
                </c:pt>
                <c:pt idx="124">
                  <c:v>4.7570000000000002E-4</c:v>
                </c:pt>
                <c:pt idx="125">
                  <c:v>4.9770999999999995E-4</c:v>
                </c:pt>
                <c:pt idx="126">
                  <c:v>5.2060749999999992E-4</c:v>
                </c:pt>
                <c:pt idx="127">
                  <c:v>5.4456999999999997E-4</c:v>
                </c:pt>
                <c:pt idx="128">
                  <c:v>5.6959749999999998E-4</c:v>
                </c:pt>
                <c:pt idx="129">
                  <c:v>5.9568999999999996E-4</c:v>
                </c:pt>
                <c:pt idx="130">
                  <c:v>6.228475E-4</c:v>
                </c:pt>
                <c:pt idx="131">
                  <c:v>6.5142499999999996E-4</c:v>
                </c:pt>
                <c:pt idx="132">
                  <c:v>6.8124499999999992E-4</c:v>
                </c:pt>
                <c:pt idx="133">
                  <c:v>7.1266250000000004E-4</c:v>
                </c:pt>
                <c:pt idx="134">
                  <c:v>7.4549999999999996E-4</c:v>
                </c:pt>
                <c:pt idx="135">
                  <c:v>7.8028999999999989E-4</c:v>
                </c:pt>
                <c:pt idx="136">
                  <c:v>8.1685500000000001E-4</c:v>
                </c:pt>
                <c:pt idx="137">
                  <c:v>8.5537250000000003E-4</c:v>
                </c:pt>
                <c:pt idx="138">
                  <c:v>8.961974999999999E-4</c:v>
                </c:pt>
                <c:pt idx="139">
                  <c:v>9.3950749999999997E-4</c:v>
                </c:pt>
                <c:pt idx="140">
                  <c:v>9.8565749999999998E-4</c:v>
                </c:pt>
                <c:pt idx="141">
                  <c:v>1.0350025000000001E-3</c:v>
                </c:pt>
                <c:pt idx="142">
                  <c:v>1.0877199999999999E-3</c:v>
                </c:pt>
                <c:pt idx="143">
                  <c:v>1.1443425E-3</c:v>
                </c:pt>
                <c:pt idx="144">
                  <c:v>1.2057575E-3</c:v>
                </c:pt>
                <c:pt idx="145">
                  <c:v>1.2724975E-3</c:v>
                </c:pt>
                <c:pt idx="146">
                  <c:v>1.3456275E-3</c:v>
                </c:pt>
                <c:pt idx="147">
                  <c:v>1.4263899999999998E-3</c:v>
                </c:pt>
                <c:pt idx="148">
                  <c:v>1.5167374999999999E-3</c:v>
                </c:pt>
                <c:pt idx="149">
                  <c:v>1.6187999999999999E-3</c:v>
                </c:pt>
                <c:pt idx="150">
                  <c:v>1.7354174999999997E-3</c:v>
                </c:pt>
                <c:pt idx="151">
                  <c:v>1.8708500000000001E-3</c:v>
                </c:pt>
                <c:pt idx="152">
                  <c:v>2.0288249999999997E-3</c:v>
                </c:pt>
                <c:pt idx="153">
                  <c:v>2.2169749999999999E-3</c:v>
                </c:pt>
                <c:pt idx="154">
                  <c:v>2.4441749999999998E-3</c:v>
                </c:pt>
                <c:pt idx="155">
                  <c:v>2.7210749999999999E-3</c:v>
                </c:pt>
                <c:pt idx="156">
                  <c:v>3.0600999999999996E-3</c:v>
                </c:pt>
                <c:pt idx="157">
                  <c:v>3.4772249999999996E-3</c:v>
                </c:pt>
                <c:pt idx="158">
                  <c:v>3.9937499999999999E-3</c:v>
                </c:pt>
                <c:pt idx="159">
                  <c:v>4.6345249999999996E-3</c:v>
                </c:pt>
                <c:pt idx="160">
                  <c:v>5.4261750000000001E-3</c:v>
                </c:pt>
                <c:pt idx="161">
                  <c:v>6.4059749999999995E-3</c:v>
                </c:pt>
                <c:pt idx="162">
                  <c:v>7.6094249999999995E-3</c:v>
                </c:pt>
                <c:pt idx="163">
                  <c:v>9.0791250000000004E-3</c:v>
                </c:pt>
                <c:pt idx="164">
                  <c:v>1.0862999999999999E-2</c:v>
                </c:pt>
                <c:pt idx="165">
                  <c:v>1.3008974999999999E-2</c:v>
                </c:pt>
                <c:pt idx="166">
                  <c:v>1.5568524999999998E-2</c:v>
                </c:pt>
                <c:pt idx="167">
                  <c:v>1.858425E-2</c:v>
                </c:pt>
                <c:pt idx="168">
                  <c:v>2.2116500000000001E-2</c:v>
                </c:pt>
                <c:pt idx="169">
                  <c:v>2.6216749999999997E-2</c:v>
                </c:pt>
                <c:pt idx="170">
                  <c:v>3.0884999999999996E-2</c:v>
                </c:pt>
                <c:pt idx="171">
                  <c:v>3.6156749999999994E-2</c:v>
                </c:pt>
                <c:pt idx="172">
                  <c:v>4.2067499999999994E-2</c:v>
                </c:pt>
                <c:pt idx="173">
                  <c:v>4.858175E-2</c:v>
                </c:pt>
                <c:pt idx="174">
                  <c:v>5.5663999999999998E-2</c:v>
                </c:pt>
                <c:pt idx="175">
                  <c:v>6.3314250000000002E-2</c:v>
                </c:pt>
                <c:pt idx="176">
                  <c:v>7.1425999999999989E-2</c:v>
                </c:pt>
                <c:pt idx="177">
                  <c:v>7.9946000000000003E-2</c:v>
                </c:pt>
                <c:pt idx="178">
                  <c:v>8.8749999999999996E-2</c:v>
                </c:pt>
                <c:pt idx="179">
                  <c:v>9.7766999999999993E-2</c:v>
                </c:pt>
                <c:pt idx="180">
                  <c:v>0.1068195</c:v>
                </c:pt>
                <c:pt idx="181">
                  <c:v>0.11583649999999998</c:v>
                </c:pt>
                <c:pt idx="182">
                  <c:v>0.1246405</c:v>
                </c:pt>
                <c:pt idx="183">
                  <c:v>0.13316049999999999</c:v>
                </c:pt>
                <c:pt idx="184">
                  <c:v>0.14125449999999998</c:v>
                </c:pt>
                <c:pt idx="185">
                  <c:v>0.148816</c:v>
                </c:pt>
                <c:pt idx="186">
                  <c:v>0.15579175000000001</c:v>
                </c:pt>
                <c:pt idx="187">
                  <c:v>0.16211075</c:v>
                </c:pt>
                <c:pt idx="188">
                  <c:v>0.16771974999999997</c:v>
                </c:pt>
                <c:pt idx="189">
                  <c:v>0.172601</c:v>
                </c:pt>
                <c:pt idx="190">
                  <c:v>0.17679</c:v>
                </c:pt>
                <c:pt idx="191">
                  <c:v>0.18034</c:v>
                </c:pt>
                <c:pt idx="192">
                  <c:v>0.18300249999999998</c:v>
                </c:pt>
                <c:pt idx="193">
                  <c:v>0.18531</c:v>
                </c:pt>
                <c:pt idx="194">
                  <c:v>0.18690749999999998</c:v>
                </c:pt>
                <c:pt idx="195">
                  <c:v>0.18815000000000001</c:v>
                </c:pt>
                <c:pt idx="196">
                  <c:v>0.18886</c:v>
                </c:pt>
                <c:pt idx="197">
                  <c:v>0.18921499999999999</c:v>
                </c:pt>
                <c:pt idx="198">
                  <c:v>0.18921499999999999</c:v>
                </c:pt>
                <c:pt idx="199">
                  <c:v>0.18903749999999997</c:v>
                </c:pt>
                <c:pt idx="200">
                  <c:v>0.18868249999999998</c:v>
                </c:pt>
                <c:pt idx="201">
                  <c:v>0.18832749999999998</c:v>
                </c:pt>
                <c:pt idx="202">
                  <c:v>0.18779499999999999</c:v>
                </c:pt>
                <c:pt idx="203">
                  <c:v>0.187085</c:v>
                </c:pt>
                <c:pt idx="204">
                  <c:v>0.18637499999999999</c:v>
                </c:pt>
                <c:pt idx="205">
                  <c:v>0.18584249999999997</c:v>
                </c:pt>
                <c:pt idx="206">
                  <c:v>0.18513249999999998</c:v>
                </c:pt>
                <c:pt idx="207">
                  <c:v>0.18442249999999999</c:v>
                </c:pt>
                <c:pt idx="208">
                  <c:v>0.18389</c:v>
                </c:pt>
                <c:pt idx="209">
                  <c:v>0.18335749999999998</c:v>
                </c:pt>
                <c:pt idx="210">
                  <c:v>0.18264749999999996</c:v>
                </c:pt>
                <c:pt idx="211">
                  <c:v>0.182115</c:v>
                </c:pt>
                <c:pt idx="212">
                  <c:v>0.18176</c:v>
                </c:pt>
                <c:pt idx="213">
                  <c:v>0.18122749999999999</c:v>
                </c:pt>
                <c:pt idx="214">
                  <c:v>0.18087249999999996</c:v>
                </c:pt>
                <c:pt idx="215">
                  <c:v>0.18051749999999997</c:v>
                </c:pt>
                <c:pt idx="216">
                  <c:v>0.18016249999999998</c:v>
                </c:pt>
                <c:pt idx="217">
                  <c:v>0.17980749999999998</c:v>
                </c:pt>
                <c:pt idx="218">
                  <c:v>0.17945249999999996</c:v>
                </c:pt>
                <c:pt idx="219">
                  <c:v>0.17909749999999997</c:v>
                </c:pt>
                <c:pt idx="220">
                  <c:v>0.17892</c:v>
                </c:pt>
                <c:pt idx="221">
                  <c:v>0.17874249999999997</c:v>
                </c:pt>
                <c:pt idx="222">
                  <c:v>0.17838749999999998</c:v>
                </c:pt>
                <c:pt idx="223">
                  <c:v>0.17820999999999998</c:v>
                </c:pt>
                <c:pt idx="224">
                  <c:v>0.17803249999999998</c:v>
                </c:pt>
                <c:pt idx="225">
                  <c:v>0.17785499999999999</c:v>
                </c:pt>
                <c:pt idx="226">
                  <c:v>0.17767749999999996</c:v>
                </c:pt>
                <c:pt idx="227">
                  <c:v>0.17767749999999996</c:v>
                </c:pt>
                <c:pt idx="228">
                  <c:v>0.17748224999999998</c:v>
                </c:pt>
                <c:pt idx="229">
                  <c:v>0.17735799999999999</c:v>
                </c:pt>
                <c:pt idx="230">
                  <c:v>0.17725150000000001</c:v>
                </c:pt>
                <c:pt idx="231">
                  <c:v>0.17716274999999998</c:v>
                </c:pt>
                <c:pt idx="232">
                  <c:v>0.17707400000000001</c:v>
                </c:pt>
                <c:pt idx="233">
                  <c:v>0.17700299999999999</c:v>
                </c:pt>
                <c:pt idx="234">
                  <c:v>0.17694974999999999</c:v>
                </c:pt>
                <c:pt idx="235">
                  <c:v>0.17687875</c:v>
                </c:pt>
                <c:pt idx="236">
                  <c:v>0.17684324999999998</c:v>
                </c:pt>
                <c:pt idx="237">
                  <c:v>0.17680774999999999</c:v>
                </c:pt>
                <c:pt idx="238">
                  <c:v>0.17677224999999999</c:v>
                </c:pt>
                <c:pt idx="239">
                  <c:v>0.17673675</c:v>
                </c:pt>
                <c:pt idx="240">
                  <c:v>0.17671899999999999</c:v>
                </c:pt>
                <c:pt idx="241">
                  <c:v>0.17671899999999999</c:v>
                </c:pt>
                <c:pt idx="242">
                  <c:v>0.17671899999999999</c:v>
                </c:pt>
                <c:pt idx="243">
                  <c:v>0.17671899999999999</c:v>
                </c:pt>
                <c:pt idx="244">
                  <c:v>0.17671899999999999</c:v>
                </c:pt>
                <c:pt idx="245">
                  <c:v>0.17671899999999999</c:v>
                </c:pt>
                <c:pt idx="246">
                  <c:v>0.17673675</c:v>
                </c:pt>
                <c:pt idx="247">
                  <c:v>0.17675449999999998</c:v>
                </c:pt>
                <c:pt idx="248">
                  <c:v>0.17677224999999999</c:v>
                </c:pt>
                <c:pt idx="249">
                  <c:v>0.17680774999999999</c:v>
                </c:pt>
                <c:pt idx="250">
                  <c:v>0.1768255</c:v>
                </c:pt>
                <c:pt idx="251">
                  <c:v>0.17686099999999999</c:v>
                </c:pt>
                <c:pt idx="252">
                  <c:v>0.17687875</c:v>
                </c:pt>
                <c:pt idx="253">
                  <c:v>0.17691425</c:v>
                </c:pt>
                <c:pt idx="254">
                  <c:v>0.17694974999999999</c:v>
                </c:pt>
                <c:pt idx="255">
                  <c:v>0.1769675</c:v>
                </c:pt>
                <c:pt idx="256">
                  <c:v>0.17700299999999999</c:v>
                </c:pt>
                <c:pt idx="257">
                  <c:v>0.17703849999999999</c:v>
                </c:pt>
                <c:pt idx="258">
                  <c:v>0.17705625</c:v>
                </c:pt>
                <c:pt idx="259">
                  <c:v>0.17709174999999999</c:v>
                </c:pt>
                <c:pt idx="260">
                  <c:v>0.17712724999999999</c:v>
                </c:pt>
                <c:pt idx="261">
                  <c:v>0.177145</c:v>
                </c:pt>
                <c:pt idx="262">
                  <c:v>0.17716274999999998</c:v>
                </c:pt>
                <c:pt idx="263">
                  <c:v>0.17719824999999997</c:v>
                </c:pt>
                <c:pt idx="264">
                  <c:v>0.17721599999999998</c:v>
                </c:pt>
                <c:pt idx="265">
                  <c:v>0.17723375</c:v>
                </c:pt>
                <c:pt idx="266">
                  <c:v>0.17725150000000001</c:v>
                </c:pt>
                <c:pt idx="267">
                  <c:v>0.17726924999999999</c:v>
                </c:pt>
                <c:pt idx="268">
                  <c:v>0.177287</c:v>
                </c:pt>
                <c:pt idx="269">
                  <c:v>0.17730474999999998</c:v>
                </c:pt>
                <c:pt idx="270">
                  <c:v>0.17730474999999998</c:v>
                </c:pt>
                <c:pt idx="271">
                  <c:v>0.17732249999999999</c:v>
                </c:pt>
                <c:pt idx="272">
                  <c:v>0.17732249999999999</c:v>
                </c:pt>
                <c:pt idx="273">
                  <c:v>0.17734024999999998</c:v>
                </c:pt>
                <c:pt idx="274">
                  <c:v>0.17734024999999998</c:v>
                </c:pt>
                <c:pt idx="275">
                  <c:v>0.17734024999999998</c:v>
                </c:pt>
                <c:pt idx="276">
                  <c:v>0.17735799999999999</c:v>
                </c:pt>
                <c:pt idx="277">
                  <c:v>0.17735799999999999</c:v>
                </c:pt>
                <c:pt idx="278">
                  <c:v>0.17735799999999999</c:v>
                </c:pt>
                <c:pt idx="279">
                  <c:v>0.17735799999999999</c:v>
                </c:pt>
                <c:pt idx="280">
                  <c:v>0.17735799999999999</c:v>
                </c:pt>
                <c:pt idx="281">
                  <c:v>0.17735799999999999</c:v>
                </c:pt>
                <c:pt idx="282">
                  <c:v>0.17737575</c:v>
                </c:pt>
                <c:pt idx="283">
                  <c:v>0.17737575</c:v>
                </c:pt>
                <c:pt idx="284">
                  <c:v>0.17737575</c:v>
                </c:pt>
                <c:pt idx="285">
                  <c:v>0.17737575</c:v>
                </c:pt>
                <c:pt idx="286">
                  <c:v>0.17737575</c:v>
                </c:pt>
                <c:pt idx="287">
                  <c:v>0.17737575</c:v>
                </c:pt>
                <c:pt idx="288">
                  <c:v>0.17737575</c:v>
                </c:pt>
                <c:pt idx="289">
                  <c:v>0.17737575</c:v>
                </c:pt>
                <c:pt idx="290">
                  <c:v>0.17737575</c:v>
                </c:pt>
                <c:pt idx="291">
                  <c:v>0.17737575</c:v>
                </c:pt>
                <c:pt idx="292">
                  <c:v>0.17735799999999999</c:v>
                </c:pt>
                <c:pt idx="293">
                  <c:v>0.17735799999999999</c:v>
                </c:pt>
                <c:pt idx="294">
                  <c:v>0.17735799999999999</c:v>
                </c:pt>
                <c:pt idx="295">
                  <c:v>0.17735799999999999</c:v>
                </c:pt>
                <c:pt idx="296">
                  <c:v>0.17735799999999999</c:v>
                </c:pt>
                <c:pt idx="297">
                  <c:v>0.17735799999999999</c:v>
                </c:pt>
                <c:pt idx="298">
                  <c:v>0.17735799999999999</c:v>
                </c:pt>
                <c:pt idx="299">
                  <c:v>0.17735799999999999</c:v>
                </c:pt>
                <c:pt idx="300">
                  <c:v>0.17735799999999999</c:v>
                </c:pt>
                <c:pt idx="301">
                  <c:v>0.17735799999999999</c:v>
                </c:pt>
                <c:pt idx="302">
                  <c:v>0.17735799999999999</c:v>
                </c:pt>
                <c:pt idx="303">
                  <c:v>0.17735799999999999</c:v>
                </c:pt>
                <c:pt idx="304">
                  <c:v>0.17735799999999999</c:v>
                </c:pt>
                <c:pt idx="305">
                  <c:v>0.17735799999999999</c:v>
                </c:pt>
                <c:pt idx="306">
                  <c:v>0.17735799999999999</c:v>
                </c:pt>
                <c:pt idx="307">
                  <c:v>0.17735799999999999</c:v>
                </c:pt>
                <c:pt idx="308">
                  <c:v>0.17735799999999999</c:v>
                </c:pt>
                <c:pt idx="309">
                  <c:v>0.17735799999999999</c:v>
                </c:pt>
                <c:pt idx="310">
                  <c:v>0.17735799999999999</c:v>
                </c:pt>
                <c:pt idx="311">
                  <c:v>0.17735799999999999</c:v>
                </c:pt>
                <c:pt idx="312">
                  <c:v>0.17735799999999999</c:v>
                </c:pt>
                <c:pt idx="313">
                  <c:v>0.17735799999999999</c:v>
                </c:pt>
                <c:pt idx="314">
                  <c:v>0.17735799999999999</c:v>
                </c:pt>
                <c:pt idx="315">
                  <c:v>0.17735799999999999</c:v>
                </c:pt>
                <c:pt idx="316">
                  <c:v>0.17735799999999999</c:v>
                </c:pt>
                <c:pt idx="317">
                  <c:v>0.17735799999999999</c:v>
                </c:pt>
                <c:pt idx="318">
                  <c:v>0.17735799999999999</c:v>
                </c:pt>
                <c:pt idx="319">
                  <c:v>0.17735799999999999</c:v>
                </c:pt>
                <c:pt idx="320">
                  <c:v>0.17735799999999999</c:v>
                </c:pt>
                <c:pt idx="321">
                  <c:v>0.17735799999999999</c:v>
                </c:pt>
                <c:pt idx="322">
                  <c:v>0.17735799999999999</c:v>
                </c:pt>
                <c:pt idx="323">
                  <c:v>0.17735799999999999</c:v>
                </c:pt>
                <c:pt idx="324">
                  <c:v>0.17735799999999999</c:v>
                </c:pt>
                <c:pt idx="325">
                  <c:v>0.17735799999999999</c:v>
                </c:pt>
                <c:pt idx="326">
                  <c:v>0.17735799999999999</c:v>
                </c:pt>
                <c:pt idx="327">
                  <c:v>0.17735799999999999</c:v>
                </c:pt>
                <c:pt idx="328">
                  <c:v>0.17735799999999999</c:v>
                </c:pt>
                <c:pt idx="329">
                  <c:v>0.17735799999999999</c:v>
                </c:pt>
                <c:pt idx="330">
                  <c:v>0.17735799999999999</c:v>
                </c:pt>
                <c:pt idx="331">
                  <c:v>0.17735799999999999</c:v>
                </c:pt>
                <c:pt idx="332">
                  <c:v>0.17735799999999999</c:v>
                </c:pt>
                <c:pt idx="333">
                  <c:v>0.17735799999999999</c:v>
                </c:pt>
                <c:pt idx="334">
                  <c:v>0.17735799999999999</c:v>
                </c:pt>
                <c:pt idx="335">
                  <c:v>0.17735799999999999</c:v>
                </c:pt>
                <c:pt idx="336">
                  <c:v>0.17735799999999999</c:v>
                </c:pt>
                <c:pt idx="337">
                  <c:v>0.17735799999999999</c:v>
                </c:pt>
                <c:pt idx="338">
                  <c:v>0.17735799999999999</c:v>
                </c:pt>
                <c:pt idx="339">
                  <c:v>0.17735799999999999</c:v>
                </c:pt>
                <c:pt idx="340">
                  <c:v>0.17735799999999999</c:v>
                </c:pt>
                <c:pt idx="341">
                  <c:v>0.17735799999999999</c:v>
                </c:pt>
                <c:pt idx="342">
                  <c:v>0.17735799999999999</c:v>
                </c:pt>
                <c:pt idx="343">
                  <c:v>0.17735799999999999</c:v>
                </c:pt>
                <c:pt idx="344">
                  <c:v>0.17735799999999999</c:v>
                </c:pt>
                <c:pt idx="345">
                  <c:v>0.17735799999999999</c:v>
                </c:pt>
                <c:pt idx="346">
                  <c:v>0.17735799999999999</c:v>
                </c:pt>
                <c:pt idx="347">
                  <c:v>0.17735799999999999</c:v>
                </c:pt>
                <c:pt idx="348">
                  <c:v>0.17735799999999999</c:v>
                </c:pt>
                <c:pt idx="349">
                  <c:v>0.17735799999999999</c:v>
                </c:pt>
                <c:pt idx="350">
                  <c:v>0.17735799999999999</c:v>
                </c:pt>
                <c:pt idx="351">
                  <c:v>0.17735799999999999</c:v>
                </c:pt>
                <c:pt idx="352">
                  <c:v>0.17735799999999999</c:v>
                </c:pt>
                <c:pt idx="353">
                  <c:v>0.17735799999999999</c:v>
                </c:pt>
                <c:pt idx="354">
                  <c:v>0.17735799999999999</c:v>
                </c:pt>
                <c:pt idx="355">
                  <c:v>0.17737575</c:v>
                </c:pt>
                <c:pt idx="356">
                  <c:v>0.17737575</c:v>
                </c:pt>
                <c:pt idx="357">
                  <c:v>0.17737575</c:v>
                </c:pt>
                <c:pt idx="358">
                  <c:v>0.17737575</c:v>
                </c:pt>
                <c:pt idx="359">
                  <c:v>0.17737575</c:v>
                </c:pt>
                <c:pt idx="360">
                  <c:v>0.17737575</c:v>
                </c:pt>
                <c:pt idx="361">
                  <c:v>0.17737575</c:v>
                </c:pt>
                <c:pt idx="362">
                  <c:v>0.17737575</c:v>
                </c:pt>
                <c:pt idx="363">
                  <c:v>0.17737575</c:v>
                </c:pt>
                <c:pt idx="364">
                  <c:v>0.17737575</c:v>
                </c:pt>
                <c:pt idx="365">
                  <c:v>0.17737575</c:v>
                </c:pt>
                <c:pt idx="366">
                  <c:v>0.17737575</c:v>
                </c:pt>
                <c:pt idx="367">
                  <c:v>0.17737575</c:v>
                </c:pt>
                <c:pt idx="368">
                  <c:v>0.17737575</c:v>
                </c:pt>
                <c:pt idx="369">
                  <c:v>0.17737575</c:v>
                </c:pt>
                <c:pt idx="370">
                  <c:v>0.17737575</c:v>
                </c:pt>
                <c:pt idx="371">
                  <c:v>0.17737575</c:v>
                </c:pt>
                <c:pt idx="372">
                  <c:v>0.17737575</c:v>
                </c:pt>
                <c:pt idx="373">
                  <c:v>0.17737575</c:v>
                </c:pt>
                <c:pt idx="374">
                  <c:v>0.17737575</c:v>
                </c:pt>
                <c:pt idx="375">
                  <c:v>0.17737575</c:v>
                </c:pt>
                <c:pt idx="376">
                  <c:v>0.17737575</c:v>
                </c:pt>
                <c:pt idx="377">
                  <c:v>0.17737575</c:v>
                </c:pt>
                <c:pt idx="378">
                  <c:v>0.17737575</c:v>
                </c:pt>
                <c:pt idx="379">
                  <c:v>0.17737575</c:v>
                </c:pt>
                <c:pt idx="380">
                  <c:v>0.17737575</c:v>
                </c:pt>
                <c:pt idx="381">
                  <c:v>0.17737575</c:v>
                </c:pt>
                <c:pt idx="382">
                  <c:v>0.17737575</c:v>
                </c:pt>
                <c:pt idx="383">
                  <c:v>0.17737575</c:v>
                </c:pt>
                <c:pt idx="384">
                  <c:v>0.17737575</c:v>
                </c:pt>
                <c:pt idx="385">
                  <c:v>0.17737575</c:v>
                </c:pt>
                <c:pt idx="386">
                  <c:v>0.17737575</c:v>
                </c:pt>
                <c:pt idx="387">
                  <c:v>0.17737575</c:v>
                </c:pt>
                <c:pt idx="388">
                  <c:v>0.17737575</c:v>
                </c:pt>
                <c:pt idx="389">
                  <c:v>0.17737575</c:v>
                </c:pt>
                <c:pt idx="390">
                  <c:v>0.17737575</c:v>
                </c:pt>
                <c:pt idx="391">
                  <c:v>0.17737575</c:v>
                </c:pt>
                <c:pt idx="392">
                  <c:v>0.17737575</c:v>
                </c:pt>
                <c:pt idx="393">
                  <c:v>0.17737575</c:v>
                </c:pt>
                <c:pt idx="394">
                  <c:v>0.17737575</c:v>
                </c:pt>
                <c:pt idx="395">
                  <c:v>0.17737575</c:v>
                </c:pt>
                <c:pt idx="396">
                  <c:v>0.17737575</c:v>
                </c:pt>
                <c:pt idx="397">
                  <c:v>0.17737575</c:v>
                </c:pt>
                <c:pt idx="398">
                  <c:v>0.17737575</c:v>
                </c:pt>
                <c:pt idx="399">
                  <c:v>0.17737575</c:v>
                </c:pt>
                <c:pt idx="400">
                  <c:v>0.17737575</c:v>
                </c:pt>
                <c:pt idx="401">
                  <c:v>0.17737575</c:v>
                </c:pt>
                <c:pt idx="402">
                  <c:v>0.17737575</c:v>
                </c:pt>
                <c:pt idx="403">
                  <c:v>0.17737575</c:v>
                </c:pt>
                <c:pt idx="404">
                  <c:v>0.17737575</c:v>
                </c:pt>
                <c:pt idx="405">
                  <c:v>0.17737575</c:v>
                </c:pt>
                <c:pt idx="406">
                  <c:v>0.17737575</c:v>
                </c:pt>
                <c:pt idx="407">
                  <c:v>0.17737575</c:v>
                </c:pt>
                <c:pt idx="408">
                  <c:v>0.17737575</c:v>
                </c:pt>
                <c:pt idx="409">
                  <c:v>0.17737575</c:v>
                </c:pt>
                <c:pt idx="410">
                  <c:v>0.17737575</c:v>
                </c:pt>
                <c:pt idx="411">
                  <c:v>0.17737575</c:v>
                </c:pt>
                <c:pt idx="412">
                  <c:v>0.17737575</c:v>
                </c:pt>
                <c:pt idx="413">
                  <c:v>0.17737575</c:v>
                </c:pt>
                <c:pt idx="414">
                  <c:v>0.17737575</c:v>
                </c:pt>
                <c:pt idx="415">
                  <c:v>0.17737575</c:v>
                </c:pt>
                <c:pt idx="416">
                  <c:v>0.17737575</c:v>
                </c:pt>
                <c:pt idx="417">
                  <c:v>0.17737575</c:v>
                </c:pt>
                <c:pt idx="418">
                  <c:v>0.17737575</c:v>
                </c:pt>
                <c:pt idx="419">
                  <c:v>0.17737575</c:v>
                </c:pt>
                <c:pt idx="420">
                  <c:v>0.17737575</c:v>
                </c:pt>
                <c:pt idx="421">
                  <c:v>0.17737575</c:v>
                </c:pt>
                <c:pt idx="422">
                  <c:v>0.17737575</c:v>
                </c:pt>
                <c:pt idx="423">
                  <c:v>0.17737575</c:v>
                </c:pt>
                <c:pt idx="424">
                  <c:v>0.17737575</c:v>
                </c:pt>
                <c:pt idx="425">
                  <c:v>0.17737575</c:v>
                </c:pt>
                <c:pt idx="426">
                  <c:v>0.17737575</c:v>
                </c:pt>
                <c:pt idx="427">
                  <c:v>0.17737575</c:v>
                </c:pt>
                <c:pt idx="428">
                  <c:v>0.17737575</c:v>
                </c:pt>
                <c:pt idx="429">
                  <c:v>0.17737575</c:v>
                </c:pt>
                <c:pt idx="430">
                  <c:v>0.17737575</c:v>
                </c:pt>
                <c:pt idx="431">
                  <c:v>0.17737575</c:v>
                </c:pt>
                <c:pt idx="432">
                  <c:v>0.17737575</c:v>
                </c:pt>
                <c:pt idx="433">
                  <c:v>0.17737575</c:v>
                </c:pt>
                <c:pt idx="434">
                  <c:v>0.17737575</c:v>
                </c:pt>
                <c:pt idx="435">
                  <c:v>0.17737575</c:v>
                </c:pt>
                <c:pt idx="436">
                  <c:v>0.17737575</c:v>
                </c:pt>
                <c:pt idx="437">
                  <c:v>0.17737575</c:v>
                </c:pt>
                <c:pt idx="438">
                  <c:v>0.17737575</c:v>
                </c:pt>
                <c:pt idx="439">
                  <c:v>0.17737575</c:v>
                </c:pt>
                <c:pt idx="440">
                  <c:v>0.17737575</c:v>
                </c:pt>
                <c:pt idx="441">
                  <c:v>0.17737575</c:v>
                </c:pt>
                <c:pt idx="442">
                  <c:v>0.17737575</c:v>
                </c:pt>
                <c:pt idx="443">
                  <c:v>0.17737575</c:v>
                </c:pt>
                <c:pt idx="444">
                  <c:v>0.17737575</c:v>
                </c:pt>
                <c:pt idx="445">
                  <c:v>0.17737575</c:v>
                </c:pt>
                <c:pt idx="446">
                  <c:v>0.17737575</c:v>
                </c:pt>
                <c:pt idx="447">
                  <c:v>0.17737575</c:v>
                </c:pt>
                <c:pt idx="448">
                  <c:v>0.17737575</c:v>
                </c:pt>
                <c:pt idx="449">
                  <c:v>0.17737575</c:v>
                </c:pt>
                <c:pt idx="450">
                  <c:v>0.17737575</c:v>
                </c:pt>
                <c:pt idx="451">
                  <c:v>0.17737575</c:v>
                </c:pt>
                <c:pt idx="452">
                  <c:v>0.17737575</c:v>
                </c:pt>
                <c:pt idx="453">
                  <c:v>0.17737575</c:v>
                </c:pt>
                <c:pt idx="454">
                  <c:v>0.17737575</c:v>
                </c:pt>
                <c:pt idx="455">
                  <c:v>0.17737575</c:v>
                </c:pt>
                <c:pt idx="456">
                  <c:v>0.17737575</c:v>
                </c:pt>
                <c:pt idx="457">
                  <c:v>0.17737575</c:v>
                </c:pt>
                <c:pt idx="458">
                  <c:v>0.17737575</c:v>
                </c:pt>
                <c:pt idx="459">
                  <c:v>0.17737575</c:v>
                </c:pt>
                <c:pt idx="460">
                  <c:v>0.17737575</c:v>
                </c:pt>
                <c:pt idx="461">
                  <c:v>0.17737575</c:v>
                </c:pt>
                <c:pt idx="462">
                  <c:v>0.17737575</c:v>
                </c:pt>
                <c:pt idx="463">
                  <c:v>0.17737575</c:v>
                </c:pt>
                <c:pt idx="464">
                  <c:v>0.17737575</c:v>
                </c:pt>
                <c:pt idx="465">
                  <c:v>0.17737575</c:v>
                </c:pt>
                <c:pt idx="466">
                  <c:v>0.17737575</c:v>
                </c:pt>
                <c:pt idx="467">
                  <c:v>0.17737575</c:v>
                </c:pt>
                <c:pt idx="468">
                  <c:v>0.17737575</c:v>
                </c:pt>
                <c:pt idx="469">
                  <c:v>0.17737575</c:v>
                </c:pt>
                <c:pt idx="470">
                  <c:v>0.17737575</c:v>
                </c:pt>
                <c:pt idx="471">
                  <c:v>0.17737575</c:v>
                </c:pt>
                <c:pt idx="472">
                  <c:v>0.17737575</c:v>
                </c:pt>
                <c:pt idx="473">
                  <c:v>0.17737575</c:v>
                </c:pt>
                <c:pt idx="474">
                  <c:v>0.17737575</c:v>
                </c:pt>
                <c:pt idx="475">
                  <c:v>0.17737575</c:v>
                </c:pt>
                <c:pt idx="476">
                  <c:v>0.17737575</c:v>
                </c:pt>
                <c:pt idx="477">
                  <c:v>0.17737575</c:v>
                </c:pt>
                <c:pt idx="478">
                  <c:v>0.17737575</c:v>
                </c:pt>
                <c:pt idx="479">
                  <c:v>0.17737575</c:v>
                </c:pt>
                <c:pt idx="480">
                  <c:v>0.17737575</c:v>
                </c:pt>
                <c:pt idx="481">
                  <c:v>0.17737575</c:v>
                </c:pt>
                <c:pt idx="482">
                  <c:v>0.17737575</c:v>
                </c:pt>
                <c:pt idx="483">
                  <c:v>0.17737575</c:v>
                </c:pt>
                <c:pt idx="484">
                  <c:v>0.17737575</c:v>
                </c:pt>
                <c:pt idx="485">
                  <c:v>0.17737575</c:v>
                </c:pt>
                <c:pt idx="486">
                  <c:v>0.17737575</c:v>
                </c:pt>
                <c:pt idx="487">
                  <c:v>0.17737575</c:v>
                </c:pt>
                <c:pt idx="488">
                  <c:v>0.17737575</c:v>
                </c:pt>
                <c:pt idx="489">
                  <c:v>0.17737575</c:v>
                </c:pt>
                <c:pt idx="490">
                  <c:v>0.17737575</c:v>
                </c:pt>
                <c:pt idx="491">
                  <c:v>0.17737575</c:v>
                </c:pt>
                <c:pt idx="492">
                  <c:v>0.17737575</c:v>
                </c:pt>
                <c:pt idx="493">
                  <c:v>0.17737575</c:v>
                </c:pt>
                <c:pt idx="494">
                  <c:v>0.17737575</c:v>
                </c:pt>
                <c:pt idx="495">
                  <c:v>0.17737575</c:v>
                </c:pt>
                <c:pt idx="496">
                  <c:v>0.17737575</c:v>
                </c:pt>
                <c:pt idx="497">
                  <c:v>0.17737575</c:v>
                </c:pt>
                <c:pt idx="498">
                  <c:v>0.17737575</c:v>
                </c:pt>
                <c:pt idx="499">
                  <c:v>0.17737575</c:v>
                </c:pt>
                <c:pt idx="500">
                  <c:v>0.17737575</c:v>
                </c:pt>
                <c:pt idx="501">
                  <c:v>0.17737575</c:v>
                </c:pt>
                <c:pt idx="502">
                  <c:v>0.17737575</c:v>
                </c:pt>
                <c:pt idx="503">
                  <c:v>0.17737575</c:v>
                </c:pt>
                <c:pt idx="504">
                  <c:v>0.17737575</c:v>
                </c:pt>
                <c:pt idx="505">
                  <c:v>0.17737575</c:v>
                </c:pt>
                <c:pt idx="506">
                  <c:v>0.17737575</c:v>
                </c:pt>
                <c:pt idx="507">
                  <c:v>0.17737575</c:v>
                </c:pt>
                <c:pt idx="508">
                  <c:v>0.17737575</c:v>
                </c:pt>
                <c:pt idx="509">
                  <c:v>0.17737575</c:v>
                </c:pt>
                <c:pt idx="510">
                  <c:v>0.17737575</c:v>
                </c:pt>
                <c:pt idx="511">
                  <c:v>0.17737575</c:v>
                </c:pt>
                <c:pt idx="512">
                  <c:v>0.17737575</c:v>
                </c:pt>
                <c:pt idx="513">
                  <c:v>0.17737575</c:v>
                </c:pt>
                <c:pt idx="514">
                  <c:v>0.17737575</c:v>
                </c:pt>
                <c:pt idx="515">
                  <c:v>0.17737575</c:v>
                </c:pt>
                <c:pt idx="516">
                  <c:v>0.17737575</c:v>
                </c:pt>
                <c:pt idx="517">
                  <c:v>0.17737575</c:v>
                </c:pt>
                <c:pt idx="518">
                  <c:v>0.17737575</c:v>
                </c:pt>
                <c:pt idx="519">
                  <c:v>0.17737575</c:v>
                </c:pt>
                <c:pt idx="520">
                  <c:v>0.17737575</c:v>
                </c:pt>
                <c:pt idx="521">
                  <c:v>0.17737575</c:v>
                </c:pt>
                <c:pt idx="522">
                  <c:v>0.17737575</c:v>
                </c:pt>
                <c:pt idx="523">
                  <c:v>0.17737575</c:v>
                </c:pt>
                <c:pt idx="524">
                  <c:v>0.17737575</c:v>
                </c:pt>
                <c:pt idx="525">
                  <c:v>0.17737575</c:v>
                </c:pt>
                <c:pt idx="526">
                  <c:v>0.17737575</c:v>
                </c:pt>
                <c:pt idx="527">
                  <c:v>0.17737575</c:v>
                </c:pt>
                <c:pt idx="528">
                  <c:v>0.17737575</c:v>
                </c:pt>
                <c:pt idx="529">
                  <c:v>0.17737575</c:v>
                </c:pt>
                <c:pt idx="530">
                  <c:v>0.17737575</c:v>
                </c:pt>
                <c:pt idx="531">
                  <c:v>0.17737575</c:v>
                </c:pt>
                <c:pt idx="532">
                  <c:v>0.17737575</c:v>
                </c:pt>
                <c:pt idx="533">
                  <c:v>0.17737575</c:v>
                </c:pt>
                <c:pt idx="534">
                  <c:v>0.17737575</c:v>
                </c:pt>
                <c:pt idx="535">
                  <c:v>0.17737575</c:v>
                </c:pt>
                <c:pt idx="536">
                  <c:v>0.17737575</c:v>
                </c:pt>
                <c:pt idx="537">
                  <c:v>0.17737575</c:v>
                </c:pt>
                <c:pt idx="538">
                  <c:v>0.17737575</c:v>
                </c:pt>
                <c:pt idx="539">
                  <c:v>0.17737575</c:v>
                </c:pt>
                <c:pt idx="540">
                  <c:v>0.17737575</c:v>
                </c:pt>
                <c:pt idx="541">
                  <c:v>0.17737575</c:v>
                </c:pt>
                <c:pt idx="542">
                  <c:v>0.17737575</c:v>
                </c:pt>
                <c:pt idx="543">
                  <c:v>0.17737575</c:v>
                </c:pt>
                <c:pt idx="544">
                  <c:v>0.17737575</c:v>
                </c:pt>
                <c:pt idx="545">
                  <c:v>0.17737575</c:v>
                </c:pt>
                <c:pt idx="546">
                  <c:v>0.17737575</c:v>
                </c:pt>
                <c:pt idx="547">
                  <c:v>0.17737575</c:v>
                </c:pt>
                <c:pt idx="548">
                  <c:v>0.17737575</c:v>
                </c:pt>
                <c:pt idx="549">
                  <c:v>0.17737575</c:v>
                </c:pt>
                <c:pt idx="550">
                  <c:v>0.17737575</c:v>
                </c:pt>
                <c:pt idx="551">
                  <c:v>0.17737575</c:v>
                </c:pt>
                <c:pt idx="552">
                  <c:v>0.17737575</c:v>
                </c:pt>
                <c:pt idx="553">
                  <c:v>0.17737575</c:v>
                </c:pt>
                <c:pt idx="554">
                  <c:v>0.17737575</c:v>
                </c:pt>
                <c:pt idx="555">
                  <c:v>0.17737575</c:v>
                </c:pt>
                <c:pt idx="556">
                  <c:v>0.17737575</c:v>
                </c:pt>
                <c:pt idx="557">
                  <c:v>0.17737575</c:v>
                </c:pt>
                <c:pt idx="558">
                  <c:v>0.17737575</c:v>
                </c:pt>
                <c:pt idx="559">
                  <c:v>0.17737575</c:v>
                </c:pt>
                <c:pt idx="560">
                  <c:v>0.17737575</c:v>
                </c:pt>
                <c:pt idx="561">
                  <c:v>0.17737575</c:v>
                </c:pt>
                <c:pt idx="562">
                  <c:v>0.17737575</c:v>
                </c:pt>
                <c:pt idx="563">
                  <c:v>0.17737575</c:v>
                </c:pt>
                <c:pt idx="564">
                  <c:v>0.17737575</c:v>
                </c:pt>
                <c:pt idx="565">
                  <c:v>0.17737575</c:v>
                </c:pt>
                <c:pt idx="566">
                  <c:v>0.17737575</c:v>
                </c:pt>
                <c:pt idx="567">
                  <c:v>0.17737575</c:v>
                </c:pt>
                <c:pt idx="568">
                  <c:v>0.17737575</c:v>
                </c:pt>
                <c:pt idx="569">
                  <c:v>0.17737575</c:v>
                </c:pt>
                <c:pt idx="570">
                  <c:v>0.17737575</c:v>
                </c:pt>
                <c:pt idx="571">
                  <c:v>0.17737575</c:v>
                </c:pt>
                <c:pt idx="572">
                  <c:v>0.17737575</c:v>
                </c:pt>
                <c:pt idx="573">
                  <c:v>0.17737575</c:v>
                </c:pt>
                <c:pt idx="574">
                  <c:v>0.17737575</c:v>
                </c:pt>
                <c:pt idx="575">
                  <c:v>0.17737575</c:v>
                </c:pt>
                <c:pt idx="576">
                  <c:v>0.17737575</c:v>
                </c:pt>
                <c:pt idx="577">
                  <c:v>0.17737575</c:v>
                </c:pt>
                <c:pt idx="578">
                  <c:v>0.17735799999999999</c:v>
                </c:pt>
                <c:pt idx="579">
                  <c:v>0.17735799999999999</c:v>
                </c:pt>
                <c:pt idx="580">
                  <c:v>0.17735799999999999</c:v>
                </c:pt>
                <c:pt idx="581">
                  <c:v>0.17735799999999999</c:v>
                </c:pt>
                <c:pt idx="582">
                  <c:v>0.17735799999999999</c:v>
                </c:pt>
                <c:pt idx="583">
                  <c:v>0.17735799999999999</c:v>
                </c:pt>
                <c:pt idx="584">
                  <c:v>0.17735799999999999</c:v>
                </c:pt>
                <c:pt idx="585">
                  <c:v>0.17735799999999999</c:v>
                </c:pt>
                <c:pt idx="586">
                  <c:v>0.17735799999999999</c:v>
                </c:pt>
                <c:pt idx="587">
                  <c:v>0.17735799999999999</c:v>
                </c:pt>
                <c:pt idx="588">
                  <c:v>0.17735799999999999</c:v>
                </c:pt>
                <c:pt idx="589">
                  <c:v>0.17735799999999999</c:v>
                </c:pt>
                <c:pt idx="590">
                  <c:v>0.17735799999999999</c:v>
                </c:pt>
                <c:pt idx="591">
                  <c:v>0.17735799999999999</c:v>
                </c:pt>
                <c:pt idx="592">
                  <c:v>0.17735799999999999</c:v>
                </c:pt>
                <c:pt idx="593">
                  <c:v>0.17735799999999999</c:v>
                </c:pt>
                <c:pt idx="594">
                  <c:v>0.17735799999999999</c:v>
                </c:pt>
                <c:pt idx="595">
                  <c:v>0.17735799999999999</c:v>
                </c:pt>
                <c:pt idx="596">
                  <c:v>0.17735799999999999</c:v>
                </c:pt>
                <c:pt idx="597">
                  <c:v>0.17735799999999999</c:v>
                </c:pt>
                <c:pt idx="598">
                  <c:v>0.17735799999999999</c:v>
                </c:pt>
                <c:pt idx="599">
                  <c:v>0.17735799999999999</c:v>
                </c:pt>
                <c:pt idx="600">
                  <c:v>0.17735799999999999</c:v>
                </c:pt>
                <c:pt idx="601">
                  <c:v>0.17735799999999999</c:v>
                </c:pt>
                <c:pt idx="602">
                  <c:v>0.17735799999999999</c:v>
                </c:pt>
                <c:pt idx="603">
                  <c:v>0.17735799999999999</c:v>
                </c:pt>
                <c:pt idx="604">
                  <c:v>0.17735799999999999</c:v>
                </c:pt>
                <c:pt idx="605">
                  <c:v>0.17735799999999999</c:v>
                </c:pt>
                <c:pt idx="606">
                  <c:v>0.17735799999999999</c:v>
                </c:pt>
                <c:pt idx="607">
                  <c:v>0.17735799999999999</c:v>
                </c:pt>
                <c:pt idx="608">
                  <c:v>0.17735799999999999</c:v>
                </c:pt>
                <c:pt idx="609">
                  <c:v>0.17735799999999999</c:v>
                </c:pt>
                <c:pt idx="610">
                  <c:v>0.17735799999999999</c:v>
                </c:pt>
                <c:pt idx="611">
                  <c:v>0.17735799999999999</c:v>
                </c:pt>
                <c:pt idx="612">
                  <c:v>0.17735799999999999</c:v>
                </c:pt>
                <c:pt idx="613">
                  <c:v>0.17735799999999999</c:v>
                </c:pt>
                <c:pt idx="614">
                  <c:v>0.17735799999999999</c:v>
                </c:pt>
                <c:pt idx="615">
                  <c:v>0.17735799999999999</c:v>
                </c:pt>
                <c:pt idx="616">
                  <c:v>0.17735799999999999</c:v>
                </c:pt>
                <c:pt idx="617">
                  <c:v>0.17735799999999999</c:v>
                </c:pt>
                <c:pt idx="618">
                  <c:v>0.17737575</c:v>
                </c:pt>
                <c:pt idx="619">
                  <c:v>0.17737575</c:v>
                </c:pt>
                <c:pt idx="620">
                  <c:v>0.17737575</c:v>
                </c:pt>
                <c:pt idx="621">
                  <c:v>0.17737575</c:v>
                </c:pt>
                <c:pt idx="622">
                  <c:v>0.17737575</c:v>
                </c:pt>
                <c:pt idx="623">
                  <c:v>0.17737575</c:v>
                </c:pt>
                <c:pt idx="624">
                  <c:v>0.17737575</c:v>
                </c:pt>
                <c:pt idx="625">
                  <c:v>0.17737575</c:v>
                </c:pt>
                <c:pt idx="626">
                  <c:v>0.17737575</c:v>
                </c:pt>
                <c:pt idx="627">
                  <c:v>0.17737575</c:v>
                </c:pt>
                <c:pt idx="628">
                  <c:v>0.17737575</c:v>
                </c:pt>
                <c:pt idx="629">
                  <c:v>0.17737575</c:v>
                </c:pt>
                <c:pt idx="630">
                  <c:v>0.17737575</c:v>
                </c:pt>
                <c:pt idx="631">
                  <c:v>0.17737575</c:v>
                </c:pt>
                <c:pt idx="632">
                  <c:v>0.17737575</c:v>
                </c:pt>
                <c:pt idx="633">
                  <c:v>0.17737575</c:v>
                </c:pt>
                <c:pt idx="634">
                  <c:v>0.17737575</c:v>
                </c:pt>
                <c:pt idx="635">
                  <c:v>0.17737575</c:v>
                </c:pt>
                <c:pt idx="636">
                  <c:v>0.17737575</c:v>
                </c:pt>
                <c:pt idx="637">
                  <c:v>0.17737575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D2-4E20-842C-13E4700DA05E}"/>
            </c:ext>
          </c:extLst>
        </c:ser>
        <c:ser>
          <c:idx val="4"/>
          <c:order val="3"/>
          <c:tx>
            <c:v>ERYA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'Ex 2 FULL 1 50 eV'!$L$2:$L$122</c:f>
              <c:numCache>
                <c:formatCode>General</c:formatCode>
                <c:ptCount val="121"/>
                <c:pt idx="0">
                  <c:v>1682</c:v>
                </c:pt>
                <c:pt idx="1">
                  <c:v>1682.05</c:v>
                </c:pt>
                <c:pt idx="2">
                  <c:v>1682.1</c:v>
                </c:pt>
                <c:pt idx="3">
                  <c:v>1682.15</c:v>
                </c:pt>
                <c:pt idx="4">
                  <c:v>1682.2</c:v>
                </c:pt>
                <c:pt idx="5">
                  <c:v>1682.25</c:v>
                </c:pt>
                <c:pt idx="6">
                  <c:v>1682.3</c:v>
                </c:pt>
                <c:pt idx="7">
                  <c:v>1682.35</c:v>
                </c:pt>
                <c:pt idx="8">
                  <c:v>1682.4</c:v>
                </c:pt>
                <c:pt idx="9">
                  <c:v>1682.45</c:v>
                </c:pt>
                <c:pt idx="10">
                  <c:v>1682.5</c:v>
                </c:pt>
                <c:pt idx="11">
                  <c:v>1682.55</c:v>
                </c:pt>
                <c:pt idx="12">
                  <c:v>1682.6</c:v>
                </c:pt>
                <c:pt idx="13">
                  <c:v>1682.65</c:v>
                </c:pt>
                <c:pt idx="14">
                  <c:v>1682.7</c:v>
                </c:pt>
                <c:pt idx="15">
                  <c:v>1682.75</c:v>
                </c:pt>
                <c:pt idx="16">
                  <c:v>1682.8</c:v>
                </c:pt>
                <c:pt idx="17">
                  <c:v>1682.85</c:v>
                </c:pt>
                <c:pt idx="18">
                  <c:v>1682.9</c:v>
                </c:pt>
                <c:pt idx="19">
                  <c:v>1682.95</c:v>
                </c:pt>
                <c:pt idx="20">
                  <c:v>1683</c:v>
                </c:pt>
                <c:pt idx="21">
                  <c:v>1683.05</c:v>
                </c:pt>
                <c:pt idx="22">
                  <c:v>1683.1</c:v>
                </c:pt>
                <c:pt idx="23">
                  <c:v>1683.15</c:v>
                </c:pt>
                <c:pt idx="24">
                  <c:v>1683.2</c:v>
                </c:pt>
                <c:pt idx="25">
                  <c:v>1683.25</c:v>
                </c:pt>
                <c:pt idx="26">
                  <c:v>1683.3</c:v>
                </c:pt>
                <c:pt idx="27">
                  <c:v>1683.35</c:v>
                </c:pt>
                <c:pt idx="28">
                  <c:v>1683.4</c:v>
                </c:pt>
                <c:pt idx="29">
                  <c:v>1683.45</c:v>
                </c:pt>
                <c:pt idx="30">
                  <c:v>1683.5</c:v>
                </c:pt>
                <c:pt idx="31">
                  <c:v>1683.55</c:v>
                </c:pt>
                <c:pt idx="32">
                  <c:v>1683.6</c:v>
                </c:pt>
                <c:pt idx="33">
                  <c:v>1683.65</c:v>
                </c:pt>
                <c:pt idx="34">
                  <c:v>1683.7</c:v>
                </c:pt>
                <c:pt idx="35">
                  <c:v>1683.75</c:v>
                </c:pt>
                <c:pt idx="36">
                  <c:v>1683.8</c:v>
                </c:pt>
                <c:pt idx="37">
                  <c:v>1683.85</c:v>
                </c:pt>
                <c:pt idx="38">
                  <c:v>1683.9</c:v>
                </c:pt>
                <c:pt idx="39">
                  <c:v>1683.95</c:v>
                </c:pt>
                <c:pt idx="40">
                  <c:v>1684</c:v>
                </c:pt>
                <c:pt idx="41">
                  <c:v>1684.05</c:v>
                </c:pt>
                <c:pt idx="42">
                  <c:v>1684.1</c:v>
                </c:pt>
                <c:pt idx="43">
                  <c:v>1684.15</c:v>
                </c:pt>
                <c:pt idx="44">
                  <c:v>1684.2</c:v>
                </c:pt>
                <c:pt idx="45">
                  <c:v>1684.25</c:v>
                </c:pt>
                <c:pt idx="46">
                  <c:v>1684.3</c:v>
                </c:pt>
                <c:pt idx="47">
                  <c:v>1684.35</c:v>
                </c:pt>
                <c:pt idx="48">
                  <c:v>1684.4</c:v>
                </c:pt>
                <c:pt idx="49">
                  <c:v>1684.45</c:v>
                </c:pt>
                <c:pt idx="50">
                  <c:v>1684.5</c:v>
                </c:pt>
                <c:pt idx="51">
                  <c:v>1684.55</c:v>
                </c:pt>
                <c:pt idx="52">
                  <c:v>1684.6</c:v>
                </c:pt>
                <c:pt idx="53">
                  <c:v>1684.65</c:v>
                </c:pt>
                <c:pt idx="54">
                  <c:v>1684.7</c:v>
                </c:pt>
                <c:pt idx="55">
                  <c:v>1684.75</c:v>
                </c:pt>
                <c:pt idx="56">
                  <c:v>1684.8</c:v>
                </c:pt>
                <c:pt idx="57">
                  <c:v>1684.85</c:v>
                </c:pt>
                <c:pt idx="58">
                  <c:v>1684.9</c:v>
                </c:pt>
                <c:pt idx="59">
                  <c:v>1684.95</c:v>
                </c:pt>
                <c:pt idx="60">
                  <c:v>1685</c:v>
                </c:pt>
                <c:pt idx="61">
                  <c:v>1685.05</c:v>
                </c:pt>
                <c:pt idx="62">
                  <c:v>1685.1</c:v>
                </c:pt>
                <c:pt idx="63">
                  <c:v>1685.15</c:v>
                </c:pt>
                <c:pt idx="64">
                  <c:v>1685.2</c:v>
                </c:pt>
                <c:pt idx="65">
                  <c:v>1685.25</c:v>
                </c:pt>
                <c:pt idx="66">
                  <c:v>1685.3</c:v>
                </c:pt>
                <c:pt idx="67">
                  <c:v>1685.35</c:v>
                </c:pt>
                <c:pt idx="68">
                  <c:v>1685.4</c:v>
                </c:pt>
                <c:pt idx="69">
                  <c:v>1685.45</c:v>
                </c:pt>
                <c:pt idx="70">
                  <c:v>1685.5</c:v>
                </c:pt>
                <c:pt idx="71">
                  <c:v>1685.55</c:v>
                </c:pt>
                <c:pt idx="72">
                  <c:v>1685.6</c:v>
                </c:pt>
                <c:pt idx="73">
                  <c:v>1685.65</c:v>
                </c:pt>
                <c:pt idx="74">
                  <c:v>1685.7</c:v>
                </c:pt>
                <c:pt idx="75">
                  <c:v>1685.75</c:v>
                </c:pt>
                <c:pt idx="76">
                  <c:v>1685.8</c:v>
                </c:pt>
                <c:pt idx="77">
                  <c:v>1685.85</c:v>
                </c:pt>
                <c:pt idx="78">
                  <c:v>1685.9</c:v>
                </c:pt>
                <c:pt idx="79">
                  <c:v>1685.95</c:v>
                </c:pt>
                <c:pt idx="80">
                  <c:v>1686</c:v>
                </c:pt>
                <c:pt idx="81">
                  <c:v>1686.05</c:v>
                </c:pt>
                <c:pt idx="82">
                  <c:v>1686.1</c:v>
                </c:pt>
                <c:pt idx="83">
                  <c:v>1686.15</c:v>
                </c:pt>
                <c:pt idx="84">
                  <c:v>1686.2</c:v>
                </c:pt>
                <c:pt idx="85">
                  <c:v>1686.25</c:v>
                </c:pt>
                <c:pt idx="86">
                  <c:v>1686.3</c:v>
                </c:pt>
                <c:pt idx="87">
                  <c:v>1686.35</c:v>
                </c:pt>
                <c:pt idx="88">
                  <c:v>1686.4</c:v>
                </c:pt>
                <c:pt idx="89">
                  <c:v>1686.45</c:v>
                </c:pt>
                <c:pt idx="90">
                  <c:v>1686.5</c:v>
                </c:pt>
                <c:pt idx="91">
                  <c:v>1686.55</c:v>
                </c:pt>
                <c:pt idx="92">
                  <c:v>1686.6</c:v>
                </c:pt>
                <c:pt idx="93">
                  <c:v>1686.65</c:v>
                </c:pt>
                <c:pt idx="94">
                  <c:v>1686.7</c:v>
                </c:pt>
                <c:pt idx="95">
                  <c:v>1686.75</c:v>
                </c:pt>
                <c:pt idx="96">
                  <c:v>1686.8</c:v>
                </c:pt>
                <c:pt idx="97">
                  <c:v>1686.85</c:v>
                </c:pt>
                <c:pt idx="98">
                  <c:v>1686.9</c:v>
                </c:pt>
                <c:pt idx="99">
                  <c:v>1686.95</c:v>
                </c:pt>
                <c:pt idx="100">
                  <c:v>1687</c:v>
                </c:pt>
                <c:pt idx="101">
                  <c:v>1687.05</c:v>
                </c:pt>
                <c:pt idx="102">
                  <c:v>1687.1</c:v>
                </c:pt>
                <c:pt idx="103">
                  <c:v>1687.15</c:v>
                </c:pt>
                <c:pt idx="104">
                  <c:v>1687.2</c:v>
                </c:pt>
                <c:pt idx="105">
                  <c:v>1687.25</c:v>
                </c:pt>
                <c:pt idx="106">
                  <c:v>1687.3</c:v>
                </c:pt>
                <c:pt idx="107">
                  <c:v>1687.35</c:v>
                </c:pt>
                <c:pt idx="108">
                  <c:v>1687.4</c:v>
                </c:pt>
                <c:pt idx="109">
                  <c:v>1687.45</c:v>
                </c:pt>
                <c:pt idx="110">
                  <c:v>1687.5</c:v>
                </c:pt>
                <c:pt idx="111">
                  <c:v>1687.55</c:v>
                </c:pt>
                <c:pt idx="112">
                  <c:v>1687.6</c:v>
                </c:pt>
                <c:pt idx="113">
                  <c:v>1687.65</c:v>
                </c:pt>
                <c:pt idx="114">
                  <c:v>1687.7</c:v>
                </c:pt>
                <c:pt idx="115">
                  <c:v>1687.75</c:v>
                </c:pt>
                <c:pt idx="116">
                  <c:v>1687.8</c:v>
                </c:pt>
                <c:pt idx="117">
                  <c:v>1687.85</c:v>
                </c:pt>
                <c:pt idx="118">
                  <c:v>1687.9</c:v>
                </c:pt>
                <c:pt idx="119">
                  <c:v>1687.95</c:v>
                </c:pt>
                <c:pt idx="120">
                  <c:v>1688</c:v>
                </c:pt>
              </c:numCache>
            </c:numRef>
          </c:xVal>
          <c:yVal>
            <c:numRef>
              <c:f>'Ex 2 FULL 1 50 eV'!$N$2:$N$122</c:f>
              <c:numCache>
                <c:formatCode>General</c:formatCode>
                <c:ptCount val="121"/>
                <c:pt idx="0">
                  <c:v>2.2929999999999999E-3</c:v>
                </c:pt>
                <c:pt idx="1">
                  <c:v>2.5330000000000001E-3</c:v>
                </c:pt>
                <c:pt idx="2">
                  <c:v>2.8479999999999998E-3</c:v>
                </c:pt>
                <c:pt idx="3">
                  <c:v>3.2560000000000002E-3</c:v>
                </c:pt>
                <c:pt idx="4">
                  <c:v>3.771E-3</c:v>
                </c:pt>
                <c:pt idx="5">
                  <c:v>4.4299999999999999E-3</c:v>
                </c:pt>
                <c:pt idx="6">
                  <c:v>5.2719999999999998E-3</c:v>
                </c:pt>
                <c:pt idx="7">
                  <c:v>6.3369999999999998E-3</c:v>
                </c:pt>
                <c:pt idx="8">
                  <c:v>7.5989999999999999E-3</c:v>
                </c:pt>
                <c:pt idx="9">
                  <c:v>9.1780000000000004E-3</c:v>
                </c:pt>
                <c:pt idx="10">
                  <c:v>1.1023E-2</c:v>
                </c:pt>
                <c:pt idx="11">
                  <c:v>1.329E-2</c:v>
                </c:pt>
                <c:pt idx="12">
                  <c:v>1.5821999999999999E-2</c:v>
                </c:pt>
                <c:pt idx="13">
                  <c:v>1.8960000000000001E-2</c:v>
                </c:pt>
                <c:pt idx="14">
                  <c:v>2.2603999999999999E-2</c:v>
                </c:pt>
                <c:pt idx="15">
                  <c:v>2.6912999999999999E-2</c:v>
                </c:pt>
                <c:pt idx="16">
                  <c:v>3.1602999999999999E-2</c:v>
                </c:pt>
                <c:pt idx="17">
                  <c:v>3.6875999999999999E-2</c:v>
                </c:pt>
                <c:pt idx="18">
                  <c:v>4.3083000000000003E-2</c:v>
                </c:pt>
                <c:pt idx="19">
                  <c:v>4.9846000000000001E-2</c:v>
                </c:pt>
                <c:pt idx="20">
                  <c:v>5.7176999999999999E-2</c:v>
                </c:pt>
                <c:pt idx="21">
                  <c:v>6.4393000000000006E-2</c:v>
                </c:pt>
                <c:pt idx="22">
                  <c:v>7.3042999999999997E-2</c:v>
                </c:pt>
                <c:pt idx="23">
                  <c:v>8.1673999999999997E-2</c:v>
                </c:pt>
                <c:pt idx="24">
                  <c:v>9.1032000000000002E-2</c:v>
                </c:pt>
                <c:pt idx="25">
                  <c:v>9.912E-2</c:v>
                </c:pt>
                <c:pt idx="26">
                  <c:v>0.108545</c:v>
                </c:pt>
                <c:pt idx="27">
                  <c:v>0.11749999999999999</c:v>
                </c:pt>
                <c:pt idx="28">
                  <c:v>0.12695600000000001</c:v>
                </c:pt>
                <c:pt idx="29">
                  <c:v>0.13447200000000001</c:v>
                </c:pt>
                <c:pt idx="30">
                  <c:v>0.14250299999999999</c:v>
                </c:pt>
                <c:pt idx="31">
                  <c:v>0.14974899999999999</c:v>
                </c:pt>
                <c:pt idx="32">
                  <c:v>0.15726100000000001</c:v>
                </c:pt>
                <c:pt idx="33">
                  <c:v>0.162909</c:v>
                </c:pt>
                <c:pt idx="34">
                  <c:v>0.16805600000000001</c:v>
                </c:pt>
                <c:pt idx="35">
                  <c:v>0.17250099999999999</c:v>
                </c:pt>
                <c:pt idx="36">
                  <c:v>0.17682100000000001</c:v>
                </c:pt>
                <c:pt idx="37">
                  <c:v>0.180092</c:v>
                </c:pt>
                <c:pt idx="38">
                  <c:v>0.18242700000000001</c:v>
                </c:pt>
                <c:pt idx="39">
                  <c:v>0.184336</c:v>
                </c:pt>
                <c:pt idx="40">
                  <c:v>0.18576699999999999</c:v>
                </c:pt>
                <c:pt idx="41">
                  <c:v>0.18693199999999999</c:v>
                </c:pt>
                <c:pt idx="42">
                  <c:v>0.187469</c:v>
                </c:pt>
                <c:pt idx="43">
                  <c:v>0.18773799999999999</c:v>
                </c:pt>
                <c:pt idx="44">
                  <c:v>0.187615</c:v>
                </c:pt>
                <c:pt idx="45">
                  <c:v>0.18744</c:v>
                </c:pt>
                <c:pt idx="46">
                  <c:v>0.18710199999999999</c:v>
                </c:pt>
                <c:pt idx="47">
                  <c:v>0.18659899999999999</c:v>
                </c:pt>
                <c:pt idx="48">
                  <c:v>0.18599099999999999</c:v>
                </c:pt>
                <c:pt idx="49">
                  <c:v>0.185389</c:v>
                </c:pt>
                <c:pt idx="50">
                  <c:v>0.184726</c:v>
                </c:pt>
                <c:pt idx="51">
                  <c:v>0.18406800000000001</c:v>
                </c:pt>
                <c:pt idx="52">
                  <c:v>0.183451</c:v>
                </c:pt>
                <c:pt idx="53">
                  <c:v>0.18282999999999999</c:v>
                </c:pt>
                <c:pt idx="54">
                  <c:v>0.182251</c:v>
                </c:pt>
                <c:pt idx="55">
                  <c:v>0.18164</c:v>
                </c:pt>
                <c:pt idx="56">
                  <c:v>0.181199</c:v>
                </c:pt>
                <c:pt idx="57">
                  <c:v>0.180751</c:v>
                </c:pt>
                <c:pt idx="58">
                  <c:v>0.18029700000000001</c:v>
                </c:pt>
                <c:pt idx="59">
                  <c:v>0.17985799999999999</c:v>
                </c:pt>
                <c:pt idx="60">
                  <c:v>0.179591</c:v>
                </c:pt>
                <c:pt idx="61">
                  <c:v>0.17922399999999999</c:v>
                </c:pt>
                <c:pt idx="62">
                  <c:v>0.17904600000000001</c:v>
                </c:pt>
                <c:pt idx="63">
                  <c:v>0.178783</c:v>
                </c:pt>
                <c:pt idx="64">
                  <c:v>0.17866799999999999</c:v>
                </c:pt>
                <c:pt idx="65">
                  <c:v>0.17855699999999999</c:v>
                </c:pt>
                <c:pt idx="66">
                  <c:v>0.17834800000000001</c:v>
                </c:pt>
                <c:pt idx="67">
                  <c:v>0.178288</c:v>
                </c:pt>
                <c:pt idx="68">
                  <c:v>0.17824100000000001</c:v>
                </c:pt>
                <c:pt idx="69">
                  <c:v>0.17827000000000001</c:v>
                </c:pt>
                <c:pt idx="70">
                  <c:v>0.178313</c:v>
                </c:pt>
                <c:pt idx="71">
                  <c:v>0.178263</c:v>
                </c:pt>
                <c:pt idx="72">
                  <c:v>0.178318</c:v>
                </c:pt>
                <c:pt idx="73">
                  <c:v>0.178374</c:v>
                </c:pt>
                <c:pt idx="74">
                  <c:v>0.17832200000000001</c:v>
                </c:pt>
                <c:pt idx="75">
                  <c:v>0.17863699999999999</c:v>
                </c:pt>
                <c:pt idx="76">
                  <c:v>0.178456</c:v>
                </c:pt>
                <c:pt idx="77">
                  <c:v>0.17860200000000001</c:v>
                </c:pt>
                <c:pt idx="78">
                  <c:v>0.17875099999999999</c:v>
                </c:pt>
                <c:pt idx="79">
                  <c:v>0.178871</c:v>
                </c:pt>
                <c:pt idx="80">
                  <c:v>0.17886199999999999</c:v>
                </c:pt>
                <c:pt idx="81">
                  <c:v>0.178898</c:v>
                </c:pt>
                <c:pt idx="82">
                  <c:v>0.17893300000000001</c:v>
                </c:pt>
                <c:pt idx="83">
                  <c:v>0.17910899999999999</c:v>
                </c:pt>
                <c:pt idx="84">
                  <c:v>0.17904200000000001</c:v>
                </c:pt>
                <c:pt idx="85">
                  <c:v>0.17911199999999999</c:v>
                </c:pt>
                <c:pt idx="86">
                  <c:v>0.179201</c:v>
                </c:pt>
                <c:pt idx="87">
                  <c:v>0.17927899999999999</c:v>
                </c:pt>
                <c:pt idx="88">
                  <c:v>0.17929500000000001</c:v>
                </c:pt>
                <c:pt idx="89">
                  <c:v>0.179422</c:v>
                </c:pt>
                <c:pt idx="90">
                  <c:v>0.179648</c:v>
                </c:pt>
                <c:pt idx="91">
                  <c:v>0.17985000000000001</c:v>
                </c:pt>
                <c:pt idx="92">
                  <c:v>0.17942900000000001</c:v>
                </c:pt>
                <c:pt idx="93">
                  <c:v>0.17962800000000001</c:v>
                </c:pt>
                <c:pt idx="94">
                  <c:v>0.179809</c:v>
                </c:pt>
                <c:pt idx="95">
                  <c:v>0.17971100000000001</c:v>
                </c:pt>
                <c:pt idx="96">
                  <c:v>0.179646</c:v>
                </c:pt>
                <c:pt idx="97">
                  <c:v>0.179475</c:v>
                </c:pt>
                <c:pt idx="98">
                  <c:v>0.179978</c:v>
                </c:pt>
                <c:pt idx="99">
                  <c:v>0.179897</c:v>
                </c:pt>
                <c:pt idx="100">
                  <c:v>0.17974200000000001</c:v>
                </c:pt>
                <c:pt idx="101">
                  <c:v>0.179703</c:v>
                </c:pt>
                <c:pt idx="102">
                  <c:v>0.17990500000000001</c:v>
                </c:pt>
                <c:pt idx="103">
                  <c:v>0.180198</c:v>
                </c:pt>
                <c:pt idx="104">
                  <c:v>0.18024399999999999</c:v>
                </c:pt>
                <c:pt idx="105">
                  <c:v>0.180035</c:v>
                </c:pt>
                <c:pt idx="106">
                  <c:v>0.17993600000000001</c:v>
                </c:pt>
                <c:pt idx="107">
                  <c:v>0.18013299999999999</c:v>
                </c:pt>
                <c:pt idx="108">
                  <c:v>0.180252</c:v>
                </c:pt>
                <c:pt idx="109">
                  <c:v>0.180614</c:v>
                </c:pt>
                <c:pt idx="110">
                  <c:v>0.18055299999999999</c:v>
                </c:pt>
                <c:pt idx="111">
                  <c:v>0.18048900000000001</c:v>
                </c:pt>
                <c:pt idx="112">
                  <c:v>0.18034800000000001</c:v>
                </c:pt>
                <c:pt idx="113">
                  <c:v>0.18052599999999999</c:v>
                </c:pt>
                <c:pt idx="114">
                  <c:v>0.180783</c:v>
                </c:pt>
                <c:pt idx="115">
                  <c:v>0.18109800000000001</c:v>
                </c:pt>
                <c:pt idx="116">
                  <c:v>0.18127399999999999</c:v>
                </c:pt>
                <c:pt idx="117">
                  <c:v>0.18126999999999999</c:v>
                </c:pt>
                <c:pt idx="118">
                  <c:v>0.181094</c:v>
                </c:pt>
                <c:pt idx="119">
                  <c:v>0.18116099999999999</c:v>
                </c:pt>
                <c:pt idx="120">
                  <c:v>0.18119499999999999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55-4DEE-8705-8E4F7D7C71E7}"/>
            </c:ext>
          </c:extLst>
        </c:ser>
        <c:ser>
          <c:idx val="2"/>
          <c:order val="4"/>
          <c:tx>
            <c:v>POWERMEIS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'Ex 2 FULL 1 50 eV'!$P$2:$P$121</c:f>
              <c:numCache>
                <c:formatCode>General</c:formatCode>
                <c:ptCount val="120"/>
                <c:pt idx="0">
                  <c:v>1682</c:v>
                </c:pt>
                <c:pt idx="1">
                  <c:v>1682.05</c:v>
                </c:pt>
                <c:pt idx="2">
                  <c:v>1682.1</c:v>
                </c:pt>
                <c:pt idx="3">
                  <c:v>1682.15</c:v>
                </c:pt>
                <c:pt idx="4">
                  <c:v>1682.2</c:v>
                </c:pt>
                <c:pt idx="5">
                  <c:v>1682.25</c:v>
                </c:pt>
                <c:pt idx="6">
                  <c:v>1682.3</c:v>
                </c:pt>
                <c:pt idx="7">
                  <c:v>1682.35</c:v>
                </c:pt>
                <c:pt idx="8">
                  <c:v>1682.4</c:v>
                </c:pt>
                <c:pt idx="9">
                  <c:v>1682.45</c:v>
                </c:pt>
                <c:pt idx="10">
                  <c:v>1682.5</c:v>
                </c:pt>
                <c:pt idx="11">
                  <c:v>1682.55</c:v>
                </c:pt>
                <c:pt idx="12">
                  <c:v>1682.6</c:v>
                </c:pt>
                <c:pt idx="13">
                  <c:v>1682.65</c:v>
                </c:pt>
                <c:pt idx="14">
                  <c:v>1682.7</c:v>
                </c:pt>
                <c:pt idx="15">
                  <c:v>1682.75</c:v>
                </c:pt>
                <c:pt idx="16">
                  <c:v>1682.8</c:v>
                </c:pt>
                <c:pt idx="17">
                  <c:v>1682.85</c:v>
                </c:pt>
                <c:pt idx="18">
                  <c:v>1682.9</c:v>
                </c:pt>
                <c:pt idx="19">
                  <c:v>1682.95</c:v>
                </c:pt>
                <c:pt idx="20">
                  <c:v>1683</c:v>
                </c:pt>
                <c:pt idx="21">
                  <c:v>1683.05</c:v>
                </c:pt>
                <c:pt idx="22">
                  <c:v>1683.1</c:v>
                </c:pt>
                <c:pt idx="23">
                  <c:v>1683.15</c:v>
                </c:pt>
                <c:pt idx="24">
                  <c:v>1683.2</c:v>
                </c:pt>
                <c:pt idx="25">
                  <c:v>1683.25</c:v>
                </c:pt>
                <c:pt idx="26">
                  <c:v>1683.3</c:v>
                </c:pt>
                <c:pt idx="27">
                  <c:v>1683.35</c:v>
                </c:pt>
                <c:pt idx="28">
                  <c:v>1683.4</c:v>
                </c:pt>
                <c:pt idx="29">
                  <c:v>1683.45</c:v>
                </c:pt>
                <c:pt idx="30">
                  <c:v>1683.5</c:v>
                </c:pt>
                <c:pt idx="31">
                  <c:v>1683.55</c:v>
                </c:pt>
                <c:pt idx="32">
                  <c:v>1683.6</c:v>
                </c:pt>
                <c:pt idx="33">
                  <c:v>1683.65</c:v>
                </c:pt>
                <c:pt idx="34">
                  <c:v>1683.7</c:v>
                </c:pt>
                <c:pt idx="35">
                  <c:v>1683.75</c:v>
                </c:pt>
                <c:pt idx="36">
                  <c:v>1683.8</c:v>
                </c:pt>
                <c:pt idx="37">
                  <c:v>1683.85</c:v>
                </c:pt>
                <c:pt idx="38">
                  <c:v>1683.9</c:v>
                </c:pt>
                <c:pt idx="39">
                  <c:v>1683.95</c:v>
                </c:pt>
                <c:pt idx="40">
                  <c:v>1684</c:v>
                </c:pt>
                <c:pt idx="41">
                  <c:v>1684.05</c:v>
                </c:pt>
                <c:pt idx="42">
                  <c:v>1684.1</c:v>
                </c:pt>
                <c:pt idx="43">
                  <c:v>1684.15</c:v>
                </c:pt>
                <c:pt idx="44">
                  <c:v>1684.2</c:v>
                </c:pt>
                <c:pt idx="45">
                  <c:v>1684.25</c:v>
                </c:pt>
                <c:pt idx="46">
                  <c:v>1684.3</c:v>
                </c:pt>
                <c:pt idx="47">
                  <c:v>1684.35</c:v>
                </c:pt>
                <c:pt idx="48">
                  <c:v>1684.4</c:v>
                </c:pt>
                <c:pt idx="49">
                  <c:v>1684.45</c:v>
                </c:pt>
                <c:pt idx="50">
                  <c:v>1684.5</c:v>
                </c:pt>
                <c:pt idx="51">
                  <c:v>1684.55</c:v>
                </c:pt>
                <c:pt idx="52">
                  <c:v>1684.6</c:v>
                </c:pt>
                <c:pt idx="53">
                  <c:v>1684.65</c:v>
                </c:pt>
                <c:pt idx="54">
                  <c:v>1684.7</c:v>
                </c:pt>
                <c:pt idx="55">
                  <c:v>1684.75</c:v>
                </c:pt>
                <c:pt idx="56">
                  <c:v>1684.8</c:v>
                </c:pt>
                <c:pt idx="57">
                  <c:v>1684.85</c:v>
                </c:pt>
                <c:pt idx="58">
                  <c:v>1684.9</c:v>
                </c:pt>
                <c:pt idx="59">
                  <c:v>1684.95</c:v>
                </c:pt>
                <c:pt idx="60">
                  <c:v>1685</c:v>
                </c:pt>
                <c:pt idx="61">
                  <c:v>1685.05</c:v>
                </c:pt>
                <c:pt idx="62">
                  <c:v>1685.1</c:v>
                </c:pt>
                <c:pt idx="63">
                  <c:v>1685.15</c:v>
                </c:pt>
                <c:pt idx="64">
                  <c:v>1685.2</c:v>
                </c:pt>
                <c:pt idx="65">
                  <c:v>1685.25</c:v>
                </c:pt>
                <c:pt idx="66">
                  <c:v>1685.3</c:v>
                </c:pt>
                <c:pt idx="67">
                  <c:v>1685.35</c:v>
                </c:pt>
                <c:pt idx="68">
                  <c:v>1685.4</c:v>
                </c:pt>
                <c:pt idx="69">
                  <c:v>1685.45</c:v>
                </c:pt>
                <c:pt idx="70">
                  <c:v>1685.5</c:v>
                </c:pt>
                <c:pt idx="71">
                  <c:v>1685.55</c:v>
                </c:pt>
                <c:pt idx="72">
                  <c:v>1685.6</c:v>
                </c:pt>
                <c:pt idx="73">
                  <c:v>1685.65</c:v>
                </c:pt>
                <c:pt idx="74">
                  <c:v>1685.7</c:v>
                </c:pt>
                <c:pt idx="75">
                  <c:v>1685.75</c:v>
                </c:pt>
                <c:pt idx="76">
                  <c:v>1685.8</c:v>
                </c:pt>
                <c:pt idx="77">
                  <c:v>1685.85</c:v>
                </c:pt>
                <c:pt idx="78">
                  <c:v>1685.9</c:v>
                </c:pt>
                <c:pt idx="79">
                  <c:v>1685.95</c:v>
                </c:pt>
                <c:pt idx="80">
                  <c:v>1686</c:v>
                </c:pt>
                <c:pt idx="81">
                  <c:v>1686.05</c:v>
                </c:pt>
                <c:pt idx="82">
                  <c:v>1686.1</c:v>
                </c:pt>
                <c:pt idx="83">
                  <c:v>1686.15</c:v>
                </c:pt>
                <c:pt idx="84">
                  <c:v>1686.2</c:v>
                </c:pt>
                <c:pt idx="85">
                  <c:v>1686.25</c:v>
                </c:pt>
                <c:pt idx="86">
                  <c:v>1686.3</c:v>
                </c:pt>
                <c:pt idx="87">
                  <c:v>1686.35</c:v>
                </c:pt>
                <c:pt idx="88">
                  <c:v>1686.4</c:v>
                </c:pt>
                <c:pt idx="89">
                  <c:v>1686.45</c:v>
                </c:pt>
                <c:pt idx="90">
                  <c:v>1686.5</c:v>
                </c:pt>
                <c:pt idx="91">
                  <c:v>1686.55</c:v>
                </c:pt>
                <c:pt idx="92">
                  <c:v>1686.6</c:v>
                </c:pt>
                <c:pt idx="93">
                  <c:v>1686.65</c:v>
                </c:pt>
                <c:pt idx="94">
                  <c:v>1686.7</c:v>
                </c:pt>
                <c:pt idx="95">
                  <c:v>1686.75</c:v>
                </c:pt>
                <c:pt idx="96">
                  <c:v>1686.8</c:v>
                </c:pt>
                <c:pt idx="97">
                  <c:v>1686.85</c:v>
                </c:pt>
                <c:pt idx="98">
                  <c:v>1686.9</c:v>
                </c:pt>
                <c:pt idx="99">
                  <c:v>1686.95</c:v>
                </c:pt>
                <c:pt idx="100">
                  <c:v>1687</c:v>
                </c:pt>
                <c:pt idx="101">
                  <c:v>1687.05</c:v>
                </c:pt>
                <c:pt idx="102">
                  <c:v>1687.1</c:v>
                </c:pt>
                <c:pt idx="103">
                  <c:v>1687.15</c:v>
                </c:pt>
                <c:pt idx="104">
                  <c:v>1687.2</c:v>
                </c:pt>
                <c:pt idx="105">
                  <c:v>1687.25</c:v>
                </c:pt>
                <c:pt idx="106">
                  <c:v>1687.3</c:v>
                </c:pt>
                <c:pt idx="107">
                  <c:v>1687.35</c:v>
                </c:pt>
                <c:pt idx="108">
                  <c:v>1687.4</c:v>
                </c:pt>
                <c:pt idx="109">
                  <c:v>1687.45</c:v>
                </c:pt>
                <c:pt idx="110">
                  <c:v>1687.5</c:v>
                </c:pt>
                <c:pt idx="111">
                  <c:v>1687.55</c:v>
                </c:pt>
                <c:pt idx="112">
                  <c:v>1687.6</c:v>
                </c:pt>
                <c:pt idx="113">
                  <c:v>1687.65</c:v>
                </c:pt>
                <c:pt idx="114">
                  <c:v>1687.7</c:v>
                </c:pt>
                <c:pt idx="115">
                  <c:v>1687.75</c:v>
                </c:pt>
                <c:pt idx="116">
                  <c:v>1687.8</c:v>
                </c:pt>
                <c:pt idx="117">
                  <c:v>1687.85</c:v>
                </c:pt>
                <c:pt idx="118">
                  <c:v>1687.9</c:v>
                </c:pt>
                <c:pt idx="119">
                  <c:v>1687.95</c:v>
                </c:pt>
              </c:numCache>
            </c:numRef>
          </c:xVal>
          <c:yVal>
            <c:numRef>
              <c:f>'Ex 2 FULL 1 50 eV'!$R$2:$R$121</c:f>
              <c:numCache>
                <c:formatCode>General</c:formatCode>
                <c:ptCount val="120"/>
                <c:pt idx="0">
                  <c:v>7.6809704656254696E-2</c:v>
                </c:pt>
                <c:pt idx="1">
                  <c:v>9.5936208799513895E-2</c:v>
                </c:pt>
                <c:pt idx="2">
                  <c:v>0.11155302555188899</c:v>
                </c:pt>
                <c:pt idx="3">
                  <c:v>0.119715584285409</c:v>
                </c:pt>
                <c:pt idx="4">
                  <c:v>0.135522706306272</c:v>
                </c:pt>
                <c:pt idx="5">
                  <c:v>0.156450012522731</c:v>
                </c:pt>
                <c:pt idx="6">
                  <c:v>0.165837602743898</c:v>
                </c:pt>
                <c:pt idx="7">
                  <c:v>0.18197344890724301</c:v>
                </c:pt>
                <c:pt idx="8">
                  <c:v>0.20501914521909098</c:v>
                </c:pt>
                <c:pt idx="9">
                  <c:v>0.229654264761048</c:v>
                </c:pt>
                <c:pt idx="10">
                  <c:v>0.25219310257768501</c:v>
                </c:pt>
                <c:pt idx="11">
                  <c:v>0.294774054599029</c:v>
                </c:pt>
                <c:pt idx="12">
                  <c:v>0.31675247551548602</c:v>
                </c:pt>
                <c:pt idx="13">
                  <c:v>0.35234732328442403</c:v>
                </c:pt>
                <c:pt idx="14">
                  <c:v>0.39067175258196601</c:v>
                </c:pt>
                <c:pt idx="15">
                  <c:v>0.411855590286616</c:v>
                </c:pt>
                <c:pt idx="16">
                  <c:v>0.46274125257007503</c:v>
                </c:pt>
                <c:pt idx="17">
                  <c:v>0.50012754799818304</c:v>
                </c:pt>
                <c:pt idx="18">
                  <c:v>0.54885757450198502</c:v>
                </c:pt>
                <c:pt idx="19">
                  <c:v>0.57769702975321702</c:v>
                </c:pt>
                <c:pt idx="20">
                  <c:v>0.63848573527255104</c:v>
                </c:pt>
                <c:pt idx="21">
                  <c:v>0.69247749626723898</c:v>
                </c:pt>
                <c:pt idx="22">
                  <c:v>0.72404555006890803</c:v>
                </c:pt>
                <c:pt idx="23">
                  <c:v>0.75673522613004507</c:v>
                </c:pt>
                <c:pt idx="24">
                  <c:v>0.81228657546533301</c:v>
                </c:pt>
                <c:pt idx="25">
                  <c:v>0.85036934463624103</c:v>
                </c:pt>
                <c:pt idx="26">
                  <c:v>0.88941010574777601</c:v>
                </c:pt>
                <c:pt idx="27">
                  <c:v>0.94333206476477593</c:v>
                </c:pt>
                <c:pt idx="28">
                  <c:v>0.96207498964943705</c:v>
                </c:pt>
                <c:pt idx="29">
                  <c:v>1.01405151654435</c:v>
                </c:pt>
                <c:pt idx="30">
                  <c:v>1.02528573088819</c:v>
                </c:pt>
                <c:pt idx="31">
                  <c:v>1.07142685860576</c:v>
                </c:pt>
                <c:pt idx="32">
                  <c:v>1.11498333728025</c:v>
                </c:pt>
                <c:pt idx="33">
                  <c:v>1.11052706428309</c:v>
                </c:pt>
                <c:pt idx="34">
                  <c:v>1.1322529472249199</c:v>
                </c:pt>
                <c:pt idx="35">
                  <c:v>1.13334168166466</c:v>
                </c:pt>
                <c:pt idx="36">
                  <c:v>1.1835046528920898</c:v>
                </c:pt>
                <c:pt idx="37">
                  <c:v>1.17908417433025</c:v>
                </c:pt>
                <c:pt idx="38">
                  <c:v>1.1835086023761601</c:v>
                </c:pt>
                <c:pt idx="39">
                  <c:v>1.21176840662811</c:v>
                </c:pt>
                <c:pt idx="40">
                  <c:v>1.2085269181104199</c:v>
                </c:pt>
                <c:pt idx="41">
                  <c:v>1.23973295943044</c:v>
                </c:pt>
                <c:pt idx="42">
                  <c:v>1.2470461668467199</c:v>
                </c:pt>
                <c:pt idx="43">
                  <c:v>1.2260025999320101</c:v>
                </c:pt>
                <c:pt idx="44">
                  <c:v>1.2658518137108301</c:v>
                </c:pt>
                <c:pt idx="45">
                  <c:v>1.2597668911968101</c:v>
                </c:pt>
                <c:pt idx="46">
                  <c:v>1.24070160362674</c:v>
                </c:pt>
                <c:pt idx="47">
                  <c:v>1.25761132484004</c:v>
                </c:pt>
                <c:pt idx="48">
                  <c:v>1.2520250719205501</c:v>
                </c:pt>
                <c:pt idx="49">
                  <c:v>1.2290554996157799</c:v>
                </c:pt>
                <c:pt idx="50">
                  <c:v>1.2552009896119301</c:v>
                </c:pt>
                <c:pt idx="51">
                  <c:v>1.2822834430664101</c:v>
                </c:pt>
                <c:pt idx="52">
                  <c:v>1.2588023642300699</c:v>
                </c:pt>
                <c:pt idx="53">
                  <c:v>1.2580795495306301</c:v>
                </c:pt>
                <c:pt idx="54">
                  <c:v>1.26458177075161</c:v>
                </c:pt>
                <c:pt idx="55">
                  <c:v>1.2602705067705799</c:v>
                </c:pt>
                <c:pt idx="56">
                  <c:v>1.25912500748556</c:v>
                </c:pt>
                <c:pt idx="57">
                  <c:v>1.2773369337334699</c:v>
                </c:pt>
                <c:pt idx="58">
                  <c:v>1.2781958304930701</c:v>
                </c:pt>
                <c:pt idx="59">
                  <c:v>1.27911041146645</c:v>
                </c:pt>
                <c:pt idx="60">
                  <c:v>1.2754836247565999</c:v>
                </c:pt>
                <c:pt idx="61">
                  <c:v>1.26717318071917</c:v>
                </c:pt>
                <c:pt idx="62">
                  <c:v>1.26842799123262</c:v>
                </c:pt>
                <c:pt idx="63">
                  <c:v>1.2447074741022099</c:v>
                </c:pt>
                <c:pt idx="64">
                  <c:v>1.2731523235612501</c:v>
                </c:pt>
                <c:pt idx="65">
                  <c:v>1.26970142693808</c:v>
                </c:pt>
                <c:pt idx="66">
                  <c:v>1.2751185352777501</c:v>
                </c:pt>
                <c:pt idx="67">
                  <c:v>1.29368912799285</c:v>
                </c:pt>
                <c:pt idx="68">
                  <c:v>1.26559236687774</c:v>
                </c:pt>
                <c:pt idx="69">
                  <c:v>1.2732430205807599</c:v>
                </c:pt>
                <c:pt idx="70">
                  <c:v>1.27162931130093</c:v>
                </c:pt>
                <c:pt idx="71">
                  <c:v>1.26360379842079</c:v>
                </c:pt>
                <c:pt idx="72">
                  <c:v>1.26704118168032</c:v>
                </c:pt>
                <c:pt idx="73">
                  <c:v>1.2810991845933399</c:v>
                </c:pt>
                <c:pt idx="74">
                  <c:v>1.2766182574826002</c:v>
                </c:pt>
                <c:pt idx="75">
                  <c:v>1.2717402869852399</c:v>
                </c:pt>
                <c:pt idx="76">
                  <c:v>1.26958776430195</c:v>
                </c:pt>
                <c:pt idx="77">
                  <c:v>1.2554655801605701</c:v>
                </c:pt>
                <c:pt idx="78">
                  <c:v>1.2725390859079801</c:v>
                </c:pt>
                <c:pt idx="79">
                  <c:v>1.27727986509352</c:v>
                </c:pt>
                <c:pt idx="80">
                  <c:v>1.2633579757068201</c:v>
                </c:pt>
                <c:pt idx="81">
                  <c:v>1.27151614613637</c:v>
                </c:pt>
                <c:pt idx="82">
                  <c:v>1.2830381849896901</c:v>
                </c:pt>
                <c:pt idx="83">
                  <c:v>1.2816499015048399</c:v>
                </c:pt>
                <c:pt idx="84">
                  <c:v>1.2778844941029099</c:v>
                </c:pt>
                <c:pt idx="85">
                  <c:v>1.2794968673189</c:v>
                </c:pt>
                <c:pt idx="86">
                  <c:v>1.27454945975366</c:v>
                </c:pt>
                <c:pt idx="87">
                  <c:v>1.28552493454544</c:v>
                </c:pt>
                <c:pt idx="88">
                  <c:v>1.24109694583316</c:v>
                </c:pt>
                <c:pt idx="89">
                  <c:v>1.2807061782432598</c:v>
                </c:pt>
                <c:pt idx="90">
                  <c:v>1.30219901862712</c:v>
                </c:pt>
                <c:pt idx="91">
                  <c:v>1.2800725336346199</c:v>
                </c:pt>
                <c:pt idx="92">
                  <c:v>1.2833863856608401</c:v>
                </c:pt>
                <c:pt idx="93">
                  <c:v>1.2801943871221899</c:v>
                </c:pt>
                <c:pt idx="94">
                  <c:v>1.2721369463605399</c:v>
                </c:pt>
                <c:pt idx="95">
                  <c:v>1.26401269638637</c:v>
                </c:pt>
                <c:pt idx="96">
                  <c:v>1.2644355232789599</c:v>
                </c:pt>
                <c:pt idx="97">
                  <c:v>1.29318741672464</c:v>
                </c:pt>
                <c:pt idx="98">
                  <c:v>1.2753324964373101</c:v>
                </c:pt>
                <c:pt idx="99">
                  <c:v>1.2766228627540501</c:v>
                </c:pt>
                <c:pt idx="100">
                  <c:v>1.2923613121672999</c:v>
                </c:pt>
                <c:pt idx="101">
                  <c:v>1.2906901318211701</c:v>
                </c:pt>
                <c:pt idx="102">
                  <c:v>1.2907315886860999</c:v>
                </c:pt>
                <c:pt idx="103">
                  <c:v>1.2920620137476801</c:v>
                </c:pt>
                <c:pt idx="104">
                  <c:v>1.3050231468131801</c:v>
                </c:pt>
                <c:pt idx="105">
                  <c:v>1.28736944800693</c:v>
                </c:pt>
                <c:pt idx="106">
                  <c:v>1.2751364127557301</c:v>
                </c:pt>
                <c:pt idx="107">
                  <c:v>1.27763894747395</c:v>
                </c:pt>
                <c:pt idx="108">
                  <c:v>1.2809689303357499</c:v>
                </c:pt>
                <c:pt idx="109">
                  <c:v>1.28161899844157</c:v>
                </c:pt>
                <c:pt idx="110">
                  <c:v>1.2727887818114501</c:v>
                </c:pt>
                <c:pt idx="111">
                  <c:v>1.3014492524551</c:v>
                </c:pt>
                <c:pt idx="112">
                  <c:v>1.2809342413650699</c:v>
                </c:pt>
                <c:pt idx="113">
                  <c:v>1.2747059602178601</c:v>
                </c:pt>
                <c:pt idx="114">
                  <c:v>1.2767821033393498</c:v>
                </c:pt>
                <c:pt idx="115">
                  <c:v>1.28611603711559</c:v>
                </c:pt>
                <c:pt idx="116">
                  <c:v>1.2866786546975399</c:v>
                </c:pt>
                <c:pt idx="117">
                  <c:v>1.2796130830001999</c:v>
                </c:pt>
                <c:pt idx="118">
                  <c:v>1.11090468311163</c:v>
                </c:pt>
                <c:pt idx="119">
                  <c:v>0.16366631920133301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81-489D-9339-591A9EE4E0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0070904"/>
        <c:axId val="580076664"/>
      </c:scatterChart>
      <c:valAx>
        <c:axId val="580070904"/>
        <c:scaling>
          <c:orientation val="minMax"/>
          <c:max val="1688"/>
          <c:min val="168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beam energy (keV)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076664"/>
        <c:crosses val="autoZero"/>
        <c:crossBetween val="midCat"/>
      </c:valAx>
      <c:valAx>
        <c:axId val="580076664"/>
        <c:scaling>
          <c:orientation val="minMax"/>
          <c:max val="1.3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yield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0709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2000"/>
              <a:t>Ex 2 Straggling </a:t>
            </a:r>
            <a:r>
              <a:rPr lang="el-GR" sz="2000"/>
              <a:t>Δ</a:t>
            </a:r>
            <a:r>
              <a:rPr lang="en-GB" sz="2000"/>
              <a:t>E=1</a:t>
            </a:r>
          </a:p>
        </c:rich>
      </c:tx>
      <c:layout>
        <c:manualLayout>
          <c:xMode val="edge"/>
          <c:yMode val="edge"/>
          <c:x val="0.31662550569828557"/>
          <c:y val="1.92043895747599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977619360913017"/>
          <c:y val="9.2848915738329055E-2"/>
          <c:w val="0.85421362144299684"/>
          <c:h val="0.70962573378772276"/>
        </c:manualLayout>
      </c:layout>
      <c:scatterChart>
        <c:scatterStyle val="lineMarker"/>
        <c:varyColors val="0"/>
        <c:ser>
          <c:idx val="0"/>
          <c:order val="0"/>
          <c:tx>
            <c:v>NDF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 2 FULL 1 50 eV'!$E$2:$E$122</c:f>
              <c:numCache>
                <c:formatCode>0.00</c:formatCode>
                <c:ptCount val="121"/>
                <c:pt idx="0">
                  <c:v>1682</c:v>
                </c:pt>
                <c:pt idx="1">
                  <c:v>1682.05</c:v>
                </c:pt>
                <c:pt idx="2">
                  <c:v>1682.1</c:v>
                </c:pt>
                <c:pt idx="3">
                  <c:v>1682.15</c:v>
                </c:pt>
                <c:pt idx="4">
                  <c:v>1682.2</c:v>
                </c:pt>
                <c:pt idx="5">
                  <c:v>1682.25</c:v>
                </c:pt>
                <c:pt idx="6">
                  <c:v>1682.3</c:v>
                </c:pt>
                <c:pt idx="7">
                  <c:v>1682.35</c:v>
                </c:pt>
                <c:pt idx="8">
                  <c:v>1682.4</c:v>
                </c:pt>
                <c:pt idx="9">
                  <c:v>1682.45</c:v>
                </c:pt>
                <c:pt idx="10">
                  <c:v>1682.5</c:v>
                </c:pt>
                <c:pt idx="11">
                  <c:v>1682.55</c:v>
                </c:pt>
                <c:pt idx="12">
                  <c:v>1682.6</c:v>
                </c:pt>
                <c:pt idx="13">
                  <c:v>1682.65</c:v>
                </c:pt>
                <c:pt idx="14">
                  <c:v>1682.7</c:v>
                </c:pt>
                <c:pt idx="15">
                  <c:v>1682.75</c:v>
                </c:pt>
                <c:pt idx="16">
                  <c:v>1682.8</c:v>
                </c:pt>
                <c:pt idx="17">
                  <c:v>1682.85</c:v>
                </c:pt>
                <c:pt idx="18">
                  <c:v>1682.9</c:v>
                </c:pt>
                <c:pt idx="19">
                  <c:v>1682.95</c:v>
                </c:pt>
                <c:pt idx="20">
                  <c:v>1683</c:v>
                </c:pt>
                <c:pt idx="21">
                  <c:v>1683.05</c:v>
                </c:pt>
                <c:pt idx="22">
                  <c:v>1683.1</c:v>
                </c:pt>
                <c:pt idx="23">
                  <c:v>1683.15</c:v>
                </c:pt>
                <c:pt idx="24">
                  <c:v>1683.2</c:v>
                </c:pt>
                <c:pt idx="25">
                  <c:v>1683.25</c:v>
                </c:pt>
                <c:pt idx="26">
                  <c:v>1683.3</c:v>
                </c:pt>
                <c:pt idx="27">
                  <c:v>1683.35</c:v>
                </c:pt>
                <c:pt idx="28">
                  <c:v>1683.4</c:v>
                </c:pt>
                <c:pt idx="29">
                  <c:v>1683.45</c:v>
                </c:pt>
                <c:pt idx="30">
                  <c:v>1683.5</c:v>
                </c:pt>
                <c:pt idx="31">
                  <c:v>1683.55</c:v>
                </c:pt>
                <c:pt idx="32">
                  <c:v>1683.6</c:v>
                </c:pt>
                <c:pt idx="33">
                  <c:v>1683.65</c:v>
                </c:pt>
                <c:pt idx="34">
                  <c:v>1683.7</c:v>
                </c:pt>
                <c:pt idx="35">
                  <c:v>1683.75</c:v>
                </c:pt>
                <c:pt idx="36">
                  <c:v>1683.8</c:v>
                </c:pt>
                <c:pt idx="37">
                  <c:v>1683.85</c:v>
                </c:pt>
                <c:pt idx="38">
                  <c:v>1683.9</c:v>
                </c:pt>
                <c:pt idx="39">
                  <c:v>1683.95</c:v>
                </c:pt>
                <c:pt idx="40">
                  <c:v>1684</c:v>
                </c:pt>
                <c:pt idx="41">
                  <c:v>1684.05</c:v>
                </c:pt>
                <c:pt idx="42">
                  <c:v>1684.1</c:v>
                </c:pt>
                <c:pt idx="43">
                  <c:v>1684.15</c:v>
                </c:pt>
                <c:pt idx="44">
                  <c:v>1684.2</c:v>
                </c:pt>
                <c:pt idx="45">
                  <c:v>1684.25</c:v>
                </c:pt>
                <c:pt idx="46">
                  <c:v>1684.3</c:v>
                </c:pt>
                <c:pt idx="47">
                  <c:v>1684.35</c:v>
                </c:pt>
                <c:pt idx="48">
                  <c:v>1684.4</c:v>
                </c:pt>
                <c:pt idx="49">
                  <c:v>1684.45</c:v>
                </c:pt>
                <c:pt idx="50">
                  <c:v>1684.5</c:v>
                </c:pt>
                <c:pt idx="51">
                  <c:v>1684.55</c:v>
                </c:pt>
                <c:pt idx="52">
                  <c:v>1684.6</c:v>
                </c:pt>
                <c:pt idx="53">
                  <c:v>1684.65</c:v>
                </c:pt>
                <c:pt idx="54">
                  <c:v>1684.7</c:v>
                </c:pt>
                <c:pt idx="55">
                  <c:v>1684.75</c:v>
                </c:pt>
                <c:pt idx="56">
                  <c:v>1684.8</c:v>
                </c:pt>
                <c:pt idx="57">
                  <c:v>1684.85</c:v>
                </c:pt>
                <c:pt idx="58">
                  <c:v>1684.9</c:v>
                </c:pt>
                <c:pt idx="59">
                  <c:v>1684.95</c:v>
                </c:pt>
                <c:pt idx="60">
                  <c:v>1685</c:v>
                </c:pt>
                <c:pt idx="61">
                  <c:v>1685.05</c:v>
                </c:pt>
                <c:pt idx="62">
                  <c:v>1685.1</c:v>
                </c:pt>
                <c:pt idx="63">
                  <c:v>1685.15</c:v>
                </c:pt>
                <c:pt idx="64">
                  <c:v>1685.2</c:v>
                </c:pt>
                <c:pt idx="65">
                  <c:v>1685.25</c:v>
                </c:pt>
                <c:pt idx="66">
                  <c:v>1685.3</c:v>
                </c:pt>
                <c:pt idx="67">
                  <c:v>1685.35</c:v>
                </c:pt>
                <c:pt idx="68">
                  <c:v>1685.4</c:v>
                </c:pt>
                <c:pt idx="69">
                  <c:v>1685.45</c:v>
                </c:pt>
                <c:pt idx="70">
                  <c:v>1685.5</c:v>
                </c:pt>
                <c:pt idx="71">
                  <c:v>1685.55</c:v>
                </c:pt>
                <c:pt idx="72">
                  <c:v>1685.6</c:v>
                </c:pt>
                <c:pt idx="73">
                  <c:v>1685.65</c:v>
                </c:pt>
                <c:pt idx="74">
                  <c:v>1685.7</c:v>
                </c:pt>
                <c:pt idx="75">
                  <c:v>1685.75</c:v>
                </c:pt>
                <c:pt idx="76">
                  <c:v>1685.8</c:v>
                </c:pt>
                <c:pt idx="77">
                  <c:v>1685.85</c:v>
                </c:pt>
                <c:pt idx="78">
                  <c:v>1685.9</c:v>
                </c:pt>
                <c:pt idx="79">
                  <c:v>1685.95</c:v>
                </c:pt>
                <c:pt idx="80">
                  <c:v>1686</c:v>
                </c:pt>
                <c:pt idx="81">
                  <c:v>1686.05</c:v>
                </c:pt>
                <c:pt idx="82">
                  <c:v>1686.1</c:v>
                </c:pt>
                <c:pt idx="83">
                  <c:v>1686.15</c:v>
                </c:pt>
                <c:pt idx="84">
                  <c:v>1686.2</c:v>
                </c:pt>
                <c:pt idx="85">
                  <c:v>1686.25</c:v>
                </c:pt>
                <c:pt idx="86">
                  <c:v>1686.3</c:v>
                </c:pt>
                <c:pt idx="87">
                  <c:v>1686.35</c:v>
                </c:pt>
                <c:pt idx="88">
                  <c:v>1686.4</c:v>
                </c:pt>
                <c:pt idx="89">
                  <c:v>1686.45</c:v>
                </c:pt>
                <c:pt idx="90">
                  <c:v>1686.5</c:v>
                </c:pt>
                <c:pt idx="91">
                  <c:v>1686.55</c:v>
                </c:pt>
                <c:pt idx="92">
                  <c:v>1686.6</c:v>
                </c:pt>
                <c:pt idx="93">
                  <c:v>1686.65</c:v>
                </c:pt>
                <c:pt idx="94">
                  <c:v>1686.7</c:v>
                </c:pt>
                <c:pt idx="95">
                  <c:v>1686.75</c:v>
                </c:pt>
                <c:pt idx="96">
                  <c:v>1686.8</c:v>
                </c:pt>
                <c:pt idx="97">
                  <c:v>1686.85</c:v>
                </c:pt>
                <c:pt idx="98">
                  <c:v>1686.9</c:v>
                </c:pt>
                <c:pt idx="99">
                  <c:v>1686.95</c:v>
                </c:pt>
                <c:pt idx="100">
                  <c:v>1687</c:v>
                </c:pt>
                <c:pt idx="101">
                  <c:v>1687.05</c:v>
                </c:pt>
                <c:pt idx="102">
                  <c:v>1687.1</c:v>
                </c:pt>
                <c:pt idx="103">
                  <c:v>1687.15</c:v>
                </c:pt>
                <c:pt idx="104">
                  <c:v>1687.2</c:v>
                </c:pt>
                <c:pt idx="105">
                  <c:v>1687.25</c:v>
                </c:pt>
                <c:pt idx="106">
                  <c:v>1687.3</c:v>
                </c:pt>
                <c:pt idx="107">
                  <c:v>1687.35</c:v>
                </c:pt>
                <c:pt idx="108">
                  <c:v>1687.4</c:v>
                </c:pt>
                <c:pt idx="109">
                  <c:v>1687.45</c:v>
                </c:pt>
                <c:pt idx="110">
                  <c:v>1687.5</c:v>
                </c:pt>
                <c:pt idx="111">
                  <c:v>1687.55</c:v>
                </c:pt>
                <c:pt idx="112">
                  <c:v>1687.6</c:v>
                </c:pt>
                <c:pt idx="113">
                  <c:v>1687.65</c:v>
                </c:pt>
                <c:pt idx="114">
                  <c:v>1687.7</c:v>
                </c:pt>
                <c:pt idx="115">
                  <c:v>1687.75</c:v>
                </c:pt>
                <c:pt idx="116">
                  <c:v>1687.8</c:v>
                </c:pt>
                <c:pt idx="117">
                  <c:v>1687.85</c:v>
                </c:pt>
                <c:pt idx="118">
                  <c:v>1687.9</c:v>
                </c:pt>
                <c:pt idx="119">
                  <c:v>1687.95</c:v>
                </c:pt>
                <c:pt idx="120">
                  <c:v>1688</c:v>
                </c:pt>
              </c:numCache>
            </c:numRef>
          </c:xVal>
          <c:yVal>
            <c:numRef>
              <c:f>'Ex 2 FULL 1 50 eV'!$F$2:$F$122</c:f>
              <c:numCache>
                <c:formatCode>0.0000000000</c:formatCode>
                <c:ptCount val="121"/>
                <c:pt idx="0">
                  <c:v>2.7370939000000002E-3</c:v>
                </c:pt>
                <c:pt idx="1">
                  <c:v>3.0524591E-3</c:v>
                </c:pt>
                <c:pt idx="2">
                  <c:v>3.4754708999999999E-3</c:v>
                </c:pt>
                <c:pt idx="3">
                  <c:v>4.0102499000000003E-3</c:v>
                </c:pt>
                <c:pt idx="4">
                  <c:v>4.6990863000000004E-3</c:v>
                </c:pt>
                <c:pt idx="5">
                  <c:v>5.5869403E-3</c:v>
                </c:pt>
                <c:pt idx="6">
                  <c:v>6.7232302000000002E-3</c:v>
                </c:pt>
                <c:pt idx="7">
                  <c:v>8.1897759999999993E-3</c:v>
                </c:pt>
                <c:pt idx="8">
                  <c:v>1.0013273E-2</c:v>
                </c:pt>
                <c:pt idx="9">
                  <c:v>1.2274212E-2</c:v>
                </c:pt>
                <c:pt idx="10">
                  <c:v>1.5064162000000001E-2</c:v>
                </c:pt>
                <c:pt idx="11">
                  <c:v>1.8513373999999999E-2</c:v>
                </c:pt>
                <c:pt idx="12">
                  <c:v>2.2551112000000002E-2</c:v>
                </c:pt>
                <c:pt idx="13">
                  <c:v>2.7459839E-2</c:v>
                </c:pt>
                <c:pt idx="14">
                  <c:v>3.3179183000000001E-2</c:v>
                </c:pt>
                <c:pt idx="15">
                  <c:v>3.9814572999999999E-2</c:v>
                </c:pt>
                <c:pt idx="16">
                  <c:v>4.7403421000000001E-2</c:v>
                </c:pt>
                <c:pt idx="17">
                  <c:v>5.5631558999999997E-2</c:v>
                </c:pt>
                <c:pt idx="18">
                  <c:v>6.4110473000000001E-2</c:v>
                </c:pt>
                <c:pt idx="19">
                  <c:v>7.2848774000000005E-2</c:v>
                </c:pt>
                <c:pt idx="20">
                  <c:v>8.2017295000000004E-2</c:v>
                </c:pt>
                <c:pt idx="21">
                  <c:v>9.1680355000000005E-2</c:v>
                </c:pt>
                <c:pt idx="22">
                  <c:v>0.10195029999999999</c:v>
                </c:pt>
                <c:pt idx="23">
                  <c:v>0.1119132</c:v>
                </c:pt>
                <c:pt idx="24">
                  <c:v>0.12131079</c:v>
                </c:pt>
                <c:pt idx="25">
                  <c:v>0.13020799</c:v>
                </c:pt>
                <c:pt idx="26">
                  <c:v>0.13859434000000001</c:v>
                </c:pt>
                <c:pt idx="27">
                  <c:v>0.14634345000000001</c:v>
                </c:pt>
                <c:pt idx="28">
                  <c:v>0.15329222000000001</c:v>
                </c:pt>
                <c:pt idx="29">
                  <c:v>0.15941312999999999</c:v>
                </c:pt>
                <c:pt idx="30">
                  <c:v>0.16428645</c:v>
                </c:pt>
                <c:pt idx="31">
                  <c:v>0.16807900000000001</c:v>
                </c:pt>
                <c:pt idx="32">
                  <c:v>0.17151153</c:v>
                </c:pt>
                <c:pt idx="33">
                  <c:v>0.17441438000000001</c:v>
                </c:pt>
                <c:pt idx="34">
                  <c:v>0.17664406999999999</c:v>
                </c:pt>
                <c:pt idx="35">
                  <c:v>0.17803273</c:v>
                </c:pt>
                <c:pt idx="36">
                  <c:v>0.17852177</c:v>
                </c:pt>
                <c:pt idx="37">
                  <c:v>0.17841741</c:v>
                </c:pt>
                <c:pt idx="38">
                  <c:v>0.17827045999999999</c:v>
                </c:pt>
                <c:pt idx="39">
                  <c:v>0.17794119999999999</c:v>
                </c:pt>
                <c:pt idx="40">
                  <c:v>0.17751847000000001</c:v>
                </c:pt>
                <c:pt idx="41">
                  <c:v>0.17716961000000001</c:v>
                </c:pt>
                <c:pt idx="42">
                  <c:v>0.17672081000000001</c:v>
                </c:pt>
                <c:pt idx="43">
                  <c:v>0.17629126000000001</c:v>
                </c:pt>
                <c:pt idx="44">
                  <c:v>0.17587838</c:v>
                </c:pt>
                <c:pt idx="45">
                  <c:v>0.17552669000000001</c:v>
                </c:pt>
                <c:pt idx="46">
                  <c:v>0.17519355</c:v>
                </c:pt>
                <c:pt idx="47">
                  <c:v>0.17493705000000001</c:v>
                </c:pt>
                <c:pt idx="48">
                  <c:v>0.17473833</c:v>
                </c:pt>
                <c:pt idx="49">
                  <c:v>0.17453416999999999</c:v>
                </c:pt>
                <c:pt idx="50">
                  <c:v>0.17441699999999999</c:v>
                </c:pt>
                <c:pt idx="51">
                  <c:v>0.17426474</c:v>
                </c:pt>
                <c:pt idx="52">
                  <c:v>0.17417803000000001</c:v>
                </c:pt>
                <c:pt idx="53">
                  <c:v>0.17418742000000001</c:v>
                </c:pt>
                <c:pt idx="54">
                  <c:v>0.17412730000000001</c:v>
                </c:pt>
                <c:pt idx="55">
                  <c:v>0.17415041000000001</c:v>
                </c:pt>
                <c:pt idx="56">
                  <c:v>0.17410444999999999</c:v>
                </c:pt>
                <c:pt idx="57">
                  <c:v>0.17410967999999999</c:v>
                </c:pt>
                <c:pt idx="58">
                  <c:v>0.17416243000000001</c:v>
                </c:pt>
                <c:pt idx="59">
                  <c:v>0.17417161</c:v>
                </c:pt>
                <c:pt idx="60">
                  <c:v>0.17417605</c:v>
                </c:pt>
                <c:pt idx="61">
                  <c:v>0.1742108</c:v>
                </c:pt>
                <c:pt idx="62">
                  <c:v>0.1742484</c:v>
                </c:pt>
                <c:pt idx="63">
                  <c:v>0.17428927</c:v>
                </c:pt>
                <c:pt idx="64">
                  <c:v>0.17431190999999999</c:v>
                </c:pt>
                <c:pt idx="65">
                  <c:v>0.17434031</c:v>
                </c:pt>
                <c:pt idx="66">
                  <c:v>0.17438139</c:v>
                </c:pt>
                <c:pt idx="67">
                  <c:v>0.17442439000000001</c:v>
                </c:pt>
                <c:pt idx="68">
                  <c:v>0.17444836999999999</c:v>
                </c:pt>
                <c:pt idx="69">
                  <c:v>0.17449586</c:v>
                </c:pt>
                <c:pt idx="70">
                  <c:v>0.17452546999999999</c:v>
                </c:pt>
                <c:pt idx="71">
                  <c:v>0.17454185999999999</c:v>
                </c:pt>
                <c:pt idx="72">
                  <c:v>0.17458604</c:v>
                </c:pt>
                <c:pt idx="73">
                  <c:v>0.17460084000000001</c:v>
                </c:pt>
                <c:pt idx="74">
                  <c:v>0.17462697999999999</c:v>
                </c:pt>
                <c:pt idx="75">
                  <c:v>0.17464880999999999</c:v>
                </c:pt>
                <c:pt idx="76">
                  <c:v>0.17467329000000001</c:v>
                </c:pt>
                <c:pt idx="77">
                  <c:v>0.17470911</c:v>
                </c:pt>
                <c:pt idx="78">
                  <c:v>0.17472373999999999</c:v>
                </c:pt>
                <c:pt idx="79">
                  <c:v>0.17474824</c:v>
                </c:pt>
                <c:pt idx="80">
                  <c:v>0.17475961000000001</c:v>
                </c:pt>
                <c:pt idx="81">
                  <c:v>0.17476837000000001</c:v>
                </c:pt>
                <c:pt idx="82">
                  <c:v>0.17479033999999999</c:v>
                </c:pt>
                <c:pt idx="83">
                  <c:v>0.17480856</c:v>
                </c:pt>
                <c:pt idx="84">
                  <c:v>0.17481828999999999</c:v>
                </c:pt>
                <c:pt idx="85">
                  <c:v>0.17481959999999999</c:v>
                </c:pt>
                <c:pt idx="86">
                  <c:v>0.17482734</c:v>
                </c:pt>
                <c:pt idx="87">
                  <c:v>0.17483322000000001</c:v>
                </c:pt>
                <c:pt idx="88">
                  <c:v>0.17484568</c:v>
                </c:pt>
                <c:pt idx="89">
                  <c:v>0.17484417999999999</c:v>
                </c:pt>
                <c:pt idx="90">
                  <c:v>0.17484197000000001</c:v>
                </c:pt>
                <c:pt idx="91">
                  <c:v>0.17484533999999999</c:v>
                </c:pt>
                <c:pt idx="92">
                  <c:v>0.17483908000000001</c:v>
                </c:pt>
                <c:pt idx="93">
                  <c:v>0.17484875</c:v>
                </c:pt>
                <c:pt idx="94">
                  <c:v>0.17484986999999999</c:v>
                </c:pt>
                <c:pt idx="95">
                  <c:v>0.17483040999999999</c:v>
                </c:pt>
                <c:pt idx="96">
                  <c:v>0.17483209</c:v>
                </c:pt>
                <c:pt idx="97">
                  <c:v>0.17482545999999999</c:v>
                </c:pt>
                <c:pt idx="98">
                  <c:v>0.17482165</c:v>
                </c:pt>
                <c:pt idx="99">
                  <c:v>0.17481352</c:v>
                </c:pt>
                <c:pt idx="100">
                  <c:v>0.17481147999999999</c:v>
                </c:pt>
                <c:pt idx="101">
                  <c:v>0.17480551999999999</c:v>
                </c:pt>
                <c:pt idx="102">
                  <c:v>0.17480560000000001</c:v>
                </c:pt>
                <c:pt idx="103">
                  <c:v>0.17479285999999999</c:v>
                </c:pt>
                <c:pt idx="104">
                  <c:v>0.1747988</c:v>
                </c:pt>
                <c:pt idx="105">
                  <c:v>0.17478668999999999</c:v>
                </c:pt>
                <c:pt idx="106">
                  <c:v>0.17477672</c:v>
                </c:pt>
                <c:pt idx="107">
                  <c:v>0.17477012</c:v>
                </c:pt>
                <c:pt idx="108">
                  <c:v>0.17476311</c:v>
                </c:pt>
                <c:pt idx="109">
                  <c:v>0.17476778000000001</c:v>
                </c:pt>
                <c:pt idx="110">
                  <c:v>0.1747908</c:v>
                </c:pt>
                <c:pt idx="111">
                  <c:v>0.17477264000000001</c:v>
                </c:pt>
                <c:pt idx="112">
                  <c:v>0.17476555999999999</c:v>
                </c:pt>
                <c:pt idx="113">
                  <c:v>0.17476771999999999</c:v>
                </c:pt>
                <c:pt idx="114">
                  <c:v>0.17476082000000001</c:v>
                </c:pt>
                <c:pt idx="115">
                  <c:v>0.17476506999999999</c:v>
                </c:pt>
                <c:pt idx="116">
                  <c:v>0.17476699000000001</c:v>
                </c:pt>
                <c:pt idx="117">
                  <c:v>0.17476347</c:v>
                </c:pt>
                <c:pt idx="118">
                  <c:v>0.17476644999999999</c:v>
                </c:pt>
                <c:pt idx="119">
                  <c:v>0.17478518000000001</c:v>
                </c:pt>
                <c:pt idx="120">
                  <c:v>0.17478136999999999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79-4E31-AF1A-38B8CB825A7D}"/>
            </c:ext>
          </c:extLst>
        </c:ser>
        <c:ser>
          <c:idx val="1"/>
          <c:order val="1"/>
          <c:tx>
            <c:v>SIMNRA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 2 FULL 1 50 eV'!$H$2:$H$142</c:f>
              <c:numCache>
                <c:formatCode>General</c:formatCode>
                <c:ptCount val="141"/>
                <c:pt idx="0">
                  <c:v>1681</c:v>
                </c:pt>
                <c:pt idx="1">
                  <c:v>1681.05</c:v>
                </c:pt>
                <c:pt idx="2">
                  <c:v>1681.1</c:v>
                </c:pt>
                <c:pt idx="3">
                  <c:v>1681.15</c:v>
                </c:pt>
                <c:pt idx="4">
                  <c:v>1681.2</c:v>
                </c:pt>
                <c:pt idx="5">
                  <c:v>1681.25</c:v>
                </c:pt>
                <c:pt idx="6">
                  <c:v>1681.3</c:v>
                </c:pt>
                <c:pt idx="7">
                  <c:v>1681.35</c:v>
                </c:pt>
                <c:pt idx="8">
                  <c:v>1681.4</c:v>
                </c:pt>
                <c:pt idx="9">
                  <c:v>1681.45</c:v>
                </c:pt>
                <c:pt idx="10">
                  <c:v>1681.5</c:v>
                </c:pt>
                <c:pt idx="11">
                  <c:v>1681.55</c:v>
                </c:pt>
                <c:pt idx="12">
                  <c:v>1681.6</c:v>
                </c:pt>
                <c:pt idx="13">
                  <c:v>1681.65</c:v>
                </c:pt>
                <c:pt idx="14">
                  <c:v>1681.7</c:v>
                </c:pt>
                <c:pt idx="15">
                  <c:v>1681.75</c:v>
                </c:pt>
                <c:pt idx="16">
                  <c:v>1681.8</c:v>
                </c:pt>
                <c:pt idx="17">
                  <c:v>1681.85</c:v>
                </c:pt>
                <c:pt idx="18">
                  <c:v>1681.9</c:v>
                </c:pt>
                <c:pt idx="19">
                  <c:v>1681.95</c:v>
                </c:pt>
                <c:pt idx="20">
                  <c:v>1682</c:v>
                </c:pt>
                <c:pt idx="21">
                  <c:v>1682.05</c:v>
                </c:pt>
                <c:pt idx="22">
                  <c:v>1682.1</c:v>
                </c:pt>
                <c:pt idx="23">
                  <c:v>1682.15</c:v>
                </c:pt>
                <c:pt idx="24">
                  <c:v>1682.2</c:v>
                </c:pt>
                <c:pt idx="25">
                  <c:v>1682.25</c:v>
                </c:pt>
                <c:pt idx="26">
                  <c:v>1682.3</c:v>
                </c:pt>
                <c:pt idx="27">
                  <c:v>1682.35</c:v>
                </c:pt>
                <c:pt idx="28">
                  <c:v>1682.4</c:v>
                </c:pt>
                <c:pt idx="29">
                  <c:v>1682.45</c:v>
                </c:pt>
                <c:pt idx="30">
                  <c:v>1682.5</c:v>
                </c:pt>
                <c:pt idx="31">
                  <c:v>1682.55</c:v>
                </c:pt>
                <c:pt idx="32">
                  <c:v>1682.6</c:v>
                </c:pt>
                <c:pt idx="33">
                  <c:v>1682.65</c:v>
                </c:pt>
                <c:pt idx="34">
                  <c:v>1682.7</c:v>
                </c:pt>
                <c:pt idx="35">
                  <c:v>1682.75</c:v>
                </c:pt>
                <c:pt idx="36">
                  <c:v>1682.8</c:v>
                </c:pt>
                <c:pt idx="37">
                  <c:v>1682.85</c:v>
                </c:pt>
                <c:pt idx="38">
                  <c:v>1682.9</c:v>
                </c:pt>
                <c:pt idx="39">
                  <c:v>1682.95</c:v>
                </c:pt>
                <c:pt idx="40">
                  <c:v>1683</c:v>
                </c:pt>
                <c:pt idx="41">
                  <c:v>1683.05</c:v>
                </c:pt>
                <c:pt idx="42">
                  <c:v>1683.1</c:v>
                </c:pt>
                <c:pt idx="43">
                  <c:v>1683.15</c:v>
                </c:pt>
                <c:pt idx="44">
                  <c:v>1683.2</c:v>
                </c:pt>
                <c:pt idx="45">
                  <c:v>1683.25</c:v>
                </c:pt>
                <c:pt idx="46">
                  <c:v>1683.3</c:v>
                </c:pt>
                <c:pt idx="47">
                  <c:v>1683.35</c:v>
                </c:pt>
                <c:pt idx="48">
                  <c:v>1683.4</c:v>
                </c:pt>
                <c:pt idx="49">
                  <c:v>1683.45</c:v>
                </c:pt>
                <c:pt idx="50">
                  <c:v>1683.5</c:v>
                </c:pt>
                <c:pt idx="51">
                  <c:v>1683.55</c:v>
                </c:pt>
                <c:pt idx="52">
                  <c:v>1683.6</c:v>
                </c:pt>
                <c:pt idx="53">
                  <c:v>1683.65</c:v>
                </c:pt>
                <c:pt idx="54">
                  <c:v>1683.7</c:v>
                </c:pt>
                <c:pt idx="55">
                  <c:v>1683.75</c:v>
                </c:pt>
                <c:pt idx="56">
                  <c:v>1683.8</c:v>
                </c:pt>
                <c:pt idx="57">
                  <c:v>1683.85</c:v>
                </c:pt>
                <c:pt idx="58">
                  <c:v>1683.9</c:v>
                </c:pt>
                <c:pt idx="59">
                  <c:v>1683.95</c:v>
                </c:pt>
                <c:pt idx="60">
                  <c:v>1684</c:v>
                </c:pt>
                <c:pt idx="61">
                  <c:v>1684.05</c:v>
                </c:pt>
                <c:pt idx="62">
                  <c:v>1684.1</c:v>
                </c:pt>
                <c:pt idx="63">
                  <c:v>1684.15</c:v>
                </c:pt>
                <c:pt idx="64">
                  <c:v>1684.2</c:v>
                </c:pt>
                <c:pt idx="65">
                  <c:v>1684.25</c:v>
                </c:pt>
                <c:pt idx="66">
                  <c:v>1684.3</c:v>
                </c:pt>
                <c:pt idx="67">
                  <c:v>1684.35</c:v>
                </c:pt>
                <c:pt idx="68">
                  <c:v>1684.4</c:v>
                </c:pt>
                <c:pt idx="69">
                  <c:v>1684.45</c:v>
                </c:pt>
                <c:pt idx="70">
                  <c:v>1684.5</c:v>
                </c:pt>
                <c:pt idx="71">
                  <c:v>1684.55</c:v>
                </c:pt>
                <c:pt idx="72">
                  <c:v>1684.6</c:v>
                </c:pt>
                <c:pt idx="73">
                  <c:v>1684.65</c:v>
                </c:pt>
                <c:pt idx="74">
                  <c:v>1684.7</c:v>
                </c:pt>
                <c:pt idx="75">
                  <c:v>1684.75</c:v>
                </c:pt>
                <c:pt idx="76">
                  <c:v>1684.8</c:v>
                </c:pt>
                <c:pt idx="77">
                  <c:v>1684.85</c:v>
                </c:pt>
                <c:pt idx="78">
                  <c:v>1684.9</c:v>
                </c:pt>
                <c:pt idx="79">
                  <c:v>1684.95</c:v>
                </c:pt>
                <c:pt idx="80">
                  <c:v>1685</c:v>
                </c:pt>
                <c:pt idx="81">
                  <c:v>1685.05</c:v>
                </c:pt>
                <c:pt idx="82">
                  <c:v>1685.1</c:v>
                </c:pt>
                <c:pt idx="83">
                  <c:v>1685.15</c:v>
                </c:pt>
                <c:pt idx="84">
                  <c:v>1685.2</c:v>
                </c:pt>
                <c:pt idx="85">
                  <c:v>1685.25</c:v>
                </c:pt>
                <c:pt idx="86">
                  <c:v>1685.3</c:v>
                </c:pt>
                <c:pt idx="87">
                  <c:v>1685.35</c:v>
                </c:pt>
                <c:pt idx="88">
                  <c:v>1685.4</c:v>
                </c:pt>
                <c:pt idx="89">
                  <c:v>1685.45</c:v>
                </c:pt>
                <c:pt idx="90">
                  <c:v>1685.5</c:v>
                </c:pt>
                <c:pt idx="91">
                  <c:v>1685.55</c:v>
                </c:pt>
                <c:pt idx="92">
                  <c:v>1685.6</c:v>
                </c:pt>
                <c:pt idx="93">
                  <c:v>1685.65</c:v>
                </c:pt>
                <c:pt idx="94">
                  <c:v>1685.7</c:v>
                </c:pt>
                <c:pt idx="95">
                  <c:v>1685.75</c:v>
                </c:pt>
                <c:pt idx="96">
                  <c:v>1685.8</c:v>
                </c:pt>
                <c:pt idx="97">
                  <c:v>1685.85</c:v>
                </c:pt>
                <c:pt idx="98">
                  <c:v>1685.9</c:v>
                </c:pt>
                <c:pt idx="99">
                  <c:v>1685.95</c:v>
                </c:pt>
                <c:pt idx="100">
                  <c:v>1686</c:v>
                </c:pt>
                <c:pt idx="101">
                  <c:v>1686.05</c:v>
                </c:pt>
                <c:pt idx="102">
                  <c:v>1686.1</c:v>
                </c:pt>
                <c:pt idx="103">
                  <c:v>1686.15</c:v>
                </c:pt>
                <c:pt idx="104">
                  <c:v>1686.2</c:v>
                </c:pt>
                <c:pt idx="105">
                  <c:v>1686.25</c:v>
                </c:pt>
                <c:pt idx="106">
                  <c:v>1686.3</c:v>
                </c:pt>
                <c:pt idx="107">
                  <c:v>1686.35</c:v>
                </c:pt>
                <c:pt idx="108">
                  <c:v>1686.4</c:v>
                </c:pt>
                <c:pt idx="109">
                  <c:v>1686.45</c:v>
                </c:pt>
                <c:pt idx="110">
                  <c:v>1686.5</c:v>
                </c:pt>
                <c:pt idx="111">
                  <c:v>1686.55</c:v>
                </c:pt>
                <c:pt idx="112">
                  <c:v>1686.6</c:v>
                </c:pt>
                <c:pt idx="113">
                  <c:v>1686.65</c:v>
                </c:pt>
                <c:pt idx="114">
                  <c:v>1686.7</c:v>
                </c:pt>
                <c:pt idx="115">
                  <c:v>1686.75</c:v>
                </c:pt>
                <c:pt idx="116">
                  <c:v>1686.8</c:v>
                </c:pt>
                <c:pt idx="117">
                  <c:v>1686.85</c:v>
                </c:pt>
                <c:pt idx="118">
                  <c:v>1686.9</c:v>
                </c:pt>
                <c:pt idx="119">
                  <c:v>1686.95</c:v>
                </c:pt>
                <c:pt idx="120">
                  <c:v>1687</c:v>
                </c:pt>
                <c:pt idx="121">
                  <c:v>1687.05</c:v>
                </c:pt>
                <c:pt idx="122">
                  <c:v>1687.1</c:v>
                </c:pt>
                <c:pt idx="123">
                  <c:v>1687.15</c:v>
                </c:pt>
                <c:pt idx="124">
                  <c:v>1687.2</c:v>
                </c:pt>
                <c:pt idx="125">
                  <c:v>1687.25</c:v>
                </c:pt>
                <c:pt idx="126">
                  <c:v>1687.3</c:v>
                </c:pt>
                <c:pt idx="127">
                  <c:v>1687.35</c:v>
                </c:pt>
                <c:pt idx="128">
                  <c:v>1687.4</c:v>
                </c:pt>
                <c:pt idx="129">
                  <c:v>1687.45</c:v>
                </c:pt>
                <c:pt idx="130">
                  <c:v>1687.5</c:v>
                </c:pt>
                <c:pt idx="131">
                  <c:v>1687.55</c:v>
                </c:pt>
                <c:pt idx="132">
                  <c:v>1687.6</c:v>
                </c:pt>
                <c:pt idx="133">
                  <c:v>1687.65</c:v>
                </c:pt>
                <c:pt idx="134">
                  <c:v>1687.7</c:v>
                </c:pt>
                <c:pt idx="135">
                  <c:v>1687.75</c:v>
                </c:pt>
                <c:pt idx="136">
                  <c:v>1687.8</c:v>
                </c:pt>
                <c:pt idx="137">
                  <c:v>1687.85</c:v>
                </c:pt>
                <c:pt idx="138">
                  <c:v>1687.9</c:v>
                </c:pt>
                <c:pt idx="139">
                  <c:v>1687.95</c:v>
                </c:pt>
                <c:pt idx="140">
                  <c:v>1688</c:v>
                </c:pt>
              </c:numCache>
            </c:numRef>
          </c:xVal>
          <c:yVal>
            <c:numRef>
              <c:f>'Ex 2 FULL 1 50 eV'!$I$2:$I$142</c:f>
              <c:numCache>
                <c:formatCode>0.00000000000000</c:formatCode>
                <c:ptCount val="141"/>
                <c:pt idx="0">
                  <c:v>8.35239556988702E-4</c:v>
                </c:pt>
                <c:pt idx="1">
                  <c:v>8.7127963241903205E-4</c:v>
                </c:pt>
                <c:pt idx="2">
                  <c:v>9.0925972884138703E-4</c:v>
                </c:pt>
                <c:pt idx="3">
                  <c:v>9.4934471626188105E-4</c:v>
                </c:pt>
                <c:pt idx="4">
                  <c:v>9.91719580401063E-4</c:v>
                </c:pt>
                <c:pt idx="5">
                  <c:v>1.0365929269842201E-3</c:v>
                </c:pt>
                <c:pt idx="6">
                  <c:v>1.0841995888372E-3</c:v>
                </c:pt>
                <c:pt idx="7">
                  <c:v>1.1348055750620401E-3</c:v>
                </c:pt>
                <c:pt idx="8">
                  <c:v>1.1887165105571699E-3</c:v>
                </c:pt>
                <c:pt idx="9">
                  <c:v>1.2462842950851801E-3</c:v>
                </c:pt>
                <c:pt idx="10">
                  <c:v>1.30791756170697E-3</c:v>
                </c:pt>
                <c:pt idx="11">
                  <c:v>1.37409572201772E-3</c:v>
                </c:pt>
                <c:pt idx="12">
                  <c:v>1.4453838309079999E-3</c:v>
                </c:pt>
                <c:pt idx="13">
                  <c:v>1.5224558887805099E-3</c:v>
                </c:pt>
                <c:pt idx="14">
                  <c:v>1.6061305392969501E-3</c:v>
                </c:pt>
                <c:pt idx="15">
                  <c:v>1.6974119071067599E-3</c:v>
                </c:pt>
                <c:pt idx="16">
                  <c:v>1.7975485895810701E-3</c:v>
                </c:pt>
                <c:pt idx="17">
                  <c:v>1.90811613558101E-3</c:v>
                </c:pt>
                <c:pt idx="18">
                  <c:v>2.0311299336521101E-3</c:v>
                </c:pt>
                <c:pt idx="19">
                  <c:v>2.1691990592895699E-3</c:v>
                </c:pt>
                <c:pt idx="20">
                  <c:v>2.32575779256707E-3</c:v>
                </c:pt>
                <c:pt idx="21">
                  <c:v>2.5053869041782098E-3</c:v>
                </c:pt>
                <c:pt idx="22">
                  <c:v>2.7142766417609502E-3</c:v>
                </c:pt>
                <c:pt idx="23">
                  <c:v>2.9609120384885301E-3</c:v>
                </c:pt>
                <c:pt idx="24">
                  <c:v>3.25706455762793E-3</c:v>
                </c:pt>
                <c:pt idx="25">
                  <c:v>3.6192369781207598E-3</c:v>
                </c:pt>
                <c:pt idx="26">
                  <c:v>4.0707523171846496E-3</c:v>
                </c:pt>
                <c:pt idx="27">
                  <c:v>4.6447448141404297E-3</c:v>
                </c:pt>
                <c:pt idx="28">
                  <c:v>5.3884022712208501E-3</c:v>
                </c:pt>
                <c:pt idx="29">
                  <c:v>6.3688804206117298E-3</c:v>
                </c:pt>
                <c:pt idx="30">
                  <c:v>7.6812645316553397E-3</c:v>
                </c:pt>
                <c:pt idx="31">
                  <c:v>9.4584019704718504E-3</c:v>
                </c:pt>
                <c:pt idx="32">
                  <c:v>1.18805999689081E-2</c:v>
                </c:pt>
                <c:pt idx="33">
                  <c:v>1.51793063612199E-2</c:v>
                </c:pt>
                <c:pt idx="34">
                  <c:v>1.96240007436062E-2</c:v>
                </c:pt>
                <c:pt idx="35">
                  <c:v>2.5480708106691299E-2</c:v>
                </c:pt>
                <c:pt idx="36">
                  <c:v>3.2940919279102997E-2</c:v>
                </c:pt>
                <c:pt idx="37">
                  <c:v>4.2041150885602202E-2</c:v>
                </c:pt>
                <c:pt idx="38">
                  <c:v>5.2611345224152103E-2</c:v>
                </c:pt>
                <c:pt idx="39">
                  <c:v>6.4285429464773503E-2</c:v>
                </c:pt>
                <c:pt idx="40">
                  <c:v>7.6576975950533796E-2</c:v>
                </c:pt>
                <c:pt idx="41">
                  <c:v>8.8987663963635694E-2</c:v>
                </c:pt>
                <c:pt idx="42">
                  <c:v>0.10109979621246901</c:v>
                </c:pt>
                <c:pt idx="43">
                  <c:v>0.112607559163247</c:v>
                </c:pt>
                <c:pt idx="44">
                  <c:v>0.123265032895164</c:v>
                </c:pt>
                <c:pt idx="45">
                  <c:v>0.132850396077176</c:v>
                </c:pt>
                <c:pt idx="46">
                  <c:v>0.14126223101270799</c:v>
                </c:pt>
                <c:pt idx="47">
                  <c:v>0.14850936588289501</c:v>
                </c:pt>
                <c:pt idx="48">
                  <c:v>0.15466284404462899</c:v>
                </c:pt>
                <c:pt idx="49">
                  <c:v>0.15982255330793299</c:v>
                </c:pt>
                <c:pt idx="50">
                  <c:v>0.164098006194105</c:v>
                </c:pt>
                <c:pt idx="51">
                  <c:v>0.16759879359117699</c:v>
                </c:pt>
                <c:pt idx="52">
                  <c:v>0.17042983533897499</c:v>
                </c:pt>
                <c:pt idx="53">
                  <c:v>0.17268870049683599</c:v>
                </c:pt>
                <c:pt idx="54">
                  <c:v>0.17446384626647299</c:v>
                </c:pt>
                <c:pt idx="55">
                  <c:v>0.17583455481070001</c:v>
                </c:pt>
                <c:pt idx="56">
                  <c:v>0.176870381470286</c:v>
                </c:pt>
                <c:pt idx="57">
                  <c:v>0.177632109559305</c:v>
                </c:pt>
                <c:pt idx="58">
                  <c:v>0.178171669261323</c:v>
                </c:pt>
                <c:pt idx="59">
                  <c:v>0.178533494736903</c:v>
                </c:pt>
                <c:pt idx="60">
                  <c:v>0.17875495401484001</c:v>
                </c:pt>
                <c:pt idx="61">
                  <c:v>0.178867088806105</c:v>
                </c:pt>
                <c:pt idx="62">
                  <c:v>0.178895465128385</c:v>
                </c:pt>
                <c:pt idx="63">
                  <c:v>0.17886103084416699</c:v>
                </c:pt>
                <c:pt idx="64">
                  <c:v>0.178780575989792</c:v>
                </c:pt>
                <c:pt idx="65">
                  <c:v>0.17866737980617001</c:v>
                </c:pt>
                <c:pt idx="66">
                  <c:v>0.178531951444689</c:v>
                </c:pt>
                <c:pt idx="67">
                  <c:v>0.17838239697623701</c:v>
                </c:pt>
                <c:pt idx="68">
                  <c:v>0.178224941707916</c:v>
                </c:pt>
                <c:pt idx="69">
                  <c:v>0.178064219523316</c:v>
                </c:pt>
                <c:pt idx="70">
                  <c:v>0.17790365022736801</c:v>
                </c:pt>
                <c:pt idx="71">
                  <c:v>0.17774568862849399</c:v>
                </c:pt>
                <c:pt idx="72">
                  <c:v>0.177592036802246</c:v>
                </c:pt>
                <c:pt idx="73">
                  <c:v>0.17744382889052299</c:v>
                </c:pt>
                <c:pt idx="74">
                  <c:v>0.17730177769497099</c:v>
                </c:pt>
                <c:pt idx="75">
                  <c:v>0.17716628851817001</c:v>
                </c:pt>
                <c:pt idx="76">
                  <c:v>0.17703752155482699</c:v>
                </c:pt>
                <c:pt idx="77">
                  <c:v>0.17691548432097201</c:v>
                </c:pt>
                <c:pt idx="78">
                  <c:v>0.17680008111265599</c:v>
                </c:pt>
                <c:pt idx="79">
                  <c:v>0.17669113286820701</c:v>
                </c:pt>
                <c:pt idx="80">
                  <c:v>0.176588424540435</c:v>
                </c:pt>
                <c:pt idx="81">
                  <c:v>0.17649169419129801</c:v>
                </c:pt>
                <c:pt idx="82">
                  <c:v>0.176400659315846</c:v>
                </c:pt>
                <c:pt idx="83">
                  <c:v>0.176315033139026</c:v>
                </c:pt>
                <c:pt idx="84">
                  <c:v>0.17623453302925701</c:v>
                </c:pt>
                <c:pt idx="85">
                  <c:v>0.17615889917064601</c:v>
                </c:pt>
                <c:pt idx="86">
                  <c:v>0.17608787284271399</c:v>
                </c:pt>
                <c:pt idx="87">
                  <c:v>0.17602118297081701</c:v>
                </c:pt>
                <c:pt idx="88">
                  <c:v>0.17595858187285501</c:v>
                </c:pt>
                <c:pt idx="89">
                  <c:v>0.17589984926617699</c:v>
                </c:pt>
                <c:pt idx="90">
                  <c:v>0.17584476382348899</c:v>
                </c:pt>
                <c:pt idx="91">
                  <c:v>0.17579310931299</c:v>
                </c:pt>
                <c:pt idx="92">
                  <c:v>0.17574468740031199</c:v>
                </c:pt>
                <c:pt idx="93">
                  <c:v>0.175699319643114</c:v>
                </c:pt>
                <c:pt idx="94">
                  <c:v>0.175656825350888</c:v>
                </c:pt>
                <c:pt idx="95">
                  <c:v>0.17561702807996199</c:v>
                </c:pt>
                <c:pt idx="96">
                  <c:v>0.17557977964785201</c:v>
                </c:pt>
                <c:pt idx="97">
                  <c:v>0.17554493425630899</c:v>
                </c:pt>
                <c:pt idx="98">
                  <c:v>0.1755123467487</c:v>
                </c:pt>
                <c:pt idx="99">
                  <c:v>0.175481890091712</c:v>
                </c:pt>
                <c:pt idx="100">
                  <c:v>0.17545344153921</c:v>
                </c:pt>
                <c:pt idx="101">
                  <c:v>0.17542687932467799</c:v>
                </c:pt>
                <c:pt idx="102">
                  <c:v>0.17540209656140099</c:v>
                </c:pt>
                <c:pt idx="103">
                  <c:v>0.17537899177598101</c:v>
                </c:pt>
                <c:pt idx="104">
                  <c:v>0.17535746305711</c:v>
                </c:pt>
                <c:pt idx="105">
                  <c:v>0.17533742240766301</c:v>
                </c:pt>
                <c:pt idx="106">
                  <c:v>0.175318779028413</c:v>
                </c:pt>
                <c:pt idx="107">
                  <c:v>0.175301451863456</c:v>
                </c:pt>
                <c:pt idx="108">
                  <c:v>0.175285366938082</c:v>
                </c:pt>
                <c:pt idx="109">
                  <c:v>0.17527045247048301</c:v>
                </c:pt>
                <c:pt idx="110">
                  <c:v>0.17525664287728701</c:v>
                </c:pt>
                <c:pt idx="111">
                  <c:v>0.175243870277519</c:v>
                </c:pt>
                <c:pt idx="112">
                  <c:v>0.17523207388631201</c:v>
                </c:pt>
                <c:pt idx="113">
                  <c:v>0.17522119751774801</c:v>
                </c:pt>
                <c:pt idx="114">
                  <c:v>0.17521118530464999</c:v>
                </c:pt>
                <c:pt idx="115">
                  <c:v>0.175201987460676</c:v>
                </c:pt>
                <c:pt idx="116">
                  <c:v>0.17519355499030601</c:v>
                </c:pt>
                <c:pt idx="117">
                  <c:v>0.175185842222153</c:v>
                </c:pt>
                <c:pt idx="118">
                  <c:v>0.175178809433164</c:v>
                </c:pt>
                <c:pt idx="119">
                  <c:v>0.17517241656676599</c:v>
                </c:pt>
                <c:pt idx="120">
                  <c:v>0.17516662632225</c:v>
                </c:pt>
                <c:pt idx="121">
                  <c:v>0.175161399906756</c:v>
                </c:pt>
                <c:pt idx="122">
                  <c:v>0.17515670473258399</c:v>
                </c:pt>
                <c:pt idx="123">
                  <c:v>0.175152507018072</c:v>
                </c:pt>
                <c:pt idx="124">
                  <c:v>0.175148777042825</c:v>
                </c:pt>
                <c:pt idx="125">
                  <c:v>0.17514548646112199</c:v>
                </c:pt>
                <c:pt idx="126">
                  <c:v>0.175142606063516</c:v>
                </c:pt>
                <c:pt idx="127">
                  <c:v>0.17514010903396801</c:v>
                </c:pt>
                <c:pt idx="128">
                  <c:v>0.17513796935517301</c:v>
                </c:pt>
                <c:pt idx="129">
                  <c:v>0.17513616096752499</c:v>
                </c:pt>
                <c:pt idx="130">
                  <c:v>0.175134654758028</c:v>
                </c:pt>
                <c:pt idx="131">
                  <c:v>0.17513342139034799</c:v>
                </c:pt>
                <c:pt idx="132">
                  <c:v>0.175132425274446</c:v>
                </c:pt>
                <c:pt idx="133">
                  <c:v>0.17513162818707101</c:v>
                </c:pt>
                <c:pt idx="134">
                  <c:v>0.175130980909776</c:v>
                </c:pt>
                <c:pt idx="135">
                  <c:v>0.17513042084960301</c:v>
                </c:pt>
                <c:pt idx="136">
                  <c:v>0.175129871174632</c:v>
                </c:pt>
                <c:pt idx="137">
                  <c:v>0.17512925119878001</c:v>
                </c:pt>
                <c:pt idx="138">
                  <c:v>0.175128480547973</c:v>
                </c:pt>
                <c:pt idx="139">
                  <c:v>0.17512749591092899</c:v>
                </c:pt>
                <c:pt idx="140">
                  <c:v>0.17512625456099901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D79-4E31-AF1A-38B8CB825A7D}"/>
            </c:ext>
          </c:extLst>
        </c:ser>
        <c:ser>
          <c:idx val="2"/>
          <c:order val="2"/>
          <c:tx>
            <c:v>SPACES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'Ex 2 FULL 1 50 eV'!$A$2:$A$638</c:f>
              <c:numCache>
                <c:formatCode>General</c:formatCode>
                <c:ptCount val="637"/>
                <c:pt idx="0">
                  <c:v>1674.2346</c:v>
                </c:pt>
                <c:pt idx="1">
                  <c:v>1674.2846300000001</c:v>
                </c:pt>
                <c:pt idx="2">
                  <c:v>1674.33466</c:v>
                </c:pt>
                <c:pt idx="3">
                  <c:v>1674.3847000000001</c:v>
                </c:pt>
                <c:pt idx="4">
                  <c:v>1674.4347299999999</c:v>
                </c:pt>
                <c:pt idx="5">
                  <c:v>1674.4847600000001</c:v>
                </c:pt>
                <c:pt idx="6">
                  <c:v>1674.5347899999999</c:v>
                </c:pt>
                <c:pt idx="7">
                  <c:v>1674.58482</c:v>
                </c:pt>
                <c:pt idx="8">
                  <c:v>1674.6348499999999</c:v>
                </c:pt>
                <c:pt idx="9">
                  <c:v>1674.68489</c:v>
                </c:pt>
                <c:pt idx="10">
                  <c:v>1674.7349200000001</c:v>
                </c:pt>
                <c:pt idx="11">
                  <c:v>1674.78495</c:v>
                </c:pt>
                <c:pt idx="12">
                  <c:v>1674.8349800000001</c:v>
                </c:pt>
                <c:pt idx="13">
                  <c:v>1674.88501</c:v>
                </c:pt>
                <c:pt idx="14">
                  <c:v>1674.9350400000001</c:v>
                </c:pt>
                <c:pt idx="15">
                  <c:v>1674.98507</c:v>
                </c:pt>
                <c:pt idx="16">
                  <c:v>1675.03511</c:v>
                </c:pt>
                <c:pt idx="17">
                  <c:v>1675.0851399999999</c:v>
                </c:pt>
                <c:pt idx="18">
                  <c:v>1675.13517</c:v>
                </c:pt>
                <c:pt idx="19">
                  <c:v>1675.1851999999999</c:v>
                </c:pt>
                <c:pt idx="20">
                  <c:v>1675.23523</c:v>
                </c:pt>
                <c:pt idx="21">
                  <c:v>1675.2852600000001</c:v>
                </c:pt>
                <c:pt idx="22">
                  <c:v>1675.33529</c:v>
                </c:pt>
                <c:pt idx="23">
                  <c:v>1675.3853300000001</c:v>
                </c:pt>
                <c:pt idx="24">
                  <c:v>1675.4353599999999</c:v>
                </c:pt>
                <c:pt idx="25">
                  <c:v>1675.4853900000001</c:v>
                </c:pt>
                <c:pt idx="26">
                  <c:v>1675.5354199999999</c:v>
                </c:pt>
                <c:pt idx="27">
                  <c:v>1675.58545</c:v>
                </c:pt>
                <c:pt idx="28">
                  <c:v>1675.6354799999999</c:v>
                </c:pt>
                <c:pt idx="29">
                  <c:v>1675.68551</c:v>
                </c:pt>
                <c:pt idx="30">
                  <c:v>1675.7355500000001</c:v>
                </c:pt>
                <c:pt idx="31">
                  <c:v>1675.78558</c:v>
                </c:pt>
                <c:pt idx="32">
                  <c:v>1675.8356100000001</c:v>
                </c:pt>
                <c:pt idx="33">
                  <c:v>1675.88564</c:v>
                </c:pt>
                <c:pt idx="34">
                  <c:v>1675.9356700000001</c:v>
                </c:pt>
                <c:pt idx="35">
                  <c:v>1675.9857</c:v>
                </c:pt>
                <c:pt idx="36">
                  <c:v>1676.03574</c:v>
                </c:pt>
                <c:pt idx="37">
                  <c:v>1676.0857699999999</c:v>
                </c:pt>
                <c:pt idx="38">
                  <c:v>1676.1358</c:v>
                </c:pt>
                <c:pt idx="39">
                  <c:v>1676.1858299999999</c:v>
                </c:pt>
                <c:pt idx="40">
                  <c:v>1676.23586</c:v>
                </c:pt>
                <c:pt idx="41">
                  <c:v>1676.2858900000001</c:v>
                </c:pt>
                <c:pt idx="42">
                  <c:v>1676.33592</c:v>
                </c:pt>
                <c:pt idx="43">
                  <c:v>1676.3859600000001</c:v>
                </c:pt>
                <c:pt idx="44">
                  <c:v>1676.4359899999999</c:v>
                </c:pt>
                <c:pt idx="45">
                  <c:v>1676.4860200000001</c:v>
                </c:pt>
                <c:pt idx="46">
                  <c:v>1676.5360499999999</c:v>
                </c:pt>
                <c:pt idx="47">
                  <c:v>1676.58608</c:v>
                </c:pt>
                <c:pt idx="48">
                  <c:v>1676.6361099999999</c:v>
                </c:pt>
                <c:pt idx="49">
                  <c:v>1676.68614</c:v>
                </c:pt>
                <c:pt idx="50">
                  <c:v>1676.7361800000001</c:v>
                </c:pt>
                <c:pt idx="51">
                  <c:v>1676.78621</c:v>
                </c:pt>
                <c:pt idx="52">
                  <c:v>1676.8362400000001</c:v>
                </c:pt>
                <c:pt idx="53">
                  <c:v>1676.88627</c:v>
                </c:pt>
                <c:pt idx="54">
                  <c:v>1676.9363000000001</c:v>
                </c:pt>
                <c:pt idx="55">
                  <c:v>1676.98633</c:v>
                </c:pt>
                <c:pt idx="56">
                  <c:v>1677.0363600000001</c:v>
                </c:pt>
                <c:pt idx="57">
                  <c:v>1677.0863999999999</c:v>
                </c:pt>
                <c:pt idx="58">
                  <c:v>1677.13643</c:v>
                </c:pt>
                <c:pt idx="59">
                  <c:v>1677.1864599999999</c:v>
                </c:pt>
                <c:pt idx="60">
                  <c:v>1677.23649</c:v>
                </c:pt>
                <c:pt idx="61">
                  <c:v>1677.2865200000001</c:v>
                </c:pt>
                <c:pt idx="62">
                  <c:v>1677.33655</c:v>
                </c:pt>
                <c:pt idx="63">
                  <c:v>1677.3865900000001</c:v>
                </c:pt>
                <c:pt idx="64">
                  <c:v>1677.4366199999999</c:v>
                </c:pt>
                <c:pt idx="65">
                  <c:v>1677.4866500000001</c:v>
                </c:pt>
                <c:pt idx="66">
                  <c:v>1677.5366799999999</c:v>
                </c:pt>
                <c:pt idx="67">
                  <c:v>1677.58671</c:v>
                </c:pt>
                <c:pt idx="68">
                  <c:v>1677.6367399999999</c:v>
                </c:pt>
                <c:pt idx="69">
                  <c:v>1677.68677</c:v>
                </c:pt>
                <c:pt idx="70">
                  <c:v>1677.7368100000001</c:v>
                </c:pt>
                <c:pt idx="71">
                  <c:v>1677.78684</c:v>
                </c:pt>
                <c:pt idx="72">
                  <c:v>1677.8368700000001</c:v>
                </c:pt>
                <c:pt idx="73">
                  <c:v>1677.8869</c:v>
                </c:pt>
                <c:pt idx="74">
                  <c:v>1677.9369300000001</c:v>
                </c:pt>
                <c:pt idx="75">
                  <c:v>1677.98696</c:v>
                </c:pt>
                <c:pt idx="76">
                  <c:v>1678.0369900000001</c:v>
                </c:pt>
                <c:pt idx="77">
                  <c:v>1678.0870299999999</c:v>
                </c:pt>
                <c:pt idx="78">
                  <c:v>1678.13706</c:v>
                </c:pt>
                <c:pt idx="79">
                  <c:v>1678.1870899999999</c:v>
                </c:pt>
                <c:pt idx="80">
                  <c:v>1678.23712</c:v>
                </c:pt>
                <c:pt idx="81">
                  <c:v>1678.2871500000001</c:v>
                </c:pt>
                <c:pt idx="82">
                  <c:v>1678.33718</c:v>
                </c:pt>
                <c:pt idx="83">
                  <c:v>1678.3872100000001</c:v>
                </c:pt>
                <c:pt idx="84">
                  <c:v>1678.4372499999999</c:v>
                </c:pt>
                <c:pt idx="85">
                  <c:v>1678.4872800000001</c:v>
                </c:pt>
                <c:pt idx="86">
                  <c:v>1678.5373099999999</c:v>
                </c:pt>
                <c:pt idx="87">
                  <c:v>1678.58734</c:v>
                </c:pt>
                <c:pt idx="88">
                  <c:v>1678.6373699999999</c:v>
                </c:pt>
                <c:pt idx="89">
                  <c:v>1678.6874</c:v>
                </c:pt>
                <c:pt idx="90">
                  <c:v>1678.7374400000001</c:v>
                </c:pt>
                <c:pt idx="91">
                  <c:v>1678.78747</c:v>
                </c:pt>
                <c:pt idx="92">
                  <c:v>1678.8375000000001</c:v>
                </c:pt>
                <c:pt idx="93">
                  <c:v>1678.88753</c:v>
                </c:pt>
                <c:pt idx="94">
                  <c:v>1678.9375600000001</c:v>
                </c:pt>
                <c:pt idx="95">
                  <c:v>1678.98759</c:v>
                </c:pt>
                <c:pt idx="96">
                  <c:v>1679.0376200000001</c:v>
                </c:pt>
                <c:pt idx="97">
                  <c:v>1679.0876599999999</c:v>
                </c:pt>
                <c:pt idx="98">
                  <c:v>1679.13769</c:v>
                </c:pt>
                <c:pt idx="99">
                  <c:v>1679.1877199999999</c:v>
                </c:pt>
                <c:pt idx="100">
                  <c:v>1679.23775</c:v>
                </c:pt>
                <c:pt idx="101">
                  <c:v>1679.2877800000001</c:v>
                </c:pt>
                <c:pt idx="102">
                  <c:v>1679.33781</c:v>
                </c:pt>
                <c:pt idx="103">
                  <c:v>1679.3878400000001</c:v>
                </c:pt>
                <c:pt idx="104">
                  <c:v>1679.43788</c:v>
                </c:pt>
                <c:pt idx="105">
                  <c:v>1679.4879100000001</c:v>
                </c:pt>
                <c:pt idx="106">
                  <c:v>1679.5379399999999</c:v>
                </c:pt>
                <c:pt idx="107">
                  <c:v>1679.58797</c:v>
                </c:pt>
                <c:pt idx="108">
                  <c:v>1679.6379999999999</c:v>
                </c:pt>
                <c:pt idx="109">
                  <c:v>1679.68803</c:v>
                </c:pt>
                <c:pt idx="110">
                  <c:v>1679.7380599999999</c:v>
                </c:pt>
                <c:pt idx="111">
                  <c:v>1679.7881</c:v>
                </c:pt>
                <c:pt idx="112">
                  <c:v>1679.8381300000001</c:v>
                </c:pt>
                <c:pt idx="113">
                  <c:v>1679.88816</c:v>
                </c:pt>
                <c:pt idx="114">
                  <c:v>1679.9381900000001</c:v>
                </c:pt>
                <c:pt idx="115">
                  <c:v>1679.98822</c:v>
                </c:pt>
                <c:pt idx="116">
                  <c:v>1680.0382500000001</c:v>
                </c:pt>
                <c:pt idx="117">
                  <c:v>1680.0882899999999</c:v>
                </c:pt>
                <c:pt idx="118">
                  <c:v>1680.13832</c:v>
                </c:pt>
                <c:pt idx="119">
                  <c:v>1680.1883499999999</c:v>
                </c:pt>
                <c:pt idx="120">
                  <c:v>1680.23838</c:v>
                </c:pt>
                <c:pt idx="121">
                  <c:v>1680.2884100000001</c:v>
                </c:pt>
                <c:pt idx="122">
                  <c:v>1680.33844</c:v>
                </c:pt>
                <c:pt idx="123">
                  <c:v>1680.3884700000001</c:v>
                </c:pt>
                <c:pt idx="124">
                  <c:v>1680.43851</c:v>
                </c:pt>
                <c:pt idx="125">
                  <c:v>1680.4885400000001</c:v>
                </c:pt>
                <c:pt idx="126">
                  <c:v>1680.5385699999999</c:v>
                </c:pt>
                <c:pt idx="127">
                  <c:v>1680.5886</c:v>
                </c:pt>
                <c:pt idx="128">
                  <c:v>1680.6386299999999</c:v>
                </c:pt>
                <c:pt idx="129">
                  <c:v>1680.68866</c:v>
                </c:pt>
                <c:pt idx="130">
                  <c:v>1680.7386899999999</c:v>
                </c:pt>
                <c:pt idx="131">
                  <c:v>1680.78873</c:v>
                </c:pt>
                <c:pt idx="132">
                  <c:v>1680.8387600000001</c:v>
                </c:pt>
                <c:pt idx="133">
                  <c:v>1680.88879</c:v>
                </c:pt>
                <c:pt idx="134">
                  <c:v>1680.9388200000001</c:v>
                </c:pt>
                <c:pt idx="135">
                  <c:v>1680.98885</c:v>
                </c:pt>
                <c:pt idx="136">
                  <c:v>1681.0388800000001</c:v>
                </c:pt>
                <c:pt idx="137">
                  <c:v>1681.0889099999999</c:v>
                </c:pt>
                <c:pt idx="138">
                  <c:v>1681.13895</c:v>
                </c:pt>
                <c:pt idx="139">
                  <c:v>1681.1889799999999</c:v>
                </c:pt>
                <c:pt idx="140">
                  <c:v>1681.23901</c:v>
                </c:pt>
                <c:pt idx="141">
                  <c:v>1681.2890400000001</c:v>
                </c:pt>
                <c:pt idx="142">
                  <c:v>1681.33907</c:v>
                </c:pt>
                <c:pt idx="143">
                  <c:v>1681.3891000000001</c:v>
                </c:pt>
                <c:pt idx="144">
                  <c:v>1681.43914</c:v>
                </c:pt>
                <c:pt idx="145">
                  <c:v>1681.4891700000001</c:v>
                </c:pt>
                <c:pt idx="146">
                  <c:v>1681.5391999999999</c:v>
                </c:pt>
                <c:pt idx="147">
                  <c:v>1681.58923</c:v>
                </c:pt>
                <c:pt idx="148">
                  <c:v>1681.6392599999999</c:v>
                </c:pt>
                <c:pt idx="149">
                  <c:v>1681.68929</c:v>
                </c:pt>
                <c:pt idx="150">
                  <c:v>1681.7393199999999</c:v>
                </c:pt>
                <c:pt idx="151">
                  <c:v>1681.78936</c:v>
                </c:pt>
                <c:pt idx="152">
                  <c:v>1681.8393900000001</c:v>
                </c:pt>
                <c:pt idx="153">
                  <c:v>1681.88942</c:v>
                </c:pt>
                <c:pt idx="154">
                  <c:v>1681.9394500000001</c:v>
                </c:pt>
                <c:pt idx="155">
                  <c:v>1681.98948</c:v>
                </c:pt>
                <c:pt idx="156">
                  <c:v>1682.0395100000001</c:v>
                </c:pt>
                <c:pt idx="157">
                  <c:v>1682.0895399999999</c:v>
                </c:pt>
                <c:pt idx="158">
                  <c:v>1682.13958</c:v>
                </c:pt>
                <c:pt idx="159">
                  <c:v>1682.1896099999999</c:v>
                </c:pt>
                <c:pt idx="160">
                  <c:v>1682.23964</c:v>
                </c:pt>
                <c:pt idx="161">
                  <c:v>1682.2896699999999</c:v>
                </c:pt>
                <c:pt idx="162">
                  <c:v>1682.3397</c:v>
                </c:pt>
                <c:pt idx="163">
                  <c:v>1682.3897300000001</c:v>
                </c:pt>
                <c:pt idx="164">
                  <c:v>1682.43977</c:v>
                </c:pt>
                <c:pt idx="165">
                  <c:v>1682.4898000000001</c:v>
                </c:pt>
                <c:pt idx="166">
                  <c:v>1682.5398299999999</c:v>
                </c:pt>
                <c:pt idx="167">
                  <c:v>1682.58986</c:v>
                </c:pt>
                <c:pt idx="168">
                  <c:v>1682.6398899999999</c:v>
                </c:pt>
                <c:pt idx="169">
                  <c:v>1682.68992</c:v>
                </c:pt>
                <c:pt idx="170">
                  <c:v>1682.7399499999999</c:v>
                </c:pt>
                <c:pt idx="171">
                  <c:v>1682.78999</c:v>
                </c:pt>
                <c:pt idx="172">
                  <c:v>1682.8400200000001</c:v>
                </c:pt>
                <c:pt idx="173">
                  <c:v>1682.89005</c:v>
                </c:pt>
                <c:pt idx="174">
                  <c:v>1682.9400800000001</c:v>
                </c:pt>
                <c:pt idx="175">
                  <c:v>1682.99011</c:v>
                </c:pt>
                <c:pt idx="176">
                  <c:v>1683.0401400000001</c:v>
                </c:pt>
                <c:pt idx="177">
                  <c:v>1683.0901699999999</c:v>
                </c:pt>
                <c:pt idx="178">
                  <c:v>1683.14021</c:v>
                </c:pt>
                <c:pt idx="179">
                  <c:v>1683.1902399999999</c:v>
                </c:pt>
                <c:pt idx="180">
                  <c:v>1683.24027</c:v>
                </c:pt>
                <c:pt idx="181">
                  <c:v>1683.2902999999999</c:v>
                </c:pt>
                <c:pt idx="182">
                  <c:v>1683.34033</c:v>
                </c:pt>
                <c:pt idx="183">
                  <c:v>1683.3903600000001</c:v>
                </c:pt>
                <c:pt idx="184">
                  <c:v>1683.44039</c:v>
                </c:pt>
                <c:pt idx="185">
                  <c:v>1683.4904300000001</c:v>
                </c:pt>
                <c:pt idx="186">
                  <c:v>1683.5404599999999</c:v>
                </c:pt>
                <c:pt idx="187">
                  <c:v>1683.59049</c:v>
                </c:pt>
                <c:pt idx="188">
                  <c:v>1683.6405199999999</c:v>
                </c:pt>
                <c:pt idx="189">
                  <c:v>1683.69055</c:v>
                </c:pt>
                <c:pt idx="190">
                  <c:v>1683.7405799999999</c:v>
                </c:pt>
                <c:pt idx="191">
                  <c:v>1683.79062</c:v>
                </c:pt>
                <c:pt idx="192">
                  <c:v>1683.8406500000001</c:v>
                </c:pt>
                <c:pt idx="193">
                  <c:v>1683.89068</c:v>
                </c:pt>
                <c:pt idx="194">
                  <c:v>1683.9407100000001</c:v>
                </c:pt>
                <c:pt idx="195">
                  <c:v>1683.99074</c:v>
                </c:pt>
                <c:pt idx="196">
                  <c:v>1684.0407700000001</c:v>
                </c:pt>
                <c:pt idx="197">
                  <c:v>1684.0907999999999</c:v>
                </c:pt>
                <c:pt idx="198">
                  <c:v>1684.14084</c:v>
                </c:pt>
                <c:pt idx="199">
                  <c:v>1684.1908699999999</c:v>
                </c:pt>
                <c:pt idx="200">
                  <c:v>1684.2409</c:v>
                </c:pt>
                <c:pt idx="201">
                  <c:v>1684.2909299999999</c:v>
                </c:pt>
                <c:pt idx="202">
                  <c:v>1684.34096</c:v>
                </c:pt>
                <c:pt idx="203">
                  <c:v>1684.3909900000001</c:v>
                </c:pt>
                <c:pt idx="204">
                  <c:v>1684.44102</c:v>
                </c:pt>
                <c:pt idx="205">
                  <c:v>1684.4910600000001</c:v>
                </c:pt>
                <c:pt idx="206">
                  <c:v>1684.5410899999999</c:v>
                </c:pt>
                <c:pt idx="207">
                  <c:v>1684.59112</c:v>
                </c:pt>
                <c:pt idx="208">
                  <c:v>1684.6411499999999</c:v>
                </c:pt>
                <c:pt idx="209">
                  <c:v>1684.69118</c:v>
                </c:pt>
                <c:pt idx="210">
                  <c:v>1684.7412099999999</c:v>
                </c:pt>
                <c:pt idx="211">
                  <c:v>1684.79124</c:v>
                </c:pt>
                <c:pt idx="212">
                  <c:v>1684.8412800000001</c:v>
                </c:pt>
                <c:pt idx="213">
                  <c:v>1684.89131</c:v>
                </c:pt>
                <c:pt idx="214">
                  <c:v>1684.9413400000001</c:v>
                </c:pt>
                <c:pt idx="215">
                  <c:v>1684.99137</c:v>
                </c:pt>
                <c:pt idx="216">
                  <c:v>1685.0414000000001</c:v>
                </c:pt>
                <c:pt idx="217">
                  <c:v>1685.0914299999999</c:v>
                </c:pt>
                <c:pt idx="218">
                  <c:v>1685.14147</c:v>
                </c:pt>
                <c:pt idx="219">
                  <c:v>1685.1914999999999</c:v>
                </c:pt>
                <c:pt idx="220">
                  <c:v>1685.24153</c:v>
                </c:pt>
                <c:pt idx="221">
                  <c:v>1685.2915599999999</c:v>
                </c:pt>
                <c:pt idx="222">
                  <c:v>1685.34159</c:v>
                </c:pt>
                <c:pt idx="223">
                  <c:v>1685.3916200000001</c:v>
                </c:pt>
                <c:pt idx="224">
                  <c:v>1685.44165</c:v>
                </c:pt>
                <c:pt idx="225">
                  <c:v>1685.4916900000001</c:v>
                </c:pt>
                <c:pt idx="226">
                  <c:v>1685.5417199999999</c:v>
                </c:pt>
                <c:pt idx="227">
                  <c:v>1685.59175</c:v>
                </c:pt>
                <c:pt idx="228">
                  <c:v>1685.6417799999999</c:v>
                </c:pt>
                <c:pt idx="229">
                  <c:v>1685.69181</c:v>
                </c:pt>
                <c:pt idx="230">
                  <c:v>1685.7418399999999</c:v>
                </c:pt>
                <c:pt idx="231">
                  <c:v>1685.79187</c:v>
                </c:pt>
                <c:pt idx="232">
                  <c:v>1685.8419100000001</c:v>
                </c:pt>
                <c:pt idx="233">
                  <c:v>1685.89194</c:v>
                </c:pt>
                <c:pt idx="234">
                  <c:v>1685.9419700000001</c:v>
                </c:pt>
                <c:pt idx="235">
                  <c:v>1685.992</c:v>
                </c:pt>
                <c:pt idx="236">
                  <c:v>1686.0420300000001</c:v>
                </c:pt>
                <c:pt idx="237">
                  <c:v>1686.0920599999999</c:v>
                </c:pt>
                <c:pt idx="238">
                  <c:v>1686.1420900000001</c:v>
                </c:pt>
                <c:pt idx="239">
                  <c:v>1686.1921299999999</c:v>
                </c:pt>
                <c:pt idx="240">
                  <c:v>1686.24216</c:v>
                </c:pt>
                <c:pt idx="241">
                  <c:v>1686.2921899999999</c:v>
                </c:pt>
                <c:pt idx="242">
                  <c:v>1686.34222</c:v>
                </c:pt>
                <c:pt idx="243">
                  <c:v>1686.3922500000001</c:v>
                </c:pt>
                <c:pt idx="244">
                  <c:v>1686.44228</c:v>
                </c:pt>
                <c:pt idx="245">
                  <c:v>1686.4923200000001</c:v>
                </c:pt>
                <c:pt idx="246">
                  <c:v>1686.5423499999999</c:v>
                </c:pt>
                <c:pt idx="247">
                  <c:v>1686.59238</c:v>
                </c:pt>
                <c:pt idx="248">
                  <c:v>1686.6424099999999</c:v>
                </c:pt>
                <c:pt idx="249">
                  <c:v>1686.69244</c:v>
                </c:pt>
                <c:pt idx="250">
                  <c:v>1686.7424699999999</c:v>
                </c:pt>
                <c:pt idx="251">
                  <c:v>1686.7925</c:v>
                </c:pt>
                <c:pt idx="252">
                  <c:v>1686.8425400000001</c:v>
                </c:pt>
                <c:pt idx="253">
                  <c:v>1686.89257</c:v>
                </c:pt>
                <c:pt idx="254">
                  <c:v>1686.9426000000001</c:v>
                </c:pt>
                <c:pt idx="255">
                  <c:v>1686.99263</c:v>
                </c:pt>
                <c:pt idx="256">
                  <c:v>1687.0426600000001</c:v>
                </c:pt>
                <c:pt idx="257">
                  <c:v>1687.0926899999999</c:v>
                </c:pt>
                <c:pt idx="258">
                  <c:v>1687.1427200000001</c:v>
                </c:pt>
                <c:pt idx="259">
                  <c:v>1687.1927599999999</c:v>
                </c:pt>
                <c:pt idx="260">
                  <c:v>1687.24279</c:v>
                </c:pt>
                <c:pt idx="261">
                  <c:v>1687.2928199999999</c:v>
                </c:pt>
                <c:pt idx="262">
                  <c:v>1687.34285</c:v>
                </c:pt>
                <c:pt idx="263">
                  <c:v>1687.3928800000001</c:v>
                </c:pt>
                <c:pt idx="264">
                  <c:v>1687.44291</c:v>
                </c:pt>
                <c:pt idx="265">
                  <c:v>1687.4929400000001</c:v>
                </c:pt>
                <c:pt idx="266">
                  <c:v>1687.5429799999999</c:v>
                </c:pt>
                <c:pt idx="267">
                  <c:v>1687.59301</c:v>
                </c:pt>
                <c:pt idx="268">
                  <c:v>1687.6430399999999</c:v>
                </c:pt>
                <c:pt idx="269">
                  <c:v>1687.69307</c:v>
                </c:pt>
                <c:pt idx="270">
                  <c:v>1687.7430999999999</c:v>
                </c:pt>
                <c:pt idx="271">
                  <c:v>1687.79313</c:v>
                </c:pt>
                <c:pt idx="272">
                  <c:v>1687.8431700000001</c:v>
                </c:pt>
                <c:pt idx="273">
                  <c:v>1687.8932</c:v>
                </c:pt>
                <c:pt idx="274">
                  <c:v>1687.9432300000001</c:v>
                </c:pt>
                <c:pt idx="275">
                  <c:v>1687.99326</c:v>
                </c:pt>
                <c:pt idx="276">
                  <c:v>1688.0432900000001</c:v>
                </c:pt>
                <c:pt idx="277">
                  <c:v>1688.0933199999999</c:v>
                </c:pt>
                <c:pt idx="278">
                  <c:v>1688.1433500000001</c:v>
                </c:pt>
                <c:pt idx="279">
                  <c:v>1688.1933899999999</c:v>
                </c:pt>
                <c:pt idx="280">
                  <c:v>1688.24342</c:v>
                </c:pt>
                <c:pt idx="281">
                  <c:v>1688.2934499999999</c:v>
                </c:pt>
                <c:pt idx="282">
                  <c:v>1688.34348</c:v>
                </c:pt>
                <c:pt idx="283">
                  <c:v>1688.3935100000001</c:v>
                </c:pt>
                <c:pt idx="284">
                  <c:v>1688.44354</c:v>
                </c:pt>
                <c:pt idx="285">
                  <c:v>1688.4935700000001</c:v>
                </c:pt>
                <c:pt idx="286">
                  <c:v>1688.5436099999999</c:v>
                </c:pt>
                <c:pt idx="287">
                  <c:v>1688.5936400000001</c:v>
                </c:pt>
                <c:pt idx="288">
                  <c:v>1688.6436699999999</c:v>
                </c:pt>
                <c:pt idx="289">
                  <c:v>1688.6937</c:v>
                </c:pt>
                <c:pt idx="290">
                  <c:v>1688.7437299999999</c:v>
                </c:pt>
                <c:pt idx="291">
                  <c:v>1688.79376</c:v>
                </c:pt>
                <c:pt idx="292">
                  <c:v>1688.8437899999999</c:v>
                </c:pt>
                <c:pt idx="293">
                  <c:v>1688.89383</c:v>
                </c:pt>
                <c:pt idx="294">
                  <c:v>1688.9438600000001</c:v>
                </c:pt>
                <c:pt idx="295">
                  <c:v>1688.99389</c:v>
                </c:pt>
                <c:pt idx="296">
                  <c:v>1689.0439200000001</c:v>
                </c:pt>
                <c:pt idx="297">
                  <c:v>1689.0939499999999</c:v>
                </c:pt>
                <c:pt idx="298">
                  <c:v>1689.1439800000001</c:v>
                </c:pt>
                <c:pt idx="299">
                  <c:v>1689.1940199999999</c:v>
                </c:pt>
                <c:pt idx="300">
                  <c:v>1689.24405</c:v>
                </c:pt>
                <c:pt idx="301">
                  <c:v>1689.2940799999999</c:v>
                </c:pt>
                <c:pt idx="302">
                  <c:v>1689.34411</c:v>
                </c:pt>
                <c:pt idx="303">
                  <c:v>1689.3941400000001</c:v>
                </c:pt>
                <c:pt idx="304">
                  <c:v>1689.44417</c:v>
                </c:pt>
                <c:pt idx="305">
                  <c:v>1689.4942000000001</c:v>
                </c:pt>
                <c:pt idx="306">
                  <c:v>1689.5442399999999</c:v>
                </c:pt>
                <c:pt idx="307">
                  <c:v>1689.5942700000001</c:v>
                </c:pt>
                <c:pt idx="308">
                  <c:v>1689.6442999999999</c:v>
                </c:pt>
                <c:pt idx="309">
                  <c:v>1689.69433</c:v>
                </c:pt>
                <c:pt idx="310">
                  <c:v>1689.7443599999999</c:v>
                </c:pt>
                <c:pt idx="311">
                  <c:v>1689.79439</c:v>
                </c:pt>
                <c:pt idx="312">
                  <c:v>1689.8444199999999</c:v>
                </c:pt>
                <c:pt idx="313">
                  <c:v>1689.89446</c:v>
                </c:pt>
                <c:pt idx="314">
                  <c:v>1689.9444900000001</c:v>
                </c:pt>
                <c:pt idx="315">
                  <c:v>1689.99452</c:v>
                </c:pt>
                <c:pt idx="316">
                  <c:v>1690.0445500000001</c:v>
                </c:pt>
                <c:pt idx="317">
                  <c:v>1690.09458</c:v>
                </c:pt>
                <c:pt idx="318">
                  <c:v>1690.1446100000001</c:v>
                </c:pt>
                <c:pt idx="319">
                  <c:v>1690.1946399999999</c:v>
                </c:pt>
                <c:pt idx="320">
                  <c:v>1690.24468</c:v>
                </c:pt>
                <c:pt idx="321">
                  <c:v>1690.2947099999999</c:v>
                </c:pt>
                <c:pt idx="322">
                  <c:v>1690.34474</c:v>
                </c:pt>
                <c:pt idx="323">
                  <c:v>1690.3947700000001</c:v>
                </c:pt>
                <c:pt idx="324">
                  <c:v>1690.4448</c:v>
                </c:pt>
                <c:pt idx="325">
                  <c:v>1690.4948300000001</c:v>
                </c:pt>
                <c:pt idx="326">
                  <c:v>1690.5448699999999</c:v>
                </c:pt>
                <c:pt idx="327">
                  <c:v>1690.5949000000001</c:v>
                </c:pt>
                <c:pt idx="328">
                  <c:v>1690.6449299999999</c:v>
                </c:pt>
                <c:pt idx="329">
                  <c:v>1690.69496</c:v>
                </c:pt>
                <c:pt idx="330">
                  <c:v>1690.7449899999999</c:v>
                </c:pt>
                <c:pt idx="331">
                  <c:v>1690.79502</c:v>
                </c:pt>
                <c:pt idx="332">
                  <c:v>1690.8450499999999</c:v>
                </c:pt>
                <c:pt idx="333">
                  <c:v>1690.89509</c:v>
                </c:pt>
                <c:pt idx="334">
                  <c:v>1690.9451200000001</c:v>
                </c:pt>
                <c:pt idx="335">
                  <c:v>1690.99515</c:v>
                </c:pt>
                <c:pt idx="336">
                  <c:v>1691.0451800000001</c:v>
                </c:pt>
                <c:pt idx="337">
                  <c:v>1691.09521</c:v>
                </c:pt>
                <c:pt idx="338">
                  <c:v>1691.1452400000001</c:v>
                </c:pt>
                <c:pt idx="339">
                  <c:v>1691.1952699999999</c:v>
                </c:pt>
                <c:pt idx="340">
                  <c:v>1691.24531</c:v>
                </c:pt>
                <c:pt idx="341">
                  <c:v>1691.2953399999999</c:v>
                </c:pt>
                <c:pt idx="342">
                  <c:v>1691.34537</c:v>
                </c:pt>
                <c:pt idx="343">
                  <c:v>1691.3954000000001</c:v>
                </c:pt>
                <c:pt idx="344">
                  <c:v>1691.44543</c:v>
                </c:pt>
                <c:pt idx="345">
                  <c:v>1691.4954600000001</c:v>
                </c:pt>
                <c:pt idx="346">
                  <c:v>1691.54549</c:v>
                </c:pt>
                <c:pt idx="347">
                  <c:v>1691.5955300000001</c:v>
                </c:pt>
                <c:pt idx="348">
                  <c:v>1691.6455599999999</c:v>
                </c:pt>
                <c:pt idx="349">
                  <c:v>1691.69559</c:v>
                </c:pt>
                <c:pt idx="350">
                  <c:v>1691.7456199999999</c:v>
                </c:pt>
                <c:pt idx="351">
                  <c:v>1691.79565</c:v>
                </c:pt>
                <c:pt idx="352">
                  <c:v>1691.8456799999999</c:v>
                </c:pt>
                <c:pt idx="353">
                  <c:v>1691.89572</c:v>
                </c:pt>
                <c:pt idx="354">
                  <c:v>1691.9457500000001</c:v>
                </c:pt>
                <c:pt idx="355">
                  <c:v>1691.99578</c:v>
                </c:pt>
                <c:pt idx="356">
                  <c:v>1692.0458100000001</c:v>
                </c:pt>
                <c:pt idx="357">
                  <c:v>1692.09584</c:v>
                </c:pt>
                <c:pt idx="358">
                  <c:v>1692.1458700000001</c:v>
                </c:pt>
                <c:pt idx="359">
                  <c:v>1692.1958999999999</c:v>
                </c:pt>
                <c:pt idx="360">
                  <c:v>1692.24594</c:v>
                </c:pt>
                <c:pt idx="361">
                  <c:v>1692.2959699999999</c:v>
                </c:pt>
                <c:pt idx="362">
                  <c:v>1692.346</c:v>
                </c:pt>
                <c:pt idx="363">
                  <c:v>1692.3960300000001</c:v>
                </c:pt>
                <c:pt idx="364">
                  <c:v>1692.44606</c:v>
                </c:pt>
                <c:pt idx="365">
                  <c:v>1692.4960900000001</c:v>
                </c:pt>
                <c:pt idx="366">
                  <c:v>1692.54612</c:v>
                </c:pt>
                <c:pt idx="367">
                  <c:v>1692.5961600000001</c:v>
                </c:pt>
                <c:pt idx="368">
                  <c:v>1692.6461899999999</c:v>
                </c:pt>
                <c:pt idx="369">
                  <c:v>1692.69622</c:v>
                </c:pt>
                <c:pt idx="370">
                  <c:v>1692.7462499999999</c:v>
                </c:pt>
                <c:pt idx="371">
                  <c:v>1692.79628</c:v>
                </c:pt>
                <c:pt idx="372">
                  <c:v>1692.8463099999999</c:v>
                </c:pt>
                <c:pt idx="373">
                  <c:v>1692.89635</c:v>
                </c:pt>
                <c:pt idx="374">
                  <c:v>1692.9463800000001</c:v>
                </c:pt>
                <c:pt idx="375">
                  <c:v>1692.99641</c:v>
                </c:pt>
                <c:pt idx="376">
                  <c:v>1693.0464400000001</c:v>
                </c:pt>
                <c:pt idx="377">
                  <c:v>1693.09647</c:v>
                </c:pt>
                <c:pt idx="378">
                  <c:v>1693.1465000000001</c:v>
                </c:pt>
                <c:pt idx="379">
                  <c:v>1693.1965299999999</c:v>
                </c:pt>
                <c:pt idx="380">
                  <c:v>1693.24657</c:v>
                </c:pt>
                <c:pt idx="381">
                  <c:v>1693.2965999999999</c:v>
                </c:pt>
                <c:pt idx="382">
                  <c:v>1693.34663</c:v>
                </c:pt>
                <c:pt idx="383">
                  <c:v>1693.3966600000001</c:v>
                </c:pt>
                <c:pt idx="384">
                  <c:v>1693.44669</c:v>
                </c:pt>
                <c:pt idx="385">
                  <c:v>1693.4967200000001</c:v>
                </c:pt>
                <c:pt idx="386">
                  <c:v>1693.54675</c:v>
                </c:pt>
                <c:pt idx="387">
                  <c:v>1693.5967900000001</c:v>
                </c:pt>
                <c:pt idx="388">
                  <c:v>1693.6468199999999</c:v>
                </c:pt>
                <c:pt idx="389">
                  <c:v>1693.69685</c:v>
                </c:pt>
                <c:pt idx="390">
                  <c:v>1693.7468799999999</c:v>
                </c:pt>
                <c:pt idx="391">
                  <c:v>1693.79691</c:v>
                </c:pt>
                <c:pt idx="392">
                  <c:v>1693.8469399999999</c:v>
                </c:pt>
                <c:pt idx="393">
                  <c:v>1693.89697</c:v>
                </c:pt>
                <c:pt idx="394">
                  <c:v>1693.9470100000001</c:v>
                </c:pt>
                <c:pt idx="395">
                  <c:v>1693.99704</c:v>
                </c:pt>
                <c:pt idx="396">
                  <c:v>1694.0470700000001</c:v>
                </c:pt>
                <c:pt idx="397">
                  <c:v>1694.0971</c:v>
                </c:pt>
                <c:pt idx="398">
                  <c:v>1694.1471300000001</c:v>
                </c:pt>
                <c:pt idx="399">
                  <c:v>1694.1971599999999</c:v>
                </c:pt>
                <c:pt idx="400">
                  <c:v>1694.2472</c:v>
                </c:pt>
                <c:pt idx="401">
                  <c:v>1694.2972299999999</c:v>
                </c:pt>
                <c:pt idx="402">
                  <c:v>1694.34726</c:v>
                </c:pt>
                <c:pt idx="403">
                  <c:v>1694.3972900000001</c:v>
                </c:pt>
                <c:pt idx="404">
                  <c:v>1694.44732</c:v>
                </c:pt>
                <c:pt idx="405">
                  <c:v>1694.4973500000001</c:v>
                </c:pt>
                <c:pt idx="406">
                  <c:v>1694.54738</c:v>
                </c:pt>
                <c:pt idx="407">
                  <c:v>1694.5974200000001</c:v>
                </c:pt>
                <c:pt idx="408">
                  <c:v>1694.6474499999999</c:v>
                </c:pt>
                <c:pt idx="409">
                  <c:v>1694.69748</c:v>
                </c:pt>
                <c:pt idx="410">
                  <c:v>1694.7475099999999</c:v>
                </c:pt>
                <c:pt idx="411">
                  <c:v>1694.79754</c:v>
                </c:pt>
                <c:pt idx="412">
                  <c:v>1694.8475699999999</c:v>
                </c:pt>
                <c:pt idx="413">
                  <c:v>1694.8976</c:v>
                </c:pt>
                <c:pt idx="414">
                  <c:v>1694.9476400000001</c:v>
                </c:pt>
                <c:pt idx="415">
                  <c:v>1694.99767</c:v>
                </c:pt>
                <c:pt idx="416">
                  <c:v>1695.0477000000001</c:v>
                </c:pt>
                <c:pt idx="417">
                  <c:v>1695.09773</c:v>
                </c:pt>
                <c:pt idx="418">
                  <c:v>1695.1477600000001</c:v>
                </c:pt>
                <c:pt idx="419">
                  <c:v>1695.1977899999999</c:v>
                </c:pt>
                <c:pt idx="420">
                  <c:v>1695.24782</c:v>
                </c:pt>
                <c:pt idx="421">
                  <c:v>1695.2978599999999</c:v>
                </c:pt>
                <c:pt idx="422">
                  <c:v>1695.34789</c:v>
                </c:pt>
                <c:pt idx="423">
                  <c:v>1695.3979200000001</c:v>
                </c:pt>
                <c:pt idx="424">
                  <c:v>1695.44795</c:v>
                </c:pt>
                <c:pt idx="425">
                  <c:v>1695.4979800000001</c:v>
                </c:pt>
                <c:pt idx="426">
                  <c:v>1695.54801</c:v>
                </c:pt>
                <c:pt idx="427">
                  <c:v>1695.5980500000001</c:v>
                </c:pt>
                <c:pt idx="428">
                  <c:v>1695.6480799999999</c:v>
                </c:pt>
                <c:pt idx="429">
                  <c:v>1695.69811</c:v>
                </c:pt>
                <c:pt idx="430">
                  <c:v>1695.7481399999999</c:v>
                </c:pt>
                <c:pt idx="431">
                  <c:v>1695.79817</c:v>
                </c:pt>
                <c:pt idx="432">
                  <c:v>1695.8481999999999</c:v>
                </c:pt>
                <c:pt idx="433">
                  <c:v>1695.89823</c:v>
                </c:pt>
                <c:pt idx="434">
                  <c:v>1695.9482700000001</c:v>
                </c:pt>
                <c:pt idx="435">
                  <c:v>1695.9983</c:v>
                </c:pt>
                <c:pt idx="436">
                  <c:v>1696.0483300000001</c:v>
                </c:pt>
                <c:pt idx="437">
                  <c:v>1696.09836</c:v>
                </c:pt>
                <c:pt idx="438">
                  <c:v>1696.1483900000001</c:v>
                </c:pt>
                <c:pt idx="439">
                  <c:v>1696.1984199999999</c:v>
                </c:pt>
                <c:pt idx="440">
                  <c:v>1696.24845</c:v>
                </c:pt>
                <c:pt idx="441">
                  <c:v>1696.2984899999999</c:v>
                </c:pt>
                <c:pt idx="442">
                  <c:v>1696.34852</c:v>
                </c:pt>
                <c:pt idx="443">
                  <c:v>1696.3985499999999</c:v>
                </c:pt>
                <c:pt idx="444">
                  <c:v>1696.44858</c:v>
                </c:pt>
                <c:pt idx="445">
                  <c:v>1696.4986100000001</c:v>
                </c:pt>
                <c:pt idx="446">
                  <c:v>1696.54864</c:v>
                </c:pt>
                <c:pt idx="447">
                  <c:v>1696.5986700000001</c:v>
                </c:pt>
                <c:pt idx="448">
                  <c:v>1696.6487099999999</c:v>
                </c:pt>
                <c:pt idx="449">
                  <c:v>1696.69874</c:v>
                </c:pt>
                <c:pt idx="450">
                  <c:v>1696.7487699999999</c:v>
                </c:pt>
                <c:pt idx="451">
                  <c:v>1696.7988</c:v>
                </c:pt>
                <c:pt idx="452">
                  <c:v>1696.8488299999999</c:v>
                </c:pt>
                <c:pt idx="453">
                  <c:v>1696.89886</c:v>
                </c:pt>
                <c:pt idx="454">
                  <c:v>1696.9489000000001</c:v>
                </c:pt>
                <c:pt idx="455">
                  <c:v>1696.99893</c:v>
                </c:pt>
                <c:pt idx="456">
                  <c:v>1697.0489600000001</c:v>
                </c:pt>
                <c:pt idx="457">
                  <c:v>1697.09899</c:v>
                </c:pt>
                <c:pt idx="458">
                  <c:v>1697.1490200000001</c:v>
                </c:pt>
                <c:pt idx="459">
                  <c:v>1697.1990499999999</c:v>
                </c:pt>
                <c:pt idx="460">
                  <c:v>1697.24908</c:v>
                </c:pt>
                <c:pt idx="461">
                  <c:v>1697.2991199999999</c:v>
                </c:pt>
                <c:pt idx="462">
                  <c:v>1697.34915</c:v>
                </c:pt>
                <c:pt idx="463">
                  <c:v>1697.3991799999999</c:v>
                </c:pt>
                <c:pt idx="464">
                  <c:v>1697.44921</c:v>
                </c:pt>
                <c:pt idx="465">
                  <c:v>1697.4992400000001</c:v>
                </c:pt>
                <c:pt idx="466">
                  <c:v>1697.54927</c:v>
                </c:pt>
                <c:pt idx="467">
                  <c:v>1697.5993000000001</c:v>
                </c:pt>
                <c:pt idx="468">
                  <c:v>1697.6493399999999</c:v>
                </c:pt>
                <c:pt idx="469">
                  <c:v>1697.69937</c:v>
                </c:pt>
                <c:pt idx="470">
                  <c:v>1697.7493999999999</c:v>
                </c:pt>
                <c:pt idx="471">
                  <c:v>1697.79943</c:v>
                </c:pt>
                <c:pt idx="472">
                  <c:v>1697.8494599999999</c:v>
                </c:pt>
                <c:pt idx="473">
                  <c:v>1697.89949</c:v>
                </c:pt>
                <c:pt idx="474">
                  <c:v>1697.9495199999999</c:v>
                </c:pt>
                <c:pt idx="475">
                  <c:v>1697.99956</c:v>
                </c:pt>
                <c:pt idx="476">
                  <c:v>1698.0495900000001</c:v>
                </c:pt>
                <c:pt idx="477">
                  <c:v>1698.09962</c:v>
                </c:pt>
                <c:pt idx="478">
                  <c:v>1698.1496500000001</c:v>
                </c:pt>
                <c:pt idx="479">
                  <c:v>1698.1996799999999</c:v>
                </c:pt>
                <c:pt idx="480">
                  <c:v>1698.2497100000001</c:v>
                </c:pt>
                <c:pt idx="481">
                  <c:v>1698.2997499999999</c:v>
                </c:pt>
                <c:pt idx="482">
                  <c:v>1698.34978</c:v>
                </c:pt>
                <c:pt idx="483">
                  <c:v>1698.3998099999999</c:v>
                </c:pt>
                <c:pt idx="484">
                  <c:v>1698.44984</c:v>
                </c:pt>
                <c:pt idx="485">
                  <c:v>1698.4998700000001</c:v>
                </c:pt>
                <c:pt idx="486">
                  <c:v>1698.5499</c:v>
                </c:pt>
                <c:pt idx="487">
                  <c:v>1698.5999300000001</c:v>
                </c:pt>
                <c:pt idx="488">
                  <c:v>1698.6499699999999</c:v>
                </c:pt>
                <c:pt idx="489">
                  <c:v>1698.7</c:v>
                </c:pt>
                <c:pt idx="490">
                  <c:v>1698.7500299999999</c:v>
                </c:pt>
                <c:pt idx="491">
                  <c:v>1698.80006</c:v>
                </c:pt>
                <c:pt idx="492">
                  <c:v>1698.8500899999999</c:v>
                </c:pt>
                <c:pt idx="493">
                  <c:v>1698.90012</c:v>
                </c:pt>
                <c:pt idx="494">
                  <c:v>1698.9501499999999</c:v>
                </c:pt>
                <c:pt idx="495">
                  <c:v>1699.00019</c:v>
                </c:pt>
                <c:pt idx="496">
                  <c:v>1699.0502200000001</c:v>
                </c:pt>
                <c:pt idx="497">
                  <c:v>1699.10025</c:v>
                </c:pt>
                <c:pt idx="498">
                  <c:v>1699.1502800000001</c:v>
                </c:pt>
                <c:pt idx="499">
                  <c:v>1699.2003099999999</c:v>
                </c:pt>
                <c:pt idx="500">
                  <c:v>1699.2503400000001</c:v>
                </c:pt>
                <c:pt idx="501">
                  <c:v>1699.3003699999999</c:v>
                </c:pt>
                <c:pt idx="502">
                  <c:v>1699.35041</c:v>
                </c:pt>
                <c:pt idx="503">
                  <c:v>1699.4004399999999</c:v>
                </c:pt>
                <c:pt idx="504">
                  <c:v>1699.45047</c:v>
                </c:pt>
                <c:pt idx="505">
                  <c:v>1699.5005000000001</c:v>
                </c:pt>
                <c:pt idx="506">
                  <c:v>1699.55053</c:v>
                </c:pt>
                <c:pt idx="507">
                  <c:v>1699.6005600000001</c:v>
                </c:pt>
                <c:pt idx="508">
                  <c:v>1699.6505999999999</c:v>
                </c:pt>
                <c:pt idx="509">
                  <c:v>1699.70063</c:v>
                </c:pt>
                <c:pt idx="510">
                  <c:v>1699.7506599999999</c:v>
                </c:pt>
                <c:pt idx="511">
                  <c:v>1699.80069</c:v>
                </c:pt>
                <c:pt idx="512">
                  <c:v>1699.8507199999999</c:v>
                </c:pt>
                <c:pt idx="513">
                  <c:v>1699.90075</c:v>
                </c:pt>
                <c:pt idx="514">
                  <c:v>1699.9507799999999</c:v>
                </c:pt>
                <c:pt idx="515">
                  <c:v>1700.00082</c:v>
                </c:pt>
                <c:pt idx="516">
                  <c:v>1700.0508500000001</c:v>
                </c:pt>
                <c:pt idx="517">
                  <c:v>1700.10088</c:v>
                </c:pt>
                <c:pt idx="518">
                  <c:v>1700.1509100000001</c:v>
                </c:pt>
                <c:pt idx="519">
                  <c:v>1700.2009399999999</c:v>
                </c:pt>
                <c:pt idx="520">
                  <c:v>1700.2509700000001</c:v>
                </c:pt>
                <c:pt idx="521">
                  <c:v>1700.3009999999999</c:v>
                </c:pt>
                <c:pt idx="522">
                  <c:v>1700.35104</c:v>
                </c:pt>
                <c:pt idx="523">
                  <c:v>1700.4010699999999</c:v>
                </c:pt>
                <c:pt idx="524">
                  <c:v>1700.4511</c:v>
                </c:pt>
                <c:pt idx="525">
                  <c:v>1700.5011300000001</c:v>
                </c:pt>
                <c:pt idx="526">
                  <c:v>1700.55116</c:v>
                </c:pt>
                <c:pt idx="527">
                  <c:v>1700.6011900000001</c:v>
                </c:pt>
                <c:pt idx="528">
                  <c:v>1700.65122</c:v>
                </c:pt>
                <c:pt idx="529">
                  <c:v>1700.70126</c:v>
                </c:pt>
                <c:pt idx="530">
                  <c:v>1700.7512899999999</c:v>
                </c:pt>
                <c:pt idx="531">
                  <c:v>1700.80132</c:v>
                </c:pt>
                <c:pt idx="532">
                  <c:v>1700.8513499999999</c:v>
                </c:pt>
                <c:pt idx="533">
                  <c:v>1700.90138</c:v>
                </c:pt>
                <c:pt idx="534">
                  <c:v>1700.9514099999999</c:v>
                </c:pt>
                <c:pt idx="535">
                  <c:v>1701.00145</c:v>
                </c:pt>
                <c:pt idx="536">
                  <c:v>1701.0514800000001</c:v>
                </c:pt>
                <c:pt idx="537">
                  <c:v>1701.10151</c:v>
                </c:pt>
                <c:pt idx="538">
                  <c:v>1701.1515400000001</c:v>
                </c:pt>
                <c:pt idx="539">
                  <c:v>1701.2015699999999</c:v>
                </c:pt>
                <c:pt idx="540">
                  <c:v>1701.2516000000001</c:v>
                </c:pt>
                <c:pt idx="541">
                  <c:v>1701.3016299999999</c:v>
                </c:pt>
                <c:pt idx="542">
                  <c:v>1701.35167</c:v>
                </c:pt>
                <c:pt idx="543">
                  <c:v>1701.4016999999999</c:v>
                </c:pt>
                <c:pt idx="544">
                  <c:v>1701.45173</c:v>
                </c:pt>
                <c:pt idx="545">
                  <c:v>1701.5017600000001</c:v>
                </c:pt>
                <c:pt idx="546">
                  <c:v>1701.55179</c:v>
                </c:pt>
                <c:pt idx="547">
                  <c:v>1701.6018200000001</c:v>
                </c:pt>
                <c:pt idx="548">
                  <c:v>1701.65185</c:v>
                </c:pt>
                <c:pt idx="549">
                  <c:v>1701.70189</c:v>
                </c:pt>
                <c:pt idx="550">
                  <c:v>1701.7519199999999</c:v>
                </c:pt>
                <c:pt idx="551">
                  <c:v>1701.80195</c:v>
                </c:pt>
                <c:pt idx="552">
                  <c:v>1701.8519799999999</c:v>
                </c:pt>
                <c:pt idx="553">
                  <c:v>1701.90201</c:v>
                </c:pt>
                <c:pt idx="554">
                  <c:v>1701.9520399999999</c:v>
                </c:pt>
                <c:pt idx="555">
                  <c:v>1702.00207</c:v>
                </c:pt>
                <c:pt idx="556">
                  <c:v>1702.0521100000001</c:v>
                </c:pt>
                <c:pt idx="557">
                  <c:v>1702.10214</c:v>
                </c:pt>
                <c:pt idx="558">
                  <c:v>1702.1521700000001</c:v>
                </c:pt>
                <c:pt idx="559">
                  <c:v>1702.2021999999999</c:v>
                </c:pt>
                <c:pt idx="560">
                  <c:v>1702.2522300000001</c:v>
                </c:pt>
                <c:pt idx="561">
                  <c:v>1702.3022599999999</c:v>
                </c:pt>
                <c:pt idx="562">
                  <c:v>1702.3523</c:v>
                </c:pt>
                <c:pt idx="563">
                  <c:v>1702.4023299999999</c:v>
                </c:pt>
                <c:pt idx="564">
                  <c:v>1702.45236</c:v>
                </c:pt>
                <c:pt idx="565">
                  <c:v>1702.5023900000001</c:v>
                </c:pt>
                <c:pt idx="566">
                  <c:v>1702.55242</c:v>
                </c:pt>
                <c:pt idx="567">
                  <c:v>1702.6024500000001</c:v>
                </c:pt>
                <c:pt idx="568">
                  <c:v>1702.65248</c:v>
                </c:pt>
                <c:pt idx="569">
                  <c:v>1702.70252</c:v>
                </c:pt>
                <c:pt idx="570">
                  <c:v>1702.7525499999999</c:v>
                </c:pt>
                <c:pt idx="571">
                  <c:v>1702.80258</c:v>
                </c:pt>
                <c:pt idx="572">
                  <c:v>1702.8526099999999</c:v>
                </c:pt>
                <c:pt idx="573">
                  <c:v>1702.90264</c:v>
                </c:pt>
                <c:pt idx="574">
                  <c:v>1702.9526699999999</c:v>
                </c:pt>
                <c:pt idx="575">
                  <c:v>1703.0027</c:v>
                </c:pt>
                <c:pt idx="576">
                  <c:v>1703.0527400000001</c:v>
                </c:pt>
                <c:pt idx="577">
                  <c:v>1703.10277</c:v>
                </c:pt>
                <c:pt idx="578">
                  <c:v>1703.1528000000001</c:v>
                </c:pt>
                <c:pt idx="579">
                  <c:v>1703.2028299999999</c:v>
                </c:pt>
                <c:pt idx="580">
                  <c:v>1703.2528600000001</c:v>
                </c:pt>
                <c:pt idx="581">
                  <c:v>1703.3028899999999</c:v>
                </c:pt>
                <c:pt idx="582">
                  <c:v>1703.35293</c:v>
                </c:pt>
                <c:pt idx="583">
                  <c:v>1703.4029599999999</c:v>
                </c:pt>
                <c:pt idx="584">
                  <c:v>1703.45299</c:v>
                </c:pt>
                <c:pt idx="585">
                  <c:v>1703.5030200000001</c:v>
                </c:pt>
                <c:pt idx="586">
                  <c:v>1703.55305</c:v>
                </c:pt>
                <c:pt idx="587">
                  <c:v>1703.6030800000001</c:v>
                </c:pt>
                <c:pt idx="588">
                  <c:v>1703.65311</c:v>
                </c:pt>
                <c:pt idx="589">
                  <c:v>1703.7031500000001</c:v>
                </c:pt>
                <c:pt idx="590">
                  <c:v>1703.7531799999999</c:v>
                </c:pt>
                <c:pt idx="591">
                  <c:v>1703.80321</c:v>
                </c:pt>
                <c:pt idx="592">
                  <c:v>1703.8532399999999</c:v>
                </c:pt>
                <c:pt idx="593">
                  <c:v>1703.90327</c:v>
                </c:pt>
                <c:pt idx="594">
                  <c:v>1703.9532999999999</c:v>
                </c:pt>
                <c:pt idx="595">
                  <c:v>1704.00333</c:v>
                </c:pt>
                <c:pt idx="596">
                  <c:v>1704.0533700000001</c:v>
                </c:pt>
                <c:pt idx="597">
                  <c:v>1704.1034</c:v>
                </c:pt>
                <c:pt idx="598">
                  <c:v>1704.1534300000001</c:v>
                </c:pt>
                <c:pt idx="599">
                  <c:v>1704.20346</c:v>
                </c:pt>
                <c:pt idx="600">
                  <c:v>1704.2534900000001</c:v>
                </c:pt>
                <c:pt idx="601">
                  <c:v>1704.3035199999999</c:v>
                </c:pt>
                <c:pt idx="602">
                  <c:v>1704.35355</c:v>
                </c:pt>
                <c:pt idx="603">
                  <c:v>1704.4035899999999</c:v>
                </c:pt>
                <c:pt idx="604">
                  <c:v>1704.45362</c:v>
                </c:pt>
                <c:pt idx="605">
                  <c:v>1704.5036500000001</c:v>
                </c:pt>
                <c:pt idx="606">
                  <c:v>1704.55368</c:v>
                </c:pt>
                <c:pt idx="607">
                  <c:v>1704.6037100000001</c:v>
                </c:pt>
                <c:pt idx="608">
                  <c:v>1704.65374</c:v>
                </c:pt>
                <c:pt idx="609">
                  <c:v>1704.7037800000001</c:v>
                </c:pt>
                <c:pt idx="610">
                  <c:v>1704.7538099999999</c:v>
                </c:pt>
                <c:pt idx="611">
                  <c:v>1704.80384</c:v>
                </c:pt>
                <c:pt idx="612">
                  <c:v>1704.8538699999999</c:v>
                </c:pt>
                <c:pt idx="613">
                  <c:v>1704.9039</c:v>
                </c:pt>
                <c:pt idx="614">
                  <c:v>1704.9539299999999</c:v>
                </c:pt>
                <c:pt idx="615">
                  <c:v>1705.00396</c:v>
                </c:pt>
                <c:pt idx="616">
                  <c:v>1705.0540000000001</c:v>
                </c:pt>
                <c:pt idx="617">
                  <c:v>1705.10403</c:v>
                </c:pt>
                <c:pt idx="618">
                  <c:v>1705.1540600000001</c:v>
                </c:pt>
                <c:pt idx="619">
                  <c:v>1705.20409</c:v>
                </c:pt>
                <c:pt idx="620">
                  <c:v>1705.2541200000001</c:v>
                </c:pt>
                <c:pt idx="621">
                  <c:v>1705.3041499999999</c:v>
                </c:pt>
                <c:pt idx="622">
                  <c:v>1705.35418</c:v>
                </c:pt>
                <c:pt idx="623">
                  <c:v>1705.4042199999999</c:v>
                </c:pt>
                <c:pt idx="624">
                  <c:v>1705.45425</c:v>
                </c:pt>
                <c:pt idx="625">
                  <c:v>1705.5042800000001</c:v>
                </c:pt>
                <c:pt idx="626">
                  <c:v>1705.55431</c:v>
                </c:pt>
                <c:pt idx="627">
                  <c:v>1705.6043400000001</c:v>
                </c:pt>
                <c:pt idx="628">
                  <c:v>1705.65437</c:v>
                </c:pt>
                <c:pt idx="629">
                  <c:v>1705.7044000000001</c:v>
                </c:pt>
                <c:pt idx="630">
                  <c:v>1705.7544399999999</c:v>
                </c:pt>
                <c:pt idx="631">
                  <c:v>1705.80447</c:v>
                </c:pt>
                <c:pt idx="632">
                  <c:v>1705.8544999999999</c:v>
                </c:pt>
                <c:pt idx="633">
                  <c:v>1705.90453</c:v>
                </c:pt>
                <c:pt idx="634">
                  <c:v>1705.9545599999999</c:v>
                </c:pt>
                <c:pt idx="635">
                  <c:v>1706.00459</c:v>
                </c:pt>
                <c:pt idx="636">
                  <c:v>1706.0546300000001</c:v>
                </c:pt>
              </c:numCache>
            </c:numRef>
          </c:xVal>
          <c:yVal>
            <c:numRef>
              <c:f>'Ex 2 FULL 1 50 eV'!$C$2:$C$638</c:f>
              <c:numCache>
                <c:formatCode>0.00E+00</c:formatCode>
                <c:ptCount val="637"/>
                <c:pt idx="0">
                  <c:v>8.2022750000000003E-31</c:v>
                </c:pt>
                <c:pt idx="1">
                  <c:v>5.94625E-30</c:v>
                </c:pt>
                <c:pt idx="2">
                  <c:v>2.4565999999999995E-29</c:v>
                </c:pt>
                <c:pt idx="3">
                  <c:v>8.6176249999999995E-29</c:v>
                </c:pt>
                <c:pt idx="4">
                  <c:v>2.8346749999999998E-28</c:v>
                </c:pt>
                <c:pt idx="5">
                  <c:v>9.0329749999999984E-28</c:v>
                </c:pt>
                <c:pt idx="6">
                  <c:v>2.8222499999999999E-27</c:v>
                </c:pt>
                <c:pt idx="7">
                  <c:v>8.685075E-27</c:v>
                </c:pt>
                <c:pt idx="8">
                  <c:v>2.6358749999999995E-26</c:v>
                </c:pt>
                <c:pt idx="9">
                  <c:v>7.8934249999999997E-26</c:v>
                </c:pt>
                <c:pt idx="10">
                  <c:v>2.3341249999999999E-25</c:v>
                </c:pt>
                <c:pt idx="11">
                  <c:v>6.8088999999999997E-25</c:v>
                </c:pt>
                <c:pt idx="12">
                  <c:v>1.9613749999999998E-24</c:v>
                </c:pt>
                <c:pt idx="13">
                  <c:v>5.5788249999999999E-24</c:v>
                </c:pt>
                <c:pt idx="14">
                  <c:v>1.5662600000000001E-23</c:v>
                </c:pt>
                <c:pt idx="15">
                  <c:v>4.3416499999999998E-23</c:v>
                </c:pt>
                <c:pt idx="16">
                  <c:v>1.1880075E-22</c:v>
                </c:pt>
                <c:pt idx="17">
                  <c:v>3.2091999999999999E-22</c:v>
                </c:pt>
                <c:pt idx="18">
                  <c:v>8.5590499999999987E-22</c:v>
                </c:pt>
                <c:pt idx="19">
                  <c:v>2.2542499999999999E-21</c:v>
                </c:pt>
                <c:pt idx="20">
                  <c:v>5.8574999999999995E-21</c:v>
                </c:pt>
                <c:pt idx="21">
                  <c:v>1.5032474999999999E-20</c:v>
                </c:pt>
                <c:pt idx="22">
                  <c:v>3.8091499999999998E-20</c:v>
                </c:pt>
                <c:pt idx="23">
                  <c:v>9.5264249999999997E-20</c:v>
                </c:pt>
                <c:pt idx="24">
                  <c:v>2.3536499999999996E-19</c:v>
                </c:pt>
                <c:pt idx="25">
                  <c:v>5.7367999999999992E-19</c:v>
                </c:pt>
                <c:pt idx="26">
                  <c:v>1.3811275E-18</c:v>
                </c:pt>
                <c:pt idx="27">
                  <c:v>3.2837499999999996E-18</c:v>
                </c:pt>
                <c:pt idx="28">
                  <c:v>7.705275E-18</c:v>
                </c:pt>
                <c:pt idx="29">
                  <c:v>1.7856499999999997E-17</c:v>
                </c:pt>
                <c:pt idx="30">
                  <c:v>4.0842749999999993E-17</c:v>
                </c:pt>
                <c:pt idx="31">
                  <c:v>9.2264499999999998E-17</c:v>
                </c:pt>
                <c:pt idx="32">
                  <c:v>2.0572250000000001E-16</c:v>
                </c:pt>
                <c:pt idx="33">
                  <c:v>4.5315749999999991E-16</c:v>
                </c:pt>
                <c:pt idx="34">
                  <c:v>9.8565749999999998E-16</c:v>
                </c:pt>
                <c:pt idx="35">
                  <c:v>2.1175749999999997E-15</c:v>
                </c:pt>
                <c:pt idx="36">
                  <c:v>4.4889749999999999E-15</c:v>
                </c:pt>
                <c:pt idx="37">
                  <c:v>9.4004000000000003E-15</c:v>
                </c:pt>
                <c:pt idx="38">
                  <c:v>1.943625E-14</c:v>
                </c:pt>
                <c:pt idx="39">
                  <c:v>3.9688999999999996E-14</c:v>
                </c:pt>
                <c:pt idx="40">
                  <c:v>8.0034749999999991E-14</c:v>
                </c:pt>
                <c:pt idx="41">
                  <c:v>1.5935949999999998E-13</c:v>
                </c:pt>
                <c:pt idx="42">
                  <c:v>3.1346499999999997E-13</c:v>
                </c:pt>
                <c:pt idx="43">
                  <c:v>6.0864750000000001E-13</c:v>
                </c:pt>
                <c:pt idx="44">
                  <c:v>1.16724E-12</c:v>
                </c:pt>
                <c:pt idx="45">
                  <c:v>2.2116499999999998E-12</c:v>
                </c:pt>
                <c:pt idx="46">
                  <c:v>4.1357499999999996E-12</c:v>
                </c:pt>
                <c:pt idx="47">
                  <c:v>7.6413749999999994E-12</c:v>
                </c:pt>
                <c:pt idx="48">
                  <c:v>1.3944399999999999E-11</c:v>
                </c:pt>
                <c:pt idx="49">
                  <c:v>2.5134E-11</c:v>
                </c:pt>
                <c:pt idx="50">
                  <c:v>4.4747749999999994E-11</c:v>
                </c:pt>
                <c:pt idx="51">
                  <c:v>7.8685750000000004E-11</c:v>
                </c:pt>
                <c:pt idx="52">
                  <c:v>1.3671049999999999E-10</c:v>
                </c:pt>
                <c:pt idx="53">
                  <c:v>2.34655E-10</c:v>
                </c:pt>
                <c:pt idx="54">
                  <c:v>3.976E-10</c:v>
                </c:pt>
                <c:pt idx="55">
                  <c:v>6.6598000000000001E-10</c:v>
                </c:pt>
                <c:pt idx="56">
                  <c:v>1.1019200000000001E-9</c:v>
                </c:pt>
                <c:pt idx="57">
                  <c:v>1.801625E-9</c:v>
                </c:pt>
                <c:pt idx="58">
                  <c:v>2.9092249999999999E-9</c:v>
                </c:pt>
                <c:pt idx="59">
                  <c:v>4.6433999999999999E-9</c:v>
                </c:pt>
                <c:pt idx="60">
                  <c:v>7.321875E-9</c:v>
                </c:pt>
                <c:pt idx="61">
                  <c:v>1.1411475E-8</c:v>
                </c:pt>
                <c:pt idx="62">
                  <c:v>1.7574274999999997E-8</c:v>
                </c:pt>
                <c:pt idx="63">
                  <c:v>2.6749249999999997E-8</c:v>
                </c:pt>
                <c:pt idx="64">
                  <c:v>4.0239250000000001E-8</c:v>
                </c:pt>
                <c:pt idx="65">
                  <c:v>5.983525E-8</c:v>
                </c:pt>
                <c:pt idx="66">
                  <c:v>8.7968999999999985E-8</c:v>
                </c:pt>
                <c:pt idx="67">
                  <c:v>1.2783549999999999E-7</c:v>
                </c:pt>
                <c:pt idx="68">
                  <c:v>1.8371250000000001E-7</c:v>
                </c:pt>
                <c:pt idx="69">
                  <c:v>2.6092499999999996E-7</c:v>
                </c:pt>
                <c:pt idx="70">
                  <c:v>3.6653749999999998E-7</c:v>
                </c:pt>
                <c:pt idx="71">
                  <c:v>5.0924749999999997E-7</c:v>
                </c:pt>
                <c:pt idx="72">
                  <c:v>6.9952749999999995E-7</c:v>
                </c:pt>
                <c:pt idx="73">
                  <c:v>9.5086749999999992E-7</c:v>
                </c:pt>
                <c:pt idx="74">
                  <c:v>1.2785325000000001E-6</c:v>
                </c:pt>
                <c:pt idx="75">
                  <c:v>1.700805E-6</c:v>
                </c:pt>
                <c:pt idx="76">
                  <c:v>2.2382749999999998E-6</c:v>
                </c:pt>
                <c:pt idx="77">
                  <c:v>2.916325E-6</c:v>
                </c:pt>
                <c:pt idx="78">
                  <c:v>3.7612249999999997E-6</c:v>
                </c:pt>
                <c:pt idx="79">
                  <c:v>4.8013749999999994E-6</c:v>
                </c:pt>
                <c:pt idx="80">
                  <c:v>6.0687250000000001E-6</c:v>
                </c:pt>
                <c:pt idx="81">
                  <c:v>7.5987749999999991E-6</c:v>
                </c:pt>
                <c:pt idx="82">
                  <c:v>9.4216999999999999E-6</c:v>
                </c:pt>
                <c:pt idx="83">
                  <c:v>1.1572999999999999E-5</c:v>
                </c:pt>
                <c:pt idx="84">
                  <c:v>1.4088174999999998E-5</c:v>
                </c:pt>
                <c:pt idx="85">
                  <c:v>1.6999175E-5</c:v>
                </c:pt>
                <c:pt idx="86">
                  <c:v>2.032375E-5</c:v>
                </c:pt>
                <c:pt idx="87">
                  <c:v>2.4122249999999998E-5</c:v>
                </c:pt>
                <c:pt idx="88">
                  <c:v>2.8382250000000001E-5</c:v>
                </c:pt>
                <c:pt idx="89">
                  <c:v>3.3121499999999998E-5</c:v>
                </c:pt>
                <c:pt idx="90">
                  <c:v>3.8375499999999999E-5</c:v>
                </c:pt>
                <c:pt idx="91">
                  <c:v>4.4126500000000005E-5</c:v>
                </c:pt>
                <c:pt idx="92">
                  <c:v>5.0392249999999999E-5</c:v>
                </c:pt>
                <c:pt idx="93">
                  <c:v>5.7154999999999997E-5</c:v>
                </c:pt>
                <c:pt idx="94">
                  <c:v>6.443249999999999E-5</c:v>
                </c:pt>
                <c:pt idx="95">
                  <c:v>7.2171500000000005E-5</c:v>
                </c:pt>
                <c:pt idx="96">
                  <c:v>8.038974999999999E-5</c:v>
                </c:pt>
                <c:pt idx="97">
                  <c:v>8.9051749999999997E-5</c:v>
                </c:pt>
                <c:pt idx="98">
                  <c:v>9.8157499999999997E-5</c:v>
                </c:pt>
                <c:pt idx="99">
                  <c:v>1.076715E-4</c:v>
                </c:pt>
                <c:pt idx="100">
                  <c:v>1.1757599999999999E-4</c:v>
                </c:pt>
                <c:pt idx="101">
                  <c:v>1.2785324999999999E-4</c:v>
                </c:pt>
                <c:pt idx="102">
                  <c:v>1.3850325E-4</c:v>
                </c:pt>
                <c:pt idx="103">
                  <c:v>1.4950825E-4</c:v>
                </c:pt>
                <c:pt idx="104">
                  <c:v>1.6085049999999999E-4</c:v>
                </c:pt>
                <c:pt idx="105">
                  <c:v>1.7254775000000001E-4</c:v>
                </c:pt>
                <c:pt idx="106">
                  <c:v>1.8459999999999999E-4</c:v>
                </c:pt>
                <c:pt idx="107">
                  <c:v>1.9702500000000001E-4</c:v>
                </c:pt>
                <c:pt idx="108">
                  <c:v>2.096275E-4</c:v>
                </c:pt>
                <c:pt idx="109">
                  <c:v>2.227625E-4</c:v>
                </c:pt>
                <c:pt idx="110">
                  <c:v>2.3625249999999998E-4</c:v>
                </c:pt>
                <c:pt idx="111">
                  <c:v>2.4991999999999999E-4</c:v>
                </c:pt>
                <c:pt idx="112">
                  <c:v>2.6429749999999999E-4</c:v>
                </c:pt>
                <c:pt idx="113">
                  <c:v>2.7885249999999996E-4</c:v>
                </c:pt>
                <c:pt idx="114">
                  <c:v>2.9393999999999997E-4</c:v>
                </c:pt>
                <c:pt idx="115">
                  <c:v>3.0956000000000001E-4</c:v>
                </c:pt>
                <c:pt idx="116">
                  <c:v>3.2553499999999995E-4</c:v>
                </c:pt>
                <c:pt idx="117">
                  <c:v>3.4204249999999998E-4</c:v>
                </c:pt>
                <c:pt idx="118">
                  <c:v>3.5926000000000003E-4</c:v>
                </c:pt>
                <c:pt idx="119">
                  <c:v>3.7701E-4</c:v>
                </c:pt>
                <c:pt idx="120">
                  <c:v>3.9529249999999995E-4</c:v>
                </c:pt>
                <c:pt idx="121">
                  <c:v>4.1428500000000002E-4</c:v>
                </c:pt>
                <c:pt idx="122">
                  <c:v>4.339875E-4</c:v>
                </c:pt>
                <c:pt idx="123">
                  <c:v>4.5440000000000004E-4</c:v>
                </c:pt>
                <c:pt idx="124">
                  <c:v>4.7570000000000002E-4</c:v>
                </c:pt>
                <c:pt idx="125">
                  <c:v>4.9770999999999995E-4</c:v>
                </c:pt>
                <c:pt idx="126">
                  <c:v>5.2060749999999992E-4</c:v>
                </c:pt>
                <c:pt idx="127">
                  <c:v>5.4456999999999997E-4</c:v>
                </c:pt>
                <c:pt idx="128">
                  <c:v>5.6959749999999998E-4</c:v>
                </c:pt>
                <c:pt idx="129">
                  <c:v>5.9568999999999996E-4</c:v>
                </c:pt>
                <c:pt idx="130">
                  <c:v>6.228475E-4</c:v>
                </c:pt>
                <c:pt idx="131">
                  <c:v>6.5142499999999996E-4</c:v>
                </c:pt>
                <c:pt idx="132">
                  <c:v>6.8124499999999992E-4</c:v>
                </c:pt>
                <c:pt idx="133">
                  <c:v>7.1266250000000004E-4</c:v>
                </c:pt>
                <c:pt idx="134">
                  <c:v>7.4549999999999996E-4</c:v>
                </c:pt>
                <c:pt idx="135">
                  <c:v>7.8028999999999989E-4</c:v>
                </c:pt>
                <c:pt idx="136">
                  <c:v>8.1685500000000001E-4</c:v>
                </c:pt>
                <c:pt idx="137">
                  <c:v>8.5537250000000003E-4</c:v>
                </c:pt>
                <c:pt idx="138">
                  <c:v>8.961974999999999E-4</c:v>
                </c:pt>
                <c:pt idx="139">
                  <c:v>9.3950749999999997E-4</c:v>
                </c:pt>
                <c:pt idx="140">
                  <c:v>9.8565749999999998E-4</c:v>
                </c:pt>
                <c:pt idx="141">
                  <c:v>1.0350025000000001E-3</c:v>
                </c:pt>
                <c:pt idx="142">
                  <c:v>1.0877199999999999E-3</c:v>
                </c:pt>
                <c:pt idx="143">
                  <c:v>1.1443425E-3</c:v>
                </c:pt>
                <c:pt idx="144">
                  <c:v>1.2057575E-3</c:v>
                </c:pt>
                <c:pt idx="145">
                  <c:v>1.2724975E-3</c:v>
                </c:pt>
                <c:pt idx="146">
                  <c:v>1.3456275E-3</c:v>
                </c:pt>
                <c:pt idx="147">
                  <c:v>1.4263899999999998E-3</c:v>
                </c:pt>
                <c:pt idx="148">
                  <c:v>1.5167374999999999E-3</c:v>
                </c:pt>
                <c:pt idx="149">
                  <c:v>1.6187999999999999E-3</c:v>
                </c:pt>
                <c:pt idx="150">
                  <c:v>1.7354174999999997E-3</c:v>
                </c:pt>
                <c:pt idx="151">
                  <c:v>1.8708500000000001E-3</c:v>
                </c:pt>
                <c:pt idx="152">
                  <c:v>2.0288249999999997E-3</c:v>
                </c:pt>
                <c:pt idx="153">
                  <c:v>2.2169749999999999E-3</c:v>
                </c:pt>
                <c:pt idx="154">
                  <c:v>2.4441749999999998E-3</c:v>
                </c:pt>
                <c:pt idx="155">
                  <c:v>2.7210749999999999E-3</c:v>
                </c:pt>
                <c:pt idx="156">
                  <c:v>3.0600999999999996E-3</c:v>
                </c:pt>
                <c:pt idx="157">
                  <c:v>3.4772249999999996E-3</c:v>
                </c:pt>
                <c:pt idx="158">
                  <c:v>3.9937499999999999E-3</c:v>
                </c:pt>
                <c:pt idx="159">
                  <c:v>4.6345249999999996E-3</c:v>
                </c:pt>
                <c:pt idx="160">
                  <c:v>5.4261750000000001E-3</c:v>
                </c:pt>
                <c:pt idx="161">
                  <c:v>6.4059749999999995E-3</c:v>
                </c:pt>
                <c:pt idx="162">
                  <c:v>7.6094249999999995E-3</c:v>
                </c:pt>
                <c:pt idx="163">
                  <c:v>9.0791250000000004E-3</c:v>
                </c:pt>
                <c:pt idx="164">
                  <c:v>1.0862999999999999E-2</c:v>
                </c:pt>
                <c:pt idx="165">
                  <c:v>1.3008974999999999E-2</c:v>
                </c:pt>
                <c:pt idx="166">
                  <c:v>1.5568524999999998E-2</c:v>
                </c:pt>
                <c:pt idx="167">
                  <c:v>1.858425E-2</c:v>
                </c:pt>
                <c:pt idx="168">
                  <c:v>2.2116500000000001E-2</c:v>
                </c:pt>
                <c:pt idx="169">
                  <c:v>2.6216749999999997E-2</c:v>
                </c:pt>
                <c:pt idx="170">
                  <c:v>3.0884999999999996E-2</c:v>
                </c:pt>
                <c:pt idx="171">
                  <c:v>3.6156749999999994E-2</c:v>
                </c:pt>
                <c:pt idx="172">
                  <c:v>4.2067499999999994E-2</c:v>
                </c:pt>
                <c:pt idx="173">
                  <c:v>4.858175E-2</c:v>
                </c:pt>
                <c:pt idx="174">
                  <c:v>5.5663999999999998E-2</c:v>
                </c:pt>
                <c:pt idx="175">
                  <c:v>6.3314250000000002E-2</c:v>
                </c:pt>
                <c:pt idx="176">
                  <c:v>7.1425999999999989E-2</c:v>
                </c:pt>
                <c:pt idx="177">
                  <c:v>7.9946000000000003E-2</c:v>
                </c:pt>
                <c:pt idx="178">
                  <c:v>8.8749999999999996E-2</c:v>
                </c:pt>
                <c:pt idx="179">
                  <c:v>9.7766999999999993E-2</c:v>
                </c:pt>
                <c:pt idx="180">
                  <c:v>0.1068195</c:v>
                </c:pt>
                <c:pt idx="181">
                  <c:v>0.11583649999999998</c:v>
                </c:pt>
                <c:pt idx="182">
                  <c:v>0.1246405</c:v>
                </c:pt>
                <c:pt idx="183">
                  <c:v>0.13316049999999999</c:v>
                </c:pt>
                <c:pt idx="184">
                  <c:v>0.14125449999999998</c:v>
                </c:pt>
                <c:pt idx="185">
                  <c:v>0.148816</c:v>
                </c:pt>
                <c:pt idx="186">
                  <c:v>0.15579175000000001</c:v>
                </c:pt>
                <c:pt idx="187">
                  <c:v>0.16211075</c:v>
                </c:pt>
                <c:pt idx="188">
                  <c:v>0.16771974999999997</c:v>
                </c:pt>
                <c:pt idx="189">
                  <c:v>0.172601</c:v>
                </c:pt>
                <c:pt idx="190">
                  <c:v>0.17679</c:v>
                </c:pt>
                <c:pt idx="191">
                  <c:v>0.18034</c:v>
                </c:pt>
                <c:pt idx="192">
                  <c:v>0.18300249999999998</c:v>
                </c:pt>
                <c:pt idx="193">
                  <c:v>0.18531</c:v>
                </c:pt>
                <c:pt idx="194">
                  <c:v>0.18690749999999998</c:v>
                </c:pt>
                <c:pt idx="195">
                  <c:v>0.18815000000000001</c:v>
                </c:pt>
                <c:pt idx="196">
                  <c:v>0.18886</c:v>
                </c:pt>
                <c:pt idx="197">
                  <c:v>0.18921499999999999</c:v>
                </c:pt>
                <c:pt idx="198">
                  <c:v>0.18921499999999999</c:v>
                </c:pt>
                <c:pt idx="199">
                  <c:v>0.18903749999999997</c:v>
                </c:pt>
                <c:pt idx="200">
                  <c:v>0.18868249999999998</c:v>
                </c:pt>
                <c:pt idx="201">
                  <c:v>0.18832749999999998</c:v>
                </c:pt>
                <c:pt idx="202">
                  <c:v>0.18779499999999999</c:v>
                </c:pt>
                <c:pt idx="203">
                  <c:v>0.187085</c:v>
                </c:pt>
                <c:pt idx="204">
                  <c:v>0.18637499999999999</c:v>
                </c:pt>
                <c:pt idx="205">
                  <c:v>0.18584249999999997</c:v>
                </c:pt>
                <c:pt idx="206">
                  <c:v>0.18513249999999998</c:v>
                </c:pt>
                <c:pt idx="207">
                  <c:v>0.18442249999999999</c:v>
                </c:pt>
                <c:pt idx="208">
                  <c:v>0.18389</c:v>
                </c:pt>
                <c:pt idx="209">
                  <c:v>0.18335749999999998</c:v>
                </c:pt>
                <c:pt idx="210">
                  <c:v>0.18264749999999996</c:v>
                </c:pt>
                <c:pt idx="211">
                  <c:v>0.182115</c:v>
                </c:pt>
                <c:pt idx="212">
                  <c:v>0.18176</c:v>
                </c:pt>
                <c:pt idx="213">
                  <c:v>0.18122749999999999</c:v>
                </c:pt>
                <c:pt idx="214">
                  <c:v>0.18087249999999996</c:v>
                </c:pt>
                <c:pt idx="215">
                  <c:v>0.18051749999999997</c:v>
                </c:pt>
                <c:pt idx="216">
                  <c:v>0.18016249999999998</c:v>
                </c:pt>
                <c:pt idx="217">
                  <c:v>0.17980749999999998</c:v>
                </c:pt>
                <c:pt idx="218">
                  <c:v>0.17945249999999996</c:v>
                </c:pt>
                <c:pt idx="219">
                  <c:v>0.17909749999999997</c:v>
                </c:pt>
                <c:pt idx="220">
                  <c:v>0.17892</c:v>
                </c:pt>
                <c:pt idx="221">
                  <c:v>0.17874249999999997</c:v>
                </c:pt>
                <c:pt idx="222">
                  <c:v>0.17838749999999998</c:v>
                </c:pt>
                <c:pt idx="223">
                  <c:v>0.17820999999999998</c:v>
                </c:pt>
                <c:pt idx="224">
                  <c:v>0.17803249999999998</c:v>
                </c:pt>
                <c:pt idx="225">
                  <c:v>0.17785499999999999</c:v>
                </c:pt>
                <c:pt idx="226">
                  <c:v>0.17767749999999996</c:v>
                </c:pt>
                <c:pt idx="227">
                  <c:v>0.17767749999999996</c:v>
                </c:pt>
                <c:pt idx="228">
                  <c:v>0.17748224999999998</c:v>
                </c:pt>
                <c:pt idx="229">
                  <c:v>0.17735799999999999</c:v>
                </c:pt>
                <c:pt idx="230">
                  <c:v>0.17725150000000001</c:v>
                </c:pt>
                <c:pt idx="231">
                  <c:v>0.17716274999999998</c:v>
                </c:pt>
                <c:pt idx="232">
                  <c:v>0.17707400000000001</c:v>
                </c:pt>
                <c:pt idx="233">
                  <c:v>0.17700299999999999</c:v>
                </c:pt>
                <c:pt idx="234">
                  <c:v>0.17694974999999999</c:v>
                </c:pt>
                <c:pt idx="235">
                  <c:v>0.17687875</c:v>
                </c:pt>
                <c:pt idx="236">
                  <c:v>0.17684324999999998</c:v>
                </c:pt>
                <c:pt idx="237">
                  <c:v>0.17680774999999999</c:v>
                </c:pt>
                <c:pt idx="238">
                  <c:v>0.17677224999999999</c:v>
                </c:pt>
                <c:pt idx="239">
                  <c:v>0.17673675</c:v>
                </c:pt>
                <c:pt idx="240">
                  <c:v>0.17671899999999999</c:v>
                </c:pt>
                <c:pt idx="241">
                  <c:v>0.17671899999999999</c:v>
                </c:pt>
                <c:pt idx="242">
                  <c:v>0.17671899999999999</c:v>
                </c:pt>
                <c:pt idx="243">
                  <c:v>0.17671899999999999</c:v>
                </c:pt>
                <c:pt idx="244">
                  <c:v>0.17671899999999999</c:v>
                </c:pt>
                <c:pt idx="245">
                  <c:v>0.17671899999999999</c:v>
                </c:pt>
                <c:pt idx="246">
                  <c:v>0.17673675</c:v>
                </c:pt>
                <c:pt idx="247">
                  <c:v>0.17675449999999998</c:v>
                </c:pt>
                <c:pt idx="248">
                  <c:v>0.17677224999999999</c:v>
                </c:pt>
                <c:pt idx="249">
                  <c:v>0.17680774999999999</c:v>
                </c:pt>
                <c:pt idx="250">
                  <c:v>0.1768255</c:v>
                </c:pt>
                <c:pt idx="251">
                  <c:v>0.17686099999999999</c:v>
                </c:pt>
                <c:pt idx="252">
                  <c:v>0.17687875</c:v>
                </c:pt>
                <c:pt idx="253">
                  <c:v>0.17691425</c:v>
                </c:pt>
                <c:pt idx="254">
                  <c:v>0.17694974999999999</c:v>
                </c:pt>
                <c:pt idx="255">
                  <c:v>0.1769675</c:v>
                </c:pt>
                <c:pt idx="256">
                  <c:v>0.17700299999999999</c:v>
                </c:pt>
                <c:pt idx="257">
                  <c:v>0.17703849999999999</c:v>
                </c:pt>
                <c:pt idx="258">
                  <c:v>0.17705625</c:v>
                </c:pt>
                <c:pt idx="259">
                  <c:v>0.17709174999999999</c:v>
                </c:pt>
                <c:pt idx="260">
                  <c:v>0.17712724999999999</c:v>
                </c:pt>
                <c:pt idx="261">
                  <c:v>0.177145</c:v>
                </c:pt>
                <c:pt idx="262">
                  <c:v>0.17716274999999998</c:v>
                </c:pt>
                <c:pt idx="263">
                  <c:v>0.17719824999999997</c:v>
                </c:pt>
                <c:pt idx="264">
                  <c:v>0.17721599999999998</c:v>
                </c:pt>
                <c:pt idx="265">
                  <c:v>0.17723375</c:v>
                </c:pt>
                <c:pt idx="266">
                  <c:v>0.17725150000000001</c:v>
                </c:pt>
                <c:pt idx="267">
                  <c:v>0.17726924999999999</c:v>
                </c:pt>
                <c:pt idx="268">
                  <c:v>0.177287</c:v>
                </c:pt>
                <c:pt idx="269">
                  <c:v>0.17730474999999998</c:v>
                </c:pt>
                <c:pt idx="270">
                  <c:v>0.17730474999999998</c:v>
                </c:pt>
                <c:pt idx="271">
                  <c:v>0.17732249999999999</c:v>
                </c:pt>
                <c:pt idx="272">
                  <c:v>0.17732249999999999</c:v>
                </c:pt>
                <c:pt idx="273">
                  <c:v>0.17734024999999998</c:v>
                </c:pt>
                <c:pt idx="274">
                  <c:v>0.17734024999999998</c:v>
                </c:pt>
                <c:pt idx="275">
                  <c:v>0.17734024999999998</c:v>
                </c:pt>
                <c:pt idx="276">
                  <c:v>0.17735799999999999</c:v>
                </c:pt>
                <c:pt idx="277">
                  <c:v>0.17735799999999999</c:v>
                </c:pt>
                <c:pt idx="278">
                  <c:v>0.17735799999999999</c:v>
                </c:pt>
                <c:pt idx="279">
                  <c:v>0.17735799999999999</c:v>
                </c:pt>
                <c:pt idx="280">
                  <c:v>0.17735799999999999</c:v>
                </c:pt>
                <c:pt idx="281">
                  <c:v>0.17735799999999999</c:v>
                </c:pt>
                <c:pt idx="282">
                  <c:v>0.17737575</c:v>
                </c:pt>
                <c:pt idx="283">
                  <c:v>0.17737575</c:v>
                </c:pt>
                <c:pt idx="284">
                  <c:v>0.17737575</c:v>
                </c:pt>
                <c:pt idx="285">
                  <c:v>0.17737575</c:v>
                </c:pt>
                <c:pt idx="286">
                  <c:v>0.17737575</c:v>
                </c:pt>
                <c:pt idx="287">
                  <c:v>0.17737575</c:v>
                </c:pt>
                <c:pt idx="288">
                  <c:v>0.17737575</c:v>
                </c:pt>
                <c:pt idx="289">
                  <c:v>0.17737575</c:v>
                </c:pt>
                <c:pt idx="290">
                  <c:v>0.17737575</c:v>
                </c:pt>
                <c:pt idx="291">
                  <c:v>0.17737575</c:v>
                </c:pt>
                <c:pt idx="292">
                  <c:v>0.17735799999999999</c:v>
                </c:pt>
                <c:pt idx="293">
                  <c:v>0.17735799999999999</c:v>
                </c:pt>
                <c:pt idx="294">
                  <c:v>0.17735799999999999</c:v>
                </c:pt>
                <c:pt idx="295">
                  <c:v>0.17735799999999999</c:v>
                </c:pt>
                <c:pt idx="296">
                  <c:v>0.17735799999999999</c:v>
                </c:pt>
                <c:pt idx="297">
                  <c:v>0.17735799999999999</c:v>
                </c:pt>
                <c:pt idx="298">
                  <c:v>0.17735799999999999</c:v>
                </c:pt>
                <c:pt idx="299">
                  <c:v>0.17735799999999999</c:v>
                </c:pt>
                <c:pt idx="300">
                  <c:v>0.17735799999999999</c:v>
                </c:pt>
                <c:pt idx="301">
                  <c:v>0.17735799999999999</c:v>
                </c:pt>
                <c:pt idx="302">
                  <c:v>0.17735799999999999</c:v>
                </c:pt>
                <c:pt idx="303">
                  <c:v>0.17735799999999999</c:v>
                </c:pt>
                <c:pt idx="304">
                  <c:v>0.17735799999999999</c:v>
                </c:pt>
                <c:pt idx="305">
                  <c:v>0.17735799999999999</c:v>
                </c:pt>
                <c:pt idx="306">
                  <c:v>0.17735799999999999</c:v>
                </c:pt>
                <c:pt idx="307">
                  <c:v>0.17735799999999999</c:v>
                </c:pt>
                <c:pt idx="308">
                  <c:v>0.17735799999999999</c:v>
                </c:pt>
                <c:pt idx="309">
                  <c:v>0.17735799999999999</c:v>
                </c:pt>
                <c:pt idx="310">
                  <c:v>0.17735799999999999</c:v>
                </c:pt>
                <c:pt idx="311">
                  <c:v>0.17735799999999999</c:v>
                </c:pt>
                <c:pt idx="312">
                  <c:v>0.17735799999999999</c:v>
                </c:pt>
                <c:pt idx="313">
                  <c:v>0.17735799999999999</c:v>
                </c:pt>
                <c:pt idx="314">
                  <c:v>0.17735799999999999</c:v>
                </c:pt>
                <c:pt idx="315">
                  <c:v>0.17735799999999999</c:v>
                </c:pt>
                <c:pt idx="316">
                  <c:v>0.17735799999999999</c:v>
                </c:pt>
                <c:pt idx="317">
                  <c:v>0.17735799999999999</c:v>
                </c:pt>
                <c:pt idx="318">
                  <c:v>0.17735799999999999</c:v>
                </c:pt>
                <c:pt idx="319">
                  <c:v>0.17735799999999999</c:v>
                </c:pt>
                <c:pt idx="320">
                  <c:v>0.17735799999999999</c:v>
                </c:pt>
                <c:pt idx="321">
                  <c:v>0.17735799999999999</c:v>
                </c:pt>
                <c:pt idx="322">
                  <c:v>0.17735799999999999</c:v>
                </c:pt>
                <c:pt idx="323">
                  <c:v>0.17735799999999999</c:v>
                </c:pt>
                <c:pt idx="324">
                  <c:v>0.17735799999999999</c:v>
                </c:pt>
                <c:pt idx="325">
                  <c:v>0.17735799999999999</c:v>
                </c:pt>
                <c:pt idx="326">
                  <c:v>0.17735799999999999</c:v>
                </c:pt>
                <c:pt idx="327">
                  <c:v>0.17735799999999999</c:v>
                </c:pt>
                <c:pt idx="328">
                  <c:v>0.17735799999999999</c:v>
                </c:pt>
                <c:pt idx="329">
                  <c:v>0.17735799999999999</c:v>
                </c:pt>
                <c:pt idx="330">
                  <c:v>0.17735799999999999</c:v>
                </c:pt>
                <c:pt idx="331">
                  <c:v>0.17735799999999999</c:v>
                </c:pt>
                <c:pt idx="332">
                  <c:v>0.17735799999999999</c:v>
                </c:pt>
                <c:pt idx="333">
                  <c:v>0.17735799999999999</c:v>
                </c:pt>
                <c:pt idx="334">
                  <c:v>0.17735799999999999</c:v>
                </c:pt>
                <c:pt idx="335">
                  <c:v>0.17735799999999999</c:v>
                </c:pt>
                <c:pt idx="336">
                  <c:v>0.17735799999999999</c:v>
                </c:pt>
                <c:pt idx="337">
                  <c:v>0.17735799999999999</c:v>
                </c:pt>
                <c:pt idx="338">
                  <c:v>0.17735799999999999</c:v>
                </c:pt>
                <c:pt idx="339">
                  <c:v>0.17735799999999999</c:v>
                </c:pt>
                <c:pt idx="340">
                  <c:v>0.17735799999999999</c:v>
                </c:pt>
                <c:pt idx="341">
                  <c:v>0.17735799999999999</c:v>
                </c:pt>
                <c:pt idx="342">
                  <c:v>0.17735799999999999</c:v>
                </c:pt>
                <c:pt idx="343">
                  <c:v>0.17735799999999999</c:v>
                </c:pt>
                <c:pt idx="344">
                  <c:v>0.17735799999999999</c:v>
                </c:pt>
                <c:pt idx="345">
                  <c:v>0.17735799999999999</c:v>
                </c:pt>
                <c:pt idx="346">
                  <c:v>0.17735799999999999</c:v>
                </c:pt>
                <c:pt idx="347">
                  <c:v>0.17735799999999999</c:v>
                </c:pt>
                <c:pt idx="348">
                  <c:v>0.17735799999999999</c:v>
                </c:pt>
                <c:pt idx="349">
                  <c:v>0.17735799999999999</c:v>
                </c:pt>
                <c:pt idx="350">
                  <c:v>0.17735799999999999</c:v>
                </c:pt>
                <c:pt idx="351">
                  <c:v>0.17735799999999999</c:v>
                </c:pt>
                <c:pt idx="352">
                  <c:v>0.17735799999999999</c:v>
                </c:pt>
                <c:pt idx="353">
                  <c:v>0.17735799999999999</c:v>
                </c:pt>
                <c:pt idx="354">
                  <c:v>0.17735799999999999</c:v>
                </c:pt>
                <c:pt idx="355">
                  <c:v>0.17737575</c:v>
                </c:pt>
                <c:pt idx="356">
                  <c:v>0.17737575</c:v>
                </c:pt>
                <c:pt idx="357">
                  <c:v>0.17737575</c:v>
                </c:pt>
                <c:pt idx="358">
                  <c:v>0.17737575</c:v>
                </c:pt>
                <c:pt idx="359">
                  <c:v>0.17737575</c:v>
                </c:pt>
                <c:pt idx="360">
                  <c:v>0.17737575</c:v>
                </c:pt>
                <c:pt idx="361">
                  <c:v>0.17737575</c:v>
                </c:pt>
                <c:pt idx="362">
                  <c:v>0.17737575</c:v>
                </c:pt>
                <c:pt idx="363">
                  <c:v>0.17737575</c:v>
                </c:pt>
                <c:pt idx="364">
                  <c:v>0.17737575</c:v>
                </c:pt>
                <c:pt idx="365">
                  <c:v>0.17737575</c:v>
                </c:pt>
                <c:pt idx="366">
                  <c:v>0.17737575</c:v>
                </c:pt>
                <c:pt idx="367">
                  <c:v>0.17737575</c:v>
                </c:pt>
                <c:pt idx="368">
                  <c:v>0.17737575</c:v>
                </c:pt>
                <c:pt idx="369">
                  <c:v>0.17737575</c:v>
                </c:pt>
                <c:pt idx="370">
                  <c:v>0.17737575</c:v>
                </c:pt>
                <c:pt idx="371">
                  <c:v>0.17737575</c:v>
                </c:pt>
                <c:pt idx="372">
                  <c:v>0.17737575</c:v>
                </c:pt>
                <c:pt idx="373">
                  <c:v>0.17737575</c:v>
                </c:pt>
                <c:pt idx="374">
                  <c:v>0.17737575</c:v>
                </c:pt>
                <c:pt idx="375">
                  <c:v>0.17737575</c:v>
                </c:pt>
                <c:pt idx="376">
                  <c:v>0.17737575</c:v>
                </c:pt>
                <c:pt idx="377">
                  <c:v>0.17737575</c:v>
                </c:pt>
                <c:pt idx="378">
                  <c:v>0.17737575</c:v>
                </c:pt>
                <c:pt idx="379">
                  <c:v>0.17737575</c:v>
                </c:pt>
                <c:pt idx="380">
                  <c:v>0.17737575</c:v>
                </c:pt>
                <c:pt idx="381">
                  <c:v>0.17737575</c:v>
                </c:pt>
                <c:pt idx="382">
                  <c:v>0.17737575</c:v>
                </c:pt>
                <c:pt idx="383">
                  <c:v>0.17737575</c:v>
                </c:pt>
                <c:pt idx="384">
                  <c:v>0.17737575</c:v>
                </c:pt>
                <c:pt idx="385">
                  <c:v>0.17737575</c:v>
                </c:pt>
                <c:pt idx="386">
                  <c:v>0.17737575</c:v>
                </c:pt>
                <c:pt idx="387">
                  <c:v>0.17737575</c:v>
                </c:pt>
                <c:pt idx="388">
                  <c:v>0.17737575</c:v>
                </c:pt>
                <c:pt idx="389">
                  <c:v>0.17737575</c:v>
                </c:pt>
                <c:pt idx="390">
                  <c:v>0.17737575</c:v>
                </c:pt>
                <c:pt idx="391">
                  <c:v>0.17737575</c:v>
                </c:pt>
                <c:pt idx="392">
                  <c:v>0.17737575</c:v>
                </c:pt>
                <c:pt idx="393">
                  <c:v>0.17737575</c:v>
                </c:pt>
                <c:pt idx="394">
                  <c:v>0.17737575</c:v>
                </c:pt>
                <c:pt idx="395">
                  <c:v>0.17737575</c:v>
                </c:pt>
                <c:pt idx="396">
                  <c:v>0.17737575</c:v>
                </c:pt>
                <c:pt idx="397">
                  <c:v>0.17737575</c:v>
                </c:pt>
                <c:pt idx="398">
                  <c:v>0.17737575</c:v>
                </c:pt>
                <c:pt idx="399">
                  <c:v>0.17737575</c:v>
                </c:pt>
                <c:pt idx="400">
                  <c:v>0.17737575</c:v>
                </c:pt>
                <c:pt idx="401">
                  <c:v>0.17737575</c:v>
                </c:pt>
                <c:pt idx="402">
                  <c:v>0.17737575</c:v>
                </c:pt>
                <c:pt idx="403">
                  <c:v>0.17737575</c:v>
                </c:pt>
                <c:pt idx="404">
                  <c:v>0.17737575</c:v>
                </c:pt>
                <c:pt idx="405">
                  <c:v>0.17737575</c:v>
                </c:pt>
                <c:pt idx="406">
                  <c:v>0.17737575</c:v>
                </c:pt>
                <c:pt idx="407">
                  <c:v>0.17737575</c:v>
                </c:pt>
                <c:pt idx="408">
                  <c:v>0.17737575</c:v>
                </c:pt>
                <c:pt idx="409">
                  <c:v>0.17737575</c:v>
                </c:pt>
                <c:pt idx="410">
                  <c:v>0.17737575</c:v>
                </c:pt>
                <c:pt idx="411">
                  <c:v>0.17737575</c:v>
                </c:pt>
                <c:pt idx="412">
                  <c:v>0.17737575</c:v>
                </c:pt>
                <c:pt idx="413">
                  <c:v>0.17737575</c:v>
                </c:pt>
                <c:pt idx="414">
                  <c:v>0.17737575</c:v>
                </c:pt>
                <c:pt idx="415">
                  <c:v>0.17737575</c:v>
                </c:pt>
                <c:pt idx="416">
                  <c:v>0.17737575</c:v>
                </c:pt>
                <c:pt idx="417">
                  <c:v>0.17737575</c:v>
                </c:pt>
                <c:pt idx="418">
                  <c:v>0.17737575</c:v>
                </c:pt>
                <c:pt idx="419">
                  <c:v>0.17737575</c:v>
                </c:pt>
                <c:pt idx="420">
                  <c:v>0.17737575</c:v>
                </c:pt>
                <c:pt idx="421">
                  <c:v>0.17737575</c:v>
                </c:pt>
                <c:pt idx="422">
                  <c:v>0.17737575</c:v>
                </c:pt>
                <c:pt idx="423">
                  <c:v>0.17737575</c:v>
                </c:pt>
                <c:pt idx="424">
                  <c:v>0.17737575</c:v>
                </c:pt>
                <c:pt idx="425">
                  <c:v>0.17737575</c:v>
                </c:pt>
                <c:pt idx="426">
                  <c:v>0.17737575</c:v>
                </c:pt>
                <c:pt idx="427">
                  <c:v>0.17737575</c:v>
                </c:pt>
                <c:pt idx="428">
                  <c:v>0.17737575</c:v>
                </c:pt>
                <c:pt idx="429">
                  <c:v>0.17737575</c:v>
                </c:pt>
                <c:pt idx="430">
                  <c:v>0.17737575</c:v>
                </c:pt>
                <c:pt idx="431">
                  <c:v>0.17737575</c:v>
                </c:pt>
                <c:pt idx="432">
                  <c:v>0.17737575</c:v>
                </c:pt>
                <c:pt idx="433">
                  <c:v>0.17737575</c:v>
                </c:pt>
                <c:pt idx="434">
                  <c:v>0.17737575</c:v>
                </c:pt>
                <c:pt idx="435">
                  <c:v>0.17737575</c:v>
                </c:pt>
                <c:pt idx="436">
                  <c:v>0.17737575</c:v>
                </c:pt>
                <c:pt idx="437">
                  <c:v>0.17737575</c:v>
                </c:pt>
                <c:pt idx="438">
                  <c:v>0.17737575</c:v>
                </c:pt>
                <c:pt idx="439">
                  <c:v>0.17737575</c:v>
                </c:pt>
                <c:pt idx="440">
                  <c:v>0.17737575</c:v>
                </c:pt>
                <c:pt idx="441">
                  <c:v>0.17737575</c:v>
                </c:pt>
                <c:pt idx="442">
                  <c:v>0.17737575</c:v>
                </c:pt>
                <c:pt idx="443">
                  <c:v>0.17737575</c:v>
                </c:pt>
                <c:pt idx="444">
                  <c:v>0.17737575</c:v>
                </c:pt>
                <c:pt idx="445">
                  <c:v>0.17737575</c:v>
                </c:pt>
                <c:pt idx="446">
                  <c:v>0.17737575</c:v>
                </c:pt>
                <c:pt idx="447">
                  <c:v>0.17737575</c:v>
                </c:pt>
                <c:pt idx="448">
                  <c:v>0.17737575</c:v>
                </c:pt>
                <c:pt idx="449">
                  <c:v>0.17737575</c:v>
                </c:pt>
                <c:pt idx="450">
                  <c:v>0.17737575</c:v>
                </c:pt>
                <c:pt idx="451">
                  <c:v>0.17737575</c:v>
                </c:pt>
                <c:pt idx="452">
                  <c:v>0.17737575</c:v>
                </c:pt>
                <c:pt idx="453">
                  <c:v>0.17737575</c:v>
                </c:pt>
                <c:pt idx="454">
                  <c:v>0.17737575</c:v>
                </c:pt>
                <c:pt idx="455">
                  <c:v>0.17737575</c:v>
                </c:pt>
                <c:pt idx="456">
                  <c:v>0.17737575</c:v>
                </c:pt>
                <c:pt idx="457">
                  <c:v>0.17737575</c:v>
                </c:pt>
                <c:pt idx="458">
                  <c:v>0.17737575</c:v>
                </c:pt>
                <c:pt idx="459">
                  <c:v>0.17737575</c:v>
                </c:pt>
                <c:pt idx="460">
                  <c:v>0.17737575</c:v>
                </c:pt>
                <c:pt idx="461">
                  <c:v>0.17737575</c:v>
                </c:pt>
                <c:pt idx="462">
                  <c:v>0.17737575</c:v>
                </c:pt>
                <c:pt idx="463">
                  <c:v>0.17737575</c:v>
                </c:pt>
                <c:pt idx="464">
                  <c:v>0.17737575</c:v>
                </c:pt>
                <c:pt idx="465">
                  <c:v>0.17737575</c:v>
                </c:pt>
                <c:pt idx="466">
                  <c:v>0.17737575</c:v>
                </c:pt>
                <c:pt idx="467">
                  <c:v>0.17737575</c:v>
                </c:pt>
                <c:pt idx="468">
                  <c:v>0.17737575</c:v>
                </c:pt>
                <c:pt idx="469">
                  <c:v>0.17737575</c:v>
                </c:pt>
                <c:pt idx="470">
                  <c:v>0.17737575</c:v>
                </c:pt>
                <c:pt idx="471">
                  <c:v>0.17737575</c:v>
                </c:pt>
                <c:pt idx="472">
                  <c:v>0.17737575</c:v>
                </c:pt>
                <c:pt idx="473">
                  <c:v>0.17737575</c:v>
                </c:pt>
                <c:pt idx="474">
                  <c:v>0.17737575</c:v>
                </c:pt>
                <c:pt idx="475">
                  <c:v>0.17737575</c:v>
                </c:pt>
                <c:pt idx="476">
                  <c:v>0.17737575</c:v>
                </c:pt>
                <c:pt idx="477">
                  <c:v>0.17737575</c:v>
                </c:pt>
                <c:pt idx="478">
                  <c:v>0.17737575</c:v>
                </c:pt>
                <c:pt idx="479">
                  <c:v>0.17737575</c:v>
                </c:pt>
                <c:pt idx="480">
                  <c:v>0.17737575</c:v>
                </c:pt>
                <c:pt idx="481">
                  <c:v>0.17737575</c:v>
                </c:pt>
                <c:pt idx="482">
                  <c:v>0.17737575</c:v>
                </c:pt>
                <c:pt idx="483">
                  <c:v>0.17737575</c:v>
                </c:pt>
                <c:pt idx="484">
                  <c:v>0.17737575</c:v>
                </c:pt>
                <c:pt idx="485">
                  <c:v>0.17737575</c:v>
                </c:pt>
                <c:pt idx="486">
                  <c:v>0.17737575</c:v>
                </c:pt>
                <c:pt idx="487">
                  <c:v>0.17737575</c:v>
                </c:pt>
                <c:pt idx="488">
                  <c:v>0.17737575</c:v>
                </c:pt>
                <c:pt idx="489">
                  <c:v>0.17737575</c:v>
                </c:pt>
                <c:pt idx="490">
                  <c:v>0.17737575</c:v>
                </c:pt>
                <c:pt idx="491">
                  <c:v>0.17737575</c:v>
                </c:pt>
                <c:pt idx="492">
                  <c:v>0.17737575</c:v>
                </c:pt>
                <c:pt idx="493">
                  <c:v>0.17737575</c:v>
                </c:pt>
                <c:pt idx="494">
                  <c:v>0.17737575</c:v>
                </c:pt>
                <c:pt idx="495">
                  <c:v>0.17737575</c:v>
                </c:pt>
                <c:pt idx="496">
                  <c:v>0.17737575</c:v>
                </c:pt>
                <c:pt idx="497">
                  <c:v>0.17737575</c:v>
                </c:pt>
                <c:pt idx="498">
                  <c:v>0.17737575</c:v>
                </c:pt>
                <c:pt idx="499">
                  <c:v>0.17737575</c:v>
                </c:pt>
                <c:pt idx="500">
                  <c:v>0.17737575</c:v>
                </c:pt>
                <c:pt idx="501">
                  <c:v>0.17737575</c:v>
                </c:pt>
                <c:pt idx="502">
                  <c:v>0.17737575</c:v>
                </c:pt>
                <c:pt idx="503">
                  <c:v>0.17737575</c:v>
                </c:pt>
                <c:pt idx="504">
                  <c:v>0.17737575</c:v>
                </c:pt>
                <c:pt idx="505">
                  <c:v>0.17737575</c:v>
                </c:pt>
                <c:pt idx="506">
                  <c:v>0.17737575</c:v>
                </c:pt>
                <c:pt idx="507">
                  <c:v>0.17737575</c:v>
                </c:pt>
                <c:pt idx="508">
                  <c:v>0.17737575</c:v>
                </c:pt>
                <c:pt idx="509">
                  <c:v>0.17737575</c:v>
                </c:pt>
                <c:pt idx="510">
                  <c:v>0.17737575</c:v>
                </c:pt>
                <c:pt idx="511">
                  <c:v>0.17737575</c:v>
                </c:pt>
                <c:pt idx="512">
                  <c:v>0.17737575</c:v>
                </c:pt>
                <c:pt idx="513">
                  <c:v>0.17737575</c:v>
                </c:pt>
                <c:pt idx="514">
                  <c:v>0.17737575</c:v>
                </c:pt>
                <c:pt idx="515">
                  <c:v>0.17737575</c:v>
                </c:pt>
                <c:pt idx="516">
                  <c:v>0.17737575</c:v>
                </c:pt>
                <c:pt idx="517">
                  <c:v>0.17737575</c:v>
                </c:pt>
                <c:pt idx="518">
                  <c:v>0.17737575</c:v>
                </c:pt>
                <c:pt idx="519">
                  <c:v>0.17737575</c:v>
                </c:pt>
                <c:pt idx="520">
                  <c:v>0.17737575</c:v>
                </c:pt>
                <c:pt idx="521">
                  <c:v>0.17737575</c:v>
                </c:pt>
                <c:pt idx="522">
                  <c:v>0.17737575</c:v>
                </c:pt>
                <c:pt idx="523">
                  <c:v>0.17737575</c:v>
                </c:pt>
                <c:pt idx="524">
                  <c:v>0.17737575</c:v>
                </c:pt>
                <c:pt idx="525">
                  <c:v>0.17737575</c:v>
                </c:pt>
                <c:pt idx="526">
                  <c:v>0.17737575</c:v>
                </c:pt>
                <c:pt idx="527">
                  <c:v>0.17737575</c:v>
                </c:pt>
                <c:pt idx="528">
                  <c:v>0.17737575</c:v>
                </c:pt>
                <c:pt idx="529">
                  <c:v>0.17737575</c:v>
                </c:pt>
                <c:pt idx="530">
                  <c:v>0.17737575</c:v>
                </c:pt>
                <c:pt idx="531">
                  <c:v>0.17737575</c:v>
                </c:pt>
                <c:pt idx="532">
                  <c:v>0.17737575</c:v>
                </c:pt>
                <c:pt idx="533">
                  <c:v>0.17737575</c:v>
                </c:pt>
                <c:pt idx="534">
                  <c:v>0.17737575</c:v>
                </c:pt>
                <c:pt idx="535">
                  <c:v>0.17737575</c:v>
                </c:pt>
                <c:pt idx="536">
                  <c:v>0.17737575</c:v>
                </c:pt>
                <c:pt idx="537">
                  <c:v>0.17737575</c:v>
                </c:pt>
                <c:pt idx="538">
                  <c:v>0.17737575</c:v>
                </c:pt>
                <c:pt idx="539">
                  <c:v>0.17737575</c:v>
                </c:pt>
                <c:pt idx="540">
                  <c:v>0.17737575</c:v>
                </c:pt>
                <c:pt idx="541">
                  <c:v>0.17737575</c:v>
                </c:pt>
                <c:pt idx="542">
                  <c:v>0.17737575</c:v>
                </c:pt>
                <c:pt idx="543">
                  <c:v>0.17737575</c:v>
                </c:pt>
                <c:pt idx="544">
                  <c:v>0.17737575</c:v>
                </c:pt>
                <c:pt idx="545">
                  <c:v>0.17737575</c:v>
                </c:pt>
                <c:pt idx="546">
                  <c:v>0.17737575</c:v>
                </c:pt>
                <c:pt idx="547">
                  <c:v>0.17737575</c:v>
                </c:pt>
                <c:pt idx="548">
                  <c:v>0.17737575</c:v>
                </c:pt>
                <c:pt idx="549">
                  <c:v>0.17737575</c:v>
                </c:pt>
                <c:pt idx="550">
                  <c:v>0.17737575</c:v>
                </c:pt>
                <c:pt idx="551">
                  <c:v>0.17737575</c:v>
                </c:pt>
                <c:pt idx="552">
                  <c:v>0.17737575</c:v>
                </c:pt>
                <c:pt idx="553">
                  <c:v>0.17737575</c:v>
                </c:pt>
                <c:pt idx="554">
                  <c:v>0.17737575</c:v>
                </c:pt>
                <c:pt idx="555">
                  <c:v>0.17737575</c:v>
                </c:pt>
                <c:pt idx="556">
                  <c:v>0.17737575</c:v>
                </c:pt>
                <c:pt idx="557">
                  <c:v>0.17737575</c:v>
                </c:pt>
                <c:pt idx="558">
                  <c:v>0.17737575</c:v>
                </c:pt>
                <c:pt idx="559">
                  <c:v>0.17737575</c:v>
                </c:pt>
                <c:pt idx="560">
                  <c:v>0.17737575</c:v>
                </c:pt>
                <c:pt idx="561">
                  <c:v>0.17737575</c:v>
                </c:pt>
                <c:pt idx="562">
                  <c:v>0.17737575</c:v>
                </c:pt>
                <c:pt idx="563">
                  <c:v>0.17737575</c:v>
                </c:pt>
                <c:pt idx="564">
                  <c:v>0.17737575</c:v>
                </c:pt>
                <c:pt idx="565">
                  <c:v>0.17737575</c:v>
                </c:pt>
                <c:pt idx="566">
                  <c:v>0.17737575</c:v>
                </c:pt>
                <c:pt idx="567">
                  <c:v>0.17737575</c:v>
                </c:pt>
                <c:pt idx="568">
                  <c:v>0.17737575</c:v>
                </c:pt>
                <c:pt idx="569">
                  <c:v>0.17737575</c:v>
                </c:pt>
                <c:pt idx="570">
                  <c:v>0.17737575</c:v>
                </c:pt>
                <c:pt idx="571">
                  <c:v>0.17737575</c:v>
                </c:pt>
                <c:pt idx="572">
                  <c:v>0.17737575</c:v>
                </c:pt>
                <c:pt idx="573">
                  <c:v>0.17737575</c:v>
                </c:pt>
                <c:pt idx="574">
                  <c:v>0.17737575</c:v>
                </c:pt>
                <c:pt idx="575">
                  <c:v>0.17737575</c:v>
                </c:pt>
                <c:pt idx="576">
                  <c:v>0.17737575</c:v>
                </c:pt>
                <c:pt idx="577">
                  <c:v>0.17737575</c:v>
                </c:pt>
                <c:pt idx="578">
                  <c:v>0.17735799999999999</c:v>
                </c:pt>
                <c:pt idx="579">
                  <c:v>0.17735799999999999</c:v>
                </c:pt>
                <c:pt idx="580">
                  <c:v>0.17735799999999999</c:v>
                </c:pt>
                <c:pt idx="581">
                  <c:v>0.17735799999999999</c:v>
                </c:pt>
                <c:pt idx="582">
                  <c:v>0.17735799999999999</c:v>
                </c:pt>
                <c:pt idx="583">
                  <c:v>0.17735799999999999</c:v>
                </c:pt>
                <c:pt idx="584">
                  <c:v>0.17735799999999999</c:v>
                </c:pt>
                <c:pt idx="585">
                  <c:v>0.17735799999999999</c:v>
                </c:pt>
                <c:pt idx="586">
                  <c:v>0.17735799999999999</c:v>
                </c:pt>
                <c:pt idx="587">
                  <c:v>0.17735799999999999</c:v>
                </c:pt>
                <c:pt idx="588">
                  <c:v>0.17735799999999999</c:v>
                </c:pt>
                <c:pt idx="589">
                  <c:v>0.17735799999999999</c:v>
                </c:pt>
                <c:pt idx="590">
                  <c:v>0.17735799999999999</c:v>
                </c:pt>
                <c:pt idx="591">
                  <c:v>0.17735799999999999</c:v>
                </c:pt>
                <c:pt idx="592">
                  <c:v>0.17735799999999999</c:v>
                </c:pt>
                <c:pt idx="593">
                  <c:v>0.17735799999999999</c:v>
                </c:pt>
                <c:pt idx="594">
                  <c:v>0.17735799999999999</c:v>
                </c:pt>
                <c:pt idx="595">
                  <c:v>0.17735799999999999</c:v>
                </c:pt>
                <c:pt idx="596">
                  <c:v>0.17735799999999999</c:v>
                </c:pt>
                <c:pt idx="597">
                  <c:v>0.17735799999999999</c:v>
                </c:pt>
                <c:pt idx="598">
                  <c:v>0.17735799999999999</c:v>
                </c:pt>
                <c:pt idx="599">
                  <c:v>0.17735799999999999</c:v>
                </c:pt>
                <c:pt idx="600">
                  <c:v>0.17735799999999999</c:v>
                </c:pt>
                <c:pt idx="601">
                  <c:v>0.17735799999999999</c:v>
                </c:pt>
                <c:pt idx="602">
                  <c:v>0.17735799999999999</c:v>
                </c:pt>
                <c:pt idx="603">
                  <c:v>0.17735799999999999</c:v>
                </c:pt>
                <c:pt idx="604">
                  <c:v>0.17735799999999999</c:v>
                </c:pt>
                <c:pt idx="605">
                  <c:v>0.17735799999999999</c:v>
                </c:pt>
                <c:pt idx="606">
                  <c:v>0.17735799999999999</c:v>
                </c:pt>
                <c:pt idx="607">
                  <c:v>0.17735799999999999</c:v>
                </c:pt>
                <c:pt idx="608">
                  <c:v>0.17735799999999999</c:v>
                </c:pt>
                <c:pt idx="609">
                  <c:v>0.17735799999999999</c:v>
                </c:pt>
                <c:pt idx="610">
                  <c:v>0.17735799999999999</c:v>
                </c:pt>
                <c:pt idx="611">
                  <c:v>0.17735799999999999</c:v>
                </c:pt>
                <c:pt idx="612">
                  <c:v>0.17735799999999999</c:v>
                </c:pt>
                <c:pt idx="613">
                  <c:v>0.17735799999999999</c:v>
                </c:pt>
                <c:pt idx="614">
                  <c:v>0.17735799999999999</c:v>
                </c:pt>
                <c:pt idx="615">
                  <c:v>0.17735799999999999</c:v>
                </c:pt>
                <c:pt idx="616">
                  <c:v>0.17735799999999999</c:v>
                </c:pt>
                <c:pt idx="617">
                  <c:v>0.17735799999999999</c:v>
                </c:pt>
                <c:pt idx="618">
                  <c:v>0.17737575</c:v>
                </c:pt>
                <c:pt idx="619">
                  <c:v>0.17737575</c:v>
                </c:pt>
                <c:pt idx="620">
                  <c:v>0.17737575</c:v>
                </c:pt>
                <c:pt idx="621">
                  <c:v>0.17737575</c:v>
                </c:pt>
                <c:pt idx="622">
                  <c:v>0.17737575</c:v>
                </c:pt>
                <c:pt idx="623">
                  <c:v>0.17737575</c:v>
                </c:pt>
                <c:pt idx="624">
                  <c:v>0.17737575</c:v>
                </c:pt>
                <c:pt idx="625">
                  <c:v>0.17737575</c:v>
                </c:pt>
                <c:pt idx="626">
                  <c:v>0.17737575</c:v>
                </c:pt>
                <c:pt idx="627">
                  <c:v>0.17737575</c:v>
                </c:pt>
                <c:pt idx="628">
                  <c:v>0.17737575</c:v>
                </c:pt>
                <c:pt idx="629">
                  <c:v>0.17737575</c:v>
                </c:pt>
                <c:pt idx="630">
                  <c:v>0.17737575</c:v>
                </c:pt>
                <c:pt idx="631">
                  <c:v>0.17737575</c:v>
                </c:pt>
                <c:pt idx="632">
                  <c:v>0.17737575</c:v>
                </c:pt>
                <c:pt idx="633">
                  <c:v>0.17737575</c:v>
                </c:pt>
                <c:pt idx="634">
                  <c:v>0.17737575</c:v>
                </c:pt>
                <c:pt idx="635">
                  <c:v>0.17737575</c:v>
                </c:pt>
                <c:pt idx="636">
                  <c:v>0.17737575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D79-4E31-AF1A-38B8CB825A7D}"/>
            </c:ext>
          </c:extLst>
        </c:ser>
        <c:ser>
          <c:idx val="4"/>
          <c:order val="3"/>
          <c:tx>
            <c:v>ERYA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'Ex 2 FULL 1 50 eV'!$L$2:$L$122</c:f>
              <c:numCache>
                <c:formatCode>General</c:formatCode>
                <c:ptCount val="121"/>
                <c:pt idx="0">
                  <c:v>1682</c:v>
                </c:pt>
                <c:pt idx="1">
                  <c:v>1682.05</c:v>
                </c:pt>
                <c:pt idx="2">
                  <c:v>1682.1</c:v>
                </c:pt>
                <c:pt idx="3">
                  <c:v>1682.15</c:v>
                </c:pt>
                <c:pt idx="4">
                  <c:v>1682.2</c:v>
                </c:pt>
                <c:pt idx="5">
                  <c:v>1682.25</c:v>
                </c:pt>
                <c:pt idx="6">
                  <c:v>1682.3</c:v>
                </c:pt>
                <c:pt idx="7">
                  <c:v>1682.35</c:v>
                </c:pt>
                <c:pt idx="8">
                  <c:v>1682.4</c:v>
                </c:pt>
                <c:pt idx="9">
                  <c:v>1682.45</c:v>
                </c:pt>
                <c:pt idx="10">
                  <c:v>1682.5</c:v>
                </c:pt>
                <c:pt idx="11">
                  <c:v>1682.55</c:v>
                </c:pt>
                <c:pt idx="12">
                  <c:v>1682.6</c:v>
                </c:pt>
                <c:pt idx="13">
                  <c:v>1682.65</c:v>
                </c:pt>
                <c:pt idx="14">
                  <c:v>1682.7</c:v>
                </c:pt>
                <c:pt idx="15">
                  <c:v>1682.75</c:v>
                </c:pt>
                <c:pt idx="16">
                  <c:v>1682.8</c:v>
                </c:pt>
                <c:pt idx="17">
                  <c:v>1682.85</c:v>
                </c:pt>
                <c:pt idx="18">
                  <c:v>1682.9</c:v>
                </c:pt>
                <c:pt idx="19">
                  <c:v>1682.95</c:v>
                </c:pt>
                <c:pt idx="20">
                  <c:v>1683</c:v>
                </c:pt>
                <c:pt idx="21">
                  <c:v>1683.05</c:v>
                </c:pt>
                <c:pt idx="22">
                  <c:v>1683.1</c:v>
                </c:pt>
                <c:pt idx="23">
                  <c:v>1683.15</c:v>
                </c:pt>
                <c:pt idx="24">
                  <c:v>1683.2</c:v>
                </c:pt>
                <c:pt idx="25">
                  <c:v>1683.25</c:v>
                </c:pt>
                <c:pt idx="26">
                  <c:v>1683.3</c:v>
                </c:pt>
                <c:pt idx="27">
                  <c:v>1683.35</c:v>
                </c:pt>
                <c:pt idx="28">
                  <c:v>1683.4</c:v>
                </c:pt>
                <c:pt idx="29">
                  <c:v>1683.45</c:v>
                </c:pt>
                <c:pt idx="30">
                  <c:v>1683.5</c:v>
                </c:pt>
                <c:pt idx="31">
                  <c:v>1683.55</c:v>
                </c:pt>
                <c:pt idx="32">
                  <c:v>1683.6</c:v>
                </c:pt>
                <c:pt idx="33">
                  <c:v>1683.65</c:v>
                </c:pt>
                <c:pt idx="34">
                  <c:v>1683.7</c:v>
                </c:pt>
                <c:pt idx="35">
                  <c:v>1683.75</c:v>
                </c:pt>
                <c:pt idx="36">
                  <c:v>1683.8</c:v>
                </c:pt>
                <c:pt idx="37">
                  <c:v>1683.85</c:v>
                </c:pt>
                <c:pt idx="38">
                  <c:v>1683.9</c:v>
                </c:pt>
                <c:pt idx="39">
                  <c:v>1683.95</c:v>
                </c:pt>
                <c:pt idx="40">
                  <c:v>1684</c:v>
                </c:pt>
                <c:pt idx="41">
                  <c:v>1684.05</c:v>
                </c:pt>
                <c:pt idx="42">
                  <c:v>1684.1</c:v>
                </c:pt>
                <c:pt idx="43">
                  <c:v>1684.15</c:v>
                </c:pt>
                <c:pt idx="44">
                  <c:v>1684.2</c:v>
                </c:pt>
                <c:pt idx="45">
                  <c:v>1684.25</c:v>
                </c:pt>
                <c:pt idx="46">
                  <c:v>1684.3</c:v>
                </c:pt>
                <c:pt idx="47">
                  <c:v>1684.35</c:v>
                </c:pt>
                <c:pt idx="48">
                  <c:v>1684.4</c:v>
                </c:pt>
                <c:pt idx="49">
                  <c:v>1684.45</c:v>
                </c:pt>
                <c:pt idx="50">
                  <c:v>1684.5</c:v>
                </c:pt>
                <c:pt idx="51">
                  <c:v>1684.55</c:v>
                </c:pt>
                <c:pt idx="52">
                  <c:v>1684.6</c:v>
                </c:pt>
                <c:pt idx="53">
                  <c:v>1684.65</c:v>
                </c:pt>
                <c:pt idx="54">
                  <c:v>1684.7</c:v>
                </c:pt>
                <c:pt idx="55">
                  <c:v>1684.75</c:v>
                </c:pt>
                <c:pt idx="56">
                  <c:v>1684.8</c:v>
                </c:pt>
                <c:pt idx="57">
                  <c:v>1684.85</c:v>
                </c:pt>
                <c:pt idx="58">
                  <c:v>1684.9</c:v>
                </c:pt>
                <c:pt idx="59">
                  <c:v>1684.95</c:v>
                </c:pt>
                <c:pt idx="60">
                  <c:v>1685</c:v>
                </c:pt>
                <c:pt idx="61">
                  <c:v>1685.05</c:v>
                </c:pt>
                <c:pt idx="62">
                  <c:v>1685.1</c:v>
                </c:pt>
                <c:pt idx="63">
                  <c:v>1685.15</c:v>
                </c:pt>
                <c:pt idx="64">
                  <c:v>1685.2</c:v>
                </c:pt>
                <c:pt idx="65">
                  <c:v>1685.25</c:v>
                </c:pt>
                <c:pt idx="66">
                  <c:v>1685.3</c:v>
                </c:pt>
                <c:pt idx="67">
                  <c:v>1685.35</c:v>
                </c:pt>
                <c:pt idx="68">
                  <c:v>1685.4</c:v>
                </c:pt>
                <c:pt idx="69">
                  <c:v>1685.45</c:v>
                </c:pt>
                <c:pt idx="70">
                  <c:v>1685.5</c:v>
                </c:pt>
                <c:pt idx="71">
                  <c:v>1685.55</c:v>
                </c:pt>
                <c:pt idx="72">
                  <c:v>1685.6</c:v>
                </c:pt>
                <c:pt idx="73">
                  <c:v>1685.65</c:v>
                </c:pt>
                <c:pt idx="74">
                  <c:v>1685.7</c:v>
                </c:pt>
                <c:pt idx="75">
                  <c:v>1685.75</c:v>
                </c:pt>
                <c:pt idx="76">
                  <c:v>1685.8</c:v>
                </c:pt>
                <c:pt idx="77">
                  <c:v>1685.85</c:v>
                </c:pt>
                <c:pt idx="78">
                  <c:v>1685.9</c:v>
                </c:pt>
                <c:pt idx="79">
                  <c:v>1685.95</c:v>
                </c:pt>
                <c:pt idx="80">
                  <c:v>1686</c:v>
                </c:pt>
                <c:pt idx="81">
                  <c:v>1686.05</c:v>
                </c:pt>
                <c:pt idx="82">
                  <c:v>1686.1</c:v>
                </c:pt>
                <c:pt idx="83">
                  <c:v>1686.15</c:v>
                </c:pt>
                <c:pt idx="84">
                  <c:v>1686.2</c:v>
                </c:pt>
                <c:pt idx="85">
                  <c:v>1686.25</c:v>
                </c:pt>
                <c:pt idx="86">
                  <c:v>1686.3</c:v>
                </c:pt>
                <c:pt idx="87">
                  <c:v>1686.35</c:v>
                </c:pt>
                <c:pt idx="88">
                  <c:v>1686.4</c:v>
                </c:pt>
                <c:pt idx="89">
                  <c:v>1686.45</c:v>
                </c:pt>
                <c:pt idx="90">
                  <c:v>1686.5</c:v>
                </c:pt>
                <c:pt idx="91">
                  <c:v>1686.55</c:v>
                </c:pt>
                <c:pt idx="92">
                  <c:v>1686.6</c:v>
                </c:pt>
                <c:pt idx="93">
                  <c:v>1686.65</c:v>
                </c:pt>
                <c:pt idx="94">
                  <c:v>1686.7</c:v>
                </c:pt>
                <c:pt idx="95">
                  <c:v>1686.75</c:v>
                </c:pt>
                <c:pt idx="96">
                  <c:v>1686.8</c:v>
                </c:pt>
                <c:pt idx="97">
                  <c:v>1686.85</c:v>
                </c:pt>
                <c:pt idx="98">
                  <c:v>1686.9</c:v>
                </c:pt>
                <c:pt idx="99">
                  <c:v>1686.95</c:v>
                </c:pt>
                <c:pt idx="100">
                  <c:v>1687</c:v>
                </c:pt>
                <c:pt idx="101">
                  <c:v>1687.05</c:v>
                </c:pt>
                <c:pt idx="102">
                  <c:v>1687.1</c:v>
                </c:pt>
                <c:pt idx="103">
                  <c:v>1687.15</c:v>
                </c:pt>
                <c:pt idx="104">
                  <c:v>1687.2</c:v>
                </c:pt>
                <c:pt idx="105">
                  <c:v>1687.25</c:v>
                </c:pt>
                <c:pt idx="106">
                  <c:v>1687.3</c:v>
                </c:pt>
                <c:pt idx="107">
                  <c:v>1687.35</c:v>
                </c:pt>
                <c:pt idx="108">
                  <c:v>1687.4</c:v>
                </c:pt>
                <c:pt idx="109">
                  <c:v>1687.45</c:v>
                </c:pt>
                <c:pt idx="110">
                  <c:v>1687.5</c:v>
                </c:pt>
                <c:pt idx="111">
                  <c:v>1687.55</c:v>
                </c:pt>
                <c:pt idx="112">
                  <c:v>1687.6</c:v>
                </c:pt>
                <c:pt idx="113">
                  <c:v>1687.65</c:v>
                </c:pt>
                <c:pt idx="114">
                  <c:v>1687.7</c:v>
                </c:pt>
                <c:pt idx="115">
                  <c:v>1687.75</c:v>
                </c:pt>
                <c:pt idx="116">
                  <c:v>1687.8</c:v>
                </c:pt>
                <c:pt idx="117">
                  <c:v>1687.85</c:v>
                </c:pt>
                <c:pt idx="118">
                  <c:v>1687.9</c:v>
                </c:pt>
                <c:pt idx="119">
                  <c:v>1687.95</c:v>
                </c:pt>
                <c:pt idx="120">
                  <c:v>1688</c:v>
                </c:pt>
              </c:numCache>
            </c:numRef>
          </c:xVal>
          <c:yVal>
            <c:numRef>
              <c:f>'Ex 2 FULL 1 50 eV'!$N$2:$N$122</c:f>
              <c:numCache>
                <c:formatCode>General</c:formatCode>
                <c:ptCount val="121"/>
                <c:pt idx="0">
                  <c:v>2.2929999999999999E-3</c:v>
                </c:pt>
                <c:pt idx="1">
                  <c:v>2.5330000000000001E-3</c:v>
                </c:pt>
                <c:pt idx="2">
                  <c:v>2.8479999999999998E-3</c:v>
                </c:pt>
                <c:pt idx="3">
                  <c:v>3.2560000000000002E-3</c:v>
                </c:pt>
                <c:pt idx="4">
                  <c:v>3.771E-3</c:v>
                </c:pt>
                <c:pt idx="5">
                  <c:v>4.4299999999999999E-3</c:v>
                </c:pt>
                <c:pt idx="6">
                  <c:v>5.2719999999999998E-3</c:v>
                </c:pt>
                <c:pt idx="7">
                  <c:v>6.3369999999999998E-3</c:v>
                </c:pt>
                <c:pt idx="8">
                  <c:v>7.5989999999999999E-3</c:v>
                </c:pt>
                <c:pt idx="9">
                  <c:v>9.1780000000000004E-3</c:v>
                </c:pt>
                <c:pt idx="10">
                  <c:v>1.1023E-2</c:v>
                </c:pt>
                <c:pt idx="11">
                  <c:v>1.329E-2</c:v>
                </c:pt>
                <c:pt idx="12">
                  <c:v>1.5821999999999999E-2</c:v>
                </c:pt>
                <c:pt idx="13">
                  <c:v>1.8960000000000001E-2</c:v>
                </c:pt>
                <c:pt idx="14">
                  <c:v>2.2603999999999999E-2</c:v>
                </c:pt>
                <c:pt idx="15">
                  <c:v>2.6912999999999999E-2</c:v>
                </c:pt>
                <c:pt idx="16">
                  <c:v>3.1602999999999999E-2</c:v>
                </c:pt>
                <c:pt idx="17">
                  <c:v>3.6875999999999999E-2</c:v>
                </c:pt>
                <c:pt idx="18">
                  <c:v>4.3083000000000003E-2</c:v>
                </c:pt>
                <c:pt idx="19">
                  <c:v>4.9846000000000001E-2</c:v>
                </c:pt>
                <c:pt idx="20">
                  <c:v>5.7176999999999999E-2</c:v>
                </c:pt>
                <c:pt idx="21">
                  <c:v>6.4393000000000006E-2</c:v>
                </c:pt>
                <c:pt idx="22">
                  <c:v>7.3042999999999997E-2</c:v>
                </c:pt>
                <c:pt idx="23">
                  <c:v>8.1673999999999997E-2</c:v>
                </c:pt>
                <c:pt idx="24">
                  <c:v>9.1032000000000002E-2</c:v>
                </c:pt>
                <c:pt idx="25">
                  <c:v>9.912E-2</c:v>
                </c:pt>
                <c:pt idx="26">
                  <c:v>0.108545</c:v>
                </c:pt>
                <c:pt idx="27">
                  <c:v>0.11749999999999999</c:v>
                </c:pt>
                <c:pt idx="28">
                  <c:v>0.12695600000000001</c:v>
                </c:pt>
                <c:pt idx="29">
                  <c:v>0.13447200000000001</c:v>
                </c:pt>
                <c:pt idx="30">
                  <c:v>0.14250299999999999</c:v>
                </c:pt>
                <c:pt idx="31">
                  <c:v>0.14974899999999999</c:v>
                </c:pt>
                <c:pt idx="32">
                  <c:v>0.15726100000000001</c:v>
                </c:pt>
                <c:pt idx="33">
                  <c:v>0.162909</c:v>
                </c:pt>
                <c:pt idx="34">
                  <c:v>0.16805600000000001</c:v>
                </c:pt>
                <c:pt idx="35">
                  <c:v>0.17250099999999999</c:v>
                </c:pt>
                <c:pt idx="36">
                  <c:v>0.17682100000000001</c:v>
                </c:pt>
                <c:pt idx="37">
                  <c:v>0.180092</c:v>
                </c:pt>
                <c:pt idx="38">
                  <c:v>0.18242700000000001</c:v>
                </c:pt>
                <c:pt idx="39">
                  <c:v>0.184336</c:v>
                </c:pt>
                <c:pt idx="40">
                  <c:v>0.18576699999999999</c:v>
                </c:pt>
                <c:pt idx="41">
                  <c:v>0.18693199999999999</c:v>
                </c:pt>
                <c:pt idx="42">
                  <c:v>0.187469</c:v>
                </c:pt>
                <c:pt idx="43">
                  <c:v>0.18773799999999999</c:v>
                </c:pt>
                <c:pt idx="44">
                  <c:v>0.187615</c:v>
                </c:pt>
                <c:pt idx="45">
                  <c:v>0.18744</c:v>
                </c:pt>
                <c:pt idx="46">
                  <c:v>0.18710199999999999</c:v>
                </c:pt>
                <c:pt idx="47">
                  <c:v>0.18659899999999999</c:v>
                </c:pt>
                <c:pt idx="48">
                  <c:v>0.18599099999999999</c:v>
                </c:pt>
                <c:pt idx="49">
                  <c:v>0.185389</c:v>
                </c:pt>
                <c:pt idx="50">
                  <c:v>0.184726</c:v>
                </c:pt>
                <c:pt idx="51">
                  <c:v>0.18406800000000001</c:v>
                </c:pt>
                <c:pt idx="52">
                  <c:v>0.183451</c:v>
                </c:pt>
                <c:pt idx="53">
                  <c:v>0.18282999999999999</c:v>
                </c:pt>
                <c:pt idx="54">
                  <c:v>0.182251</c:v>
                </c:pt>
                <c:pt idx="55">
                  <c:v>0.18164</c:v>
                </c:pt>
                <c:pt idx="56">
                  <c:v>0.181199</c:v>
                </c:pt>
                <c:pt idx="57">
                  <c:v>0.180751</c:v>
                </c:pt>
                <c:pt idx="58">
                  <c:v>0.18029700000000001</c:v>
                </c:pt>
                <c:pt idx="59">
                  <c:v>0.17985799999999999</c:v>
                </c:pt>
                <c:pt idx="60">
                  <c:v>0.179591</c:v>
                </c:pt>
                <c:pt idx="61">
                  <c:v>0.17922399999999999</c:v>
                </c:pt>
                <c:pt idx="62">
                  <c:v>0.17904600000000001</c:v>
                </c:pt>
                <c:pt idx="63">
                  <c:v>0.178783</c:v>
                </c:pt>
                <c:pt idx="64">
                  <c:v>0.17866799999999999</c:v>
                </c:pt>
                <c:pt idx="65">
                  <c:v>0.17855699999999999</c:v>
                </c:pt>
                <c:pt idx="66">
                  <c:v>0.17834800000000001</c:v>
                </c:pt>
                <c:pt idx="67">
                  <c:v>0.178288</c:v>
                </c:pt>
                <c:pt idx="68">
                  <c:v>0.17824100000000001</c:v>
                </c:pt>
                <c:pt idx="69">
                  <c:v>0.17827000000000001</c:v>
                </c:pt>
                <c:pt idx="70">
                  <c:v>0.178313</c:v>
                </c:pt>
                <c:pt idx="71">
                  <c:v>0.178263</c:v>
                </c:pt>
                <c:pt idx="72">
                  <c:v>0.178318</c:v>
                </c:pt>
                <c:pt idx="73">
                  <c:v>0.178374</c:v>
                </c:pt>
                <c:pt idx="74">
                  <c:v>0.17832200000000001</c:v>
                </c:pt>
                <c:pt idx="75">
                  <c:v>0.17863699999999999</c:v>
                </c:pt>
                <c:pt idx="76">
                  <c:v>0.178456</c:v>
                </c:pt>
                <c:pt idx="77">
                  <c:v>0.17860200000000001</c:v>
                </c:pt>
                <c:pt idx="78">
                  <c:v>0.17875099999999999</c:v>
                </c:pt>
                <c:pt idx="79">
                  <c:v>0.178871</c:v>
                </c:pt>
                <c:pt idx="80">
                  <c:v>0.17886199999999999</c:v>
                </c:pt>
                <c:pt idx="81">
                  <c:v>0.178898</c:v>
                </c:pt>
                <c:pt idx="82">
                  <c:v>0.17893300000000001</c:v>
                </c:pt>
                <c:pt idx="83">
                  <c:v>0.17910899999999999</c:v>
                </c:pt>
                <c:pt idx="84">
                  <c:v>0.17904200000000001</c:v>
                </c:pt>
                <c:pt idx="85">
                  <c:v>0.17911199999999999</c:v>
                </c:pt>
                <c:pt idx="86">
                  <c:v>0.179201</c:v>
                </c:pt>
                <c:pt idx="87">
                  <c:v>0.17927899999999999</c:v>
                </c:pt>
                <c:pt idx="88">
                  <c:v>0.17929500000000001</c:v>
                </c:pt>
                <c:pt idx="89">
                  <c:v>0.179422</c:v>
                </c:pt>
                <c:pt idx="90">
                  <c:v>0.179648</c:v>
                </c:pt>
                <c:pt idx="91">
                  <c:v>0.17985000000000001</c:v>
                </c:pt>
                <c:pt idx="92">
                  <c:v>0.17942900000000001</c:v>
                </c:pt>
                <c:pt idx="93">
                  <c:v>0.17962800000000001</c:v>
                </c:pt>
                <c:pt idx="94">
                  <c:v>0.179809</c:v>
                </c:pt>
                <c:pt idx="95">
                  <c:v>0.17971100000000001</c:v>
                </c:pt>
                <c:pt idx="96">
                  <c:v>0.179646</c:v>
                </c:pt>
                <c:pt idx="97">
                  <c:v>0.179475</c:v>
                </c:pt>
                <c:pt idx="98">
                  <c:v>0.179978</c:v>
                </c:pt>
                <c:pt idx="99">
                  <c:v>0.179897</c:v>
                </c:pt>
                <c:pt idx="100">
                  <c:v>0.17974200000000001</c:v>
                </c:pt>
                <c:pt idx="101">
                  <c:v>0.179703</c:v>
                </c:pt>
                <c:pt idx="102">
                  <c:v>0.17990500000000001</c:v>
                </c:pt>
                <c:pt idx="103">
                  <c:v>0.180198</c:v>
                </c:pt>
                <c:pt idx="104">
                  <c:v>0.18024399999999999</c:v>
                </c:pt>
                <c:pt idx="105">
                  <c:v>0.180035</c:v>
                </c:pt>
                <c:pt idx="106">
                  <c:v>0.17993600000000001</c:v>
                </c:pt>
                <c:pt idx="107">
                  <c:v>0.18013299999999999</c:v>
                </c:pt>
                <c:pt idx="108">
                  <c:v>0.180252</c:v>
                </c:pt>
                <c:pt idx="109">
                  <c:v>0.180614</c:v>
                </c:pt>
                <c:pt idx="110">
                  <c:v>0.18055299999999999</c:v>
                </c:pt>
                <c:pt idx="111">
                  <c:v>0.18048900000000001</c:v>
                </c:pt>
                <c:pt idx="112">
                  <c:v>0.18034800000000001</c:v>
                </c:pt>
                <c:pt idx="113">
                  <c:v>0.18052599999999999</c:v>
                </c:pt>
                <c:pt idx="114">
                  <c:v>0.180783</c:v>
                </c:pt>
                <c:pt idx="115">
                  <c:v>0.18109800000000001</c:v>
                </c:pt>
                <c:pt idx="116">
                  <c:v>0.18127399999999999</c:v>
                </c:pt>
                <c:pt idx="117">
                  <c:v>0.18126999999999999</c:v>
                </c:pt>
                <c:pt idx="118">
                  <c:v>0.181094</c:v>
                </c:pt>
                <c:pt idx="119">
                  <c:v>0.18116099999999999</c:v>
                </c:pt>
                <c:pt idx="120">
                  <c:v>0.18119499999999999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91-4C7A-A365-21E72DE63D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0070904"/>
        <c:axId val="580076664"/>
      </c:scatterChart>
      <c:valAx>
        <c:axId val="580070904"/>
        <c:scaling>
          <c:orientation val="minMax"/>
          <c:max val="1685"/>
          <c:min val="168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beam energy (keV)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076664"/>
        <c:crosses val="autoZero"/>
        <c:crossBetween val="midCat"/>
      </c:valAx>
      <c:valAx>
        <c:axId val="580076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yield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0709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2000"/>
              <a:t>Ex 2  Straggling </a:t>
            </a:r>
            <a:r>
              <a:rPr lang="el-GR" sz="2000"/>
              <a:t>Δ</a:t>
            </a:r>
            <a:r>
              <a:rPr lang="en-GB" sz="2000"/>
              <a:t>E=1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071001775012106"/>
          <c:y val="7.577232104780586E-2"/>
          <c:w val="0.80279398356873299"/>
          <c:h val="0.64362550360217319"/>
        </c:manualLayout>
      </c:layout>
      <c:scatterChart>
        <c:scatterStyle val="lineMarker"/>
        <c:varyColors val="0"/>
        <c:ser>
          <c:idx val="0"/>
          <c:order val="0"/>
          <c:tx>
            <c:v>NDF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 2 FULL 1 50 eV'!$E$2:$E$122</c:f>
              <c:numCache>
                <c:formatCode>0.00</c:formatCode>
                <c:ptCount val="121"/>
                <c:pt idx="0">
                  <c:v>1682</c:v>
                </c:pt>
                <c:pt idx="1">
                  <c:v>1682.05</c:v>
                </c:pt>
                <c:pt idx="2">
                  <c:v>1682.1</c:v>
                </c:pt>
                <c:pt idx="3">
                  <c:v>1682.15</c:v>
                </c:pt>
                <c:pt idx="4">
                  <c:v>1682.2</c:v>
                </c:pt>
                <c:pt idx="5">
                  <c:v>1682.25</c:v>
                </c:pt>
                <c:pt idx="6">
                  <c:v>1682.3</c:v>
                </c:pt>
                <c:pt idx="7">
                  <c:v>1682.35</c:v>
                </c:pt>
                <c:pt idx="8">
                  <c:v>1682.4</c:v>
                </c:pt>
                <c:pt idx="9">
                  <c:v>1682.45</c:v>
                </c:pt>
                <c:pt idx="10">
                  <c:v>1682.5</c:v>
                </c:pt>
                <c:pt idx="11">
                  <c:v>1682.55</c:v>
                </c:pt>
                <c:pt idx="12">
                  <c:v>1682.6</c:v>
                </c:pt>
                <c:pt idx="13">
                  <c:v>1682.65</c:v>
                </c:pt>
                <c:pt idx="14">
                  <c:v>1682.7</c:v>
                </c:pt>
                <c:pt idx="15">
                  <c:v>1682.75</c:v>
                </c:pt>
                <c:pt idx="16">
                  <c:v>1682.8</c:v>
                </c:pt>
                <c:pt idx="17">
                  <c:v>1682.85</c:v>
                </c:pt>
                <c:pt idx="18">
                  <c:v>1682.9</c:v>
                </c:pt>
                <c:pt idx="19">
                  <c:v>1682.95</c:v>
                </c:pt>
                <c:pt idx="20">
                  <c:v>1683</c:v>
                </c:pt>
                <c:pt idx="21">
                  <c:v>1683.05</c:v>
                </c:pt>
                <c:pt idx="22">
                  <c:v>1683.1</c:v>
                </c:pt>
                <c:pt idx="23">
                  <c:v>1683.15</c:v>
                </c:pt>
                <c:pt idx="24">
                  <c:v>1683.2</c:v>
                </c:pt>
                <c:pt idx="25">
                  <c:v>1683.25</c:v>
                </c:pt>
                <c:pt idx="26">
                  <c:v>1683.3</c:v>
                </c:pt>
                <c:pt idx="27">
                  <c:v>1683.35</c:v>
                </c:pt>
                <c:pt idx="28">
                  <c:v>1683.4</c:v>
                </c:pt>
                <c:pt idx="29">
                  <c:v>1683.45</c:v>
                </c:pt>
                <c:pt idx="30">
                  <c:v>1683.5</c:v>
                </c:pt>
                <c:pt idx="31">
                  <c:v>1683.55</c:v>
                </c:pt>
                <c:pt idx="32">
                  <c:v>1683.6</c:v>
                </c:pt>
                <c:pt idx="33">
                  <c:v>1683.65</c:v>
                </c:pt>
                <c:pt idx="34">
                  <c:v>1683.7</c:v>
                </c:pt>
                <c:pt idx="35">
                  <c:v>1683.75</c:v>
                </c:pt>
                <c:pt idx="36">
                  <c:v>1683.8</c:v>
                </c:pt>
                <c:pt idx="37">
                  <c:v>1683.85</c:v>
                </c:pt>
                <c:pt idx="38">
                  <c:v>1683.9</c:v>
                </c:pt>
                <c:pt idx="39">
                  <c:v>1683.95</c:v>
                </c:pt>
                <c:pt idx="40">
                  <c:v>1684</c:v>
                </c:pt>
                <c:pt idx="41">
                  <c:v>1684.05</c:v>
                </c:pt>
                <c:pt idx="42">
                  <c:v>1684.1</c:v>
                </c:pt>
                <c:pt idx="43">
                  <c:v>1684.15</c:v>
                </c:pt>
                <c:pt idx="44">
                  <c:v>1684.2</c:v>
                </c:pt>
                <c:pt idx="45">
                  <c:v>1684.25</c:v>
                </c:pt>
                <c:pt idx="46">
                  <c:v>1684.3</c:v>
                </c:pt>
                <c:pt idx="47">
                  <c:v>1684.35</c:v>
                </c:pt>
                <c:pt idx="48">
                  <c:v>1684.4</c:v>
                </c:pt>
                <c:pt idx="49">
                  <c:v>1684.45</c:v>
                </c:pt>
                <c:pt idx="50">
                  <c:v>1684.5</c:v>
                </c:pt>
                <c:pt idx="51">
                  <c:v>1684.55</c:v>
                </c:pt>
                <c:pt idx="52">
                  <c:v>1684.6</c:v>
                </c:pt>
                <c:pt idx="53">
                  <c:v>1684.65</c:v>
                </c:pt>
                <c:pt idx="54">
                  <c:v>1684.7</c:v>
                </c:pt>
                <c:pt idx="55">
                  <c:v>1684.75</c:v>
                </c:pt>
                <c:pt idx="56">
                  <c:v>1684.8</c:v>
                </c:pt>
                <c:pt idx="57">
                  <c:v>1684.85</c:v>
                </c:pt>
                <c:pt idx="58">
                  <c:v>1684.9</c:v>
                </c:pt>
                <c:pt idx="59">
                  <c:v>1684.95</c:v>
                </c:pt>
                <c:pt idx="60">
                  <c:v>1685</c:v>
                </c:pt>
                <c:pt idx="61">
                  <c:v>1685.05</c:v>
                </c:pt>
                <c:pt idx="62">
                  <c:v>1685.1</c:v>
                </c:pt>
                <c:pt idx="63">
                  <c:v>1685.15</c:v>
                </c:pt>
                <c:pt idx="64">
                  <c:v>1685.2</c:v>
                </c:pt>
                <c:pt idx="65">
                  <c:v>1685.25</c:v>
                </c:pt>
                <c:pt idx="66">
                  <c:v>1685.3</c:v>
                </c:pt>
                <c:pt idx="67">
                  <c:v>1685.35</c:v>
                </c:pt>
                <c:pt idx="68">
                  <c:v>1685.4</c:v>
                </c:pt>
                <c:pt idx="69">
                  <c:v>1685.45</c:v>
                </c:pt>
                <c:pt idx="70">
                  <c:v>1685.5</c:v>
                </c:pt>
                <c:pt idx="71">
                  <c:v>1685.55</c:v>
                </c:pt>
                <c:pt idx="72">
                  <c:v>1685.6</c:v>
                </c:pt>
                <c:pt idx="73">
                  <c:v>1685.65</c:v>
                </c:pt>
                <c:pt idx="74">
                  <c:v>1685.7</c:v>
                </c:pt>
                <c:pt idx="75">
                  <c:v>1685.75</c:v>
                </c:pt>
                <c:pt idx="76">
                  <c:v>1685.8</c:v>
                </c:pt>
                <c:pt idx="77">
                  <c:v>1685.85</c:v>
                </c:pt>
                <c:pt idx="78">
                  <c:v>1685.9</c:v>
                </c:pt>
                <c:pt idx="79">
                  <c:v>1685.95</c:v>
                </c:pt>
                <c:pt idx="80">
                  <c:v>1686</c:v>
                </c:pt>
                <c:pt idx="81">
                  <c:v>1686.05</c:v>
                </c:pt>
                <c:pt idx="82">
                  <c:v>1686.1</c:v>
                </c:pt>
                <c:pt idx="83">
                  <c:v>1686.15</c:v>
                </c:pt>
                <c:pt idx="84">
                  <c:v>1686.2</c:v>
                </c:pt>
                <c:pt idx="85">
                  <c:v>1686.25</c:v>
                </c:pt>
                <c:pt idx="86">
                  <c:v>1686.3</c:v>
                </c:pt>
                <c:pt idx="87">
                  <c:v>1686.35</c:v>
                </c:pt>
                <c:pt idx="88">
                  <c:v>1686.4</c:v>
                </c:pt>
                <c:pt idx="89">
                  <c:v>1686.45</c:v>
                </c:pt>
                <c:pt idx="90">
                  <c:v>1686.5</c:v>
                </c:pt>
                <c:pt idx="91">
                  <c:v>1686.55</c:v>
                </c:pt>
                <c:pt idx="92">
                  <c:v>1686.6</c:v>
                </c:pt>
                <c:pt idx="93">
                  <c:v>1686.65</c:v>
                </c:pt>
                <c:pt idx="94">
                  <c:v>1686.7</c:v>
                </c:pt>
                <c:pt idx="95">
                  <c:v>1686.75</c:v>
                </c:pt>
                <c:pt idx="96">
                  <c:v>1686.8</c:v>
                </c:pt>
                <c:pt idx="97">
                  <c:v>1686.85</c:v>
                </c:pt>
                <c:pt idx="98">
                  <c:v>1686.9</c:v>
                </c:pt>
                <c:pt idx="99">
                  <c:v>1686.95</c:v>
                </c:pt>
                <c:pt idx="100">
                  <c:v>1687</c:v>
                </c:pt>
                <c:pt idx="101">
                  <c:v>1687.05</c:v>
                </c:pt>
                <c:pt idx="102">
                  <c:v>1687.1</c:v>
                </c:pt>
                <c:pt idx="103">
                  <c:v>1687.15</c:v>
                </c:pt>
                <c:pt idx="104">
                  <c:v>1687.2</c:v>
                </c:pt>
                <c:pt idx="105">
                  <c:v>1687.25</c:v>
                </c:pt>
                <c:pt idx="106">
                  <c:v>1687.3</c:v>
                </c:pt>
                <c:pt idx="107">
                  <c:v>1687.35</c:v>
                </c:pt>
                <c:pt idx="108">
                  <c:v>1687.4</c:v>
                </c:pt>
                <c:pt idx="109">
                  <c:v>1687.45</c:v>
                </c:pt>
                <c:pt idx="110">
                  <c:v>1687.5</c:v>
                </c:pt>
                <c:pt idx="111">
                  <c:v>1687.55</c:v>
                </c:pt>
                <c:pt idx="112">
                  <c:v>1687.6</c:v>
                </c:pt>
                <c:pt idx="113">
                  <c:v>1687.65</c:v>
                </c:pt>
                <c:pt idx="114">
                  <c:v>1687.7</c:v>
                </c:pt>
                <c:pt idx="115">
                  <c:v>1687.75</c:v>
                </c:pt>
                <c:pt idx="116">
                  <c:v>1687.8</c:v>
                </c:pt>
                <c:pt idx="117">
                  <c:v>1687.85</c:v>
                </c:pt>
                <c:pt idx="118">
                  <c:v>1687.9</c:v>
                </c:pt>
                <c:pt idx="119">
                  <c:v>1687.95</c:v>
                </c:pt>
                <c:pt idx="120">
                  <c:v>1688</c:v>
                </c:pt>
              </c:numCache>
            </c:numRef>
          </c:xVal>
          <c:yVal>
            <c:numRef>
              <c:f>'Ex 2 FULL 1 50 eV'!$F$2:$F$122</c:f>
              <c:numCache>
                <c:formatCode>0.0000000000</c:formatCode>
                <c:ptCount val="121"/>
                <c:pt idx="0">
                  <c:v>2.7370939000000002E-3</c:v>
                </c:pt>
                <c:pt idx="1">
                  <c:v>3.0524591E-3</c:v>
                </c:pt>
                <c:pt idx="2">
                  <c:v>3.4754708999999999E-3</c:v>
                </c:pt>
                <c:pt idx="3">
                  <c:v>4.0102499000000003E-3</c:v>
                </c:pt>
                <c:pt idx="4">
                  <c:v>4.6990863000000004E-3</c:v>
                </c:pt>
                <c:pt idx="5">
                  <c:v>5.5869403E-3</c:v>
                </c:pt>
                <c:pt idx="6">
                  <c:v>6.7232302000000002E-3</c:v>
                </c:pt>
                <c:pt idx="7">
                  <c:v>8.1897759999999993E-3</c:v>
                </c:pt>
                <c:pt idx="8">
                  <c:v>1.0013273E-2</c:v>
                </c:pt>
                <c:pt idx="9">
                  <c:v>1.2274212E-2</c:v>
                </c:pt>
                <c:pt idx="10">
                  <c:v>1.5064162000000001E-2</c:v>
                </c:pt>
                <c:pt idx="11">
                  <c:v>1.8513373999999999E-2</c:v>
                </c:pt>
                <c:pt idx="12">
                  <c:v>2.2551112000000002E-2</c:v>
                </c:pt>
                <c:pt idx="13">
                  <c:v>2.7459839E-2</c:v>
                </c:pt>
                <c:pt idx="14">
                  <c:v>3.3179183000000001E-2</c:v>
                </c:pt>
                <c:pt idx="15">
                  <c:v>3.9814572999999999E-2</c:v>
                </c:pt>
                <c:pt idx="16">
                  <c:v>4.7403421000000001E-2</c:v>
                </c:pt>
                <c:pt idx="17">
                  <c:v>5.5631558999999997E-2</c:v>
                </c:pt>
                <c:pt idx="18">
                  <c:v>6.4110473000000001E-2</c:v>
                </c:pt>
                <c:pt idx="19">
                  <c:v>7.2848774000000005E-2</c:v>
                </c:pt>
                <c:pt idx="20">
                  <c:v>8.2017295000000004E-2</c:v>
                </c:pt>
                <c:pt idx="21">
                  <c:v>9.1680355000000005E-2</c:v>
                </c:pt>
                <c:pt idx="22">
                  <c:v>0.10195029999999999</c:v>
                </c:pt>
                <c:pt idx="23">
                  <c:v>0.1119132</c:v>
                </c:pt>
                <c:pt idx="24">
                  <c:v>0.12131079</c:v>
                </c:pt>
                <c:pt idx="25">
                  <c:v>0.13020799</c:v>
                </c:pt>
                <c:pt idx="26">
                  <c:v>0.13859434000000001</c:v>
                </c:pt>
                <c:pt idx="27">
                  <c:v>0.14634345000000001</c:v>
                </c:pt>
                <c:pt idx="28">
                  <c:v>0.15329222000000001</c:v>
                </c:pt>
                <c:pt idx="29">
                  <c:v>0.15941312999999999</c:v>
                </c:pt>
                <c:pt idx="30">
                  <c:v>0.16428645</c:v>
                </c:pt>
                <c:pt idx="31">
                  <c:v>0.16807900000000001</c:v>
                </c:pt>
                <c:pt idx="32">
                  <c:v>0.17151153</c:v>
                </c:pt>
                <c:pt idx="33">
                  <c:v>0.17441438000000001</c:v>
                </c:pt>
                <c:pt idx="34">
                  <c:v>0.17664406999999999</c:v>
                </c:pt>
                <c:pt idx="35">
                  <c:v>0.17803273</c:v>
                </c:pt>
                <c:pt idx="36">
                  <c:v>0.17852177</c:v>
                </c:pt>
                <c:pt idx="37">
                  <c:v>0.17841741</c:v>
                </c:pt>
                <c:pt idx="38">
                  <c:v>0.17827045999999999</c:v>
                </c:pt>
                <c:pt idx="39">
                  <c:v>0.17794119999999999</c:v>
                </c:pt>
                <c:pt idx="40">
                  <c:v>0.17751847000000001</c:v>
                </c:pt>
                <c:pt idx="41">
                  <c:v>0.17716961000000001</c:v>
                </c:pt>
                <c:pt idx="42">
                  <c:v>0.17672081000000001</c:v>
                </c:pt>
                <c:pt idx="43">
                  <c:v>0.17629126000000001</c:v>
                </c:pt>
                <c:pt idx="44">
                  <c:v>0.17587838</c:v>
                </c:pt>
                <c:pt idx="45">
                  <c:v>0.17552669000000001</c:v>
                </c:pt>
                <c:pt idx="46">
                  <c:v>0.17519355</c:v>
                </c:pt>
                <c:pt idx="47">
                  <c:v>0.17493705000000001</c:v>
                </c:pt>
                <c:pt idx="48">
                  <c:v>0.17473833</c:v>
                </c:pt>
                <c:pt idx="49">
                  <c:v>0.17453416999999999</c:v>
                </c:pt>
                <c:pt idx="50">
                  <c:v>0.17441699999999999</c:v>
                </c:pt>
                <c:pt idx="51">
                  <c:v>0.17426474</c:v>
                </c:pt>
                <c:pt idx="52">
                  <c:v>0.17417803000000001</c:v>
                </c:pt>
                <c:pt idx="53">
                  <c:v>0.17418742000000001</c:v>
                </c:pt>
                <c:pt idx="54">
                  <c:v>0.17412730000000001</c:v>
                </c:pt>
                <c:pt idx="55">
                  <c:v>0.17415041000000001</c:v>
                </c:pt>
                <c:pt idx="56">
                  <c:v>0.17410444999999999</c:v>
                </c:pt>
                <c:pt idx="57">
                  <c:v>0.17410967999999999</c:v>
                </c:pt>
                <c:pt idx="58">
                  <c:v>0.17416243000000001</c:v>
                </c:pt>
                <c:pt idx="59">
                  <c:v>0.17417161</c:v>
                </c:pt>
                <c:pt idx="60">
                  <c:v>0.17417605</c:v>
                </c:pt>
                <c:pt idx="61">
                  <c:v>0.1742108</c:v>
                </c:pt>
                <c:pt idx="62">
                  <c:v>0.1742484</c:v>
                </c:pt>
                <c:pt idx="63">
                  <c:v>0.17428927</c:v>
                </c:pt>
                <c:pt idx="64">
                  <c:v>0.17431190999999999</c:v>
                </c:pt>
                <c:pt idx="65">
                  <c:v>0.17434031</c:v>
                </c:pt>
                <c:pt idx="66">
                  <c:v>0.17438139</c:v>
                </c:pt>
                <c:pt idx="67">
                  <c:v>0.17442439000000001</c:v>
                </c:pt>
                <c:pt idx="68">
                  <c:v>0.17444836999999999</c:v>
                </c:pt>
                <c:pt idx="69">
                  <c:v>0.17449586</c:v>
                </c:pt>
                <c:pt idx="70">
                  <c:v>0.17452546999999999</c:v>
                </c:pt>
                <c:pt idx="71">
                  <c:v>0.17454185999999999</c:v>
                </c:pt>
                <c:pt idx="72">
                  <c:v>0.17458604</c:v>
                </c:pt>
                <c:pt idx="73">
                  <c:v>0.17460084000000001</c:v>
                </c:pt>
                <c:pt idx="74">
                  <c:v>0.17462697999999999</c:v>
                </c:pt>
                <c:pt idx="75">
                  <c:v>0.17464880999999999</c:v>
                </c:pt>
                <c:pt idx="76">
                  <c:v>0.17467329000000001</c:v>
                </c:pt>
                <c:pt idx="77">
                  <c:v>0.17470911</c:v>
                </c:pt>
                <c:pt idx="78">
                  <c:v>0.17472373999999999</c:v>
                </c:pt>
                <c:pt idx="79">
                  <c:v>0.17474824</c:v>
                </c:pt>
                <c:pt idx="80">
                  <c:v>0.17475961000000001</c:v>
                </c:pt>
                <c:pt idx="81">
                  <c:v>0.17476837000000001</c:v>
                </c:pt>
                <c:pt idx="82">
                  <c:v>0.17479033999999999</c:v>
                </c:pt>
                <c:pt idx="83">
                  <c:v>0.17480856</c:v>
                </c:pt>
                <c:pt idx="84">
                  <c:v>0.17481828999999999</c:v>
                </c:pt>
                <c:pt idx="85">
                  <c:v>0.17481959999999999</c:v>
                </c:pt>
                <c:pt idx="86">
                  <c:v>0.17482734</c:v>
                </c:pt>
                <c:pt idx="87">
                  <c:v>0.17483322000000001</c:v>
                </c:pt>
                <c:pt idx="88">
                  <c:v>0.17484568</c:v>
                </c:pt>
                <c:pt idx="89">
                  <c:v>0.17484417999999999</c:v>
                </c:pt>
                <c:pt idx="90">
                  <c:v>0.17484197000000001</c:v>
                </c:pt>
                <c:pt idx="91">
                  <c:v>0.17484533999999999</c:v>
                </c:pt>
                <c:pt idx="92">
                  <c:v>0.17483908000000001</c:v>
                </c:pt>
                <c:pt idx="93">
                  <c:v>0.17484875</c:v>
                </c:pt>
                <c:pt idx="94">
                  <c:v>0.17484986999999999</c:v>
                </c:pt>
                <c:pt idx="95">
                  <c:v>0.17483040999999999</c:v>
                </c:pt>
                <c:pt idx="96">
                  <c:v>0.17483209</c:v>
                </c:pt>
                <c:pt idx="97">
                  <c:v>0.17482545999999999</c:v>
                </c:pt>
                <c:pt idx="98">
                  <c:v>0.17482165</c:v>
                </c:pt>
                <c:pt idx="99">
                  <c:v>0.17481352</c:v>
                </c:pt>
                <c:pt idx="100">
                  <c:v>0.17481147999999999</c:v>
                </c:pt>
                <c:pt idx="101">
                  <c:v>0.17480551999999999</c:v>
                </c:pt>
                <c:pt idx="102">
                  <c:v>0.17480560000000001</c:v>
                </c:pt>
                <c:pt idx="103">
                  <c:v>0.17479285999999999</c:v>
                </c:pt>
                <c:pt idx="104">
                  <c:v>0.1747988</c:v>
                </c:pt>
                <c:pt idx="105">
                  <c:v>0.17478668999999999</c:v>
                </c:pt>
                <c:pt idx="106">
                  <c:v>0.17477672</c:v>
                </c:pt>
                <c:pt idx="107">
                  <c:v>0.17477012</c:v>
                </c:pt>
                <c:pt idx="108">
                  <c:v>0.17476311</c:v>
                </c:pt>
                <c:pt idx="109">
                  <c:v>0.17476778000000001</c:v>
                </c:pt>
                <c:pt idx="110">
                  <c:v>0.1747908</c:v>
                </c:pt>
                <c:pt idx="111">
                  <c:v>0.17477264000000001</c:v>
                </c:pt>
                <c:pt idx="112">
                  <c:v>0.17476555999999999</c:v>
                </c:pt>
                <c:pt idx="113">
                  <c:v>0.17476771999999999</c:v>
                </c:pt>
                <c:pt idx="114">
                  <c:v>0.17476082000000001</c:v>
                </c:pt>
                <c:pt idx="115">
                  <c:v>0.17476506999999999</c:v>
                </c:pt>
                <c:pt idx="116">
                  <c:v>0.17476699000000001</c:v>
                </c:pt>
                <c:pt idx="117">
                  <c:v>0.17476347</c:v>
                </c:pt>
                <c:pt idx="118">
                  <c:v>0.17476644999999999</c:v>
                </c:pt>
                <c:pt idx="119">
                  <c:v>0.17478518000000001</c:v>
                </c:pt>
                <c:pt idx="120">
                  <c:v>0.17478136999999999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8D-43E7-A904-B3AB57D98537}"/>
            </c:ext>
          </c:extLst>
        </c:ser>
        <c:ser>
          <c:idx val="1"/>
          <c:order val="1"/>
          <c:tx>
            <c:v>SIMNRA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 2 FULL 1 50 eV'!$H$2:$H$142</c:f>
              <c:numCache>
                <c:formatCode>General</c:formatCode>
                <c:ptCount val="141"/>
                <c:pt idx="0">
                  <c:v>1681</c:v>
                </c:pt>
                <c:pt idx="1">
                  <c:v>1681.05</c:v>
                </c:pt>
                <c:pt idx="2">
                  <c:v>1681.1</c:v>
                </c:pt>
                <c:pt idx="3">
                  <c:v>1681.15</c:v>
                </c:pt>
                <c:pt idx="4">
                  <c:v>1681.2</c:v>
                </c:pt>
                <c:pt idx="5">
                  <c:v>1681.25</c:v>
                </c:pt>
                <c:pt idx="6">
                  <c:v>1681.3</c:v>
                </c:pt>
                <c:pt idx="7">
                  <c:v>1681.35</c:v>
                </c:pt>
                <c:pt idx="8">
                  <c:v>1681.4</c:v>
                </c:pt>
                <c:pt idx="9">
                  <c:v>1681.45</c:v>
                </c:pt>
                <c:pt idx="10">
                  <c:v>1681.5</c:v>
                </c:pt>
                <c:pt idx="11">
                  <c:v>1681.55</c:v>
                </c:pt>
                <c:pt idx="12">
                  <c:v>1681.6</c:v>
                </c:pt>
                <c:pt idx="13">
                  <c:v>1681.65</c:v>
                </c:pt>
                <c:pt idx="14">
                  <c:v>1681.7</c:v>
                </c:pt>
                <c:pt idx="15">
                  <c:v>1681.75</c:v>
                </c:pt>
                <c:pt idx="16">
                  <c:v>1681.8</c:v>
                </c:pt>
                <c:pt idx="17">
                  <c:v>1681.85</c:v>
                </c:pt>
                <c:pt idx="18">
                  <c:v>1681.9</c:v>
                </c:pt>
                <c:pt idx="19">
                  <c:v>1681.95</c:v>
                </c:pt>
                <c:pt idx="20">
                  <c:v>1682</c:v>
                </c:pt>
                <c:pt idx="21">
                  <c:v>1682.05</c:v>
                </c:pt>
                <c:pt idx="22">
                  <c:v>1682.1</c:v>
                </c:pt>
                <c:pt idx="23">
                  <c:v>1682.15</c:v>
                </c:pt>
                <c:pt idx="24">
                  <c:v>1682.2</c:v>
                </c:pt>
                <c:pt idx="25">
                  <c:v>1682.25</c:v>
                </c:pt>
                <c:pt idx="26">
                  <c:v>1682.3</c:v>
                </c:pt>
                <c:pt idx="27">
                  <c:v>1682.35</c:v>
                </c:pt>
                <c:pt idx="28">
                  <c:v>1682.4</c:v>
                </c:pt>
                <c:pt idx="29">
                  <c:v>1682.45</c:v>
                </c:pt>
                <c:pt idx="30">
                  <c:v>1682.5</c:v>
                </c:pt>
                <c:pt idx="31">
                  <c:v>1682.55</c:v>
                </c:pt>
                <c:pt idx="32">
                  <c:v>1682.6</c:v>
                </c:pt>
                <c:pt idx="33">
                  <c:v>1682.65</c:v>
                </c:pt>
                <c:pt idx="34">
                  <c:v>1682.7</c:v>
                </c:pt>
                <c:pt idx="35">
                  <c:v>1682.75</c:v>
                </c:pt>
                <c:pt idx="36">
                  <c:v>1682.8</c:v>
                </c:pt>
                <c:pt idx="37">
                  <c:v>1682.85</c:v>
                </c:pt>
                <c:pt idx="38">
                  <c:v>1682.9</c:v>
                </c:pt>
                <c:pt idx="39">
                  <c:v>1682.95</c:v>
                </c:pt>
                <c:pt idx="40">
                  <c:v>1683</c:v>
                </c:pt>
                <c:pt idx="41">
                  <c:v>1683.05</c:v>
                </c:pt>
                <c:pt idx="42">
                  <c:v>1683.1</c:v>
                </c:pt>
                <c:pt idx="43">
                  <c:v>1683.15</c:v>
                </c:pt>
                <c:pt idx="44">
                  <c:v>1683.2</c:v>
                </c:pt>
                <c:pt idx="45">
                  <c:v>1683.25</c:v>
                </c:pt>
                <c:pt idx="46">
                  <c:v>1683.3</c:v>
                </c:pt>
                <c:pt idx="47">
                  <c:v>1683.35</c:v>
                </c:pt>
                <c:pt idx="48">
                  <c:v>1683.4</c:v>
                </c:pt>
                <c:pt idx="49">
                  <c:v>1683.45</c:v>
                </c:pt>
                <c:pt idx="50">
                  <c:v>1683.5</c:v>
                </c:pt>
                <c:pt idx="51">
                  <c:v>1683.55</c:v>
                </c:pt>
                <c:pt idx="52">
                  <c:v>1683.6</c:v>
                </c:pt>
                <c:pt idx="53">
                  <c:v>1683.65</c:v>
                </c:pt>
                <c:pt idx="54">
                  <c:v>1683.7</c:v>
                </c:pt>
                <c:pt idx="55">
                  <c:v>1683.75</c:v>
                </c:pt>
                <c:pt idx="56">
                  <c:v>1683.8</c:v>
                </c:pt>
                <c:pt idx="57">
                  <c:v>1683.85</c:v>
                </c:pt>
                <c:pt idx="58">
                  <c:v>1683.9</c:v>
                </c:pt>
                <c:pt idx="59">
                  <c:v>1683.95</c:v>
                </c:pt>
                <c:pt idx="60">
                  <c:v>1684</c:v>
                </c:pt>
                <c:pt idx="61">
                  <c:v>1684.05</c:v>
                </c:pt>
                <c:pt idx="62">
                  <c:v>1684.1</c:v>
                </c:pt>
                <c:pt idx="63">
                  <c:v>1684.15</c:v>
                </c:pt>
                <c:pt idx="64">
                  <c:v>1684.2</c:v>
                </c:pt>
                <c:pt idx="65">
                  <c:v>1684.25</c:v>
                </c:pt>
                <c:pt idx="66">
                  <c:v>1684.3</c:v>
                </c:pt>
                <c:pt idx="67">
                  <c:v>1684.35</c:v>
                </c:pt>
                <c:pt idx="68">
                  <c:v>1684.4</c:v>
                </c:pt>
                <c:pt idx="69">
                  <c:v>1684.45</c:v>
                </c:pt>
                <c:pt idx="70">
                  <c:v>1684.5</c:v>
                </c:pt>
                <c:pt idx="71">
                  <c:v>1684.55</c:v>
                </c:pt>
                <c:pt idx="72">
                  <c:v>1684.6</c:v>
                </c:pt>
                <c:pt idx="73">
                  <c:v>1684.65</c:v>
                </c:pt>
                <c:pt idx="74">
                  <c:v>1684.7</c:v>
                </c:pt>
                <c:pt idx="75">
                  <c:v>1684.75</c:v>
                </c:pt>
                <c:pt idx="76">
                  <c:v>1684.8</c:v>
                </c:pt>
                <c:pt idx="77">
                  <c:v>1684.85</c:v>
                </c:pt>
                <c:pt idx="78">
                  <c:v>1684.9</c:v>
                </c:pt>
                <c:pt idx="79">
                  <c:v>1684.95</c:v>
                </c:pt>
                <c:pt idx="80">
                  <c:v>1685</c:v>
                </c:pt>
                <c:pt idx="81">
                  <c:v>1685.05</c:v>
                </c:pt>
                <c:pt idx="82">
                  <c:v>1685.1</c:v>
                </c:pt>
                <c:pt idx="83">
                  <c:v>1685.15</c:v>
                </c:pt>
                <c:pt idx="84">
                  <c:v>1685.2</c:v>
                </c:pt>
                <c:pt idx="85">
                  <c:v>1685.25</c:v>
                </c:pt>
                <c:pt idx="86">
                  <c:v>1685.3</c:v>
                </c:pt>
                <c:pt idx="87">
                  <c:v>1685.35</c:v>
                </c:pt>
                <c:pt idx="88">
                  <c:v>1685.4</c:v>
                </c:pt>
                <c:pt idx="89">
                  <c:v>1685.45</c:v>
                </c:pt>
                <c:pt idx="90">
                  <c:v>1685.5</c:v>
                </c:pt>
                <c:pt idx="91">
                  <c:v>1685.55</c:v>
                </c:pt>
                <c:pt idx="92">
                  <c:v>1685.6</c:v>
                </c:pt>
                <c:pt idx="93">
                  <c:v>1685.65</c:v>
                </c:pt>
                <c:pt idx="94">
                  <c:v>1685.7</c:v>
                </c:pt>
                <c:pt idx="95">
                  <c:v>1685.75</c:v>
                </c:pt>
                <c:pt idx="96">
                  <c:v>1685.8</c:v>
                </c:pt>
                <c:pt idx="97">
                  <c:v>1685.85</c:v>
                </c:pt>
                <c:pt idx="98">
                  <c:v>1685.9</c:v>
                </c:pt>
                <c:pt idx="99">
                  <c:v>1685.95</c:v>
                </c:pt>
                <c:pt idx="100">
                  <c:v>1686</c:v>
                </c:pt>
                <c:pt idx="101">
                  <c:v>1686.05</c:v>
                </c:pt>
                <c:pt idx="102">
                  <c:v>1686.1</c:v>
                </c:pt>
                <c:pt idx="103">
                  <c:v>1686.15</c:v>
                </c:pt>
                <c:pt idx="104">
                  <c:v>1686.2</c:v>
                </c:pt>
                <c:pt idx="105">
                  <c:v>1686.25</c:v>
                </c:pt>
                <c:pt idx="106">
                  <c:v>1686.3</c:v>
                </c:pt>
                <c:pt idx="107">
                  <c:v>1686.35</c:v>
                </c:pt>
                <c:pt idx="108">
                  <c:v>1686.4</c:v>
                </c:pt>
                <c:pt idx="109">
                  <c:v>1686.45</c:v>
                </c:pt>
                <c:pt idx="110">
                  <c:v>1686.5</c:v>
                </c:pt>
                <c:pt idx="111">
                  <c:v>1686.55</c:v>
                </c:pt>
                <c:pt idx="112">
                  <c:v>1686.6</c:v>
                </c:pt>
                <c:pt idx="113">
                  <c:v>1686.65</c:v>
                </c:pt>
                <c:pt idx="114">
                  <c:v>1686.7</c:v>
                </c:pt>
                <c:pt idx="115">
                  <c:v>1686.75</c:v>
                </c:pt>
                <c:pt idx="116">
                  <c:v>1686.8</c:v>
                </c:pt>
                <c:pt idx="117">
                  <c:v>1686.85</c:v>
                </c:pt>
                <c:pt idx="118">
                  <c:v>1686.9</c:v>
                </c:pt>
                <c:pt idx="119">
                  <c:v>1686.95</c:v>
                </c:pt>
                <c:pt idx="120">
                  <c:v>1687</c:v>
                </c:pt>
                <c:pt idx="121">
                  <c:v>1687.05</c:v>
                </c:pt>
                <c:pt idx="122">
                  <c:v>1687.1</c:v>
                </c:pt>
                <c:pt idx="123">
                  <c:v>1687.15</c:v>
                </c:pt>
                <c:pt idx="124">
                  <c:v>1687.2</c:v>
                </c:pt>
                <c:pt idx="125">
                  <c:v>1687.25</c:v>
                </c:pt>
                <c:pt idx="126">
                  <c:v>1687.3</c:v>
                </c:pt>
                <c:pt idx="127">
                  <c:v>1687.35</c:v>
                </c:pt>
                <c:pt idx="128">
                  <c:v>1687.4</c:v>
                </c:pt>
                <c:pt idx="129">
                  <c:v>1687.45</c:v>
                </c:pt>
                <c:pt idx="130">
                  <c:v>1687.5</c:v>
                </c:pt>
                <c:pt idx="131">
                  <c:v>1687.55</c:v>
                </c:pt>
                <c:pt idx="132">
                  <c:v>1687.6</c:v>
                </c:pt>
                <c:pt idx="133">
                  <c:v>1687.65</c:v>
                </c:pt>
                <c:pt idx="134">
                  <c:v>1687.7</c:v>
                </c:pt>
                <c:pt idx="135">
                  <c:v>1687.75</c:v>
                </c:pt>
                <c:pt idx="136">
                  <c:v>1687.8</c:v>
                </c:pt>
                <c:pt idx="137">
                  <c:v>1687.85</c:v>
                </c:pt>
                <c:pt idx="138">
                  <c:v>1687.9</c:v>
                </c:pt>
                <c:pt idx="139">
                  <c:v>1687.95</c:v>
                </c:pt>
                <c:pt idx="140">
                  <c:v>1688</c:v>
                </c:pt>
              </c:numCache>
            </c:numRef>
          </c:xVal>
          <c:yVal>
            <c:numRef>
              <c:f>'Ex 2 FULL 1 50 eV'!$I$2:$I$142</c:f>
              <c:numCache>
                <c:formatCode>0.00000000000000</c:formatCode>
                <c:ptCount val="141"/>
                <c:pt idx="0">
                  <c:v>8.35239556988702E-4</c:v>
                </c:pt>
                <c:pt idx="1">
                  <c:v>8.7127963241903205E-4</c:v>
                </c:pt>
                <c:pt idx="2">
                  <c:v>9.0925972884138703E-4</c:v>
                </c:pt>
                <c:pt idx="3">
                  <c:v>9.4934471626188105E-4</c:v>
                </c:pt>
                <c:pt idx="4">
                  <c:v>9.91719580401063E-4</c:v>
                </c:pt>
                <c:pt idx="5">
                  <c:v>1.0365929269842201E-3</c:v>
                </c:pt>
                <c:pt idx="6">
                  <c:v>1.0841995888372E-3</c:v>
                </c:pt>
                <c:pt idx="7">
                  <c:v>1.1348055750620401E-3</c:v>
                </c:pt>
                <c:pt idx="8">
                  <c:v>1.1887165105571699E-3</c:v>
                </c:pt>
                <c:pt idx="9">
                  <c:v>1.2462842950851801E-3</c:v>
                </c:pt>
                <c:pt idx="10">
                  <c:v>1.30791756170697E-3</c:v>
                </c:pt>
                <c:pt idx="11">
                  <c:v>1.37409572201772E-3</c:v>
                </c:pt>
                <c:pt idx="12">
                  <c:v>1.4453838309079999E-3</c:v>
                </c:pt>
                <c:pt idx="13">
                  <c:v>1.5224558887805099E-3</c:v>
                </c:pt>
                <c:pt idx="14">
                  <c:v>1.6061305392969501E-3</c:v>
                </c:pt>
                <c:pt idx="15">
                  <c:v>1.6974119071067599E-3</c:v>
                </c:pt>
                <c:pt idx="16">
                  <c:v>1.7975485895810701E-3</c:v>
                </c:pt>
                <c:pt idx="17">
                  <c:v>1.90811613558101E-3</c:v>
                </c:pt>
                <c:pt idx="18">
                  <c:v>2.0311299336521101E-3</c:v>
                </c:pt>
                <c:pt idx="19">
                  <c:v>2.1691990592895699E-3</c:v>
                </c:pt>
                <c:pt idx="20">
                  <c:v>2.32575779256707E-3</c:v>
                </c:pt>
                <c:pt idx="21">
                  <c:v>2.5053869041782098E-3</c:v>
                </c:pt>
                <c:pt idx="22">
                  <c:v>2.7142766417609502E-3</c:v>
                </c:pt>
                <c:pt idx="23">
                  <c:v>2.9609120384885301E-3</c:v>
                </c:pt>
                <c:pt idx="24">
                  <c:v>3.25706455762793E-3</c:v>
                </c:pt>
                <c:pt idx="25">
                  <c:v>3.6192369781207598E-3</c:v>
                </c:pt>
                <c:pt idx="26">
                  <c:v>4.0707523171846496E-3</c:v>
                </c:pt>
                <c:pt idx="27">
                  <c:v>4.6447448141404297E-3</c:v>
                </c:pt>
                <c:pt idx="28">
                  <c:v>5.3884022712208501E-3</c:v>
                </c:pt>
                <c:pt idx="29">
                  <c:v>6.3688804206117298E-3</c:v>
                </c:pt>
                <c:pt idx="30">
                  <c:v>7.6812645316553397E-3</c:v>
                </c:pt>
                <c:pt idx="31">
                  <c:v>9.4584019704718504E-3</c:v>
                </c:pt>
                <c:pt idx="32">
                  <c:v>1.18805999689081E-2</c:v>
                </c:pt>
                <c:pt idx="33">
                  <c:v>1.51793063612199E-2</c:v>
                </c:pt>
                <c:pt idx="34">
                  <c:v>1.96240007436062E-2</c:v>
                </c:pt>
                <c:pt idx="35">
                  <c:v>2.5480708106691299E-2</c:v>
                </c:pt>
                <c:pt idx="36">
                  <c:v>3.2940919279102997E-2</c:v>
                </c:pt>
                <c:pt idx="37">
                  <c:v>4.2041150885602202E-2</c:v>
                </c:pt>
                <c:pt idx="38">
                  <c:v>5.2611345224152103E-2</c:v>
                </c:pt>
                <c:pt idx="39">
                  <c:v>6.4285429464773503E-2</c:v>
                </c:pt>
                <c:pt idx="40">
                  <c:v>7.6576975950533796E-2</c:v>
                </c:pt>
                <c:pt idx="41">
                  <c:v>8.8987663963635694E-2</c:v>
                </c:pt>
                <c:pt idx="42">
                  <c:v>0.10109979621246901</c:v>
                </c:pt>
                <c:pt idx="43">
                  <c:v>0.112607559163247</c:v>
                </c:pt>
                <c:pt idx="44">
                  <c:v>0.123265032895164</c:v>
                </c:pt>
                <c:pt idx="45">
                  <c:v>0.132850396077176</c:v>
                </c:pt>
                <c:pt idx="46">
                  <c:v>0.14126223101270799</c:v>
                </c:pt>
                <c:pt idx="47">
                  <c:v>0.14850936588289501</c:v>
                </c:pt>
                <c:pt idx="48">
                  <c:v>0.15466284404462899</c:v>
                </c:pt>
                <c:pt idx="49">
                  <c:v>0.15982255330793299</c:v>
                </c:pt>
                <c:pt idx="50">
                  <c:v>0.164098006194105</c:v>
                </c:pt>
                <c:pt idx="51">
                  <c:v>0.16759879359117699</c:v>
                </c:pt>
                <c:pt idx="52">
                  <c:v>0.17042983533897499</c:v>
                </c:pt>
                <c:pt idx="53">
                  <c:v>0.17268870049683599</c:v>
                </c:pt>
                <c:pt idx="54">
                  <c:v>0.17446384626647299</c:v>
                </c:pt>
                <c:pt idx="55">
                  <c:v>0.17583455481070001</c:v>
                </c:pt>
                <c:pt idx="56">
                  <c:v>0.176870381470286</c:v>
                </c:pt>
                <c:pt idx="57">
                  <c:v>0.177632109559305</c:v>
                </c:pt>
                <c:pt idx="58">
                  <c:v>0.178171669261323</c:v>
                </c:pt>
                <c:pt idx="59">
                  <c:v>0.178533494736903</c:v>
                </c:pt>
                <c:pt idx="60">
                  <c:v>0.17875495401484001</c:v>
                </c:pt>
                <c:pt idx="61">
                  <c:v>0.178867088806105</c:v>
                </c:pt>
                <c:pt idx="62">
                  <c:v>0.178895465128385</c:v>
                </c:pt>
                <c:pt idx="63">
                  <c:v>0.17886103084416699</c:v>
                </c:pt>
                <c:pt idx="64">
                  <c:v>0.178780575989792</c:v>
                </c:pt>
                <c:pt idx="65">
                  <c:v>0.17866737980617001</c:v>
                </c:pt>
                <c:pt idx="66">
                  <c:v>0.178531951444689</c:v>
                </c:pt>
                <c:pt idx="67">
                  <c:v>0.17838239697623701</c:v>
                </c:pt>
                <c:pt idx="68">
                  <c:v>0.178224941707916</c:v>
                </c:pt>
                <c:pt idx="69">
                  <c:v>0.178064219523316</c:v>
                </c:pt>
                <c:pt idx="70">
                  <c:v>0.17790365022736801</c:v>
                </c:pt>
                <c:pt idx="71">
                  <c:v>0.17774568862849399</c:v>
                </c:pt>
                <c:pt idx="72">
                  <c:v>0.177592036802246</c:v>
                </c:pt>
                <c:pt idx="73">
                  <c:v>0.17744382889052299</c:v>
                </c:pt>
                <c:pt idx="74">
                  <c:v>0.17730177769497099</c:v>
                </c:pt>
                <c:pt idx="75">
                  <c:v>0.17716628851817001</c:v>
                </c:pt>
                <c:pt idx="76">
                  <c:v>0.17703752155482699</c:v>
                </c:pt>
                <c:pt idx="77">
                  <c:v>0.17691548432097201</c:v>
                </c:pt>
                <c:pt idx="78">
                  <c:v>0.17680008111265599</c:v>
                </c:pt>
                <c:pt idx="79">
                  <c:v>0.17669113286820701</c:v>
                </c:pt>
                <c:pt idx="80">
                  <c:v>0.176588424540435</c:v>
                </c:pt>
                <c:pt idx="81">
                  <c:v>0.17649169419129801</c:v>
                </c:pt>
                <c:pt idx="82">
                  <c:v>0.176400659315846</c:v>
                </c:pt>
                <c:pt idx="83">
                  <c:v>0.176315033139026</c:v>
                </c:pt>
                <c:pt idx="84">
                  <c:v>0.17623453302925701</c:v>
                </c:pt>
                <c:pt idx="85">
                  <c:v>0.17615889917064601</c:v>
                </c:pt>
                <c:pt idx="86">
                  <c:v>0.17608787284271399</c:v>
                </c:pt>
                <c:pt idx="87">
                  <c:v>0.17602118297081701</c:v>
                </c:pt>
                <c:pt idx="88">
                  <c:v>0.17595858187285501</c:v>
                </c:pt>
                <c:pt idx="89">
                  <c:v>0.17589984926617699</c:v>
                </c:pt>
                <c:pt idx="90">
                  <c:v>0.17584476382348899</c:v>
                </c:pt>
                <c:pt idx="91">
                  <c:v>0.17579310931299</c:v>
                </c:pt>
                <c:pt idx="92">
                  <c:v>0.17574468740031199</c:v>
                </c:pt>
                <c:pt idx="93">
                  <c:v>0.175699319643114</c:v>
                </c:pt>
                <c:pt idx="94">
                  <c:v>0.175656825350888</c:v>
                </c:pt>
                <c:pt idx="95">
                  <c:v>0.17561702807996199</c:v>
                </c:pt>
                <c:pt idx="96">
                  <c:v>0.17557977964785201</c:v>
                </c:pt>
                <c:pt idx="97">
                  <c:v>0.17554493425630899</c:v>
                </c:pt>
                <c:pt idx="98">
                  <c:v>0.1755123467487</c:v>
                </c:pt>
                <c:pt idx="99">
                  <c:v>0.175481890091712</c:v>
                </c:pt>
                <c:pt idx="100">
                  <c:v>0.17545344153921</c:v>
                </c:pt>
                <c:pt idx="101">
                  <c:v>0.17542687932467799</c:v>
                </c:pt>
                <c:pt idx="102">
                  <c:v>0.17540209656140099</c:v>
                </c:pt>
                <c:pt idx="103">
                  <c:v>0.17537899177598101</c:v>
                </c:pt>
                <c:pt idx="104">
                  <c:v>0.17535746305711</c:v>
                </c:pt>
                <c:pt idx="105">
                  <c:v>0.17533742240766301</c:v>
                </c:pt>
                <c:pt idx="106">
                  <c:v>0.175318779028413</c:v>
                </c:pt>
                <c:pt idx="107">
                  <c:v>0.175301451863456</c:v>
                </c:pt>
                <c:pt idx="108">
                  <c:v>0.175285366938082</c:v>
                </c:pt>
                <c:pt idx="109">
                  <c:v>0.17527045247048301</c:v>
                </c:pt>
                <c:pt idx="110">
                  <c:v>0.17525664287728701</c:v>
                </c:pt>
                <c:pt idx="111">
                  <c:v>0.175243870277519</c:v>
                </c:pt>
                <c:pt idx="112">
                  <c:v>0.17523207388631201</c:v>
                </c:pt>
                <c:pt idx="113">
                  <c:v>0.17522119751774801</c:v>
                </c:pt>
                <c:pt idx="114">
                  <c:v>0.17521118530464999</c:v>
                </c:pt>
                <c:pt idx="115">
                  <c:v>0.175201987460676</c:v>
                </c:pt>
                <c:pt idx="116">
                  <c:v>0.17519355499030601</c:v>
                </c:pt>
                <c:pt idx="117">
                  <c:v>0.175185842222153</c:v>
                </c:pt>
                <c:pt idx="118">
                  <c:v>0.175178809433164</c:v>
                </c:pt>
                <c:pt idx="119">
                  <c:v>0.17517241656676599</c:v>
                </c:pt>
                <c:pt idx="120">
                  <c:v>0.17516662632225</c:v>
                </c:pt>
                <c:pt idx="121">
                  <c:v>0.175161399906756</c:v>
                </c:pt>
                <c:pt idx="122">
                  <c:v>0.17515670473258399</c:v>
                </c:pt>
                <c:pt idx="123">
                  <c:v>0.175152507018072</c:v>
                </c:pt>
                <c:pt idx="124">
                  <c:v>0.175148777042825</c:v>
                </c:pt>
                <c:pt idx="125">
                  <c:v>0.17514548646112199</c:v>
                </c:pt>
                <c:pt idx="126">
                  <c:v>0.175142606063516</c:v>
                </c:pt>
                <c:pt idx="127">
                  <c:v>0.17514010903396801</c:v>
                </c:pt>
                <c:pt idx="128">
                  <c:v>0.17513796935517301</c:v>
                </c:pt>
                <c:pt idx="129">
                  <c:v>0.17513616096752499</c:v>
                </c:pt>
                <c:pt idx="130">
                  <c:v>0.175134654758028</c:v>
                </c:pt>
                <c:pt idx="131">
                  <c:v>0.17513342139034799</c:v>
                </c:pt>
                <c:pt idx="132">
                  <c:v>0.175132425274446</c:v>
                </c:pt>
                <c:pt idx="133">
                  <c:v>0.17513162818707101</c:v>
                </c:pt>
                <c:pt idx="134">
                  <c:v>0.175130980909776</c:v>
                </c:pt>
                <c:pt idx="135">
                  <c:v>0.17513042084960301</c:v>
                </c:pt>
                <c:pt idx="136">
                  <c:v>0.175129871174632</c:v>
                </c:pt>
                <c:pt idx="137">
                  <c:v>0.17512925119878001</c:v>
                </c:pt>
                <c:pt idx="138">
                  <c:v>0.175128480547973</c:v>
                </c:pt>
                <c:pt idx="139">
                  <c:v>0.17512749591092899</c:v>
                </c:pt>
                <c:pt idx="140">
                  <c:v>0.17512625456099901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18D-43E7-A904-B3AB57D98537}"/>
            </c:ext>
          </c:extLst>
        </c:ser>
        <c:ser>
          <c:idx val="3"/>
          <c:order val="2"/>
          <c:tx>
            <c:v>SPACES NORM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bg2">
                  <a:lumMod val="75000"/>
                </a:schemeClr>
              </a:solidFill>
              <a:ln w="9525">
                <a:solidFill>
                  <a:schemeClr val="bg2">
                    <a:lumMod val="75000"/>
                  </a:schemeClr>
                </a:solidFill>
              </a:ln>
              <a:effectLst/>
            </c:spPr>
          </c:marker>
          <c:xVal>
            <c:numRef>
              <c:f>'Ex 2 FULL 1 50 eV'!$A$2:$A$639</c:f>
              <c:numCache>
                <c:formatCode>General</c:formatCode>
                <c:ptCount val="638"/>
                <c:pt idx="0">
                  <c:v>1674.2346</c:v>
                </c:pt>
                <c:pt idx="1">
                  <c:v>1674.2846300000001</c:v>
                </c:pt>
                <c:pt idx="2">
                  <c:v>1674.33466</c:v>
                </c:pt>
                <c:pt idx="3">
                  <c:v>1674.3847000000001</c:v>
                </c:pt>
                <c:pt idx="4">
                  <c:v>1674.4347299999999</c:v>
                </c:pt>
                <c:pt idx="5">
                  <c:v>1674.4847600000001</c:v>
                </c:pt>
                <c:pt idx="6">
                  <c:v>1674.5347899999999</c:v>
                </c:pt>
                <c:pt idx="7">
                  <c:v>1674.58482</c:v>
                </c:pt>
                <c:pt idx="8">
                  <c:v>1674.6348499999999</c:v>
                </c:pt>
                <c:pt idx="9">
                  <c:v>1674.68489</c:v>
                </c:pt>
                <c:pt idx="10">
                  <c:v>1674.7349200000001</c:v>
                </c:pt>
                <c:pt idx="11">
                  <c:v>1674.78495</c:v>
                </c:pt>
                <c:pt idx="12">
                  <c:v>1674.8349800000001</c:v>
                </c:pt>
                <c:pt idx="13">
                  <c:v>1674.88501</c:v>
                </c:pt>
                <c:pt idx="14">
                  <c:v>1674.9350400000001</c:v>
                </c:pt>
                <c:pt idx="15">
                  <c:v>1674.98507</c:v>
                </c:pt>
                <c:pt idx="16">
                  <c:v>1675.03511</c:v>
                </c:pt>
                <c:pt idx="17">
                  <c:v>1675.0851399999999</c:v>
                </c:pt>
                <c:pt idx="18">
                  <c:v>1675.13517</c:v>
                </c:pt>
                <c:pt idx="19">
                  <c:v>1675.1851999999999</c:v>
                </c:pt>
                <c:pt idx="20">
                  <c:v>1675.23523</c:v>
                </c:pt>
                <c:pt idx="21">
                  <c:v>1675.2852600000001</c:v>
                </c:pt>
                <c:pt idx="22">
                  <c:v>1675.33529</c:v>
                </c:pt>
                <c:pt idx="23">
                  <c:v>1675.3853300000001</c:v>
                </c:pt>
                <c:pt idx="24">
                  <c:v>1675.4353599999999</c:v>
                </c:pt>
                <c:pt idx="25">
                  <c:v>1675.4853900000001</c:v>
                </c:pt>
                <c:pt idx="26">
                  <c:v>1675.5354199999999</c:v>
                </c:pt>
                <c:pt idx="27">
                  <c:v>1675.58545</c:v>
                </c:pt>
                <c:pt idx="28">
                  <c:v>1675.6354799999999</c:v>
                </c:pt>
                <c:pt idx="29">
                  <c:v>1675.68551</c:v>
                </c:pt>
                <c:pt idx="30">
                  <c:v>1675.7355500000001</c:v>
                </c:pt>
                <c:pt idx="31">
                  <c:v>1675.78558</c:v>
                </c:pt>
                <c:pt idx="32">
                  <c:v>1675.8356100000001</c:v>
                </c:pt>
                <c:pt idx="33">
                  <c:v>1675.88564</c:v>
                </c:pt>
                <c:pt idx="34">
                  <c:v>1675.9356700000001</c:v>
                </c:pt>
                <c:pt idx="35">
                  <c:v>1675.9857</c:v>
                </c:pt>
                <c:pt idx="36">
                  <c:v>1676.03574</c:v>
                </c:pt>
                <c:pt idx="37">
                  <c:v>1676.0857699999999</c:v>
                </c:pt>
                <c:pt idx="38">
                  <c:v>1676.1358</c:v>
                </c:pt>
                <c:pt idx="39">
                  <c:v>1676.1858299999999</c:v>
                </c:pt>
                <c:pt idx="40">
                  <c:v>1676.23586</c:v>
                </c:pt>
                <c:pt idx="41">
                  <c:v>1676.2858900000001</c:v>
                </c:pt>
                <c:pt idx="42">
                  <c:v>1676.33592</c:v>
                </c:pt>
                <c:pt idx="43">
                  <c:v>1676.3859600000001</c:v>
                </c:pt>
                <c:pt idx="44">
                  <c:v>1676.4359899999999</c:v>
                </c:pt>
                <c:pt idx="45">
                  <c:v>1676.4860200000001</c:v>
                </c:pt>
                <c:pt idx="46">
                  <c:v>1676.5360499999999</c:v>
                </c:pt>
                <c:pt idx="47">
                  <c:v>1676.58608</c:v>
                </c:pt>
                <c:pt idx="48">
                  <c:v>1676.6361099999999</c:v>
                </c:pt>
                <c:pt idx="49">
                  <c:v>1676.68614</c:v>
                </c:pt>
                <c:pt idx="50">
                  <c:v>1676.7361800000001</c:v>
                </c:pt>
                <c:pt idx="51">
                  <c:v>1676.78621</c:v>
                </c:pt>
                <c:pt idx="52">
                  <c:v>1676.8362400000001</c:v>
                </c:pt>
                <c:pt idx="53">
                  <c:v>1676.88627</c:v>
                </c:pt>
                <c:pt idx="54">
                  <c:v>1676.9363000000001</c:v>
                </c:pt>
                <c:pt idx="55">
                  <c:v>1676.98633</c:v>
                </c:pt>
                <c:pt idx="56">
                  <c:v>1677.0363600000001</c:v>
                </c:pt>
                <c:pt idx="57">
                  <c:v>1677.0863999999999</c:v>
                </c:pt>
                <c:pt idx="58">
                  <c:v>1677.13643</c:v>
                </c:pt>
                <c:pt idx="59">
                  <c:v>1677.1864599999999</c:v>
                </c:pt>
                <c:pt idx="60">
                  <c:v>1677.23649</c:v>
                </c:pt>
                <c:pt idx="61">
                  <c:v>1677.2865200000001</c:v>
                </c:pt>
                <c:pt idx="62">
                  <c:v>1677.33655</c:v>
                </c:pt>
                <c:pt idx="63">
                  <c:v>1677.3865900000001</c:v>
                </c:pt>
                <c:pt idx="64">
                  <c:v>1677.4366199999999</c:v>
                </c:pt>
                <c:pt idx="65">
                  <c:v>1677.4866500000001</c:v>
                </c:pt>
                <c:pt idx="66">
                  <c:v>1677.5366799999999</c:v>
                </c:pt>
                <c:pt idx="67">
                  <c:v>1677.58671</c:v>
                </c:pt>
                <c:pt idx="68">
                  <c:v>1677.6367399999999</c:v>
                </c:pt>
                <c:pt idx="69">
                  <c:v>1677.68677</c:v>
                </c:pt>
                <c:pt idx="70">
                  <c:v>1677.7368100000001</c:v>
                </c:pt>
                <c:pt idx="71">
                  <c:v>1677.78684</c:v>
                </c:pt>
                <c:pt idx="72">
                  <c:v>1677.8368700000001</c:v>
                </c:pt>
                <c:pt idx="73">
                  <c:v>1677.8869</c:v>
                </c:pt>
                <c:pt idx="74">
                  <c:v>1677.9369300000001</c:v>
                </c:pt>
                <c:pt idx="75">
                  <c:v>1677.98696</c:v>
                </c:pt>
                <c:pt idx="76">
                  <c:v>1678.0369900000001</c:v>
                </c:pt>
                <c:pt idx="77">
                  <c:v>1678.0870299999999</c:v>
                </c:pt>
                <c:pt idx="78">
                  <c:v>1678.13706</c:v>
                </c:pt>
                <c:pt idx="79">
                  <c:v>1678.1870899999999</c:v>
                </c:pt>
                <c:pt idx="80">
                  <c:v>1678.23712</c:v>
                </c:pt>
                <c:pt idx="81">
                  <c:v>1678.2871500000001</c:v>
                </c:pt>
                <c:pt idx="82">
                  <c:v>1678.33718</c:v>
                </c:pt>
                <c:pt idx="83">
                  <c:v>1678.3872100000001</c:v>
                </c:pt>
                <c:pt idx="84">
                  <c:v>1678.4372499999999</c:v>
                </c:pt>
                <c:pt idx="85">
                  <c:v>1678.4872800000001</c:v>
                </c:pt>
                <c:pt idx="86">
                  <c:v>1678.5373099999999</c:v>
                </c:pt>
                <c:pt idx="87">
                  <c:v>1678.58734</c:v>
                </c:pt>
                <c:pt idx="88">
                  <c:v>1678.6373699999999</c:v>
                </c:pt>
                <c:pt idx="89">
                  <c:v>1678.6874</c:v>
                </c:pt>
                <c:pt idx="90">
                  <c:v>1678.7374400000001</c:v>
                </c:pt>
                <c:pt idx="91">
                  <c:v>1678.78747</c:v>
                </c:pt>
                <c:pt idx="92">
                  <c:v>1678.8375000000001</c:v>
                </c:pt>
                <c:pt idx="93">
                  <c:v>1678.88753</c:v>
                </c:pt>
                <c:pt idx="94">
                  <c:v>1678.9375600000001</c:v>
                </c:pt>
                <c:pt idx="95">
                  <c:v>1678.98759</c:v>
                </c:pt>
                <c:pt idx="96">
                  <c:v>1679.0376200000001</c:v>
                </c:pt>
                <c:pt idx="97">
                  <c:v>1679.0876599999999</c:v>
                </c:pt>
                <c:pt idx="98">
                  <c:v>1679.13769</c:v>
                </c:pt>
                <c:pt idx="99">
                  <c:v>1679.1877199999999</c:v>
                </c:pt>
                <c:pt idx="100">
                  <c:v>1679.23775</c:v>
                </c:pt>
                <c:pt idx="101">
                  <c:v>1679.2877800000001</c:v>
                </c:pt>
                <c:pt idx="102">
                  <c:v>1679.33781</c:v>
                </c:pt>
                <c:pt idx="103">
                  <c:v>1679.3878400000001</c:v>
                </c:pt>
                <c:pt idx="104">
                  <c:v>1679.43788</c:v>
                </c:pt>
                <c:pt idx="105">
                  <c:v>1679.4879100000001</c:v>
                </c:pt>
                <c:pt idx="106">
                  <c:v>1679.5379399999999</c:v>
                </c:pt>
                <c:pt idx="107">
                  <c:v>1679.58797</c:v>
                </c:pt>
                <c:pt idx="108">
                  <c:v>1679.6379999999999</c:v>
                </c:pt>
                <c:pt idx="109">
                  <c:v>1679.68803</c:v>
                </c:pt>
                <c:pt idx="110">
                  <c:v>1679.7380599999999</c:v>
                </c:pt>
                <c:pt idx="111">
                  <c:v>1679.7881</c:v>
                </c:pt>
                <c:pt idx="112">
                  <c:v>1679.8381300000001</c:v>
                </c:pt>
                <c:pt idx="113">
                  <c:v>1679.88816</c:v>
                </c:pt>
                <c:pt idx="114">
                  <c:v>1679.9381900000001</c:v>
                </c:pt>
                <c:pt idx="115">
                  <c:v>1679.98822</c:v>
                </c:pt>
                <c:pt idx="116">
                  <c:v>1680.0382500000001</c:v>
                </c:pt>
                <c:pt idx="117">
                  <c:v>1680.0882899999999</c:v>
                </c:pt>
                <c:pt idx="118">
                  <c:v>1680.13832</c:v>
                </c:pt>
                <c:pt idx="119">
                  <c:v>1680.1883499999999</c:v>
                </c:pt>
                <c:pt idx="120">
                  <c:v>1680.23838</c:v>
                </c:pt>
                <c:pt idx="121">
                  <c:v>1680.2884100000001</c:v>
                </c:pt>
                <c:pt idx="122">
                  <c:v>1680.33844</c:v>
                </c:pt>
                <c:pt idx="123">
                  <c:v>1680.3884700000001</c:v>
                </c:pt>
                <c:pt idx="124">
                  <c:v>1680.43851</c:v>
                </c:pt>
                <c:pt idx="125">
                  <c:v>1680.4885400000001</c:v>
                </c:pt>
                <c:pt idx="126">
                  <c:v>1680.5385699999999</c:v>
                </c:pt>
                <c:pt idx="127">
                  <c:v>1680.5886</c:v>
                </c:pt>
                <c:pt idx="128">
                  <c:v>1680.6386299999999</c:v>
                </c:pt>
                <c:pt idx="129">
                  <c:v>1680.68866</c:v>
                </c:pt>
                <c:pt idx="130">
                  <c:v>1680.7386899999999</c:v>
                </c:pt>
                <c:pt idx="131">
                  <c:v>1680.78873</c:v>
                </c:pt>
                <c:pt idx="132">
                  <c:v>1680.8387600000001</c:v>
                </c:pt>
                <c:pt idx="133">
                  <c:v>1680.88879</c:v>
                </c:pt>
                <c:pt idx="134">
                  <c:v>1680.9388200000001</c:v>
                </c:pt>
                <c:pt idx="135">
                  <c:v>1680.98885</c:v>
                </c:pt>
                <c:pt idx="136">
                  <c:v>1681.0388800000001</c:v>
                </c:pt>
                <c:pt idx="137">
                  <c:v>1681.0889099999999</c:v>
                </c:pt>
                <c:pt idx="138">
                  <c:v>1681.13895</c:v>
                </c:pt>
                <c:pt idx="139">
                  <c:v>1681.1889799999999</c:v>
                </c:pt>
                <c:pt idx="140">
                  <c:v>1681.23901</c:v>
                </c:pt>
                <c:pt idx="141">
                  <c:v>1681.2890400000001</c:v>
                </c:pt>
                <c:pt idx="142">
                  <c:v>1681.33907</c:v>
                </c:pt>
                <c:pt idx="143">
                  <c:v>1681.3891000000001</c:v>
                </c:pt>
                <c:pt idx="144">
                  <c:v>1681.43914</c:v>
                </c:pt>
                <c:pt idx="145">
                  <c:v>1681.4891700000001</c:v>
                </c:pt>
                <c:pt idx="146">
                  <c:v>1681.5391999999999</c:v>
                </c:pt>
                <c:pt idx="147">
                  <c:v>1681.58923</c:v>
                </c:pt>
                <c:pt idx="148">
                  <c:v>1681.6392599999999</c:v>
                </c:pt>
                <c:pt idx="149">
                  <c:v>1681.68929</c:v>
                </c:pt>
                <c:pt idx="150">
                  <c:v>1681.7393199999999</c:v>
                </c:pt>
                <c:pt idx="151">
                  <c:v>1681.78936</c:v>
                </c:pt>
                <c:pt idx="152">
                  <c:v>1681.8393900000001</c:v>
                </c:pt>
                <c:pt idx="153">
                  <c:v>1681.88942</c:v>
                </c:pt>
                <c:pt idx="154">
                  <c:v>1681.9394500000001</c:v>
                </c:pt>
                <c:pt idx="155">
                  <c:v>1681.98948</c:v>
                </c:pt>
                <c:pt idx="156">
                  <c:v>1682.0395100000001</c:v>
                </c:pt>
                <c:pt idx="157">
                  <c:v>1682.0895399999999</c:v>
                </c:pt>
                <c:pt idx="158">
                  <c:v>1682.13958</c:v>
                </c:pt>
                <c:pt idx="159">
                  <c:v>1682.1896099999999</c:v>
                </c:pt>
                <c:pt idx="160">
                  <c:v>1682.23964</c:v>
                </c:pt>
                <c:pt idx="161">
                  <c:v>1682.2896699999999</c:v>
                </c:pt>
                <c:pt idx="162">
                  <c:v>1682.3397</c:v>
                </c:pt>
                <c:pt idx="163">
                  <c:v>1682.3897300000001</c:v>
                </c:pt>
                <c:pt idx="164">
                  <c:v>1682.43977</c:v>
                </c:pt>
                <c:pt idx="165">
                  <c:v>1682.4898000000001</c:v>
                </c:pt>
                <c:pt idx="166">
                  <c:v>1682.5398299999999</c:v>
                </c:pt>
                <c:pt idx="167">
                  <c:v>1682.58986</c:v>
                </c:pt>
                <c:pt idx="168">
                  <c:v>1682.6398899999999</c:v>
                </c:pt>
                <c:pt idx="169">
                  <c:v>1682.68992</c:v>
                </c:pt>
                <c:pt idx="170">
                  <c:v>1682.7399499999999</c:v>
                </c:pt>
                <c:pt idx="171">
                  <c:v>1682.78999</c:v>
                </c:pt>
                <c:pt idx="172">
                  <c:v>1682.8400200000001</c:v>
                </c:pt>
                <c:pt idx="173">
                  <c:v>1682.89005</c:v>
                </c:pt>
                <c:pt idx="174">
                  <c:v>1682.9400800000001</c:v>
                </c:pt>
                <c:pt idx="175">
                  <c:v>1682.99011</c:v>
                </c:pt>
                <c:pt idx="176">
                  <c:v>1683.0401400000001</c:v>
                </c:pt>
                <c:pt idx="177">
                  <c:v>1683.0901699999999</c:v>
                </c:pt>
                <c:pt idx="178">
                  <c:v>1683.14021</c:v>
                </c:pt>
                <c:pt idx="179">
                  <c:v>1683.1902399999999</c:v>
                </c:pt>
                <c:pt idx="180">
                  <c:v>1683.24027</c:v>
                </c:pt>
                <c:pt idx="181">
                  <c:v>1683.2902999999999</c:v>
                </c:pt>
                <c:pt idx="182">
                  <c:v>1683.34033</c:v>
                </c:pt>
                <c:pt idx="183">
                  <c:v>1683.3903600000001</c:v>
                </c:pt>
                <c:pt idx="184">
                  <c:v>1683.44039</c:v>
                </c:pt>
                <c:pt idx="185">
                  <c:v>1683.4904300000001</c:v>
                </c:pt>
                <c:pt idx="186">
                  <c:v>1683.5404599999999</c:v>
                </c:pt>
                <c:pt idx="187">
                  <c:v>1683.59049</c:v>
                </c:pt>
                <c:pt idx="188">
                  <c:v>1683.6405199999999</c:v>
                </c:pt>
                <c:pt idx="189">
                  <c:v>1683.69055</c:v>
                </c:pt>
                <c:pt idx="190">
                  <c:v>1683.7405799999999</c:v>
                </c:pt>
                <c:pt idx="191">
                  <c:v>1683.79062</c:v>
                </c:pt>
                <c:pt idx="192">
                  <c:v>1683.8406500000001</c:v>
                </c:pt>
                <c:pt idx="193">
                  <c:v>1683.89068</c:v>
                </c:pt>
                <c:pt idx="194">
                  <c:v>1683.9407100000001</c:v>
                </c:pt>
                <c:pt idx="195">
                  <c:v>1683.99074</c:v>
                </c:pt>
                <c:pt idx="196">
                  <c:v>1684.0407700000001</c:v>
                </c:pt>
                <c:pt idx="197">
                  <c:v>1684.0907999999999</c:v>
                </c:pt>
                <c:pt idx="198">
                  <c:v>1684.14084</c:v>
                </c:pt>
                <c:pt idx="199">
                  <c:v>1684.1908699999999</c:v>
                </c:pt>
                <c:pt idx="200">
                  <c:v>1684.2409</c:v>
                </c:pt>
                <c:pt idx="201">
                  <c:v>1684.2909299999999</c:v>
                </c:pt>
                <c:pt idx="202">
                  <c:v>1684.34096</c:v>
                </c:pt>
                <c:pt idx="203">
                  <c:v>1684.3909900000001</c:v>
                </c:pt>
                <c:pt idx="204">
                  <c:v>1684.44102</c:v>
                </c:pt>
                <c:pt idx="205">
                  <c:v>1684.4910600000001</c:v>
                </c:pt>
                <c:pt idx="206">
                  <c:v>1684.5410899999999</c:v>
                </c:pt>
                <c:pt idx="207">
                  <c:v>1684.59112</c:v>
                </c:pt>
                <c:pt idx="208">
                  <c:v>1684.6411499999999</c:v>
                </c:pt>
                <c:pt idx="209">
                  <c:v>1684.69118</c:v>
                </c:pt>
                <c:pt idx="210">
                  <c:v>1684.7412099999999</c:v>
                </c:pt>
                <c:pt idx="211">
                  <c:v>1684.79124</c:v>
                </c:pt>
                <c:pt idx="212">
                  <c:v>1684.8412800000001</c:v>
                </c:pt>
                <c:pt idx="213">
                  <c:v>1684.89131</c:v>
                </c:pt>
                <c:pt idx="214">
                  <c:v>1684.9413400000001</c:v>
                </c:pt>
                <c:pt idx="215">
                  <c:v>1684.99137</c:v>
                </c:pt>
                <c:pt idx="216">
                  <c:v>1685.0414000000001</c:v>
                </c:pt>
                <c:pt idx="217">
                  <c:v>1685.0914299999999</c:v>
                </c:pt>
                <c:pt idx="218">
                  <c:v>1685.14147</c:v>
                </c:pt>
                <c:pt idx="219">
                  <c:v>1685.1914999999999</c:v>
                </c:pt>
                <c:pt idx="220">
                  <c:v>1685.24153</c:v>
                </c:pt>
                <c:pt idx="221">
                  <c:v>1685.2915599999999</c:v>
                </c:pt>
                <c:pt idx="222">
                  <c:v>1685.34159</c:v>
                </c:pt>
                <c:pt idx="223">
                  <c:v>1685.3916200000001</c:v>
                </c:pt>
                <c:pt idx="224">
                  <c:v>1685.44165</c:v>
                </c:pt>
                <c:pt idx="225">
                  <c:v>1685.4916900000001</c:v>
                </c:pt>
                <c:pt idx="226">
                  <c:v>1685.5417199999999</c:v>
                </c:pt>
                <c:pt idx="227">
                  <c:v>1685.59175</c:v>
                </c:pt>
                <c:pt idx="228">
                  <c:v>1685.6417799999999</c:v>
                </c:pt>
                <c:pt idx="229">
                  <c:v>1685.69181</c:v>
                </c:pt>
                <c:pt idx="230">
                  <c:v>1685.7418399999999</c:v>
                </c:pt>
                <c:pt idx="231">
                  <c:v>1685.79187</c:v>
                </c:pt>
                <c:pt idx="232">
                  <c:v>1685.8419100000001</c:v>
                </c:pt>
                <c:pt idx="233">
                  <c:v>1685.89194</c:v>
                </c:pt>
                <c:pt idx="234">
                  <c:v>1685.9419700000001</c:v>
                </c:pt>
                <c:pt idx="235">
                  <c:v>1685.992</c:v>
                </c:pt>
                <c:pt idx="236">
                  <c:v>1686.0420300000001</c:v>
                </c:pt>
                <c:pt idx="237">
                  <c:v>1686.0920599999999</c:v>
                </c:pt>
                <c:pt idx="238">
                  <c:v>1686.1420900000001</c:v>
                </c:pt>
                <c:pt idx="239">
                  <c:v>1686.1921299999999</c:v>
                </c:pt>
                <c:pt idx="240">
                  <c:v>1686.24216</c:v>
                </c:pt>
                <c:pt idx="241">
                  <c:v>1686.2921899999999</c:v>
                </c:pt>
                <c:pt idx="242">
                  <c:v>1686.34222</c:v>
                </c:pt>
                <c:pt idx="243">
                  <c:v>1686.3922500000001</c:v>
                </c:pt>
                <c:pt idx="244">
                  <c:v>1686.44228</c:v>
                </c:pt>
                <c:pt idx="245">
                  <c:v>1686.4923200000001</c:v>
                </c:pt>
                <c:pt idx="246">
                  <c:v>1686.5423499999999</c:v>
                </c:pt>
                <c:pt idx="247">
                  <c:v>1686.59238</c:v>
                </c:pt>
                <c:pt idx="248">
                  <c:v>1686.6424099999999</c:v>
                </c:pt>
                <c:pt idx="249">
                  <c:v>1686.69244</c:v>
                </c:pt>
                <c:pt idx="250">
                  <c:v>1686.7424699999999</c:v>
                </c:pt>
                <c:pt idx="251">
                  <c:v>1686.7925</c:v>
                </c:pt>
                <c:pt idx="252">
                  <c:v>1686.8425400000001</c:v>
                </c:pt>
                <c:pt idx="253">
                  <c:v>1686.89257</c:v>
                </c:pt>
                <c:pt idx="254">
                  <c:v>1686.9426000000001</c:v>
                </c:pt>
                <c:pt idx="255">
                  <c:v>1686.99263</c:v>
                </c:pt>
                <c:pt idx="256">
                  <c:v>1687.0426600000001</c:v>
                </c:pt>
                <c:pt idx="257">
                  <c:v>1687.0926899999999</c:v>
                </c:pt>
                <c:pt idx="258">
                  <c:v>1687.1427200000001</c:v>
                </c:pt>
                <c:pt idx="259">
                  <c:v>1687.1927599999999</c:v>
                </c:pt>
                <c:pt idx="260">
                  <c:v>1687.24279</c:v>
                </c:pt>
                <c:pt idx="261">
                  <c:v>1687.2928199999999</c:v>
                </c:pt>
                <c:pt idx="262">
                  <c:v>1687.34285</c:v>
                </c:pt>
                <c:pt idx="263">
                  <c:v>1687.3928800000001</c:v>
                </c:pt>
                <c:pt idx="264">
                  <c:v>1687.44291</c:v>
                </c:pt>
                <c:pt idx="265">
                  <c:v>1687.4929400000001</c:v>
                </c:pt>
                <c:pt idx="266">
                  <c:v>1687.5429799999999</c:v>
                </c:pt>
                <c:pt idx="267">
                  <c:v>1687.59301</c:v>
                </c:pt>
                <c:pt idx="268">
                  <c:v>1687.6430399999999</c:v>
                </c:pt>
                <c:pt idx="269">
                  <c:v>1687.69307</c:v>
                </c:pt>
                <c:pt idx="270">
                  <c:v>1687.7430999999999</c:v>
                </c:pt>
                <c:pt idx="271">
                  <c:v>1687.79313</c:v>
                </c:pt>
                <c:pt idx="272">
                  <c:v>1687.8431700000001</c:v>
                </c:pt>
                <c:pt idx="273">
                  <c:v>1687.8932</c:v>
                </c:pt>
                <c:pt idx="274">
                  <c:v>1687.9432300000001</c:v>
                </c:pt>
                <c:pt idx="275">
                  <c:v>1687.99326</c:v>
                </c:pt>
                <c:pt idx="276">
                  <c:v>1688.0432900000001</c:v>
                </c:pt>
                <c:pt idx="277">
                  <c:v>1688.0933199999999</c:v>
                </c:pt>
                <c:pt idx="278">
                  <c:v>1688.1433500000001</c:v>
                </c:pt>
                <c:pt idx="279">
                  <c:v>1688.1933899999999</c:v>
                </c:pt>
                <c:pt idx="280">
                  <c:v>1688.24342</c:v>
                </c:pt>
                <c:pt idx="281">
                  <c:v>1688.2934499999999</c:v>
                </c:pt>
                <c:pt idx="282">
                  <c:v>1688.34348</c:v>
                </c:pt>
                <c:pt idx="283">
                  <c:v>1688.3935100000001</c:v>
                </c:pt>
                <c:pt idx="284">
                  <c:v>1688.44354</c:v>
                </c:pt>
                <c:pt idx="285">
                  <c:v>1688.4935700000001</c:v>
                </c:pt>
                <c:pt idx="286">
                  <c:v>1688.5436099999999</c:v>
                </c:pt>
                <c:pt idx="287">
                  <c:v>1688.5936400000001</c:v>
                </c:pt>
                <c:pt idx="288">
                  <c:v>1688.6436699999999</c:v>
                </c:pt>
                <c:pt idx="289">
                  <c:v>1688.6937</c:v>
                </c:pt>
                <c:pt idx="290">
                  <c:v>1688.7437299999999</c:v>
                </c:pt>
                <c:pt idx="291">
                  <c:v>1688.79376</c:v>
                </c:pt>
                <c:pt idx="292">
                  <c:v>1688.8437899999999</c:v>
                </c:pt>
                <c:pt idx="293">
                  <c:v>1688.89383</c:v>
                </c:pt>
                <c:pt idx="294">
                  <c:v>1688.9438600000001</c:v>
                </c:pt>
                <c:pt idx="295">
                  <c:v>1688.99389</c:v>
                </c:pt>
                <c:pt idx="296">
                  <c:v>1689.0439200000001</c:v>
                </c:pt>
                <c:pt idx="297">
                  <c:v>1689.0939499999999</c:v>
                </c:pt>
                <c:pt idx="298">
                  <c:v>1689.1439800000001</c:v>
                </c:pt>
                <c:pt idx="299">
                  <c:v>1689.1940199999999</c:v>
                </c:pt>
                <c:pt idx="300">
                  <c:v>1689.24405</c:v>
                </c:pt>
                <c:pt idx="301">
                  <c:v>1689.2940799999999</c:v>
                </c:pt>
                <c:pt idx="302">
                  <c:v>1689.34411</c:v>
                </c:pt>
                <c:pt idx="303">
                  <c:v>1689.3941400000001</c:v>
                </c:pt>
                <c:pt idx="304">
                  <c:v>1689.44417</c:v>
                </c:pt>
                <c:pt idx="305">
                  <c:v>1689.4942000000001</c:v>
                </c:pt>
                <c:pt idx="306">
                  <c:v>1689.5442399999999</c:v>
                </c:pt>
                <c:pt idx="307">
                  <c:v>1689.5942700000001</c:v>
                </c:pt>
                <c:pt idx="308">
                  <c:v>1689.6442999999999</c:v>
                </c:pt>
                <c:pt idx="309">
                  <c:v>1689.69433</c:v>
                </c:pt>
                <c:pt idx="310">
                  <c:v>1689.7443599999999</c:v>
                </c:pt>
                <c:pt idx="311">
                  <c:v>1689.79439</c:v>
                </c:pt>
                <c:pt idx="312">
                  <c:v>1689.8444199999999</c:v>
                </c:pt>
                <c:pt idx="313">
                  <c:v>1689.89446</c:v>
                </c:pt>
                <c:pt idx="314">
                  <c:v>1689.9444900000001</c:v>
                </c:pt>
                <c:pt idx="315">
                  <c:v>1689.99452</c:v>
                </c:pt>
                <c:pt idx="316">
                  <c:v>1690.0445500000001</c:v>
                </c:pt>
                <c:pt idx="317">
                  <c:v>1690.09458</c:v>
                </c:pt>
                <c:pt idx="318">
                  <c:v>1690.1446100000001</c:v>
                </c:pt>
                <c:pt idx="319">
                  <c:v>1690.1946399999999</c:v>
                </c:pt>
                <c:pt idx="320">
                  <c:v>1690.24468</c:v>
                </c:pt>
                <c:pt idx="321">
                  <c:v>1690.2947099999999</c:v>
                </c:pt>
                <c:pt idx="322">
                  <c:v>1690.34474</c:v>
                </c:pt>
                <c:pt idx="323">
                  <c:v>1690.3947700000001</c:v>
                </c:pt>
                <c:pt idx="324">
                  <c:v>1690.4448</c:v>
                </c:pt>
                <c:pt idx="325">
                  <c:v>1690.4948300000001</c:v>
                </c:pt>
                <c:pt idx="326">
                  <c:v>1690.5448699999999</c:v>
                </c:pt>
                <c:pt idx="327">
                  <c:v>1690.5949000000001</c:v>
                </c:pt>
                <c:pt idx="328">
                  <c:v>1690.6449299999999</c:v>
                </c:pt>
                <c:pt idx="329">
                  <c:v>1690.69496</c:v>
                </c:pt>
                <c:pt idx="330">
                  <c:v>1690.7449899999999</c:v>
                </c:pt>
                <c:pt idx="331">
                  <c:v>1690.79502</c:v>
                </c:pt>
                <c:pt idx="332">
                  <c:v>1690.8450499999999</c:v>
                </c:pt>
                <c:pt idx="333">
                  <c:v>1690.89509</c:v>
                </c:pt>
                <c:pt idx="334">
                  <c:v>1690.9451200000001</c:v>
                </c:pt>
                <c:pt idx="335">
                  <c:v>1690.99515</c:v>
                </c:pt>
                <c:pt idx="336">
                  <c:v>1691.0451800000001</c:v>
                </c:pt>
                <c:pt idx="337">
                  <c:v>1691.09521</c:v>
                </c:pt>
                <c:pt idx="338">
                  <c:v>1691.1452400000001</c:v>
                </c:pt>
                <c:pt idx="339">
                  <c:v>1691.1952699999999</c:v>
                </c:pt>
                <c:pt idx="340">
                  <c:v>1691.24531</c:v>
                </c:pt>
                <c:pt idx="341">
                  <c:v>1691.2953399999999</c:v>
                </c:pt>
                <c:pt idx="342">
                  <c:v>1691.34537</c:v>
                </c:pt>
                <c:pt idx="343">
                  <c:v>1691.3954000000001</c:v>
                </c:pt>
                <c:pt idx="344">
                  <c:v>1691.44543</c:v>
                </c:pt>
                <c:pt idx="345">
                  <c:v>1691.4954600000001</c:v>
                </c:pt>
                <c:pt idx="346">
                  <c:v>1691.54549</c:v>
                </c:pt>
                <c:pt idx="347">
                  <c:v>1691.5955300000001</c:v>
                </c:pt>
                <c:pt idx="348">
                  <c:v>1691.6455599999999</c:v>
                </c:pt>
                <c:pt idx="349">
                  <c:v>1691.69559</c:v>
                </c:pt>
                <c:pt idx="350">
                  <c:v>1691.7456199999999</c:v>
                </c:pt>
                <c:pt idx="351">
                  <c:v>1691.79565</c:v>
                </c:pt>
                <c:pt idx="352">
                  <c:v>1691.8456799999999</c:v>
                </c:pt>
                <c:pt idx="353">
                  <c:v>1691.89572</c:v>
                </c:pt>
                <c:pt idx="354">
                  <c:v>1691.9457500000001</c:v>
                </c:pt>
                <c:pt idx="355">
                  <c:v>1691.99578</c:v>
                </c:pt>
                <c:pt idx="356">
                  <c:v>1692.0458100000001</c:v>
                </c:pt>
                <c:pt idx="357">
                  <c:v>1692.09584</c:v>
                </c:pt>
                <c:pt idx="358">
                  <c:v>1692.1458700000001</c:v>
                </c:pt>
                <c:pt idx="359">
                  <c:v>1692.1958999999999</c:v>
                </c:pt>
                <c:pt idx="360">
                  <c:v>1692.24594</c:v>
                </c:pt>
                <c:pt idx="361">
                  <c:v>1692.2959699999999</c:v>
                </c:pt>
                <c:pt idx="362">
                  <c:v>1692.346</c:v>
                </c:pt>
                <c:pt idx="363">
                  <c:v>1692.3960300000001</c:v>
                </c:pt>
                <c:pt idx="364">
                  <c:v>1692.44606</c:v>
                </c:pt>
                <c:pt idx="365">
                  <c:v>1692.4960900000001</c:v>
                </c:pt>
                <c:pt idx="366">
                  <c:v>1692.54612</c:v>
                </c:pt>
                <c:pt idx="367">
                  <c:v>1692.5961600000001</c:v>
                </c:pt>
                <c:pt idx="368">
                  <c:v>1692.6461899999999</c:v>
                </c:pt>
                <c:pt idx="369">
                  <c:v>1692.69622</c:v>
                </c:pt>
                <c:pt idx="370">
                  <c:v>1692.7462499999999</c:v>
                </c:pt>
                <c:pt idx="371">
                  <c:v>1692.79628</c:v>
                </c:pt>
                <c:pt idx="372">
                  <c:v>1692.8463099999999</c:v>
                </c:pt>
                <c:pt idx="373">
                  <c:v>1692.89635</c:v>
                </c:pt>
                <c:pt idx="374">
                  <c:v>1692.9463800000001</c:v>
                </c:pt>
                <c:pt idx="375">
                  <c:v>1692.99641</c:v>
                </c:pt>
                <c:pt idx="376">
                  <c:v>1693.0464400000001</c:v>
                </c:pt>
                <c:pt idx="377">
                  <c:v>1693.09647</c:v>
                </c:pt>
                <c:pt idx="378">
                  <c:v>1693.1465000000001</c:v>
                </c:pt>
                <c:pt idx="379">
                  <c:v>1693.1965299999999</c:v>
                </c:pt>
                <c:pt idx="380">
                  <c:v>1693.24657</c:v>
                </c:pt>
                <c:pt idx="381">
                  <c:v>1693.2965999999999</c:v>
                </c:pt>
                <c:pt idx="382">
                  <c:v>1693.34663</c:v>
                </c:pt>
                <c:pt idx="383">
                  <c:v>1693.3966600000001</c:v>
                </c:pt>
                <c:pt idx="384">
                  <c:v>1693.44669</c:v>
                </c:pt>
                <c:pt idx="385">
                  <c:v>1693.4967200000001</c:v>
                </c:pt>
                <c:pt idx="386">
                  <c:v>1693.54675</c:v>
                </c:pt>
                <c:pt idx="387">
                  <c:v>1693.5967900000001</c:v>
                </c:pt>
                <c:pt idx="388">
                  <c:v>1693.6468199999999</c:v>
                </c:pt>
                <c:pt idx="389">
                  <c:v>1693.69685</c:v>
                </c:pt>
                <c:pt idx="390">
                  <c:v>1693.7468799999999</c:v>
                </c:pt>
                <c:pt idx="391">
                  <c:v>1693.79691</c:v>
                </c:pt>
                <c:pt idx="392">
                  <c:v>1693.8469399999999</c:v>
                </c:pt>
                <c:pt idx="393">
                  <c:v>1693.89697</c:v>
                </c:pt>
                <c:pt idx="394">
                  <c:v>1693.9470100000001</c:v>
                </c:pt>
                <c:pt idx="395">
                  <c:v>1693.99704</c:v>
                </c:pt>
                <c:pt idx="396">
                  <c:v>1694.0470700000001</c:v>
                </c:pt>
                <c:pt idx="397">
                  <c:v>1694.0971</c:v>
                </c:pt>
                <c:pt idx="398">
                  <c:v>1694.1471300000001</c:v>
                </c:pt>
                <c:pt idx="399">
                  <c:v>1694.1971599999999</c:v>
                </c:pt>
                <c:pt idx="400">
                  <c:v>1694.2472</c:v>
                </c:pt>
                <c:pt idx="401">
                  <c:v>1694.2972299999999</c:v>
                </c:pt>
                <c:pt idx="402">
                  <c:v>1694.34726</c:v>
                </c:pt>
                <c:pt idx="403">
                  <c:v>1694.3972900000001</c:v>
                </c:pt>
                <c:pt idx="404">
                  <c:v>1694.44732</c:v>
                </c:pt>
                <c:pt idx="405">
                  <c:v>1694.4973500000001</c:v>
                </c:pt>
                <c:pt idx="406">
                  <c:v>1694.54738</c:v>
                </c:pt>
                <c:pt idx="407">
                  <c:v>1694.5974200000001</c:v>
                </c:pt>
                <c:pt idx="408">
                  <c:v>1694.6474499999999</c:v>
                </c:pt>
                <c:pt idx="409">
                  <c:v>1694.69748</c:v>
                </c:pt>
                <c:pt idx="410">
                  <c:v>1694.7475099999999</c:v>
                </c:pt>
                <c:pt idx="411">
                  <c:v>1694.79754</c:v>
                </c:pt>
                <c:pt idx="412">
                  <c:v>1694.8475699999999</c:v>
                </c:pt>
                <c:pt idx="413">
                  <c:v>1694.8976</c:v>
                </c:pt>
                <c:pt idx="414">
                  <c:v>1694.9476400000001</c:v>
                </c:pt>
                <c:pt idx="415">
                  <c:v>1694.99767</c:v>
                </c:pt>
                <c:pt idx="416">
                  <c:v>1695.0477000000001</c:v>
                </c:pt>
                <c:pt idx="417">
                  <c:v>1695.09773</c:v>
                </c:pt>
                <c:pt idx="418">
                  <c:v>1695.1477600000001</c:v>
                </c:pt>
                <c:pt idx="419">
                  <c:v>1695.1977899999999</c:v>
                </c:pt>
                <c:pt idx="420">
                  <c:v>1695.24782</c:v>
                </c:pt>
                <c:pt idx="421">
                  <c:v>1695.2978599999999</c:v>
                </c:pt>
                <c:pt idx="422">
                  <c:v>1695.34789</c:v>
                </c:pt>
                <c:pt idx="423">
                  <c:v>1695.3979200000001</c:v>
                </c:pt>
                <c:pt idx="424">
                  <c:v>1695.44795</c:v>
                </c:pt>
                <c:pt idx="425">
                  <c:v>1695.4979800000001</c:v>
                </c:pt>
                <c:pt idx="426">
                  <c:v>1695.54801</c:v>
                </c:pt>
                <c:pt idx="427">
                  <c:v>1695.5980500000001</c:v>
                </c:pt>
                <c:pt idx="428">
                  <c:v>1695.6480799999999</c:v>
                </c:pt>
                <c:pt idx="429">
                  <c:v>1695.69811</c:v>
                </c:pt>
                <c:pt idx="430">
                  <c:v>1695.7481399999999</c:v>
                </c:pt>
                <c:pt idx="431">
                  <c:v>1695.79817</c:v>
                </c:pt>
                <c:pt idx="432">
                  <c:v>1695.8481999999999</c:v>
                </c:pt>
                <c:pt idx="433">
                  <c:v>1695.89823</c:v>
                </c:pt>
                <c:pt idx="434">
                  <c:v>1695.9482700000001</c:v>
                </c:pt>
                <c:pt idx="435">
                  <c:v>1695.9983</c:v>
                </c:pt>
                <c:pt idx="436">
                  <c:v>1696.0483300000001</c:v>
                </c:pt>
                <c:pt idx="437">
                  <c:v>1696.09836</c:v>
                </c:pt>
                <c:pt idx="438">
                  <c:v>1696.1483900000001</c:v>
                </c:pt>
                <c:pt idx="439">
                  <c:v>1696.1984199999999</c:v>
                </c:pt>
                <c:pt idx="440">
                  <c:v>1696.24845</c:v>
                </c:pt>
                <c:pt idx="441">
                  <c:v>1696.2984899999999</c:v>
                </c:pt>
                <c:pt idx="442">
                  <c:v>1696.34852</c:v>
                </c:pt>
                <c:pt idx="443">
                  <c:v>1696.3985499999999</c:v>
                </c:pt>
                <c:pt idx="444">
                  <c:v>1696.44858</c:v>
                </c:pt>
                <c:pt idx="445">
                  <c:v>1696.4986100000001</c:v>
                </c:pt>
                <c:pt idx="446">
                  <c:v>1696.54864</c:v>
                </c:pt>
                <c:pt idx="447">
                  <c:v>1696.5986700000001</c:v>
                </c:pt>
                <c:pt idx="448">
                  <c:v>1696.6487099999999</c:v>
                </c:pt>
                <c:pt idx="449">
                  <c:v>1696.69874</c:v>
                </c:pt>
                <c:pt idx="450">
                  <c:v>1696.7487699999999</c:v>
                </c:pt>
                <c:pt idx="451">
                  <c:v>1696.7988</c:v>
                </c:pt>
                <c:pt idx="452">
                  <c:v>1696.8488299999999</c:v>
                </c:pt>
                <c:pt idx="453">
                  <c:v>1696.89886</c:v>
                </c:pt>
                <c:pt idx="454">
                  <c:v>1696.9489000000001</c:v>
                </c:pt>
                <c:pt idx="455">
                  <c:v>1696.99893</c:v>
                </c:pt>
                <c:pt idx="456">
                  <c:v>1697.0489600000001</c:v>
                </c:pt>
                <c:pt idx="457">
                  <c:v>1697.09899</c:v>
                </c:pt>
                <c:pt idx="458">
                  <c:v>1697.1490200000001</c:v>
                </c:pt>
                <c:pt idx="459">
                  <c:v>1697.1990499999999</c:v>
                </c:pt>
                <c:pt idx="460">
                  <c:v>1697.24908</c:v>
                </c:pt>
                <c:pt idx="461">
                  <c:v>1697.2991199999999</c:v>
                </c:pt>
                <c:pt idx="462">
                  <c:v>1697.34915</c:v>
                </c:pt>
                <c:pt idx="463">
                  <c:v>1697.3991799999999</c:v>
                </c:pt>
                <c:pt idx="464">
                  <c:v>1697.44921</c:v>
                </c:pt>
                <c:pt idx="465">
                  <c:v>1697.4992400000001</c:v>
                </c:pt>
                <c:pt idx="466">
                  <c:v>1697.54927</c:v>
                </c:pt>
                <c:pt idx="467">
                  <c:v>1697.5993000000001</c:v>
                </c:pt>
                <c:pt idx="468">
                  <c:v>1697.6493399999999</c:v>
                </c:pt>
                <c:pt idx="469">
                  <c:v>1697.69937</c:v>
                </c:pt>
                <c:pt idx="470">
                  <c:v>1697.7493999999999</c:v>
                </c:pt>
                <c:pt idx="471">
                  <c:v>1697.79943</c:v>
                </c:pt>
                <c:pt idx="472">
                  <c:v>1697.8494599999999</c:v>
                </c:pt>
                <c:pt idx="473">
                  <c:v>1697.89949</c:v>
                </c:pt>
                <c:pt idx="474">
                  <c:v>1697.9495199999999</c:v>
                </c:pt>
                <c:pt idx="475">
                  <c:v>1697.99956</c:v>
                </c:pt>
                <c:pt idx="476">
                  <c:v>1698.0495900000001</c:v>
                </c:pt>
                <c:pt idx="477">
                  <c:v>1698.09962</c:v>
                </c:pt>
                <c:pt idx="478">
                  <c:v>1698.1496500000001</c:v>
                </c:pt>
                <c:pt idx="479">
                  <c:v>1698.1996799999999</c:v>
                </c:pt>
                <c:pt idx="480">
                  <c:v>1698.2497100000001</c:v>
                </c:pt>
                <c:pt idx="481">
                  <c:v>1698.2997499999999</c:v>
                </c:pt>
                <c:pt idx="482">
                  <c:v>1698.34978</c:v>
                </c:pt>
                <c:pt idx="483">
                  <c:v>1698.3998099999999</c:v>
                </c:pt>
                <c:pt idx="484">
                  <c:v>1698.44984</c:v>
                </c:pt>
                <c:pt idx="485">
                  <c:v>1698.4998700000001</c:v>
                </c:pt>
                <c:pt idx="486">
                  <c:v>1698.5499</c:v>
                </c:pt>
                <c:pt idx="487">
                  <c:v>1698.5999300000001</c:v>
                </c:pt>
                <c:pt idx="488">
                  <c:v>1698.6499699999999</c:v>
                </c:pt>
                <c:pt idx="489">
                  <c:v>1698.7</c:v>
                </c:pt>
                <c:pt idx="490">
                  <c:v>1698.7500299999999</c:v>
                </c:pt>
                <c:pt idx="491">
                  <c:v>1698.80006</c:v>
                </c:pt>
                <c:pt idx="492">
                  <c:v>1698.8500899999999</c:v>
                </c:pt>
                <c:pt idx="493">
                  <c:v>1698.90012</c:v>
                </c:pt>
                <c:pt idx="494">
                  <c:v>1698.9501499999999</c:v>
                </c:pt>
                <c:pt idx="495">
                  <c:v>1699.00019</c:v>
                </c:pt>
                <c:pt idx="496">
                  <c:v>1699.0502200000001</c:v>
                </c:pt>
                <c:pt idx="497">
                  <c:v>1699.10025</c:v>
                </c:pt>
                <c:pt idx="498">
                  <c:v>1699.1502800000001</c:v>
                </c:pt>
                <c:pt idx="499">
                  <c:v>1699.2003099999999</c:v>
                </c:pt>
                <c:pt idx="500">
                  <c:v>1699.2503400000001</c:v>
                </c:pt>
                <c:pt idx="501">
                  <c:v>1699.3003699999999</c:v>
                </c:pt>
                <c:pt idx="502">
                  <c:v>1699.35041</c:v>
                </c:pt>
                <c:pt idx="503">
                  <c:v>1699.4004399999999</c:v>
                </c:pt>
                <c:pt idx="504">
                  <c:v>1699.45047</c:v>
                </c:pt>
                <c:pt idx="505">
                  <c:v>1699.5005000000001</c:v>
                </c:pt>
                <c:pt idx="506">
                  <c:v>1699.55053</c:v>
                </c:pt>
                <c:pt idx="507">
                  <c:v>1699.6005600000001</c:v>
                </c:pt>
                <c:pt idx="508">
                  <c:v>1699.6505999999999</c:v>
                </c:pt>
                <c:pt idx="509">
                  <c:v>1699.70063</c:v>
                </c:pt>
                <c:pt idx="510">
                  <c:v>1699.7506599999999</c:v>
                </c:pt>
                <c:pt idx="511">
                  <c:v>1699.80069</c:v>
                </c:pt>
                <c:pt idx="512">
                  <c:v>1699.8507199999999</c:v>
                </c:pt>
                <c:pt idx="513">
                  <c:v>1699.90075</c:v>
                </c:pt>
                <c:pt idx="514">
                  <c:v>1699.9507799999999</c:v>
                </c:pt>
                <c:pt idx="515">
                  <c:v>1700.00082</c:v>
                </c:pt>
                <c:pt idx="516">
                  <c:v>1700.0508500000001</c:v>
                </c:pt>
                <c:pt idx="517">
                  <c:v>1700.10088</c:v>
                </c:pt>
                <c:pt idx="518">
                  <c:v>1700.1509100000001</c:v>
                </c:pt>
                <c:pt idx="519">
                  <c:v>1700.2009399999999</c:v>
                </c:pt>
                <c:pt idx="520">
                  <c:v>1700.2509700000001</c:v>
                </c:pt>
                <c:pt idx="521">
                  <c:v>1700.3009999999999</c:v>
                </c:pt>
                <c:pt idx="522">
                  <c:v>1700.35104</c:v>
                </c:pt>
                <c:pt idx="523">
                  <c:v>1700.4010699999999</c:v>
                </c:pt>
                <c:pt idx="524">
                  <c:v>1700.4511</c:v>
                </c:pt>
                <c:pt idx="525">
                  <c:v>1700.5011300000001</c:v>
                </c:pt>
                <c:pt idx="526">
                  <c:v>1700.55116</c:v>
                </c:pt>
                <c:pt idx="527">
                  <c:v>1700.6011900000001</c:v>
                </c:pt>
                <c:pt idx="528">
                  <c:v>1700.65122</c:v>
                </c:pt>
                <c:pt idx="529">
                  <c:v>1700.70126</c:v>
                </c:pt>
                <c:pt idx="530">
                  <c:v>1700.7512899999999</c:v>
                </c:pt>
                <c:pt idx="531">
                  <c:v>1700.80132</c:v>
                </c:pt>
                <c:pt idx="532">
                  <c:v>1700.8513499999999</c:v>
                </c:pt>
                <c:pt idx="533">
                  <c:v>1700.90138</c:v>
                </c:pt>
                <c:pt idx="534">
                  <c:v>1700.9514099999999</c:v>
                </c:pt>
                <c:pt idx="535">
                  <c:v>1701.00145</c:v>
                </c:pt>
                <c:pt idx="536">
                  <c:v>1701.0514800000001</c:v>
                </c:pt>
                <c:pt idx="537">
                  <c:v>1701.10151</c:v>
                </c:pt>
                <c:pt idx="538">
                  <c:v>1701.1515400000001</c:v>
                </c:pt>
                <c:pt idx="539">
                  <c:v>1701.2015699999999</c:v>
                </c:pt>
                <c:pt idx="540">
                  <c:v>1701.2516000000001</c:v>
                </c:pt>
                <c:pt idx="541">
                  <c:v>1701.3016299999999</c:v>
                </c:pt>
                <c:pt idx="542">
                  <c:v>1701.35167</c:v>
                </c:pt>
                <c:pt idx="543">
                  <c:v>1701.4016999999999</c:v>
                </c:pt>
                <c:pt idx="544">
                  <c:v>1701.45173</c:v>
                </c:pt>
                <c:pt idx="545">
                  <c:v>1701.5017600000001</c:v>
                </c:pt>
                <c:pt idx="546">
                  <c:v>1701.55179</c:v>
                </c:pt>
                <c:pt idx="547">
                  <c:v>1701.6018200000001</c:v>
                </c:pt>
                <c:pt idx="548">
                  <c:v>1701.65185</c:v>
                </c:pt>
                <c:pt idx="549">
                  <c:v>1701.70189</c:v>
                </c:pt>
                <c:pt idx="550">
                  <c:v>1701.7519199999999</c:v>
                </c:pt>
                <c:pt idx="551">
                  <c:v>1701.80195</c:v>
                </c:pt>
                <c:pt idx="552">
                  <c:v>1701.8519799999999</c:v>
                </c:pt>
                <c:pt idx="553">
                  <c:v>1701.90201</c:v>
                </c:pt>
                <c:pt idx="554">
                  <c:v>1701.9520399999999</c:v>
                </c:pt>
                <c:pt idx="555">
                  <c:v>1702.00207</c:v>
                </c:pt>
                <c:pt idx="556">
                  <c:v>1702.0521100000001</c:v>
                </c:pt>
                <c:pt idx="557">
                  <c:v>1702.10214</c:v>
                </c:pt>
                <c:pt idx="558">
                  <c:v>1702.1521700000001</c:v>
                </c:pt>
                <c:pt idx="559">
                  <c:v>1702.2021999999999</c:v>
                </c:pt>
                <c:pt idx="560">
                  <c:v>1702.2522300000001</c:v>
                </c:pt>
                <c:pt idx="561">
                  <c:v>1702.3022599999999</c:v>
                </c:pt>
                <c:pt idx="562">
                  <c:v>1702.3523</c:v>
                </c:pt>
                <c:pt idx="563">
                  <c:v>1702.4023299999999</c:v>
                </c:pt>
                <c:pt idx="564">
                  <c:v>1702.45236</c:v>
                </c:pt>
                <c:pt idx="565">
                  <c:v>1702.5023900000001</c:v>
                </c:pt>
                <c:pt idx="566">
                  <c:v>1702.55242</c:v>
                </c:pt>
                <c:pt idx="567">
                  <c:v>1702.6024500000001</c:v>
                </c:pt>
                <c:pt idx="568">
                  <c:v>1702.65248</c:v>
                </c:pt>
                <c:pt idx="569">
                  <c:v>1702.70252</c:v>
                </c:pt>
                <c:pt idx="570">
                  <c:v>1702.7525499999999</c:v>
                </c:pt>
                <c:pt idx="571">
                  <c:v>1702.80258</c:v>
                </c:pt>
                <c:pt idx="572">
                  <c:v>1702.8526099999999</c:v>
                </c:pt>
                <c:pt idx="573">
                  <c:v>1702.90264</c:v>
                </c:pt>
                <c:pt idx="574">
                  <c:v>1702.9526699999999</c:v>
                </c:pt>
                <c:pt idx="575">
                  <c:v>1703.0027</c:v>
                </c:pt>
                <c:pt idx="576">
                  <c:v>1703.0527400000001</c:v>
                </c:pt>
                <c:pt idx="577">
                  <c:v>1703.10277</c:v>
                </c:pt>
                <c:pt idx="578">
                  <c:v>1703.1528000000001</c:v>
                </c:pt>
                <c:pt idx="579">
                  <c:v>1703.2028299999999</c:v>
                </c:pt>
                <c:pt idx="580">
                  <c:v>1703.2528600000001</c:v>
                </c:pt>
                <c:pt idx="581">
                  <c:v>1703.3028899999999</c:v>
                </c:pt>
                <c:pt idx="582">
                  <c:v>1703.35293</c:v>
                </c:pt>
                <c:pt idx="583">
                  <c:v>1703.4029599999999</c:v>
                </c:pt>
                <c:pt idx="584">
                  <c:v>1703.45299</c:v>
                </c:pt>
                <c:pt idx="585">
                  <c:v>1703.5030200000001</c:v>
                </c:pt>
                <c:pt idx="586">
                  <c:v>1703.55305</c:v>
                </c:pt>
                <c:pt idx="587">
                  <c:v>1703.6030800000001</c:v>
                </c:pt>
                <c:pt idx="588">
                  <c:v>1703.65311</c:v>
                </c:pt>
                <c:pt idx="589">
                  <c:v>1703.7031500000001</c:v>
                </c:pt>
                <c:pt idx="590">
                  <c:v>1703.7531799999999</c:v>
                </c:pt>
                <c:pt idx="591">
                  <c:v>1703.80321</c:v>
                </c:pt>
                <c:pt idx="592">
                  <c:v>1703.8532399999999</c:v>
                </c:pt>
                <c:pt idx="593">
                  <c:v>1703.90327</c:v>
                </c:pt>
                <c:pt idx="594">
                  <c:v>1703.9532999999999</c:v>
                </c:pt>
                <c:pt idx="595">
                  <c:v>1704.00333</c:v>
                </c:pt>
                <c:pt idx="596">
                  <c:v>1704.0533700000001</c:v>
                </c:pt>
                <c:pt idx="597">
                  <c:v>1704.1034</c:v>
                </c:pt>
                <c:pt idx="598">
                  <c:v>1704.1534300000001</c:v>
                </c:pt>
                <c:pt idx="599">
                  <c:v>1704.20346</c:v>
                </c:pt>
                <c:pt idx="600">
                  <c:v>1704.2534900000001</c:v>
                </c:pt>
                <c:pt idx="601">
                  <c:v>1704.3035199999999</c:v>
                </c:pt>
                <c:pt idx="602">
                  <c:v>1704.35355</c:v>
                </c:pt>
                <c:pt idx="603">
                  <c:v>1704.4035899999999</c:v>
                </c:pt>
                <c:pt idx="604">
                  <c:v>1704.45362</c:v>
                </c:pt>
                <c:pt idx="605">
                  <c:v>1704.5036500000001</c:v>
                </c:pt>
                <c:pt idx="606">
                  <c:v>1704.55368</c:v>
                </c:pt>
                <c:pt idx="607">
                  <c:v>1704.6037100000001</c:v>
                </c:pt>
                <c:pt idx="608">
                  <c:v>1704.65374</c:v>
                </c:pt>
                <c:pt idx="609">
                  <c:v>1704.7037800000001</c:v>
                </c:pt>
                <c:pt idx="610">
                  <c:v>1704.7538099999999</c:v>
                </c:pt>
                <c:pt idx="611">
                  <c:v>1704.80384</c:v>
                </c:pt>
                <c:pt idx="612">
                  <c:v>1704.8538699999999</c:v>
                </c:pt>
                <c:pt idx="613">
                  <c:v>1704.9039</c:v>
                </c:pt>
                <c:pt idx="614">
                  <c:v>1704.9539299999999</c:v>
                </c:pt>
                <c:pt idx="615">
                  <c:v>1705.00396</c:v>
                </c:pt>
                <c:pt idx="616">
                  <c:v>1705.0540000000001</c:v>
                </c:pt>
                <c:pt idx="617">
                  <c:v>1705.10403</c:v>
                </c:pt>
                <c:pt idx="618">
                  <c:v>1705.1540600000001</c:v>
                </c:pt>
                <c:pt idx="619">
                  <c:v>1705.20409</c:v>
                </c:pt>
                <c:pt idx="620">
                  <c:v>1705.2541200000001</c:v>
                </c:pt>
                <c:pt idx="621">
                  <c:v>1705.3041499999999</c:v>
                </c:pt>
                <c:pt idx="622">
                  <c:v>1705.35418</c:v>
                </c:pt>
                <c:pt idx="623">
                  <c:v>1705.4042199999999</c:v>
                </c:pt>
                <c:pt idx="624">
                  <c:v>1705.45425</c:v>
                </c:pt>
                <c:pt idx="625">
                  <c:v>1705.5042800000001</c:v>
                </c:pt>
                <c:pt idx="626">
                  <c:v>1705.55431</c:v>
                </c:pt>
                <c:pt idx="627">
                  <c:v>1705.6043400000001</c:v>
                </c:pt>
                <c:pt idx="628">
                  <c:v>1705.65437</c:v>
                </c:pt>
                <c:pt idx="629">
                  <c:v>1705.7044000000001</c:v>
                </c:pt>
                <c:pt idx="630">
                  <c:v>1705.7544399999999</c:v>
                </c:pt>
                <c:pt idx="631">
                  <c:v>1705.80447</c:v>
                </c:pt>
                <c:pt idx="632">
                  <c:v>1705.8544999999999</c:v>
                </c:pt>
                <c:pt idx="633">
                  <c:v>1705.90453</c:v>
                </c:pt>
                <c:pt idx="634">
                  <c:v>1705.9545599999999</c:v>
                </c:pt>
                <c:pt idx="635">
                  <c:v>1706.00459</c:v>
                </c:pt>
                <c:pt idx="636">
                  <c:v>1706.0546300000001</c:v>
                </c:pt>
                <c:pt idx="637">
                  <c:v>1706.10466</c:v>
                </c:pt>
              </c:numCache>
            </c:numRef>
          </c:xVal>
          <c:yVal>
            <c:numRef>
              <c:f>'Ex 2 FULL 1 50 eV'!$C$2:$C$639</c:f>
              <c:numCache>
                <c:formatCode>0.00E+00</c:formatCode>
                <c:ptCount val="638"/>
                <c:pt idx="0">
                  <c:v>8.2022750000000003E-31</c:v>
                </c:pt>
                <c:pt idx="1">
                  <c:v>5.94625E-30</c:v>
                </c:pt>
                <c:pt idx="2">
                  <c:v>2.4565999999999995E-29</c:v>
                </c:pt>
                <c:pt idx="3">
                  <c:v>8.6176249999999995E-29</c:v>
                </c:pt>
                <c:pt idx="4">
                  <c:v>2.8346749999999998E-28</c:v>
                </c:pt>
                <c:pt idx="5">
                  <c:v>9.0329749999999984E-28</c:v>
                </c:pt>
                <c:pt idx="6">
                  <c:v>2.8222499999999999E-27</c:v>
                </c:pt>
                <c:pt idx="7">
                  <c:v>8.685075E-27</c:v>
                </c:pt>
                <c:pt idx="8">
                  <c:v>2.6358749999999995E-26</c:v>
                </c:pt>
                <c:pt idx="9">
                  <c:v>7.8934249999999997E-26</c:v>
                </c:pt>
                <c:pt idx="10">
                  <c:v>2.3341249999999999E-25</c:v>
                </c:pt>
                <c:pt idx="11">
                  <c:v>6.8088999999999997E-25</c:v>
                </c:pt>
                <c:pt idx="12">
                  <c:v>1.9613749999999998E-24</c:v>
                </c:pt>
                <c:pt idx="13">
                  <c:v>5.5788249999999999E-24</c:v>
                </c:pt>
                <c:pt idx="14">
                  <c:v>1.5662600000000001E-23</c:v>
                </c:pt>
                <c:pt idx="15">
                  <c:v>4.3416499999999998E-23</c:v>
                </c:pt>
                <c:pt idx="16">
                  <c:v>1.1880075E-22</c:v>
                </c:pt>
                <c:pt idx="17">
                  <c:v>3.2091999999999999E-22</c:v>
                </c:pt>
                <c:pt idx="18">
                  <c:v>8.5590499999999987E-22</c:v>
                </c:pt>
                <c:pt idx="19">
                  <c:v>2.2542499999999999E-21</c:v>
                </c:pt>
                <c:pt idx="20">
                  <c:v>5.8574999999999995E-21</c:v>
                </c:pt>
                <c:pt idx="21">
                  <c:v>1.5032474999999999E-20</c:v>
                </c:pt>
                <c:pt idx="22">
                  <c:v>3.8091499999999998E-20</c:v>
                </c:pt>
                <c:pt idx="23">
                  <c:v>9.5264249999999997E-20</c:v>
                </c:pt>
                <c:pt idx="24">
                  <c:v>2.3536499999999996E-19</c:v>
                </c:pt>
                <c:pt idx="25">
                  <c:v>5.7367999999999992E-19</c:v>
                </c:pt>
                <c:pt idx="26">
                  <c:v>1.3811275E-18</c:v>
                </c:pt>
                <c:pt idx="27">
                  <c:v>3.2837499999999996E-18</c:v>
                </c:pt>
                <c:pt idx="28">
                  <c:v>7.705275E-18</c:v>
                </c:pt>
                <c:pt idx="29">
                  <c:v>1.7856499999999997E-17</c:v>
                </c:pt>
                <c:pt idx="30">
                  <c:v>4.0842749999999993E-17</c:v>
                </c:pt>
                <c:pt idx="31">
                  <c:v>9.2264499999999998E-17</c:v>
                </c:pt>
                <c:pt idx="32">
                  <c:v>2.0572250000000001E-16</c:v>
                </c:pt>
                <c:pt idx="33">
                  <c:v>4.5315749999999991E-16</c:v>
                </c:pt>
                <c:pt idx="34">
                  <c:v>9.8565749999999998E-16</c:v>
                </c:pt>
                <c:pt idx="35">
                  <c:v>2.1175749999999997E-15</c:v>
                </c:pt>
                <c:pt idx="36">
                  <c:v>4.4889749999999999E-15</c:v>
                </c:pt>
                <c:pt idx="37">
                  <c:v>9.4004000000000003E-15</c:v>
                </c:pt>
                <c:pt idx="38">
                  <c:v>1.943625E-14</c:v>
                </c:pt>
                <c:pt idx="39">
                  <c:v>3.9688999999999996E-14</c:v>
                </c:pt>
                <c:pt idx="40">
                  <c:v>8.0034749999999991E-14</c:v>
                </c:pt>
                <c:pt idx="41">
                  <c:v>1.5935949999999998E-13</c:v>
                </c:pt>
                <c:pt idx="42">
                  <c:v>3.1346499999999997E-13</c:v>
                </c:pt>
                <c:pt idx="43">
                  <c:v>6.0864750000000001E-13</c:v>
                </c:pt>
                <c:pt idx="44">
                  <c:v>1.16724E-12</c:v>
                </c:pt>
                <c:pt idx="45">
                  <c:v>2.2116499999999998E-12</c:v>
                </c:pt>
                <c:pt idx="46">
                  <c:v>4.1357499999999996E-12</c:v>
                </c:pt>
                <c:pt idx="47">
                  <c:v>7.6413749999999994E-12</c:v>
                </c:pt>
                <c:pt idx="48">
                  <c:v>1.3944399999999999E-11</c:v>
                </c:pt>
                <c:pt idx="49">
                  <c:v>2.5134E-11</c:v>
                </c:pt>
                <c:pt idx="50">
                  <c:v>4.4747749999999994E-11</c:v>
                </c:pt>
                <c:pt idx="51">
                  <c:v>7.8685750000000004E-11</c:v>
                </c:pt>
                <c:pt idx="52">
                  <c:v>1.3671049999999999E-10</c:v>
                </c:pt>
                <c:pt idx="53">
                  <c:v>2.34655E-10</c:v>
                </c:pt>
                <c:pt idx="54">
                  <c:v>3.976E-10</c:v>
                </c:pt>
                <c:pt idx="55">
                  <c:v>6.6598000000000001E-10</c:v>
                </c:pt>
                <c:pt idx="56">
                  <c:v>1.1019200000000001E-9</c:v>
                </c:pt>
                <c:pt idx="57">
                  <c:v>1.801625E-9</c:v>
                </c:pt>
                <c:pt idx="58">
                  <c:v>2.9092249999999999E-9</c:v>
                </c:pt>
                <c:pt idx="59">
                  <c:v>4.6433999999999999E-9</c:v>
                </c:pt>
                <c:pt idx="60">
                  <c:v>7.321875E-9</c:v>
                </c:pt>
                <c:pt idx="61">
                  <c:v>1.1411475E-8</c:v>
                </c:pt>
                <c:pt idx="62">
                  <c:v>1.7574274999999997E-8</c:v>
                </c:pt>
                <c:pt idx="63">
                  <c:v>2.6749249999999997E-8</c:v>
                </c:pt>
                <c:pt idx="64">
                  <c:v>4.0239250000000001E-8</c:v>
                </c:pt>
                <c:pt idx="65">
                  <c:v>5.983525E-8</c:v>
                </c:pt>
                <c:pt idx="66">
                  <c:v>8.7968999999999985E-8</c:v>
                </c:pt>
                <c:pt idx="67">
                  <c:v>1.2783549999999999E-7</c:v>
                </c:pt>
                <c:pt idx="68">
                  <c:v>1.8371250000000001E-7</c:v>
                </c:pt>
                <c:pt idx="69">
                  <c:v>2.6092499999999996E-7</c:v>
                </c:pt>
                <c:pt idx="70">
                  <c:v>3.6653749999999998E-7</c:v>
                </c:pt>
                <c:pt idx="71">
                  <c:v>5.0924749999999997E-7</c:v>
                </c:pt>
                <c:pt idx="72">
                  <c:v>6.9952749999999995E-7</c:v>
                </c:pt>
                <c:pt idx="73">
                  <c:v>9.5086749999999992E-7</c:v>
                </c:pt>
                <c:pt idx="74">
                  <c:v>1.2785325000000001E-6</c:v>
                </c:pt>
                <c:pt idx="75">
                  <c:v>1.700805E-6</c:v>
                </c:pt>
                <c:pt idx="76">
                  <c:v>2.2382749999999998E-6</c:v>
                </c:pt>
                <c:pt idx="77">
                  <c:v>2.916325E-6</c:v>
                </c:pt>
                <c:pt idx="78">
                  <c:v>3.7612249999999997E-6</c:v>
                </c:pt>
                <c:pt idx="79">
                  <c:v>4.8013749999999994E-6</c:v>
                </c:pt>
                <c:pt idx="80">
                  <c:v>6.0687250000000001E-6</c:v>
                </c:pt>
                <c:pt idx="81">
                  <c:v>7.5987749999999991E-6</c:v>
                </c:pt>
                <c:pt idx="82">
                  <c:v>9.4216999999999999E-6</c:v>
                </c:pt>
                <c:pt idx="83">
                  <c:v>1.1572999999999999E-5</c:v>
                </c:pt>
                <c:pt idx="84">
                  <c:v>1.4088174999999998E-5</c:v>
                </c:pt>
                <c:pt idx="85">
                  <c:v>1.6999175E-5</c:v>
                </c:pt>
                <c:pt idx="86">
                  <c:v>2.032375E-5</c:v>
                </c:pt>
                <c:pt idx="87">
                  <c:v>2.4122249999999998E-5</c:v>
                </c:pt>
                <c:pt idx="88">
                  <c:v>2.8382250000000001E-5</c:v>
                </c:pt>
                <c:pt idx="89">
                  <c:v>3.3121499999999998E-5</c:v>
                </c:pt>
                <c:pt idx="90">
                  <c:v>3.8375499999999999E-5</c:v>
                </c:pt>
                <c:pt idx="91">
                  <c:v>4.4126500000000005E-5</c:v>
                </c:pt>
                <c:pt idx="92">
                  <c:v>5.0392249999999999E-5</c:v>
                </c:pt>
                <c:pt idx="93">
                  <c:v>5.7154999999999997E-5</c:v>
                </c:pt>
                <c:pt idx="94">
                  <c:v>6.443249999999999E-5</c:v>
                </c:pt>
                <c:pt idx="95">
                  <c:v>7.2171500000000005E-5</c:v>
                </c:pt>
                <c:pt idx="96">
                  <c:v>8.038974999999999E-5</c:v>
                </c:pt>
                <c:pt idx="97">
                  <c:v>8.9051749999999997E-5</c:v>
                </c:pt>
                <c:pt idx="98">
                  <c:v>9.8157499999999997E-5</c:v>
                </c:pt>
                <c:pt idx="99">
                  <c:v>1.076715E-4</c:v>
                </c:pt>
                <c:pt idx="100">
                  <c:v>1.1757599999999999E-4</c:v>
                </c:pt>
                <c:pt idx="101">
                  <c:v>1.2785324999999999E-4</c:v>
                </c:pt>
                <c:pt idx="102">
                  <c:v>1.3850325E-4</c:v>
                </c:pt>
                <c:pt idx="103">
                  <c:v>1.4950825E-4</c:v>
                </c:pt>
                <c:pt idx="104">
                  <c:v>1.6085049999999999E-4</c:v>
                </c:pt>
                <c:pt idx="105">
                  <c:v>1.7254775000000001E-4</c:v>
                </c:pt>
                <c:pt idx="106">
                  <c:v>1.8459999999999999E-4</c:v>
                </c:pt>
                <c:pt idx="107">
                  <c:v>1.9702500000000001E-4</c:v>
                </c:pt>
                <c:pt idx="108">
                  <c:v>2.096275E-4</c:v>
                </c:pt>
                <c:pt idx="109">
                  <c:v>2.227625E-4</c:v>
                </c:pt>
                <c:pt idx="110">
                  <c:v>2.3625249999999998E-4</c:v>
                </c:pt>
                <c:pt idx="111">
                  <c:v>2.4991999999999999E-4</c:v>
                </c:pt>
                <c:pt idx="112">
                  <c:v>2.6429749999999999E-4</c:v>
                </c:pt>
                <c:pt idx="113">
                  <c:v>2.7885249999999996E-4</c:v>
                </c:pt>
                <c:pt idx="114">
                  <c:v>2.9393999999999997E-4</c:v>
                </c:pt>
                <c:pt idx="115">
                  <c:v>3.0956000000000001E-4</c:v>
                </c:pt>
                <c:pt idx="116">
                  <c:v>3.2553499999999995E-4</c:v>
                </c:pt>
                <c:pt idx="117">
                  <c:v>3.4204249999999998E-4</c:v>
                </c:pt>
                <c:pt idx="118">
                  <c:v>3.5926000000000003E-4</c:v>
                </c:pt>
                <c:pt idx="119">
                  <c:v>3.7701E-4</c:v>
                </c:pt>
                <c:pt idx="120">
                  <c:v>3.9529249999999995E-4</c:v>
                </c:pt>
                <c:pt idx="121">
                  <c:v>4.1428500000000002E-4</c:v>
                </c:pt>
                <c:pt idx="122">
                  <c:v>4.339875E-4</c:v>
                </c:pt>
                <c:pt idx="123">
                  <c:v>4.5440000000000004E-4</c:v>
                </c:pt>
                <c:pt idx="124">
                  <c:v>4.7570000000000002E-4</c:v>
                </c:pt>
                <c:pt idx="125">
                  <c:v>4.9770999999999995E-4</c:v>
                </c:pt>
                <c:pt idx="126">
                  <c:v>5.2060749999999992E-4</c:v>
                </c:pt>
                <c:pt idx="127">
                  <c:v>5.4456999999999997E-4</c:v>
                </c:pt>
                <c:pt idx="128">
                  <c:v>5.6959749999999998E-4</c:v>
                </c:pt>
                <c:pt idx="129">
                  <c:v>5.9568999999999996E-4</c:v>
                </c:pt>
                <c:pt idx="130">
                  <c:v>6.228475E-4</c:v>
                </c:pt>
                <c:pt idx="131">
                  <c:v>6.5142499999999996E-4</c:v>
                </c:pt>
                <c:pt idx="132">
                  <c:v>6.8124499999999992E-4</c:v>
                </c:pt>
                <c:pt idx="133">
                  <c:v>7.1266250000000004E-4</c:v>
                </c:pt>
                <c:pt idx="134">
                  <c:v>7.4549999999999996E-4</c:v>
                </c:pt>
                <c:pt idx="135">
                  <c:v>7.8028999999999989E-4</c:v>
                </c:pt>
                <c:pt idx="136">
                  <c:v>8.1685500000000001E-4</c:v>
                </c:pt>
                <c:pt idx="137">
                  <c:v>8.5537250000000003E-4</c:v>
                </c:pt>
                <c:pt idx="138">
                  <c:v>8.961974999999999E-4</c:v>
                </c:pt>
                <c:pt idx="139">
                  <c:v>9.3950749999999997E-4</c:v>
                </c:pt>
                <c:pt idx="140">
                  <c:v>9.8565749999999998E-4</c:v>
                </c:pt>
                <c:pt idx="141">
                  <c:v>1.0350025000000001E-3</c:v>
                </c:pt>
                <c:pt idx="142">
                  <c:v>1.0877199999999999E-3</c:v>
                </c:pt>
                <c:pt idx="143">
                  <c:v>1.1443425E-3</c:v>
                </c:pt>
                <c:pt idx="144">
                  <c:v>1.2057575E-3</c:v>
                </c:pt>
                <c:pt idx="145">
                  <c:v>1.2724975E-3</c:v>
                </c:pt>
                <c:pt idx="146">
                  <c:v>1.3456275E-3</c:v>
                </c:pt>
                <c:pt idx="147">
                  <c:v>1.4263899999999998E-3</c:v>
                </c:pt>
                <c:pt idx="148">
                  <c:v>1.5167374999999999E-3</c:v>
                </c:pt>
                <c:pt idx="149">
                  <c:v>1.6187999999999999E-3</c:v>
                </c:pt>
                <c:pt idx="150">
                  <c:v>1.7354174999999997E-3</c:v>
                </c:pt>
                <c:pt idx="151">
                  <c:v>1.8708500000000001E-3</c:v>
                </c:pt>
                <c:pt idx="152">
                  <c:v>2.0288249999999997E-3</c:v>
                </c:pt>
                <c:pt idx="153">
                  <c:v>2.2169749999999999E-3</c:v>
                </c:pt>
                <c:pt idx="154">
                  <c:v>2.4441749999999998E-3</c:v>
                </c:pt>
                <c:pt idx="155">
                  <c:v>2.7210749999999999E-3</c:v>
                </c:pt>
                <c:pt idx="156">
                  <c:v>3.0600999999999996E-3</c:v>
                </c:pt>
                <c:pt idx="157">
                  <c:v>3.4772249999999996E-3</c:v>
                </c:pt>
                <c:pt idx="158">
                  <c:v>3.9937499999999999E-3</c:v>
                </c:pt>
                <c:pt idx="159">
                  <c:v>4.6345249999999996E-3</c:v>
                </c:pt>
                <c:pt idx="160">
                  <c:v>5.4261750000000001E-3</c:v>
                </c:pt>
                <c:pt idx="161">
                  <c:v>6.4059749999999995E-3</c:v>
                </c:pt>
                <c:pt idx="162">
                  <c:v>7.6094249999999995E-3</c:v>
                </c:pt>
                <c:pt idx="163">
                  <c:v>9.0791250000000004E-3</c:v>
                </c:pt>
                <c:pt idx="164">
                  <c:v>1.0862999999999999E-2</c:v>
                </c:pt>
                <c:pt idx="165">
                  <c:v>1.3008974999999999E-2</c:v>
                </c:pt>
                <c:pt idx="166">
                  <c:v>1.5568524999999998E-2</c:v>
                </c:pt>
                <c:pt idx="167">
                  <c:v>1.858425E-2</c:v>
                </c:pt>
                <c:pt idx="168">
                  <c:v>2.2116500000000001E-2</c:v>
                </c:pt>
                <c:pt idx="169">
                  <c:v>2.6216749999999997E-2</c:v>
                </c:pt>
                <c:pt idx="170">
                  <c:v>3.0884999999999996E-2</c:v>
                </c:pt>
                <c:pt idx="171">
                  <c:v>3.6156749999999994E-2</c:v>
                </c:pt>
                <c:pt idx="172">
                  <c:v>4.2067499999999994E-2</c:v>
                </c:pt>
                <c:pt idx="173">
                  <c:v>4.858175E-2</c:v>
                </c:pt>
                <c:pt idx="174">
                  <c:v>5.5663999999999998E-2</c:v>
                </c:pt>
                <c:pt idx="175">
                  <c:v>6.3314250000000002E-2</c:v>
                </c:pt>
                <c:pt idx="176">
                  <c:v>7.1425999999999989E-2</c:v>
                </c:pt>
                <c:pt idx="177">
                  <c:v>7.9946000000000003E-2</c:v>
                </c:pt>
                <c:pt idx="178">
                  <c:v>8.8749999999999996E-2</c:v>
                </c:pt>
                <c:pt idx="179">
                  <c:v>9.7766999999999993E-2</c:v>
                </c:pt>
                <c:pt idx="180">
                  <c:v>0.1068195</c:v>
                </c:pt>
                <c:pt idx="181">
                  <c:v>0.11583649999999998</c:v>
                </c:pt>
                <c:pt idx="182">
                  <c:v>0.1246405</c:v>
                </c:pt>
                <c:pt idx="183">
                  <c:v>0.13316049999999999</c:v>
                </c:pt>
                <c:pt idx="184">
                  <c:v>0.14125449999999998</c:v>
                </c:pt>
                <c:pt idx="185">
                  <c:v>0.148816</c:v>
                </c:pt>
                <c:pt idx="186">
                  <c:v>0.15579175000000001</c:v>
                </c:pt>
                <c:pt idx="187">
                  <c:v>0.16211075</c:v>
                </c:pt>
                <c:pt idx="188">
                  <c:v>0.16771974999999997</c:v>
                </c:pt>
                <c:pt idx="189">
                  <c:v>0.172601</c:v>
                </c:pt>
                <c:pt idx="190">
                  <c:v>0.17679</c:v>
                </c:pt>
                <c:pt idx="191">
                  <c:v>0.18034</c:v>
                </c:pt>
                <c:pt idx="192">
                  <c:v>0.18300249999999998</c:v>
                </c:pt>
                <c:pt idx="193">
                  <c:v>0.18531</c:v>
                </c:pt>
                <c:pt idx="194">
                  <c:v>0.18690749999999998</c:v>
                </c:pt>
                <c:pt idx="195">
                  <c:v>0.18815000000000001</c:v>
                </c:pt>
                <c:pt idx="196">
                  <c:v>0.18886</c:v>
                </c:pt>
                <c:pt idx="197">
                  <c:v>0.18921499999999999</c:v>
                </c:pt>
                <c:pt idx="198">
                  <c:v>0.18921499999999999</c:v>
                </c:pt>
                <c:pt idx="199">
                  <c:v>0.18903749999999997</c:v>
                </c:pt>
                <c:pt idx="200">
                  <c:v>0.18868249999999998</c:v>
                </c:pt>
                <c:pt idx="201">
                  <c:v>0.18832749999999998</c:v>
                </c:pt>
                <c:pt idx="202">
                  <c:v>0.18779499999999999</c:v>
                </c:pt>
                <c:pt idx="203">
                  <c:v>0.187085</c:v>
                </c:pt>
                <c:pt idx="204">
                  <c:v>0.18637499999999999</c:v>
                </c:pt>
                <c:pt idx="205">
                  <c:v>0.18584249999999997</c:v>
                </c:pt>
                <c:pt idx="206">
                  <c:v>0.18513249999999998</c:v>
                </c:pt>
                <c:pt idx="207">
                  <c:v>0.18442249999999999</c:v>
                </c:pt>
                <c:pt idx="208">
                  <c:v>0.18389</c:v>
                </c:pt>
                <c:pt idx="209">
                  <c:v>0.18335749999999998</c:v>
                </c:pt>
                <c:pt idx="210">
                  <c:v>0.18264749999999996</c:v>
                </c:pt>
                <c:pt idx="211">
                  <c:v>0.182115</c:v>
                </c:pt>
                <c:pt idx="212">
                  <c:v>0.18176</c:v>
                </c:pt>
                <c:pt idx="213">
                  <c:v>0.18122749999999999</c:v>
                </c:pt>
                <c:pt idx="214">
                  <c:v>0.18087249999999996</c:v>
                </c:pt>
                <c:pt idx="215">
                  <c:v>0.18051749999999997</c:v>
                </c:pt>
                <c:pt idx="216">
                  <c:v>0.18016249999999998</c:v>
                </c:pt>
                <c:pt idx="217">
                  <c:v>0.17980749999999998</c:v>
                </c:pt>
                <c:pt idx="218">
                  <c:v>0.17945249999999996</c:v>
                </c:pt>
                <c:pt idx="219">
                  <c:v>0.17909749999999997</c:v>
                </c:pt>
                <c:pt idx="220">
                  <c:v>0.17892</c:v>
                </c:pt>
                <c:pt idx="221">
                  <c:v>0.17874249999999997</c:v>
                </c:pt>
                <c:pt idx="222">
                  <c:v>0.17838749999999998</c:v>
                </c:pt>
                <c:pt idx="223">
                  <c:v>0.17820999999999998</c:v>
                </c:pt>
                <c:pt idx="224">
                  <c:v>0.17803249999999998</c:v>
                </c:pt>
                <c:pt idx="225">
                  <c:v>0.17785499999999999</c:v>
                </c:pt>
                <c:pt idx="226">
                  <c:v>0.17767749999999996</c:v>
                </c:pt>
                <c:pt idx="227">
                  <c:v>0.17767749999999996</c:v>
                </c:pt>
                <c:pt idx="228">
                  <c:v>0.17748224999999998</c:v>
                </c:pt>
                <c:pt idx="229">
                  <c:v>0.17735799999999999</c:v>
                </c:pt>
                <c:pt idx="230">
                  <c:v>0.17725150000000001</c:v>
                </c:pt>
                <c:pt idx="231">
                  <c:v>0.17716274999999998</c:v>
                </c:pt>
                <c:pt idx="232">
                  <c:v>0.17707400000000001</c:v>
                </c:pt>
                <c:pt idx="233">
                  <c:v>0.17700299999999999</c:v>
                </c:pt>
                <c:pt idx="234">
                  <c:v>0.17694974999999999</c:v>
                </c:pt>
                <c:pt idx="235">
                  <c:v>0.17687875</c:v>
                </c:pt>
                <c:pt idx="236">
                  <c:v>0.17684324999999998</c:v>
                </c:pt>
                <c:pt idx="237">
                  <c:v>0.17680774999999999</c:v>
                </c:pt>
                <c:pt idx="238">
                  <c:v>0.17677224999999999</c:v>
                </c:pt>
                <c:pt idx="239">
                  <c:v>0.17673675</c:v>
                </c:pt>
                <c:pt idx="240">
                  <c:v>0.17671899999999999</c:v>
                </c:pt>
                <c:pt idx="241">
                  <c:v>0.17671899999999999</c:v>
                </c:pt>
                <c:pt idx="242">
                  <c:v>0.17671899999999999</c:v>
                </c:pt>
                <c:pt idx="243">
                  <c:v>0.17671899999999999</c:v>
                </c:pt>
                <c:pt idx="244">
                  <c:v>0.17671899999999999</c:v>
                </c:pt>
                <c:pt idx="245">
                  <c:v>0.17671899999999999</c:v>
                </c:pt>
                <c:pt idx="246">
                  <c:v>0.17673675</c:v>
                </c:pt>
                <c:pt idx="247">
                  <c:v>0.17675449999999998</c:v>
                </c:pt>
                <c:pt idx="248">
                  <c:v>0.17677224999999999</c:v>
                </c:pt>
                <c:pt idx="249">
                  <c:v>0.17680774999999999</c:v>
                </c:pt>
                <c:pt idx="250">
                  <c:v>0.1768255</c:v>
                </c:pt>
                <c:pt idx="251">
                  <c:v>0.17686099999999999</c:v>
                </c:pt>
                <c:pt idx="252">
                  <c:v>0.17687875</c:v>
                </c:pt>
                <c:pt idx="253">
                  <c:v>0.17691425</c:v>
                </c:pt>
                <c:pt idx="254">
                  <c:v>0.17694974999999999</c:v>
                </c:pt>
                <c:pt idx="255">
                  <c:v>0.1769675</c:v>
                </c:pt>
                <c:pt idx="256">
                  <c:v>0.17700299999999999</c:v>
                </c:pt>
                <c:pt idx="257">
                  <c:v>0.17703849999999999</c:v>
                </c:pt>
                <c:pt idx="258">
                  <c:v>0.17705625</c:v>
                </c:pt>
                <c:pt idx="259">
                  <c:v>0.17709174999999999</c:v>
                </c:pt>
                <c:pt idx="260">
                  <c:v>0.17712724999999999</c:v>
                </c:pt>
                <c:pt idx="261">
                  <c:v>0.177145</c:v>
                </c:pt>
                <c:pt idx="262">
                  <c:v>0.17716274999999998</c:v>
                </c:pt>
                <c:pt idx="263">
                  <c:v>0.17719824999999997</c:v>
                </c:pt>
                <c:pt idx="264">
                  <c:v>0.17721599999999998</c:v>
                </c:pt>
                <c:pt idx="265">
                  <c:v>0.17723375</c:v>
                </c:pt>
                <c:pt idx="266">
                  <c:v>0.17725150000000001</c:v>
                </c:pt>
                <c:pt idx="267">
                  <c:v>0.17726924999999999</c:v>
                </c:pt>
                <c:pt idx="268">
                  <c:v>0.177287</c:v>
                </c:pt>
                <c:pt idx="269">
                  <c:v>0.17730474999999998</c:v>
                </c:pt>
                <c:pt idx="270">
                  <c:v>0.17730474999999998</c:v>
                </c:pt>
                <c:pt idx="271">
                  <c:v>0.17732249999999999</c:v>
                </c:pt>
                <c:pt idx="272">
                  <c:v>0.17732249999999999</c:v>
                </c:pt>
                <c:pt idx="273">
                  <c:v>0.17734024999999998</c:v>
                </c:pt>
                <c:pt idx="274">
                  <c:v>0.17734024999999998</c:v>
                </c:pt>
                <c:pt idx="275">
                  <c:v>0.17734024999999998</c:v>
                </c:pt>
                <c:pt idx="276">
                  <c:v>0.17735799999999999</c:v>
                </c:pt>
                <c:pt idx="277">
                  <c:v>0.17735799999999999</c:v>
                </c:pt>
                <c:pt idx="278">
                  <c:v>0.17735799999999999</c:v>
                </c:pt>
                <c:pt idx="279">
                  <c:v>0.17735799999999999</c:v>
                </c:pt>
                <c:pt idx="280">
                  <c:v>0.17735799999999999</c:v>
                </c:pt>
                <c:pt idx="281">
                  <c:v>0.17735799999999999</c:v>
                </c:pt>
                <c:pt idx="282">
                  <c:v>0.17737575</c:v>
                </c:pt>
                <c:pt idx="283">
                  <c:v>0.17737575</c:v>
                </c:pt>
                <c:pt idx="284">
                  <c:v>0.17737575</c:v>
                </c:pt>
                <c:pt idx="285">
                  <c:v>0.17737575</c:v>
                </c:pt>
                <c:pt idx="286">
                  <c:v>0.17737575</c:v>
                </c:pt>
                <c:pt idx="287">
                  <c:v>0.17737575</c:v>
                </c:pt>
                <c:pt idx="288">
                  <c:v>0.17737575</c:v>
                </c:pt>
                <c:pt idx="289">
                  <c:v>0.17737575</c:v>
                </c:pt>
                <c:pt idx="290">
                  <c:v>0.17737575</c:v>
                </c:pt>
                <c:pt idx="291">
                  <c:v>0.17737575</c:v>
                </c:pt>
                <c:pt idx="292">
                  <c:v>0.17735799999999999</c:v>
                </c:pt>
                <c:pt idx="293">
                  <c:v>0.17735799999999999</c:v>
                </c:pt>
                <c:pt idx="294">
                  <c:v>0.17735799999999999</c:v>
                </c:pt>
                <c:pt idx="295">
                  <c:v>0.17735799999999999</c:v>
                </c:pt>
                <c:pt idx="296">
                  <c:v>0.17735799999999999</c:v>
                </c:pt>
                <c:pt idx="297">
                  <c:v>0.17735799999999999</c:v>
                </c:pt>
                <c:pt idx="298">
                  <c:v>0.17735799999999999</c:v>
                </c:pt>
                <c:pt idx="299">
                  <c:v>0.17735799999999999</c:v>
                </c:pt>
                <c:pt idx="300">
                  <c:v>0.17735799999999999</c:v>
                </c:pt>
                <c:pt idx="301">
                  <c:v>0.17735799999999999</c:v>
                </c:pt>
                <c:pt idx="302">
                  <c:v>0.17735799999999999</c:v>
                </c:pt>
                <c:pt idx="303">
                  <c:v>0.17735799999999999</c:v>
                </c:pt>
                <c:pt idx="304">
                  <c:v>0.17735799999999999</c:v>
                </c:pt>
                <c:pt idx="305">
                  <c:v>0.17735799999999999</c:v>
                </c:pt>
                <c:pt idx="306">
                  <c:v>0.17735799999999999</c:v>
                </c:pt>
                <c:pt idx="307">
                  <c:v>0.17735799999999999</c:v>
                </c:pt>
                <c:pt idx="308">
                  <c:v>0.17735799999999999</c:v>
                </c:pt>
                <c:pt idx="309">
                  <c:v>0.17735799999999999</c:v>
                </c:pt>
                <c:pt idx="310">
                  <c:v>0.17735799999999999</c:v>
                </c:pt>
                <c:pt idx="311">
                  <c:v>0.17735799999999999</c:v>
                </c:pt>
                <c:pt idx="312">
                  <c:v>0.17735799999999999</c:v>
                </c:pt>
                <c:pt idx="313">
                  <c:v>0.17735799999999999</c:v>
                </c:pt>
                <c:pt idx="314">
                  <c:v>0.17735799999999999</c:v>
                </c:pt>
                <c:pt idx="315">
                  <c:v>0.17735799999999999</c:v>
                </c:pt>
                <c:pt idx="316">
                  <c:v>0.17735799999999999</c:v>
                </c:pt>
                <c:pt idx="317">
                  <c:v>0.17735799999999999</c:v>
                </c:pt>
                <c:pt idx="318">
                  <c:v>0.17735799999999999</c:v>
                </c:pt>
                <c:pt idx="319">
                  <c:v>0.17735799999999999</c:v>
                </c:pt>
                <c:pt idx="320">
                  <c:v>0.17735799999999999</c:v>
                </c:pt>
                <c:pt idx="321">
                  <c:v>0.17735799999999999</c:v>
                </c:pt>
                <c:pt idx="322">
                  <c:v>0.17735799999999999</c:v>
                </c:pt>
                <c:pt idx="323">
                  <c:v>0.17735799999999999</c:v>
                </c:pt>
                <c:pt idx="324">
                  <c:v>0.17735799999999999</c:v>
                </c:pt>
                <c:pt idx="325">
                  <c:v>0.17735799999999999</c:v>
                </c:pt>
                <c:pt idx="326">
                  <c:v>0.17735799999999999</c:v>
                </c:pt>
                <c:pt idx="327">
                  <c:v>0.17735799999999999</c:v>
                </c:pt>
                <c:pt idx="328">
                  <c:v>0.17735799999999999</c:v>
                </c:pt>
                <c:pt idx="329">
                  <c:v>0.17735799999999999</c:v>
                </c:pt>
                <c:pt idx="330">
                  <c:v>0.17735799999999999</c:v>
                </c:pt>
                <c:pt idx="331">
                  <c:v>0.17735799999999999</c:v>
                </c:pt>
                <c:pt idx="332">
                  <c:v>0.17735799999999999</c:v>
                </c:pt>
                <c:pt idx="333">
                  <c:v>0.17735799999999999</c:v>
                </c:pt>
                <c:pt idx="334">
                  <c:v>0.17735799999999999</c:v>
                </c:pt>
                <c:pt idx="335">
                  <c:v>0.17735799999999999</c:v>
                </c:pt>
                <c:pt idx="336">
                  <c:v>0.17735799999999999</c:v>
                </c:pt>
                <c:pt idx="337">
                  <c:v>0.17735799999999999</c:v>
                </c:pt>
                <c:pt idx="338">
                  <c:v>0.17735799999999999</c:v>
                </c:pt>
                <c:pt idx="339">
                  <c:v>0.17735799999999999</c:v>
                </c:pt>
                <c:pt idx="340">
                  <c:v>0.17735799999999999</c:v>
                </c:pt>
                <c:pt idx="341">
                  <c:v>0.17735799999999999</c:v>
                </c:pt>
                <c:pt idx="342">
                  <c:v>0.17735799999999999</c:v>
                </c:pt>
                <c:pt idx="343">
                  <c:v>0.17735799999999999</c:v>
                </c:pt>
                <c:pt idx="344">
                  <c:v>0.17735799999999999</c:v>
                </c:pt>
                <c:pt idx="345">
                  <c:v>0.17735799999999999</c:v>
                </c:pt>
                <c:pt idx="346">
                  <c:v>0.17735799999999999</c:v>
                </c:pt>
                <c:pt idx="347">
                  <c:v>0.17735799999999999</c:v>
                </c:pt>
                <c:pt idx="348">
                  <c:v>0.17735799999999999</c:v>
                </c:pt>
                <c:pt idx="349">
                  <c:v>0.17735799999999999</c:v>
                </c:pt>
                <c:pt idx="350">
                  <c:v>0.17735799999999999</c:v>
                </c:pt>
                <c:pt idx="351">
                  <c:v>0.17735799999999999</c:v>
                </c:pt>
                <c:pt idx="352">
                  <c:v>0.17735799999999999</c:v>
                </c:pt>
                <c:pt idx="353">
                  <c:v>0.17735799999999999</c:v>
                </c:pt>
                <c:pt idx="354">
                  <c:v>0.17735799999999999</c:v>
                </c:pt>
                <c:pt idx="355">
                  <c:v>0.17737575</c:v>
                </c:pt>
                <c:pt idx="356">
                  <c:v>0.17737575</c:v>
                </c:pt>
                <c:pt idx="357">
                  <c:v>0.17737575</c:v>
                </c:pt>
                <c:pt idx="358">
                  <c:v>0.17737575</c:v>
                </c:pt>
                <c:pt idx="359">
                  <c:v>0.17737575</c:v>
                </c:pt>
                <c:pt idx="360">
                  <c:v>0.17737575</c:v>
                </c:pt>
                <c:pt idx="361">
                  <c:v>0.17737575</c:v>
                </c:pt>
                <c:pt idx="362">
                  <c:v>0.17737575</c:v>
                </c:pt>
                <c:pt idx="363">
                  <c:v>0.17737575</c:v>
                </c:pt>
                <c:pt idx="364">
                  <c:v>0.17737575</c:v>
                </c:pt>
                <c:pt idx="365">
                  <c:v>0.17737575</c:v>
                </c:pt>
                <c:pt idx="366">
                  <c:v>0.17737575</c:v>
                </c:pt>
                <c:pt idx="367">
                  <c:v>0.17737575</c:v>
                </c:pt>
                <c:pt idx="368">
                  <c:v>0.17737575</c:v>
                </c:pt>
                <c:pt idx="369">
                  <c:v>0.17737575</c:v>
                </c:pt>
                <c:pt idx="370">
                  <c:v>0.17737575</c:v>
                </c:pt>
                <c:pt idx="371">
                  <c:v>0.17737575</c:v>
                </c:pt>
                <c:pt idx="372">
                  <c:v>0.17737575</c:v>
                </c:pt>
                <c:pt idx="373">
                  <c:v>0.17737575</c:v>
                </c:pt>
                <c:pt idx="374">
                  <c:v>0.17737575</c:v>
                </c:pt>
                <c:pt idx="375">
                  <c:v>0.17737575</c:v>
                </c:pt>
                <c:pt idx="376">
                  <c:v>0.17737575</c:v>
                </c:pt>
                <c:pt idx="377">
                  <c:v>0.17737575</c:v>
                </c:pt>
                <c:pt idx="378">
                  <c:v>0.17737575</c:v>
                </c:pt>
                <c:pt idx="379">
                  <c:v>0.17737575</c:v>
                </c:pt>
                <c:pt idx="380">
                  <c:v>0.17737575</c:v>
                </c:pt>
                <c:pt idx="381">
                  <c:v>0.17737575</c:v>
                </c:pt>
                <c:pt idx="382">
                  <c:v>0.17737575</c:v>
                </c:pt>
                <c:pt idx="383">
                  <c:v>0.17737575</c:v>
                </c:pt>
                <c:pt idx="384">
                  <c:v>0.17737575</c:v>
                </c:pt>
                <c:pt idx="385">
                  <c:v>0.17737575</c:v>
                </c:pt>
                <c:pt idx="386">
                  <c:v>0.17737575</c:v>
                </c:pt>
                <c:pt idx="387">
                  <c:v>0.17737575</c:v>
                </c:pt>
                <c:pt idx="388">
                  <c:v>0.17737575</c:v>
                </c:pt>
                <c:pt idx="389">
                  <c:v>0.17737575</c:v>
                </c:pt>
                <c:pt idx="390">
                  <c:v>0.17737575</c:v>
                </c:pt>
                <c:pt idx="391">
                  <c:v>0.17737575</c:v>
                </c:pt>
                <c:pt idx="392">
                  <c:v>0.17737575</c:v>
                </c:pt>
                <c:pt idx="393">
                  <c:v>0.17737575</c:v>
                </c:pt>
                <c:pt idx="394">
                  <c:v>0.17737575</c:v>
                </c:pt>
                <c:pt idx="395">
                  <c:v>0.17737575</c:v>
                </c:pt>
                <c:pt idx="396">
                  <c:v>0.17737575</c:v>
                </c:pt>
                <c:pt idx="397">
                  <c:v>0.17737575</c:v>
                </c:pt>
                <c:pt idx="398">
                  <c:v>0.17737575</c:v>
                </c:pt>
                <c:pt idx="399">
                  <c:v>0.17737575</c:v>
                </c:pt>
                <c:pt idx="400">
                  <c:v>0.17737575</c:v>
                </c:pt>
                <c:pt idx="401">
                  <c:v>0.17737575</c:v>
                </c:pt>
                <c:pt idx="402">
                  <c:v>0.17737575</c:v>
                </c:pt>
                <c:pt idx="403">
                  <c:v>0.17737575</c:v>
                </c:pt>
                <c:pt idx="404">
                  <c:v>0.17737575</c:v>
                </c:pt>
                <c:pt idx="405">
                  <c:v>0.17737575</c:v>
                </c:pt>
                <c:pt idx="406">
                  <c:v>0.17737575</c:v>
                </c:pt>
                <c:pt idx="407">
                  <c:v>0.17737575</c:v>
                </c:pt>
                <c:pt idx="408">
                  <c:v>0.17737575</c:v>
                </c:pt>
                <c:pt idx="409">
                  <c:v>0.17737575</c:v>
                </c:pt>
                <c:pt idx="410">
                  <c:v>0.17737575</c:v>
                </c:pt>
                <c:pt idx="411">
                  <c:v>0.17737575</c:v>
                </c:pt>
                <c:pt idx="412">
                  <c:v>0.17737575</c:v>
                </c:pt>
                <c:pt idx="413">
                  <c:v>0.17737575</c:v>
                </c:pt>
                <c:pt idx="414">
                  <c:v>0.17737575</c:v>
                </c:pt>
                <c:pt idx="415">
                  <c:v>0.17737575</c:v>
                </c:pt>
                <c:pt idx="416">
                  <c:v>0.17737575</c:v>
                </c:pt>
                <c:pt idx="417">
                  <c:v>0.17737575</c:v>
                </c:pt>
                <c:pt idx="418">
                  <c:v>0.17737575</c:v>
                </c:pt>
                <c:pt idx="419">
                  <c:v>0.17737575</c:v>
                </c:pt>
                <c:pt idx="420">
                  <c:v>0.17737575</c:v>
                </c:pt>
                <c:pt idx="421">
                  <c:v>0.17737575</c:v>
                </c:pt>
                <c:pt idx="422">
                  <c:v>0.17737575</c:v>
                </c:pt>
                <c:pt idx="423">
                  <c:v>0.17737575</c:v>
                </c:pt>
                <c:pt idx="424">
                  <c:v>0.17737575</c:v>
                </c:pt>
                <c:pt idx="425">
                  <c:v>0.17737575</c:v>
                </c:pt>
                <c:pt idx="426">
                  <c:v>0.17737575</c:v>
                </c:pt>
                <c:pt idx="427">
                  <c:v>0.17737575</c:v>
                </c:pt>
                <c:pt idx="428">
                  <c:v>0.17737575</c:v>
                </c:pt>
                <c:pt idx="429">
                  <c:v>0.17737575</c:v>
                </c:pt>
                <c:pt idx="430">
                  <c:v>0.17737575</c:v>
                </c:pt>
                <c:pt idx="431">
                  <c:v>0.17737575</c:v>
                </c:pt>
                <c:pt idx="432">
                  <c:v>0.17737575</c:v>
                </c:pt>
                <c:pt idx="433">
                  <c:v>0.17737575</c:v>
                </c:pt>
                <c:pt idx="434">
                  <c:v>0.17737575</c:v>
                </c:pt>
                <c:pt idx="435">
                  <c:v>0.17737575</c:v>
                </c:pt>
                <c:pt idx="436">
                  <c:v>0.17737575</c:v>
                </c:pt>
                <c:pt idx="437">
                  <c:v>0.17737575</c:v>
                </c:pt>
                <c:pt idx="438">
                  <c:v>0.17737575</c:v>
                </c:pt>
                <c:pt idx="439">
                  <c:v>0.17737575</c:v>
                </c:pt>
                <c:pt idx="440">
                  <c:v>0.17737575</c:v>
                </c:pt>
                <c:pt idx="441">
                  <c:v>0.17737575</c:v>
                </c:pt>
                <c:pt idx="442">
                  <c:v>0.17737575</c:v>
                </c:pt>
                <c:pt idx="443">
                  <c:v>0.17737575</c:v>
                </c:pt>
                <c:pt idx="444">
                  <c:v>0.17737575</c:v>
                </c:pt>
                <c:pt idx="445">
                  <c:v>0.17737575</c:v>
                </c:pt>
                <c:pt idx="446">
                  <c:v>0.17737575</c:v>
                </c:pt>
                <c:pt idx="447">
                  <c:v>0.17737575</c:v>
                </c:pt>
                <c:pt idx="448">
                  <c:v>0.17737575</c:v>
                </c:pt>
                <c:pt idx="449">
                  <c:v>0.17737575</c:v>
                </c:pt>
                <c:pt idx="450">
                  <c:v>0.17737575</c:v>
                </c:pt>
                <c:pt idx="451">
                  <c:v>0.17737575</c:v>
                </c:pt>
                <c:pt idx="452">
                  <c:v>0.17737575</c:v>
                </c:pt>
                <c:pt idx="453">
                  <c:v>0.17737575</c:v>
                </c:pt>
                <c:pt idx="454">
                  <c:v>0.17737575</c:v>
                </c:pt>
                <c:pt idx="455">
                  <c:v>0.17737575</c:v>
                </c:pt>
                <c:pt idx="456">
                  <c:v>0.17737575</c:v>
                </c:pt>
                <c:pt idx="457">
                  <c:v>0.17737575</c:v>
                </c:pt>
                <c:pt idx="458">
                  <c:v>0.17737575</c:v>
                </c:pt>
                <c:pt idx="459">
                  <c:v>0.17737575</c:v>
                </c:pt>
                <c:pt idx="460">
                  <c:v>0.17737575</c:v>
                </c:pt>
                <c:pt idx="461">
                  <c:v>0.17737575</c:v>
                </c:pt>
                <c:pt idx="462">
                  <c:v>0.17737575</c:v>
                </c:pt>
                <c:pt idx="463">
                  <c:v>0.17737575</c:v>
                </c:pt>
                <c:pt idx="464">
                  <c:v>0.17737575</c:v>
                </c:pt>
                <c:pt idx="465">
                  <c:v>0.17737575</c:v>
                </c:pt>
                <c:pt idx="466">
                  <c:v>0.17737575</c:v>
                </c:pt>
                <c:pt idx="467">
                  <c:v>0.17737575</c:v>
                </c:pt>
                <c:pt idx="468">
                  <c:v>0.17737575</c:v>
                </c:pt>
                <c:pt idx="469">
                  <c:v>0.17737575</c:v>
                </c:pt>
                <c:pt idx="470">
                  <c:v>0.17737575</c:v>
                </c:pt>
                <c:pt idx="471">
                  <c:v>0.17737575</c:v>
                </c:pt>
                <c:pt idx="472">
                  <c:v>0.17737575</c:v>
                </c:pt>
                <c:pt idx="473">
                  <c:v>0.17737575</c:v>
                </c:pt>
                <c:pt idx="474">
                  <c:v>0.17737575</c:v>
                </c:pt>
                <c:pt idx="475">
                  <c:v>0.17737575</c:v>
                </c:pt>
                <c:pt idx="476">
                  <c:v>0.17737575</c:v>
                </c:pt>
                <c:pt idx="477">
                  <c:v>0.17737575</c:v>
                </c:pt>
                <c:pt idx="478">
                  <c:v>0.17737575</c:v>
                </c:pt>
                <c:pt idx="479">
                  <c:v>0.17737575</c:v>
                </c:pt>
                <c:pt idx="480">
                  <c:v>0.17737575</c:v>
                </c:pt>
                <c:pt idx="481">
                  <c:v>0.17737575</c:v>
                </c:pt>
                <c:pt idx="482">
                  <c:v>0.17737575</c:v>
                </c:pt>
                <c:pt idx="483">
                  <c:v>0.17737575</c:v>
                </c:pt>
                <c:pt idx="484">
                  <c:v>0.17737575</c:v>
                </c:pt>
                <c:pt idx="485">
                  <c:v>0.17737575</c:v>
                </c:pt>
                <c:pt idx="486">
                  <c:v>0.17737575</c:v>
                </c:pt>
                <c:pt idx="487">
                  <c:v>0.17737575</c:v>
                </c:pt>
                <c:pt idx="488">
                  <c:v>0.17737575</c:v>
                </c:pt>
                <c:pt idx="489">
                  <c:v>0.17737575</c:v>
                </c:pt>
                <c:pt idx="490">
                  <c:v>0.17737575</c:v>
                </c:pt>
                <c:pt idx="491">
                  <c:v>0.17737575</c:v>
                </c:pt>
                <c:pt idx="492">
                  <c:v>0.17737575</c:v>
                </c:pt>
                <c:pt idx="493">
                  <c:v>0.17737575</c:v>
                </c:pt>
                <c:pt idx="494">
                  <c:v>0.17737575</c:v>
                </c:pt>
                <c:pt idx="495">
                  <c:v>0.17737575</c:v>
                </c:pt>
                <c:pt idx="496">
                  <c:v>0.17737575</c:v>
                </c:pt>
                <c:pt idx="497">
                  <c:v>0.17737575</c:v>
                </c:pt>
                <c:pt idx="498">
                  <c:v>0.17737575</c:v>
                </c:pt>
                <c:pt idx="499">
                  <c:v>0.17737575</c:v>
                </c:pt>
                <c:pt idx="500">
                  <c:v>0.17737575</c:v>
                </c:pt>
                <c:pt idx="501">
                  <c:v>0.17737575</c:v>
                </c:pt>
                <c:pt idx="502">
                  <c:v>0.17737575</c:v>
                </c:pt>
                <c:pt idx="503">
                  <c:v>0.17737575</c:v>
                </c:pt>
                <c:pt idx="504">
                  <c:v>0.17737575</c:v>
                </c:pt>
                <c:pt idx="505">
                  <c:v>0.17737575</c:v>
                </c:pt>
                <c:pt idx="506">
                  <c:v>0.17737575</c:v>
                </c:pt>
                <c:pt idx="507">
                  <c:v>0.17737575</c:v>
                </c:pt>
                <c:pt idx="508">
                  <c:v>0.17737575</c:v>
                </c:pt>
                <c:pt idx="509">
                  <c:v>0.17737575</c:v>
                </c:pt>
                <c:pt idx="510">
                  <c:v>0.17737575</c:v>
                </c:pt>
                <c:pt idx="511">
                  <c:v>0.17737575</c:v>
                </c:pt>
                <c:pt idx="512">
                  <c:v>0.17737575</c:v>
                </c:pt>
                <c:pt idx="513">
                  <c:v>0.17737575</c:v>
                </c:pt>
                <c:pt idx="514">
                  <c:v>0.17737575</c:v>
                </c:pt>
                <c:pt idx="515">
                  <c:v>0.17737575</c:v>
                </c:pt>
                <c:pt idx="516">
                  <c:v>0.17737575</c:v>
                </c:pt>
                <c:pt idx="517">
                  <c:v>0.17737575</c:v>
                </c:pt>
                <c:pt idx="518">
                  <c:v>0.17737575</c:v>
                </c:pt>
                <c:pt idx="519">
                  <c:v>0.17737575</c:v>
                </c:pt>
                <c:pt idx="520">
                  <c:v>0.17737575</c:v>
                </c:pt>
                <c:pt idx="521">
                  <c:v>0.17737575</c:v>
                </c:pt>
                <c:pt idx="522">
                  <c:v>0.17737575</c:v>
                </c:pt>
                <c:pt idx="523">
                  <c:v>0.17737575</c:v>
                </c:pt>
                <c:pt idx="524">
                  <c:v>0.17737575</c:v>
                </c:pt>
                <c:pt idx="525">
                  <c:v>0.17737575</c:v>
                </c:pt>
                <c:pt idx="526">
                  <c:v>0.17737575</c:v>
                </c:pt>
                <c:pt idx="527">
                  <c:v>0.17737575</c:v>
                </c:pt>
                <c:pt idx="528">
                  <c:v>0.17737575</c:v>
                </c:pt>
                <c:pt idx="529">
                  <c:v>0.17737575</c:v>
                </c:pt>
                <c:pt idx="530">
                  <c:v>0.17737575</c:v>
                </c:pt>
                <c:pt idx="531">
                  <c:v>0.17737575</c:v>
                </c:pt>
                <c:pt idx="532">
                  <c:v>0.17737575</c:v>
                </c:pt>
                <c:pt idx="533">
                  <c:v>0.17737575</c:v>
                </c:pt>
                <c:pt idx="534">
                  <c:v>0.17737575</c:v>
                </c:pt>
                <c:pt idx="535">
                  <c:v>0.17737575</c:v>
                </c:pt>
                <c:pt idx="536">
                  <c:v>0.17737575</c:v>
                </c:pt>
                <c:pt idx="537">
                  <c:v>0.17737575</c:v>
                </c:pt>
                <c:pt idx="538">
                  <c:v>0.17737575</c:v>
                </c:pt>
                <c:pt idx="539">
                  <c:v>0.17737575</c:v>
                </c:pt>
                <c:pt idx="540">
                  <c:v>0.17737575</c:v>
                </c:pt>
                <c:pt idx="541">
                  <c:v>0.17737575</c:v>
                </c:pt>
                <c:pt idx="542">
                  <c:v>0.17737575</c:v>
                </c:pt>
                <c:pt idx="543">
                  <c:v>0.17737575</c:v>
                </c:pt>
                <c:pt idx="544">
                  <c:v>0.17737575</c:v>
                </c:pt>
                <c:pt idx="545">
                  <c:v>0.17737575</c:v>
                </c:pt>
                <c:pt idx="546">
                  <c:v>0.17737575</c:v>
                </c:pt>
                <c:pt idx="547">
                  <c:v>0.17737575</c:v>
                </c:pt>
                <c:pt idx="548">
                  <c:v>0.17737575</c:v>
                </c:pt>
                <c:pt idx="549">
                  <c:v>0.17737575</c:v>
                </c:pt>
                <c:pt idx="550">
                  <c:v>0.17737575</c:v>
                </c:pt>
                <c:pt idx="551">
                  <c:v>0.17737575</c:v>
                </c:pt>
                <c:pt idx="552">
                  <c:v>0.17737575</c:v>
                </c:pt>
                <c:pt idx="553">
                  <c:v>0.17737575</c:v>
                </c:pt>
                <c:pt idx="554">
                  <c:v>0.17737575</c:v>
                </c:pt>
                <c:pt idx="555">
                  <c:v>0.17737575</c:v>
                </c:pt>
                <c:pt idx="556">
                  <c:v>0.17737575</c:v>
                </c:pt>
                <c:pt idx="557">
                  <c:v>0.17737575</c:v>
                </c:pt>
                <c:pt idx="558">
                  <c:v>0.17737575</c:v>
                </c:pt>
                <c:pt idx="559">
                  <c:v>0.17737575</c:v>
                </c:pt>
                <c:pt idx="560">
                  <c:v>0.17737575</c:v>
                </c:pt>
                <c:pt idx="561">
                  <c:v>0.17737575</c:v>
                </c:pt>
                <c:pt idx="562">
                  <c:v>0.17737575</c:v>
                </c:pt>
                <c:pt idx="563">
                  <c:v>0.17737575</c:v>
                </c:pt>
                <c:pt idx="564">
                  <c:v>0.17737575</c:v>
                </c:pt>
                <c:pt idx="565">
                  <c:v>0.17737575</c:v>
                </c:pt>
                <c:pt idx="566">
                  <c:v>0.17737575</c:v>
                </c:pt>
                <c:pt idx="567">
                  <c:v>0.17737575</c:v>
                </c:pt>
                <c:pt idx="568">
                  <c:v>0.17737575</c:v>
                </c:pt>
                <c:pt idx="569">
                  <c:v>0.17737575</c:v>
                </c:pt>
                <c:pt idx="570">
                  <c:v>0.17737575</c:v>
                </c:pt>
                <c:pt idx="571">
                  <c:v>0.17737575</c:v>
                </c:pt>
                <c:pt idx="572">
                  <c:v>0.17737575</c:v>
                </c:pt>
                <c:pt idx="573">
                  <c:v>0.17737575</c:v>
                </c:pt>
                <c:pt idx="574">
                  <c:v>0.17737575</c:v>
                </c:pt>
                <c:pt idx="575">
                  <c:v>0.17737575</c:v>
                </c:pt>
                <c:pt idx="576">
                  <c:v>0.17737575</c:v>
                </c:pt>
                <c:pt idx="577">
                  <c:v>0.17737575</c:v>
                </c:pt>
                <c:pt idx="578">
                  <c:v>0.17735799999999999</c:v>
                </c:pt>
                <c:pt idx="579">
                  <c:v>0.17735799999999999</c:v>
                </c:pt>
                <c:pt idx="580">
                  <c:v>0.17735799999999999</c:v>
                </c:pt>
                <c:pt idx="581">
                  <c:v>0.17735799999999999</c:v>
                </c:pt>
                <c:pt idx="582">
                  <c:v>0.17735799999999999</c:v>
                </c:pt>
                <c:pt idx="583">
                  <c:v>0.17735799999999999</c:v>
                </c:pt>
                <c:pt idx="584">
                  <c:v>0.17735799999999999</c:v>
                </c:pt>
                <c:pt idx="585">
                  <c:v>0.17735799999999999</c:v>
                </c:pt>
                <c:pt idx="586">
                  <c:v>0.17735799999999999</c:v>
                </c:pt>
                <c:pt idx="587">
                  <c:v>0.17735799999999999</c:v>
                </c:pt>
                <c:pt idx="588">
                  <c:v>0.17735799999999999</c:v>
                </c:pt>
                <c:pt idx="589">
                  <c:v>0.17735799999999999</c:v>
                </c:pt>
                <c:pt idx="590">
                  <c:v>0.17735799999999999</c:v>
                </c:pt>
                <c:pt idx="591">
                  <c:v>0.17735799999999999</c:v>
                </c:pt>
                <c:pt idx="592">
                  <c:v>0.17735799999999999</c:v>
                </c:pt>
                <c:pt idx="593">
                  <c:v>0.17735799999999999</c:v>
                </c:pt>
                <c:pt idx="594">
                  <c:v>0.17735799999999999</c:v>
                </c:pt>
                <c:pt idx="595">
                  <c:v>0.17735799999999999</c:v>
                </c:pt>
                <c:pt idx="596">
                  <c:v>0.17735799999999999</c:v>
                </c:pt>
                <c:pt idx="597">
                  <c:v>0.17735799999999999</c:v>
                </c:pt>
                <c:pt idx="598">
                  <c:v>0.17735799999999999</c:v>
                </c:pt>
                <c:pt idx="599">
                  <c:v>0.17735799999999999</c:v>
                </c:pt>
                <c:pt idx="600">
                  <c:v>0.17735799999999999</c:v>
                </c:pt>
                <c:pt idx="601">
                  <c:v>0.17735799999999999</c:v>
                </c:pt>
                <c:pt idx="602">
                  <c:v>0.17735799999999999</c:v>
                </c:pt>
                <c:pt idx="603">
                  <c:v>0.17735799999999999</c:v>
                </c:pt>
                <c:pt idx="604">
                  <c:v>0.17735799999999999</c:v>
                </c:pt>
                <c:pt idx="605">
                  <c:v>0.17735799999999999</c:v>
                </c:pt>
                <c:pt idx="606">
                  <c:v>0.17735799999999999</c:v>
                </c:pt>
                <c:pt idx="607">
                  <c:v>0.17735799999999999</c:v>
                </c:pt>
                <c:pt idx="608">
                  <c:v>0.17735799999999999</c:v>
                </c:pt>
                <c:pt idx="609">
                  <c:v>0.17735799999999999</c:v>
                </c:pt>
                <c:pt idx="610">
                  <c:v>0.17735799999999999</c:v>
                </c:pt>
                <c:pt idx="611">
                  <c:v>0.17735799999999999</c:v>
                </c:pt>
                <c:pt idx="612">
                  <c:v>0.17735799999999999</c:v>
                </c:pt>
                <c:pt idx="613">
                  <c:v>0.17735799999999999</c:v>
                </c:pt>
                <c:pt idx="614">
                  <c:v>0.17735799999999999</c:v>
                </c:pt>
                <c:pt idx="615">
                  <c:v>0.17735799999999999</c:v>
                </c:pt>
                <c:pt idx="616">
                  <c:v>0.17735799999999999</c:v>
                </c:pt>
                <c:pt idx="617">
                  <c:v>0.17735799999999999</c:v>
                </c:pt>
                <c:pt idx="618">
                  <c:v>0.17737575</c:v>
                </c:pt>
                <c:pt idx="619">
                  <c:v>0.17737575</c:v>
                </c:pt>
                <c:pt idx="620">
                  <c:v>0.17737575</c:v>
                </c:pt>
                <c:pt idx="621">
                  <c:v>0.17737575</c:v>
                </c:pt>
                <c:pt idx="622">
                  <c:v>0.17737575</c:v>
                </c:pt>
                <c:pt idx="623">
                  <c:v>0.17737575</c:v>
                </c:pt>
                <c:pt idx="624">
                  <c:v>0.17737575</c:v>
                </c:pt>
                <c:pt idx="625">
                  <c:v>0.17737575</c:v>
                </c:pt>
                <c:pt idx="626">
                  <c:v>0.17737575</c:v>
                </c:pt>
                <c:pt idx="627">
                  <c:v>0.17737575</c:v>
                </c:pt>
                <c:pt idx="628">
                  <c:v>0.17737575</c:v>
                </c:pt>
                <c:pt idx="629">
                  <c:v>0.17737575</c:v>
                </c:pt>
                <c:pt idx="630">
                  <c:v>0.17737575</c:v>
                </c:pt>
                <c:pt idx="631">
                  <c:v>0.17737575</c:v>
                </c:pt>
                <c:pt idx="632">
                  <c:v>0.17737575</c:v>
                </c:pt>
                <c:pt idx="633">
                  <c:v>0.17737575</c:v>
                </c:pt>
                <c:pt idx="634">
                  <c:v>0.17737575</c:v>
                </c:pt>
                <c:pt idx="635">
                  <c:v>0.17737575</c:v>
                </c:pt>
                <c:pt idx="636">
                  <c:v>0.17737575</c:v>
                </c:pt>
                <c:pt idx="637">
                  <c:v>0.17737575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18D-43E7-A904-B3AB57D98537}"/>
            </c:ext>
          </c:extLst>
        </c:ser>
        <c:ser>
          <c:idx val="4"/>
          <c:order val="3"/>
          <c:tx>
            <c:v>ERYA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'Ex 2 FULL 1 50 eV'!$L$2:$L$122</c:f>
              <c:numCache>
                <c:formatCode>General</c:formatCode>
                <c:ptCount val="121"/>
                <c:pt idx="0">
                  <c:v>1682</c:v>
                </c:pt>
                <c:pt idx="1">
                  <c:v>1682.05</c:v>
                </c:pt>
                <c:pt idx="2">
                  <c:v>1682.1</c:v>
                </c:pt>
                <c:pt idx="3">
                  <c:v>1682.15</c:v>
                </c:pt>
                <c:pt idx="4">
                  <c:v>1682.2</c:v>
                </c:pt>
                <c:pt idx="5">
                  <c:v>1682.25</c:v>
                </c:pt>
                <c:pt idx="6">
                  <c:v>1682.3</c:v>
                </c:pt>
                <c:pt idx="7">
                  <c:v>1682.35</c:v>
                </c:pt>
                <c:pt idx="8">
                  <c:v>1682.4</c:v>
                </c:pt>
                <c:pt idx="9">
                  <c:v>1682.45</c:v>
                </c:pt>
                <c:pt idx="10">
                  <c:v>1682.5</c:v>
                </c:pt>
                <c:pt idx="11">
                  <c:v>1682.55</c:v>
                </c:pt>
                <c:pt idx="12">
                  <c:v>1682.6</c:v>
                </c:pt>
                <c:pt idx="13">
                  <c:v>1682.65</c:v>
                </c:pt>
                <c:pt idx="14">
                  <c:v>1682.7</c:v>
                </c:pt>
                <c:pt idx="15">
                  <c:v>1682.75</c:v>
                </c:pt>
                <c:pt idx="16">
                  <c:v>1682.8</c:v>
                </c:pt>
                <c:pt idx="17">
                  <c:v>1682.85</c:v>
                </c:pt>
                <c:pt idx="18">
                  <c:v>1682.9</c:v>
                </c:pt>
                <c:pt idx="19">
                  <c:v>1682.95</c:v>
                </c:pt>
                <c:pt idx="20">
                  <c:v>1683</c:v>
                </c:pt>
                <c:pt idx="21">
                  <c:v>1683.05</c:v>
                </c:pt>
                <c:pt idx="22">
                  <c:v>1683.1</c:v>
                </c:pt>
                <c:pt idx="23">
                  <c:v>1683.15</c:v>
                </c:pt>
                <c:pt idx="24">
                  <c:v>1683.2</c:v>
                </c:pt>
                <c:pt idx="25">
                  <c:v>1683.25</c:v>
                </c:pt>
                <c:pt idx="26">
                  <c:v>1683.3</c:v>
                </c:pt>
                <c:pt idx="27">
                  <c:v>1683.35</c:v>
                </c:pt>
                <c:pt idx="28">
                  <c:v>1683.4</c:v>
                </c:pt>
                <c:pt idx="29">
                  <c:v>1683.45</c:v>
                </c:pt>
                <c:pt idx="30">
                  <c:v>1683.5</c:v>
                </c:pt>
                <c:pt idx="31">
                  <c:v>1683.55</c:v>
                </c:pt>
                <c:pt idx="32">
                  <c:v>1683.6</c:v>
                </c:pt>
                <c:pt idx="33">
                  <c:v>1683.65</c:v>
                </c:pt>
                <c:pt idx="34">
                  <c:v>1683.7</c:v>
                </c:pt>
                <c:pt idx="35">
                  <c:v>1683.75</c:v>
                </c:pt>
                <c:pt idx="36">
                  <c:v>1683.8</c:v>
                </c:pt>
                <c:pt idx="37">
                  <c:v>1683.85</c:v>
                </c:pt>
                <c:pt idx="38">
                  <c:v>1683.9</c:v>
                </c:pt>
                <c:pt idx="39">
                  <c:v>1683.95</c:v>
                </c:pt>
                <c:pt idx="40">
                  <c:v>1684</c:v>
                </c:pt>
                <c:pt idx="41">
                  <c:v>1684.05</c:v>
                </c:pt>
                <c:pt idx="42">
                  <c:v>1684.1</c:v>
                </c:pt>
                <c:pt idx="43">
                  <c:v>1684.15</c:v>
                </c:pt>
                <c:pt idx="44">
                  <c:v>1684.2</c:v>
                </c:pt>
                <c:pt idx="45">
                  <c:v>1684.25</c:v>
                </c:pt>
                <c:pt idx="46">
                  <c:v>1684.3</c:v>
                </c:pt>
                <c:pt idx="47">
                  <c:v>1684.35</c:v>
                </c:pt>
                <c:pt idx="48">
                  <c:v>1684.4</c:v>
                </c:pt>
                <c:pt idx="49">
                  <c:v>1684.45</c:v>
                </c:pt>
                <c:pt idx="50">
                  <c:v>1684.5</c:v>
                </c:pt>
                <c:pt idx="51">
                  <c:v>1684.55</c:v>
                </c:pt>
                <c:pt idx="52">
                  <c:v>1684.6</c:v>
                </c:pt>
                <c:pt idx="53">
                  <c:v>1684.65</c:v>
                </c:pt>
                <c:pt idx="54">
                  <c:v>1684.7</c:v>
                </c:pt>
                <c:pt idx="55">
                  <c:v>1684.75</c:v>
                </c:pt>
                <c:pt idx="56">
                  <c:v>1684.8</c:v>
                </c:pt>
                <c:pt idx="57">
                  <c:v>1684.85</c:v>
                </c:pt>
                <c:pt idx="58">
                  <c:v>1684.9</c:v>
                </c:pt>
                <c:pt idx="59">
                  <c:v>1684.95</c:v>
                </c:pt>
                <c:pt idx="60">
                  <c:v>1685</c:v>
                </c:pt>
                <c:pt idx="61">
                  <c:v>1685.05</c:v>
                </c:pt>
                <c:pt idx="62">
                  <c:v>1685.1</c:v>
                </c:pt>
                <c:pt idx="63">
                  <c:v>1685.15</c:v>
                </c:pt>
                <c:pt idx="64">
                  <c:v>1685.2</c:v>
                </c:pt>
                <c:pt idx="65">
                  <c:v>1685.25</c:v>
                </c:pt>
                <c:pt idx="66">
                  <c:v>1685.3</c:v>
                </c:pt>
                <c:pt idx="67">
                  <c:v>1685.35</c:v>
                </c:pt>
                <c:pt idx="68">
                  <c:v>1685.4</c:v>
                </c:pt>
                <c:pt idx="69">
                  <c:v>1685.45</c:v>
                </c:pt>
                <c:pt idx="70">
                  <c:v>1685.5</c:v>
                </c:pt>
                <c:pt idx="71">
                  <c:v>1685.55</c:v>
                </c:pt>
                <c:pt idx="72">
                  <c:v>1685.6</c:v>
                </c:pt>
                <c:pt idx="73">
                  <c:v>1685.65</c:v>
                </c:pt>
                <c:pt idx="74">
                  <c:v>1685.7</c:v>
                </c:pt>
                <c:pt idx="75">
                  <c:v>1685.75</c:v>
                </c:pt>
                <c:pt idx="76">
                  <c:v>1685.8</c:v>
                </c:pt>
                <c:pt idx="77">
                  <c:v>1685.85</c:v>
                </c:pt>
                <c:pt idx="78">
                  <c:v>1685.9</c:v>
                </c:pt>
                <c:pt idx="79">
                  <c:v>1685.95</c:v>
                </c:pt>
                <c:pt idx="80">
                  <c:v>1686</c:v>
                </c:pt>
                <c:pt idx="81">
                  <c:v>1686.05</c:v>
                </c:pt>
                <c:pt idx="82">
                  <c:v>1686.1</c:v>
                </c:pt>
                <c:pt idx="83">
                  <c:v>1686.15</c:v>
                </c:pt>
                <c:pt idx="84">
                  <c:v>1686.2</c:v>
                </c:pt>
                <c:pt idx="85">
                  <c:v>1686.25</c:v>
                </c:pt>
                <c:pt idx="86">
                  <c:v>1686.3</c:v>
                </c:pt>
                <c:pt idx="87">
                  <c:v>1686.35</c:v>
                </c:pt>
                <c:pt idx="88">
                  <c:v>1686.4</c:v>
                </c:pt>
                <c:pt idx="89">
                  <c:v>1686.45</c:v>
                </c:pt>
                <c:pt idx="90">
                  <c:v>1686.5</c:v>
                </c:pt>
                <c:pt idx="91">
                  <c:v>1686.55</c:v>
                </c:pt>
                <c:pt idx="92">
                  <c:v>1686.6</c:v>
                </c:pt>
                <c:pt idx="93">
                  <c:v>1686.65</c:v>
                </c:pt>
                <c:pt idx="94">
                  <c:v>1686.7</c:v>
                </c:pt>
                <c:pt idx="95">
                  <c:v>1686.75</c:v>
                </c:pt>
                <c:pt idx="96">
                  <c:v>1686.8</c:v>
                </c:pt>
                <c:pt idx="97">
                  <c:v>1686.85</c:v>
                </c:pt>
                <c:pt idx="98">
                  <c:v>1686.9</c:v>
                </c:pt>
                <c:pt idx="99">
                  <c:v>1686.95</c:v>
                </c:pt>
                <c:pt idx="100">
                  <c:v>1687</c:v>
                </c:pt>
                <c:pt idx="101">
                  <c:v>1687.05</c:v>
                </c:pt>
                <c:pt idx="102">
                  <c:v>1687.1</c:v>
                </c:pt>
                <c:pt idx="103">
                  <c:v>1687.15</c:v>
                </c:pt>
                <c:pt idx="104">
                  <c:v>1687.2</c:v>
                </c:pt>
                <c:pt idx="105">
                  <c:v>1687.25</c:v>
                </c:pt>
                <c:pt idx="106">
                  <c:v>1687.3</c:v>
                </c:pt>
                <c:pt idx="107">
                  <c:v>1687.35</c:v>
                </c:pt>
                <c:pt idx="108">
                  <c:v>1687.4</c:v>
                </c:pt>
                <c:pt idx="109">
                  <c:v>1687.45</c:v>
                </c:pt>
                <c:pt idx="110">
                  <c:v>1687.5</c:v>
                </c:pt>
                <c:pt idx="111">
                  <c:v>1687.55</c:v>
                </c:pt>
                <c:pt idx="112">
                  <c:v>1687.6</c:v>
                </c:pt>
                <c:pt idx="113">
                  <c:v>1687.65</c:v>
                </c:pt>
                <c:pt idx="114">
                  <c:v>1687.7</c:v>
                </c:pt>
                <c:pt idx="115">
                  <c:v>1687.75</c:v>
                </c:pt>
                <c:pt idx="116">
                  <c:v>1687.8</c:v>
                </c:pt>
                <c:pt idx="117">
                  <c:v>1687.85</c:v>
                </c:pt>
                <c:pt idx="118">
                  <c:v>1687.9</c:v>
                </c:pt>
                <c:pt idx="119">
                  <c:v>1687.95</c:v>
                </c:pt>
                <c:pt idx="120">
                  <c:v>1688</c:v>
                </c:pt>
              </c:numCache>
            </c:numRef>
          </c:xVal>
          <c:yVal>
            <c:numRef>
              <c:f>'Ex 2 FULL 1 50 eV'!$N$2:$N$122</c:f>
              <c:numCache>
                <c:formatCode>General</c:formatCode>
                <c:ptCount val="121"/>
                <c:pt idx="0">
                  <c:v>2.2929999999999999E-3</c:v>
                </c:pt>
                <c:pt idx="1">
                  <c:v>2.5330000000000001E-3</c:v>
                </c:pt>
                <c:pt idx="2">
                  <c:v>2.8479999999999998E-3</c:v>
                </c:pt>
                <c:pt idx="3">
                  <c:v>3.2560000000000002E-3</c:v>
                </c:pt>
                <c:pt idx="4">
                  <c:v>3.771E-3</c:v>
                </c:pt>
                <c:pt idx="5">
                  <c:v>4.4299999999999999E-3</c:v>
                </c:pt>
                <c:pt idx="6">
                  <c:v>5.2719999999999998E-3</c:v>
                </c:pt>
                <c:pt idx="7">
                  <c:v>6.3369999999999998E-3</c:v>
                </c:pt>
                <c:pt idx="8">
                  <c:v>7.5989999999999999E-3</c:v>
                </c:pt>
                <c:pt idx="9">
                  <c:v>9.1780000000000004E-3</c:v>
                </c:pt>
                <c:pt idx="10">
                  <c:v>1.1023E-2</c:v>
                </c:pt>
                <c:pt idx="11">
                  <c:v>1.329E-2</c:v>
                </c:pt>
                <c:pt idx="12">
                  <c:v>1.5821999999999999E-2</c:v>
                </c:pt>
                <c:pt idx="13">
                  <c:v>1.8960000000000001E-2</c:v>
                </c:pt>
                <c:pt idx="14">
                  <c:v>2.2603999999999999E-2</c:v>
                </c:pt>
                <c:pt idx="15">
                  <c:v>2.6912999999999999E-2</c:v>
                </c:pt>
                <c:pt idx="16">
                  <c:v>3.1602999999999999E-2</c:v>
                </c:pt>
                <c:pt idx="17">
                  <c:v>3.6875999999999999E-2</c:v>
                </c:pt>
                <c:pt idx="18">
                  <c:v>4.3083000000000003E-2</c:v>
                </c:pt>
                <c:pt idx="19">
                  <c:v>4.9846000000000001E-2</c:v>
                </c:pt>
                <c:pt idx="20">
                  <c:v>5.7176999999999999E-2</c:v>
                </c:pt>
                <c:pt idx="21">
                  <c:v>6.4393000000000006E-2</c:v>
                </c:pt>
                <c:pt idx="22">
                  <c:v>7.3042999999999997E-2</c:v>
                </c:pt>
                <c:pt idx="23">
                  <c:v>8.1673999999999997E-2</c:v>
                </c:pt>
                <c:pt idx="24">
                  <c:v>9.1032000000000002E-2</c:v>
                </c:pt>
                <c:pt idx="25">
                  <c:v>9.912E-2</c:v>
                </c:pt>
                <c:pt idx="26">
                  <c:v>0.108545</c:v>
                </c:pt>
                <c:pt idx="27">
                  <c:v>0.11749999999999999</c:v>
                </c:pt>
                <c:pt idx="28">
                  <c:v>0.12695600000000001</c:v>
                </c:pt>
                <c:pt idx="29">
                  <c:v>0.13447200000000001</c:v>
                </c:pt>
                <c:pt idx="30">
                  <c:v>0.14250299999999999</c:v>
                </c:pt>
                <c:pt idx="31">
                  <c:v>0.14974899999999999</c:v>
                </c:pt>
                <c:pt idx="32">
                  <c:v>0.15726100000000001</c:v>
                </c:pt>
                <c:pt idx="33">
                  <c:v>0.162909</c:v>
                </c:pt>
                <c:pt idx="34">
                  <c:v>0.16805600000000001</c:v>
                </c:pt>
                <c:pt idx="35">
                  <c:v>0.17250099999999999</c:v>
                </c:pt>
                <c:pt idx="36">
                  <c:v>0.17682100000000001</c:v>
                </c:pt>
                <c:pt idx="37">
                  <c:v>0.180092</c:v>
                </c:pt>
                <c:pt idx="38">
                  <c:v>0.18242700000000001</c:v>
                </c:pt>
                <c:pt idx="39">
                  <c:v>0.184336</c:v>
                </c:pt>
                <c:pt idx="40">
                  <c:v>0.18576699999999999</c:v>
                </c:pt>
                <c:pt idx="41">
                  <c:v>0.18693199999999999</c:v>
                </c:pt>
                <c:pt idx="42">
                  <c:v>0.187469</c:v>
                </c:pt>
                <c:pt idx="43">
                  <c:v>0.18773799999999999</c:v>
                </c:pt>
                <c:pt idx="44">
                  <c:v>0.187615</c:v>
                </c:pt>
                <c:pt idx="45">
                  <c:v>0.18744</c:v>
                </c:pt>
                <c:pt idx="46">
                  <c:v>0.18710199999999999</c:v>
                </c:pt>
                <c:pt idx="47">
                  <c:v>0.18659899999999999</c:v>
                </c:pt>
                <c:pt idx="48">
                  <c:v>0.18599099999999999</c:v>
                </c:pt>
                <c:pt idx="49">
                  <c:v>0.185389</c:v>
                </c:pt>
                <c:pt idx="50">
                  <c:v>0.184726</c:v>
                </c:pt>
                <c:pt idx="51">
                  <c:v>0.18406800000000001</c:v>
                </c:pt>
                <c:pt idx="52">
                  <c:v>0.183451</c:v>
                </c:pt>
                <c:pt idx="53">
                  <c:v>0.18282999999999999</c:v>
                </c:pt>
                <c:pt idx="54">
                  <c:v>0.182251</c:v>
                </c:pt>
                <c:pt idx="55">
                  <c:v>0.18164</c:v>
                </c:pt>
                <c:pt idx="56">
                  <c:v>0.181199</c:v>
                </c:pt>
                <c:pt idx="57">
                  <c:v>0.180751</c:v>
                </c:pt>
                <c:pt idx="58">
                  <c:v>0.18029700000000001</c:v>
                </c:pt>
                <c:pt idx="59">
                  <c:v>0.17985799999999999</c:v>
                </c:pt>
                <c:pt idx="60">
                  <c:v>0.179591</c:v>
                </c:pt>
                <c:pt idx="61">
                  <c:v>0.17922399999999999</c:v>
                </c:pt>
                <c:pt idx="62">
                  <c:v>0.17904600000000001</c:v>
                </c:pt>
                <c:pt idx="63">
                  <c:v>0.178783</c:v>
                </c:pt>
                <c:pt idx="64">
                  <c:v>0.17866799999999999</c:v>
                </c:pt>
                <c:pt idx="65">
                  <c:v>0.17855699999999999</c:v>
                </c:pt>
                <c:pt idx="66">
                  <c:v>0.17834800000000001</c:v>
                </c:pt>
                <c:pt idx="67">
                  <c:v>0.178288</c:v>
                </c:pt>
                <c:pt idx="68">
                  <c:v>0.17824100000000001</c:v>
                </c:pt>
                <c:pt idx="69">
                  <c:v>0.17827000000000001</c:v>
                </c:pt>
                <c:pt idx="70">
                  <c:v>0.178313</c:v>
                </c:pt>
                <c:pt idx="71">
                  <c:v>0.178263</c:v>
                </c:pt>
                <c:pt idx="72">
                  <c:v>0.178318</c:v>
                </c:pt>
                <c:pt idx="73">
                  <c:v>0.178374</c:v>
                </c:pt>
                <c:pt idx="74">
                  <c:v>0.17832200000000001</c:v>
                </c:pt>
                <c:pt idx="75">
                  <c:v>0.17863699999999999</c:v>
                </c:pt>
                <c:pt idx="76">
                  <c:v>0.178456</c:v>
                </c:pt>
                <c:pt idx="77">
                  <c:v>0.17860200000000001</c:v>
                </c:pt>
                <c:pt idx="78">
                  <c:v>0.17875099999999999</c:v>
                </c:pt>
                <c:pt idx="79">
                  <c:v>0.178871</c:v>
                </c:pt>
                <c:pt idx="80">
                  <c:v>0.17886199999999999</c:v>
                </c:pt>
                <c:pt idx="81">
                  <c:v>0.178898</c:v>
                </c:pt>
                <c:pt idx="82">
                  <c:v>0.17893300000000001</c:v>
                </c:pt>
                <c:pt idx="83">
                  <c:v>0.17910899999999999</c:v>
                </c:pt>
                <c:pt idx="84">
                  <c:v>0.17904200000000001</c:v>
                </c:pt>
                <c:pt idx="85">
                  <c:v>0.17911199999999999</c:v>
                </c:pt>
                <c:pt idx="86">
                  <c:v>0.179201</c:v>
                </c:pt>
                <c:pt idx="87">
                  <c:v>0.17927899999999999</c:v>
                </c:pt>
                <c:pt idx="88">
                  <c:v>0.17929500000000001</c:v>
                </c:pt>
                <c:pt idx="89">
                  <c:v>0.179422</c:v>
                </c:pt>
                <c:pt idx="90">
                  <c:v>0.179648</c:v>
                </c:pt>
                <c:pt idx="91">
                  <c:v>0.17985000000000001</c:v>
                </c:pt>
                <c:pt idx="92">
                  <c:v>0.17942900000000001</c:v>
                </c:pt>
                <c:pt idx="93">
                  <c:v>0.17962800000000001</c:v>
                </c:pt>
                <c:pt idx="94">
                  <c:v>0.179809</c:v>
                </c:pt>
                <c:pt idx="95">
                  <c:v>0.17971100000000001</c:v>
                </c:pt>
                <c:pt idx="96">
                  <c:v>0.179646</c:v>
                </c:pt>
                <c:pt idx="97">
                  <c:v>0.179475</c:v>
                </c:pt>
                <c:pt idx="98">
                  <c:v>0.179978</c:v>
                </c:pt>
                <c:pt idx="99">
                  <c:v>0.179897</c:v>
                </c:pt>
                <c:pt idx="100">
                  <c:v>0.17974200000000001</c:v>
                </c:pt>
                <c:pt idx="101">
                  <c:v>0.179703</c:v>
                </c:pt>
                <c:pt idx="102">
                  <c:v>0.17990500000000001</c:v>
                </c:pt>
                <c:pt idx="103">
                  <c:v>0.180198</c:v>
                </c:pt>
                <c:pt idx="104">
                  <c:v>0.18024399999999999</c:v>
                </c:pt>
                <c:pt idx="105">
                  <c:v>0.180035</c:v>
                </c:pt>
                <c:pt idx="106">
                  <c:v>0.17993600000000001</c:v>
                </c:pt>
                <c:pt idx="107">
                  <c:v>0.18013299999999999</c:v>
                </c:pt>
                <c:pt idx="108">
                  <c:v>0.180252</c:v>
                </c:pt>
                <c:pt idx="109">
                  <c:v>0.180614</c:v>
                </c:pt>
                <c:pt idx="110">
                  <c:v>0.18055299999999999</c:v>
                </c:pt>
                <c:pt idx="111">
                  <c:v>0.18048900000000001</c:v>
                </c:pt>
                <c:pt idx="112">
                  <c:v>0.18034800000000001</c:v>
                </c:pt>
                <c:pt idx="113">
                  <c:v>0.18052599999999999</c:v>
                </c:pt>
                <c:pt idx="114">
                  <c:v>0.180783</c:v>
                </c:pt>
                <c:pt idx="115">
                  <c:v>0.18109800000000001</c:v>
                </c:pt>
                <c:pt idx="116">
                  <c:v>0.18127399999999999</c:v>
                </c:pt>
                <c:pt idx="117">
                  <c:v>0.18126999999999999</c:v>
                </c:pt>
                <c:pt idx="118">
                  <c:v>0.181094</c:v>
                </c:pt>
                <c:pt idx="119">
                  <c:v>0.18116099999999999</c:v>
                </c:pt>
                <c:pt idx="120">
                  <c:v>0.18119499999999999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18D-43E7-A904-B3AB57D985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0070904"/>
        <c:axId val="580076664"/>
      </c:scatterChart>
      <c:valAx>
        <c:axId val="580070904"/>
        <c:scaling>
          <c:orientation val="minMax"/>
          <c:max val="1688"/>
          <c:min val="168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beam energy (keV)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076664"/>
        <c:crosses val="autoZero"/>
        <c:crossBetween val="midCat"/>
      </c:valAx>
      <c:valAx>
        <c:axId val="580076664"/>
        <c:scaling>
          <c:orientation val="minMax"/>
          <c:max val="0.19500000000000003"/>
          <c:min val="0.1600000000000000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yield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0709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1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420872</xdr:colOff>
      <xdr:row>0</xdr:row>
      <xdr:rowOff>88605</xdr:rowOff>
    </xdr:from>
    <xdr:to>
      <xdr:col>17</xdr:col>
      <xdr:colOff>1444698</xdr:colOff>
      <xdr:row>22</xdr:row>
      <xdr:rowOff>55379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2F5777-F113-631B-190A-F1ED3B4B69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498401</xdr:colOff>
      <xdr:row>22</xdr:row>
      <xdr:rowOff>122495</xdr:rowOff>
    </xdr:from>
    <xdr:to>
      <xdr:col>17</xdr:col>
      <xdr:colOff>1435172</xdr:colOff>
      <xdr:row>42</xdr:row>
      <xdr:rowOff>110754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AD521EA-6786-4D78-C79B-D1CB75DB83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219319</xdr:colOff>
      <xdr:row>0</xdr:row>
      <xdr:rowOff>12455</xdr:rowOff>
    </xdr:from>
    <xdr:to>
      <xdr:col>23</xdr:col>
      <xdr:colOff>268652</xdr:colOff>
      <xdr:row>22</xdr:row>
      <xdr:rowOff>109903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1FC839-C0A2-DD0D-BDF0-1752952951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232020</xdr:colOff>
      <xdr:row>22</xdr:row>
      <xdr:rowOff>103308</xdr:rowOff>
    </xdr:from>
    <xdr:to>
      <xdr:col>23</xdr:col>
      <xdr:colOff>293077</xdr:colOff>
      <xdr:row>44</xdr:row>
      <xdr:rowOff>183174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695C815-5C25-9E45-EF2C-EEA34C0EFD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230300</xdr:colOff>
      <xdr:row>1</xdr:row>
      <xdr:rowOff>161925</xdr:rowOff>
    </xdr:from>
    <xdr:to>
      <xdr:col>34</xdr:col>
      <xdr:colOff>321527</xdr:colOff>
      <xdr:row>27</xdr:row>
      <xdr:rowOff>196772</xdr:rowOff>
    </xdr:to>
    <xdr:graphicFrame macro="">
      <xdr:nvGraphicFramePr>
        <xdr:cNvPr id="9" name="Chart 1">
          <a:extLst>
            <a:ext uri="{FF2B5EF4-FFF2-40B4-BE49-F238E27FC236}">
              <a16:creationId xmlns:a16="http://schemas.microsoft.com/office/drawing/2014/main" id="{36A50D4A-36C4-6991-61C3-63EF8F01CD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162388</xdr:colOff>
      <xdr:row>30</xdr:row>
      <xdr:rowOff>139856</xdr:rowOff>
    </xdr:from>
    <xdr:to>
      <xdr:col>30</xdr:col>
      <xdr:colOff>663496</xdr:colOff>
      <xdr:row>56</xdr:row>
      <xdr:rowOff>84331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AB93062-F32E-E7FA-BCA8-B6EEFAAF06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651040</xdr:colOff>
      <xdr:row>0</xdr:row>
      <xdr:rowOff>0</xdr:rowOff>
    </xdr:from>
    <xdr:to>
      <xdr:col>31</xdr:col>
      <xdr:colOff>500062</xdr:colOff>
      <xdr:row>26</xdr:row>
      <xdr:rowOff>107155</xdr:rowOff>
    </xdr:to>
    <xdr:graphicFrame macro="">
      <xdr:nvGraphicFramePr>
        <xdr:cNvPr id="9" name="Chart 1">
          <a:extLst>
            <a:ext uri="{FF2B5EF4-FFF2-40B4-BE49-F238E27FC236}">
              <a16:creationId xmlns:a16="http://schemas.microsoft.com/office/drawing/2014/main" id="{31A48243-7B08-57A1-10C2-C0F377B471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641517</xdr:colOff>
      <xdr:row>26</xdr:row>
      <xdr:rowOff>123717</xdr:rowOff>
    </xdr:from>
    <xdr:to>
      <xdr:col>31</xdr:col>
      <xdr:colOff>547686</xdr:colOff>
      <xdr:row>53</xdr:row>
      <xdr:rowOff>47625</xdr:rowOff>
    </xdr:to>
    <xdr:graphicFrame macro="">
      <xdr:nvGraphicFramePr>
        <xdr:cNvPr id="8" name="Chart 2">
          <a:extLst>
            <a:ext uri="{FF2B5EF4-FFF2-40B4-BE49-F238E27FC236}">
              <a16:creationId xmlns:a16="http://schemas.microsoft.com/office/drawing/2014/main" id="{46CD4B91-3AEB-DF31-1AC0-2F5F36739F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245424</xdr:colOff>
      <xdr:row>3</xdr:row>
      <xdr:rowOff>187816</xdr:rowOff>
    </xdr:from>
    <xdr:to>
      <xdr:col>34</xdr:col>
      <xdr:colOff>93908</xdr:colOff>
      <xdr:row>42</xdr:row>
      <xdr:rowOff>120738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014671-7F9C-7600-760D-0031678010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137144</xdr:colOff>
      <xdr:row>42</xdr:row>
      <xdr:rowOff>182732</xdr:rowOff>
    </xdr:from>
    <xdr:to>
      <xdr:col>31</xdr:col>
      <xdr:colOff>564210</xdr:colOff>
      <xdr:row>75</xdr:row>
      <xdr:rowOff>188575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0368CAC-4E7E-44C3-A103-3DD740BC6B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37</xdr:col>
      <xdr:colOff>237314</xdr:colOff>
      <xdr:row>8</xdr:row>
      <xdr:rowOff>73367</xdr:rowOff>
    </xdr:from>
    <xdr:to>
      <xdr:col>65</xdr:col>
      <xdr:colOff>206591</xdr:colOff>
      <xdr:row>42</xdr:row>
      <xdr:rowOff>22041</xdr:rowOff>
    </xdr:to>
    <xdr:pic>
      <xdr:nvPicPr>
        <xdr:cNvPr id="3" name="Picture 8">
          <a:extLst>
            <a:ext uri="{FF2B5EF4-FFF2-40B4-BE49-F238E27FC236}">
              <a16:creationId xmlns:a16="http://schemas.microsoft.com/office/drawing/2014/main" id="{4EF46802-DDE6-73F9-FA9C-B43BCC519B17}"/>
            </a:ext>
            <a:ext uri="{147F2762-F138-4A5C-976F-8EAC2B608ADB}">
              <a16:predDERef xmlns:a16="http://schemas.microsoft.com/office/drawing/2014/main" pred="{10368CAC-4E7E-44C3-A103-3DD740BC6B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01363" y="1683226"/>
          <a:ext cx="19126601" cy="67905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29</xdr:col>
      <xdr:colOff>0</xdr:colOff>
      <xdr:row>42</xdr:row>
      <xdr:rowOff>0</xdr:rowOff>
    </xdr:from>
    <xdr:to>
      <xdr:col>41</xdr:col>
      <xdr:colOff>427820</xdr:colOff>
      <xdr:row>75</xdr:row>
      <xdr:rowOff>5843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5618360-03A0-487D-8B84-F2D4D0E4B8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326306</xdr:colOff>
      <xdr:row>2</xdr:row>
      <xdr:rowOff>42667</xdr:rowOff>
    </xdr:from>
    <xdr:to>
      <xdr:col>31</xdr:col>
      <xdr:colOff>656506</xdr:colOff>
      <xdr:row>32</xdr:row>
      <xdr:rowOff>134508</xdr:rowOff>
    </xdr:to>
    <xdr:graphicFrame macro="">
      <xdr:nvGraphicFramePr>
        <xdr:cNvPr id="8" name="Chart 1">
          <a:extLst>
            <a:ext uri="{FF2B5EF4-FFF2-40B4-BE49-F238E27FC236}">
              <a16:creationId xmlns:a16="http://schemas.microsoft.com/office/drawing/2014/main" id="{AE8E5DA4-8088-AF01-6F64-C2EE9D719F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32</xdr:col>
      <xdr:colOff>139543</xdr:colOff>
      <xdr:row>3</xdr:row>
      <xdr:rowOff>172841</xdr:rowOff>
    </xdr:from>
    <xdr:to>
      <xdr:col>45</xdr:col>
      <xdr:colOff>256113</xdr:colOff>
      <xdr:row>34</xdr:row>
      <xdr:rowOff>46530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8A3FEBD-2015-4CC1-A932-A1F84F08D1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459666</xdr:colOff>
      <xdr:row>34</xdr:row>
      <xdr:rowOff>104653</xdr:rowOff>
    </xdr:from>
    <xdr:to>
      <xdr:col>32</xdr:col>
      <xdr:colOff>100125</xdr:colOff>
      <xdr:row>64</xdr:row>
      <xdr:rowOff>195528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D92A0451-8006-4395-A8AF-F83442302D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"/>
  <sheetViews>
    <sheetView zoomScale="86" zoomScaleNormal="86" workbookViewId="0">
      <selection activeCell="J1" sqref="J1:J1048576"/>
    </sheetView>
  </sheetViews>
  <sheetFormatPr defaultColWidth="20.625" defaultRowHeight="15.75" x14ac:dyDescent="0.25"/>
  <cols>
    <col min="1" max="1" width="16.125" customWidth="1"/>
    <col min="2" max="2" width="17.125" customWidth="1"/>
    <col min="3" max="3" width="11" customWidth="1"/>
    <col min="4" max="4" width="18.25" style="1" customWidth="1"/>
    <col min="5" max="5" width="17" style="3" customWidth="1"/>
    <col min="6" max="6" width="10.75" customWidth="1"/>
    <col min="7" max="7" width="15.125" customWidth="1"/>
    <col min="8" max="8" width="15.625" customWidth="1"/>
    <col min="9" max="10" width="11.5" customWidth="1"/>
    <col min="11" max="11" width="16.5" customWidth="1"/>
    <col min="12" max="12" width="12.625" customWidth="1"/>
    <col min="13" max="13" width="18" customWidth="1"/>
    <col min="14" max="14" width="12.625" customWidth="1"/>
  </cols>
  <sheetData>
    <row r="1" spans="1:19" x14ac:dyDescent="0.25">
      <c r="B1" t="s">
        <v>0</v>
      </c>
      <c r="E1" s="3" t="s">
        <v>1</v>
      </c>
      <c r="G1" t="s">
        <v>2</v>
      </c>
      <c r="H1" t="s">
        <v>3</v>
      </c>
      <c r="I1" t="s">
        <v>4</v>
      </c>
      <c r="K1" t="s">
        <v>5</v>
      </c>
      <c r="L1" t="s">
        <v>6</v>
      </c>
      <c r="M1" t="s">
        <v>7</v>
      </c>
      <c r="N1" t="s">
        <v>6</v>
      </c>
    </row>
    <row r="2" spans="1:19" x14ac:dyDescent="0.25">
      <c r="A2" t="s">
        <v>8</v>
      </c>
      <c r="B2" t="s">
        <v>9</v>
      </c>
      <c r="D2" t="s">
        <v>8</v>
      </c>
      <c r="E2" t="s">
        <v>9</v>
      </c>
      <c r="G2" t="s">
        <v>8</v>
      </c>
      <c r="H2" t="s">
        <v>9</v>
      </c>
    </row>
    <row r="3" spans="1:19" x14ac:dyDescent="0.25">
      <c r="A3">
        <v>1682</v>
      </c>
      <c r="B3" s="11">
        <v>0</v>
      </c>
      <c r="D3" s="1">
        <v>1682</v>
      </c>
      <c r="E3" s="3">
        <v>5.4422971000000001E-3</v>
      </c>
      <c r="G3">
        <v>1682</v>
      </c>
      <c r="H3" s="2">
        <v>9.0029265274522898E-4</v>
      </c>
      <c r="K3">
        <f>B3/E3</f>
        <v>0</v>
      </c>
      <c r="L3">
        <f>1-K3</f>
        <v>1</v>
      </c>
      <c r="M3">
        <f>H3/E3</f>
        <v>0.16542512034949891</v>
      </c>
      <c r="N3">
        <f>1-M3</f>
        <v>0.83457487965050103</v>
      </c>
      <c r="S3">
        <v>1</v>
      </c>
    </row>
    <row r="4" spans="1:19" x14ac:dyDescent="0.25">
      <c r="A4">
        <v>1682.5</v>
      </c>
      <c r="B4" s="11">
        <v>0</v>
      </c>
      <c r="D4" s="1">
        <v>1682.5</v>
      </c>
      <c r="E4" s="3">
        <v>7.7473739999999996E-3</v>
      </c>
      <c r="G4">
        <v>1682.5</v>
      </c>
      <c r="H4" s="2">
        <v>1.5609055712896801E-3</v>
      </c>
      <c r="K4">
        <f t="shared" ref="K4:K15" si="0">B4/E4</f>
        <v>0</v>
      </c>
      <c r="L4">
        <f t="shared" ref="L4:L15" si="1">1-K4</f>
        <v>1</v>
      </c>
      <c r="M4">
        <f t="shared" ref="M4:M15" si="2">H4/E4</f>
        <v>0.20147543816649102</v>
      </c>
      <c r="N4">
        <f t="shared" ref="N4:N15" si="3">1-M4</f>
        <v>0.79852456183350895</v>
      </c>
      <c r="S4">
        <v>1</v>
      </c>
    </row>
    <row r="5" spans="1:19" x14ac:dyDescent="0.25">
      <c r="A5">
        <v>1683</v>
      </c>
      <c r="B5" s="11">
        <v>4.0499999999999998E-4</v>
      </c>
      <c r="D5" s="1">
        <v>1683</v>
      </c>
      <c r="E5" s="3">
        <v>2.2732236999999999E-2</v>
      </c>
      <c r="G5">
        <v>1683</v>
      </c>
      <c r="H5" s="2">
        <v>3.7751434579460798E-3</v>
      </c>
      <c r="K5">
        <f t="shared" si="0"/>
        <v>1.7816108463060632E-2</v>
      </c>
      <c r="L5">
        <f t="shared" si="1"/>
        <v>0.98218389153693941</v>
      </c>
      <c r="M5">
        <f t="shared" si="2"/>
        <v>0.1660700378034102</v>
      </c>
      <c r="N5">
        <f t="shared" si="3"/>
        <v>0.83392996219658977</v>
      </c>
      <c r="S5">
        <v>1</v>
      </c>
    </row>
    <row r="6" spans="1:19" x14ac:dyDescent="0.25">
      <c r="A6">
        <v>1683.5</v>
      </c>
      <c r="B6" s="11">
        <v>1.7538999999999999E-2</v>
      </c>
      <c r="D6" s="1">
        <v>1683.5</v>
      </c>
      <c r="E6" s="3">
        <v>0.23283738000000001</v>
      </c>
      <c r="G6">
        <v>1683.5</v>
      </c>
      <c r="H6" s="2">
        <v>6.4144789881577E-2</v>
      </c>
      <c r="K6">
        <f t="shared" si="0"/>
        <v>7.5327252007388157E-2</v>
      </c>
      <c r="L6">
        <f t="shared" si="1"/>
        <v>0.92467274799261179</v>
      </c>
      <c r="M6">
        <f t="shared" si="2"/>
        <v>0.27549180411485902</v>
      </c>
      <c r="N6">
        <f t="shared" si="3"/>
        <v>0.72450819588514093</v>
      </c>
      <c r="S6">
        <v>1</v>
      </c>
    </row>
    <row r="7" spans="1:19" x14ac:dyDescent="0.25">
      <c r="A7">
        <v>1684</v>
      </c>
      <c r="B7" s="11">
        <v>1.5028E-2</v>
      </c>
      <c r="D7" s="1">
        <v>1684</v>
      </c>
      <c r="E7" s="3">
        <v>0.18214452</v>
      </c>
      <c r="G7">
        <v>1684</v>
      </c>
      <c r="H7" s="2">
        <v>9.2058050207282693E-2</v>
      </c>
      <c r="K7">
        <f t="shared" si="0"/>
        <v>8.2505913436209874E-2</v>
      </c>
      <c r="L7">
        <f t="shared" si="1"/>
        <v>0.91749408656379017</v>
      </c>
      <c r="M7">
        <f t="shared" si="2"/>
        <v>0.50541213212059688</v>
      </c>
      <c r="N7">
        <f t="shared" si="3"/>
        <v>0.49458786787940312</v>
      </c>
      <c r="S7">
        <v>1</v>
      </c>
    </row>
    <row r="8" spans="1:19" x14ac:dyDescent="0.25">
      <c r="A8">
        <v>1684.5</v>
      </c>
      <c r="B8" s="11">
        <v>1.3826E-2</v>
      </c>
      <c r="D8" s="1">
        <v>1684.5</v>
      </c>
      <c r="E8" s="3">
        <v>0.17810574000000001</v>
      </c>
      <c r="G8">
        <v>1684.5</v>
      </c>
      <c r="H8" s="2">
        <v>0.113084359477653</v>
      </c>
      <c r="K8">
        <f t="shared" si="0"/>
        <v>7.7628042757072274E-2</v>
      </c>
      <c r="L8">
        <f t="shared" si="1"/>
        <v>0.92237195724292775</v>
      </c>
      <c r="M8">
        <f t="shared" si="2"/>
        <v>0.63492821442842318</v>
      </c>
      <c r="N8">
        <f t="shared" si="3"/>
        <v>0.36507178557157682</v>
      </c>
      <c r="S8">
        <v>1</v>
      </c>
    </row>
    <row r="9" spans="1:19" x14ac:dyDescent="0.25">
      <c r="A9">
        <v>1685</v>
      </c>
      <c r="B9" s="11">
        <v>1.3287999999999999E-2</v>
      </c>
      <c r="D9" s="1">
        <v>1685</v>
      </c>
      <c r="E9" s="3">
        <v>0.17740154</v>
      </c>
      <c r="G9">
        <v>1685</v>
      </c>
      <c r="H9" s="2">
        <v>0.12621375262416001</v>
      </c>
      <c r="K9">
        <f t="shared" si="0"/>
        <v>7.4903521130650838E-2</v>
      </c>
      <c r="L9">
        <f t="shared" si="1"/>
        <v>0.9250964788693492</v>
      </c>
      <c r="M9">
        <f t="shared" si="2"/>
        <v>0.71145804384877387</v>
      </c>
      <c r="N9">
        <f t="shared" si="3"/>
        <v>0.28854195615122613</v>
      </c>
      <c r="S9">
        <v>1</v>
      </c>
    </row>
    <row r="10" spans="1:19" x14ac:dyDescent="0.25">
      <c r="A10">
        <v>1685.5</v>
      </c>
      <c r="B10" s="11">
        <v>1.2956000000000001E-2</v>
      </c>
      <c r="D10" s="1">
        <v>1685.5</v>
      </c>
      <c r="E10" s="3">
        <v>0.17734931000000001</v>
      </c>
      <c r="G10">
        <v>1685.5</v>
      </c>
      <c r="H10" s="2">
        <v>0.133729474203653</v>
      </c>
      <c r="K10">
        <f t="shared" si="0"/>
        <v>7.3053568688820944E-2</v>
      </c>
      <c r="L10">
        <f t="shared" si="1"/>
        <v>0.92694643131117904</v>
      </c>
      <c r="M10">
        <f t="shared" si="2"/>
        <v>0.75404564135971541</v>
      </c>
      <c r="N10">
        <f t="shared" si="3"/>
        <v>0.24595435864028459</v>
      </c>
      <c r="S10">
        <v>1</v>
      </c>
    </row>
    <row r="11" spans="1:19" x14ac:dyDescent="0.25">
      <c r="A11">
        <v>1686</v>
      </c>
      <c r="B11" s="11">
        <v>1.2874E-2</v>
      </c>
      <c r="D11" s="1">
        <v>1686</v>
      </c>
      <c r="E11" s="3">
        <v>0.17741129</v>
      </c>
      <c r="G11">
        <v>1686</v>
      </c>
      <c r="H11" s="2">
        <v>0.140119884797821</v>
      </c>
      <c r="K11">
        <f t="shared" si="0"/>
        <v>7.2565844033939439E-2</v>
      </c>
      <c r="L11">
        <f t="shared" si="1"/>
        <v>0.9274341559660606</v>
      </c>
      <c r="M11">
        <f t="shared" si="2"/>
        <v>0.78980252495667558</v>
      </c>
      <c r="N11">
        <f t="shared" si="3"/>
        <v>0.21019747504332442</v>
      </c>
      <c r="S11">
        <v>1</v>
      </c>
    </row>
    <row r="12" spans="1:19" x14ac:dyDescent="0.25">
      <c r="A12">
        <v>1686.5</v>
      </c>
      <c r="B12" s="11">
        <v>1.3102000000000001E-2</v>
      </c>
      <c r="D12" s="1">
        <v>1686.5</v>
      </c>
      <c r="E12" s="3">
        <v>0.17748866999999999</v>
      </c>
      <c r="G12">
        <v>1686.5</v>
      </c>
      <c r="H12" s="2">
        <v>0.151397119608842</v>
      </c>
      <c r="K12">
        <f t="shared" si="0"/>
        <v>7.3818796433597719E-2</v>
      </c>
      <c r="L12">
        <f t="shared" si="1"/>
        <v>0.92618120356640232</v>
      </c>
      <c r="M12">
        <f t="shared" si="2"/>
        <v>0.85299596649657705</v>
      </c>
      <c r="N12">
        <f t="shared" si="3"/>
        <v>0.14700403350342295</v>
      </c>
      <c r="S12">
        <v>1</v>
      </c>
    </row>
    <row r="13" spans="1:19" x14ac:dyDescent="0.25">
      <c r="A13">
        <v>1687</v>
      </c>
      <c r="B13" s="11">
        <v>1.3453E-2</v>
      </c>
      <c r="D13" s="1">
        <v>1687</v>
      </c>
      <c r="E13" s="3">
        <v>0.17754585000000001</v>
      </c>
      <c r="G13">
        <v>1687</v>
      </c>
      <c r="H13" s="2">
        <v>0.157204289270408</v>
      </c>
      <c r="K13">
        <f t="shared" si="0"/>
        <v>7.5771976647159026E-2</v>
      </c>
      <c r="L13">
        <f t="shared" si="1"/>
        <v>0.92422802335284093</v>
      </c>
      <c r="M13">
        <f t="shared" si="2"/>
        <v>0.88542925261507377</v>
      </c>
      <c r="N13">
        <f t="shared" si="3"/>
        <v>0.11457074738492623</v>
      </c>
      <c r="S13">
        <v>1</v>
      </c>
    </row>
    <row r="14" spans="1:19" x14ac:dyDescent="0.25">
      <c r="A14">
        <v>1687.5</v>
      </c>
      <c r="B14" s="11">
        <v>1.3635E-2</v>
      </c>
      <c r="D14" s="1">
        <v>1687.5</v>
      </c>
      <c r="E14" s="3">
        <v>0.17758246</v>
      </c>
      <c r="G14">
        <v>1687.5</v>
      </c>
      <c r="H14" s="2">
        <v>0.16128638011652499</v>
      </c>
      <c r="K14">
        <f t="shared" si="0"/>
        <v>7.6781231659928575E-2</v>
      </c>
      <c r="L14">
        <f t="shared" si="1"/>
        <v>0.92321876834007144</v>
      </c>
      <c r="M14">
        <f t="shared" si="2"/>
        <v>0.90823373049638456</v>
      </c>
      <c r="N14">
        <f t="shared" si="3"/>
        <v>9.1766269503615439E-2</v>
      </c>
      <c r="S14">
        <v>1</v>
      </c>
    </row>
    <row r="15" spans="1:19" x14ac:dyDescent="0.25">
      <c r="A15">
        <v>1688</v>
      </c>
      <c r="B15" s="11">
        <v>1.3642E-2</v>
      </c>
      <c r="D15" s="1">
        <v>1688</v>
      </c>
      <c r="E15" s="3">
        <v>0.17757782</v>
      </c>
      <c r="G15">
        <v>1688</v>
      </c>
      <c r="H15" s="2">
        <v>0.16420906599395699</v>
      </c>
      <c r="K15">
        <f t="shared" si="0"/>
        <v>7.6822657244018419E-2</v>
      </c>
      <c r="L15">
        <f t="shared" si="1"/>
        <v>0.92317734275598162</v>
      </c>
      <c r="M15">
        <f t="shared" si="2"/>
        <v>0.92471608218840051</v>
      </c>
      <c r="N15">
        <f t="shared" si="3"/>
        <v>7.5283917811599488E-2</v>
      </c>
      <c r="S15">
        <v>1</v>
      </c>
    </row>
  </sheetData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8B923-9558-4252-90D2-EC9FA5A05B61}">
  <dimension ref="A1:Y15"/>
  <sheetViews>
    <sheetView zoomScale="78" zoomScaleNormal="78" workbookViewId="0">
      <selection activeCell="D21" sqref="D21"/>
    </sheetView>
  </sheetViews>
  <sheetFormatPr defaultRowHeight="15.75" x14ac:dyDescent="0.25"/>
  <cols>
    <col min="1" max="1" width="12.625" customWidth="1"/>
    <col min="4" max="4" width="13.125" style="1" customWidth="1"/>
    <col min="5" max="5" width="11.375" style="3" bestFit="1" customWidth="1"/>
    <col min="7" max="7" width="12.5" customWidth="1"/>
    <col min="8" max="8" width="11.375" bestFit="1" customWidth="1"/>
    <col min="10" max="12" width="14" customWidth="1"/>
    <col min="13" max="13" width="16.125" customWidth="1"/>
    <col min="14" max="14" width="12.5" customWidth="1"/>
  </cols>
  <sheetData>
    <row r="1" spans="1:25" x14ac:dyDescent="0.25">
      <c r="A1" t="s">
        <v>0</v>
      </c>
      <c r="E1" s="3" t="s">
        <v>1</v>
      </c>
      <c r="H1" t="s">
        <v>2</v>
      </c>
      <c r="J1" t="s">
        <v>5</v>
      </c>
      <c r="M1" t="s">
        <v>7</v>
      </c>
    </row>
    <row r="2" spans="1:25" x14ac:dyDescent="0.25">
      <c r="A2" t="s">
        <v>8</v>
      </c>
      <c r="B2" t="s">
        <v>9</v>
      </c>
      <c r="D2" t="s">
        <v>8</v>
      </c>
      <c r="E2" t="s">
        <v>9</v>
      </c>
      <c r="G2" t="s">
        <v>8</v>
      </c>
      <c r="H2" t="s">
        <v>9</v>
      </c>
    </row>
    <row r="3" spans="1:25" x14ac:dyDescent="0.25">
      <c r="A3">
        <v>1682</v>
      </c>
      <c r="B3" s="11">
        <v>1.5E-5</v>
      </c>
      <c r="D3" s="1">
        <v>1682</v>
      </c>
      <c r="E3" s="3">
        <v>6.4759264E-3</v>
      </c>
      <c r="G3">
        <v>1682</v>
      </c>
      <c r="H3" s="3">
        <v>1.2466904743202601E-3</v>
      </c>
      <c r="J3">
        <f>B3/E3</f>
        <v>2.3162709199412768E-3</v>
      </c>
      <c r="K3">
        <f>1-J3</f>
        <v>0.99768372908005876</v>
      </c>
      <c r="M3">
        <f>H3/E3</f>
        <v>0.1925115261223877</v>
      </c>
      <c r="N3">
        <f>1-M3</f>
        <v>0.80748847387761225</v>
      </c>
      <c r="Y3">
        <v>1</v>
      </c>
    </row>
    <row r="4" spans="1:25" x14ac:dyDescent="0.25">
      <c r="A4">
        <v>1682.5</v>
      </c>
      <c r="B4" s="11">
        <v>6.9200000000000002E-4</v>
      </c>
      <c r="D4" s="1">
        <v>1682.5</v>
      </c>
      <c r="E4" s="3">
        <v>2.2272344999999999E-2</v>
      </c>
      <c r="G4">
        <v>1682.5</v>
      </c>
      <c r="H4" s="3">
        <v>5.0417868961885404E-3</v>
      </c>
      <c r="J4">
        <f t="shared" ref="J4:J15" si="0">B4/E4</f>
        <v>3.1069921016399486E-2</v>
      </c>
      <c r="K4">
        <f t="shared" ref="K4:K15" si="1">1-J4</f>
        <v>0.96893007898360051</v>
      </c>
      <c r="M4">
        <f t="shared" ref="M4:M15" si="2">H4/E4</f>
        <v>0.22636982752325993</v>
      </c>
      <c r="N4">
        <f t="shared" ref="N4:N15" si="3">1-M4</f>
        <v>0.77363017247674004</v>
      </c>
      <c r="Y4">
        <v>1</v>
      </c>
    </row>
    <row r="5" spans="1:25" x14ac:dyDescent="0.25">
      <c r="A5">
        <v>1683</v>
      </c>
      <c r="B5" s="11">
        <v>4.568E-3</v>
      </c>
      <c r="D5" s="1">
        <v>1683</v>
      </c>
      <c r="E5" s="3">
        <v>9.5235765E-2</v>
      </c>
      <c r="G5">
        <v>1683</v>
      </c>
      <c r="H5" s="3">
        <v>2.5651520453456901E-2</v>
      </c>
      <c r="J5">
        <f t="shared" si="0"/>
        <v>4.7965173587884762E-2</v>
      </c>
      <c r="K5">
        <f t="shared" si="1"/>
        <v>0.95203482641211523</v>
      </c>
      <c r="M5">
        <f t="shared" si="2"/>
        <v>0.26934755502259999</v>
      </c>
      <c r="N5">
        <f t="shared" si="3"/>
        <v>0.73065244497740001</v>
      </c>
      <c r="Y5">
        <v>1</v>
      </c>
    </row>
    <row r="6" spans="1:25" x14ac:dyDescent="0.25">
      <c r="A6">
        <v>1683.5</v>
      </c>
      <c r="B6" s="11">
        <v>1.1334E-2</v>
      </c>
      <c r="D6" s="1">
        <v>1683.5</v>
      </c>
      <c r="E6" s="3">
        <v>0.18134236000000001</v>
      </c>
      <c r="G6">
        <v>1683.5</v>
      </c>
      <c r="H6" s="3">
        <v>6.2433647031302698E-2</v>
      </c>
      <c r="J6">
        <f t="shared" si="0"/>
        <v>6.2500565229216168E-2</v>
      </c>
      <c r="K6">
        <f t="shared" si="1"/>
        <v>0.93749943477078379</v>
      </c>
      <c r="M6">
        <f t="shared" si="2"/>
        <v>0.34428606218261798</v>
      </c>
      <c r="N6">
        <f t="shared" si="3"/>
        <v>0.65571393781738196</v>
      </c>
      <c r="Y6">
        <v>1</v>
      </c>
    </row>
    <row r="7" spans="1:25" x14ac:dyDescent="0.25">
      <c r="A7">
        <v>1684</v>
      </c>
      <c r="B7" s="11">
        <v>1.4267999999999999E-2</v>
      </c>
      <c r="D7" s="1">
        <v>1684</v>
      </c>
      <c r="E7" s="3">
        <v>0.18902777000000001</v>
      </c>
      <c r="G7">
        <v>1684</v>
      </c>
      <c r="H7" s="3">
        <v>8.12647689611702E-2</v>
      </c>
      <c r="J7">
        <f t="shared" si="0"/>
        <v>7.5480972980848257E-2</v>
      </c>
      <c r="K7">
        <f t="shared" si="1"/>
        <v>0.92451902701915178</v>
      </c>
      <c r="M7">
        <f t="shared" si="2"/>
        <v>0.42990915547049091</v>
      </c>
      <c r="N7">
        <f t="shared" si="3"/>
        <v>0.57009084452950909</v>
      </c>
      <c r="Y7">
        <v>1</v>
      </c>
    </row>
    <row r="8" spans="1:25" x14ac:dyDescent="0.25">
      <c r="A8">
        <v>1684.5</v>
      </c>
      <c r="B8" s="11">
        <v>1.3917000000000001E-2</v>
      </c>
      <c r="D8" s="1">
        <v>1684.5</v>
      </c>
      <c r="E8" s="3">
        <v>0.17972827999999999</v>
      </c>
      <c r="G8">
        <v>1684.5</v>
      </c>
      <c r="H8" s="3">
        <v>9.9317199260597802E-2</v>
      </c>
      <c r="J8">
        <f t="shared" si="0"/>
        <v>7.7433556922705774E-2</v>
      </c>
      <c r="K8">
        <f t="shared" si="1"/>
        <v>0.92256644307729418</v>
      </c>
      <c r="M8">
        <f t="shared" si="2"/>
        <v>0.55259639306957042</v>
      </c>
      <c r="N8">
        <f t="shared" si="3"/>
        <v>0.44740360693042958</v>
      </c>
      <c r="Y8">
        <v>1</v>
      </c>
    </row>
    <row r="9" spans="1:25" x14ac:dyDescent="0.25">
      <c r="A9">
        <v>1685</v>
      </c>
      <c r="B9" s="11">
        <v>1.337E-2</v>
      </c>
      <c r="D9" s="1">
        <v>1685</v>
      </c>
      <c r="E9" s="3">
        <v>0.17764573</v>
      </c>
      <c r="G9">
        <v>1685</v>
      </c>
      <c r="H9" s="3">
        <v>0.11916302112659</v>
      </c>
      <c r="J9">
        <f t="shared" si="0"/>
        <v>7.5262152374841768E-2</v>
      </c>
      <c r="K9">
        <f t="shared" si="1"/>
        <v>0.9247378476251582</v>
      </c>
      <c r="M9">
        <f t="shared" si="2"/>
        <v>0.6707902358620722</v>
      </c>
      <c r="N9">
        <f t="shared" si="3"/>
        <v>0.3292097641379278</v>
      </c>
      <c r="Y9">
        <v>1</v>
      </c>
    </row>
    <row r="10" spans="1:25" x14ac:dyDescent="0.25">
      <c r="A10">
        <v>1685.5</v>
      </c>
      <c r="B10" s="11">
        <v>1.307E-2</v>
      </c>
      <c r="D10" s="1">
        <v>1685.5</v>
      </c>
      <c r="E10" s="3">
        <v>0.17738830999999999</v>
      </c>
      <c r="G10">
        <v>1685.5</v>
      </c>
      <c r="H10" s="3">
        <v>0.13111390491025901</v>
      </c>
      <c r="J10">
        <f t="shared" si="0"/>
        <v>7.3680165282593885E-2</v>
      </c>
      <c r="K10">
        <f t="shared" si="1"/>
        <v>0.92631983471740609</v>
      </c>
      <c r="M10">
        <f t="shared" si="2"/>
        <v>0.73913497969657083</v>
      </c>
      <c r="N10">
        <f t="shared" si="3"/>
        <v>0.26086502030342917</v>
      </c>
      <c r="Y10">
        <v>1</v>
      </c>
    </row>
    <row r="11" spans="1:25" x14ac:dyDescent="0.25">
      <c r="A11">
        <v>1686</v>
      </c>
      <c r="B11" s="11">
        <v>1.3009E-2</v>
      </c>
      <c r="D11" s="1">
        <v>1686</v>
      </c>
      <c r="E11" s="3">
        <v>0.17740726000000001</v>
      </c>
      <c r="G11">
        <v>1686</v>
      </c>
      <c r="H11" s="3">
        <v>0.144082498113179</v>
      </c>
      <c r="J11">
        <f t="shared" si="0"/>
        <v>7.3328453412785918E-2</v>
      </c>
      <c r="K11">
        <f t="shared" si="1"/>
        <v>0.92667154658721407</v>
      </c>
      <c r="M11">
        <f t="shared" si="2"/>
        <v>0.81215671846337623</v>
      </c>
      <c r="N11">
        <f t="shared" si="3"/>
        <v>0.18784328153662377</v>
      </c>
      <c r="Y11">
        <v>1</v>
      </c>
    </row>
    <row r="12" spans="1:25" x14ac:dyDescent="0.25">
      <c r="A12">
        <v>1686.5</v>
      </c>
      <c r="B12" s="11">
        <v>1.3169E-2</v>
      </c>
      <c r="D12" s="1">
        <v>1686.5</v>
      </c>
      <c r="E12" s="3">
        <v>0.17748517</v>
      </c>
      <c r="G12">
        <v>1686.5</v>
      </c>
      <c r="H12" s="3">
        <v>0.154893562746582</v>
      </c>
      <c r="J12">
        <f t="shared" si="0"/>
        <v>7.4197748465406999E-2</v>
      </c>
      <c r="K12">
        <f t="shared" si="1"/>
        <v>0.92580225153459295</v>
      </c>
      <c r="M12">
        <f t="shared" si="2"/>
        <v>0.87271270465347617</v>
      </c>
      <c r="N12">
        <f t="shared" si="3"/>
        <v>0.12728729534652383</v>
      </c>
      <c r="Y12">
        <v>1</v>
      </c>
    </row>
    <row r="13" spans="1:25" x14ac:dyDescent="0.25">
      <c r="A13">
        <v>1687</v>
      </c>
      <c r="B13" s="11">
        <v>1.3429999999999999E-2</v>
      </c>
      <c r="D13" s="1">
        <v>1687</v>
      </c>
      <c r="E13" s="3">
        <v>0.17753740000000001</v>
      </c>
      <c r="G13">
        <v>1687</v>
      </c>
      <c r="H13" s="3">
        <v>0.159737121060293</v>
      </c>
      <c r="J13">
        <f t="shared" si="0"/>
        <v>7.5646032892224394E-2</v>
      </c>
      <c r="K13">
        <f t="shared" si="1"/>
        <v>0.92435396710777562</v>
      </c>
      <c r="M13">
        <f t="shared" si="2"/>
        <v>0.89973786402354095</v>
      </c>
      <c r="N13">
        <f t="shared" si="3"/>
        <v>0.10026213597645905</v>
      </c>
      <c r="Y13">
        <v>1</v>
      </c>
    </row>
    <row r="14" spans="1:25" x14ac:dyDescent="0.25">
      <c r="A14">
        <v>1687.5</v>
      </c>
      <c r="B14" s="11">
        <v>1.3579000000000001E-2</v>
      </c>
      <c r="D14" s="1">
        <v>1687.5</v>
      </c>
      <c r="E14" s="3">
        <v>0.17757313999999999</v>
      </c>
      <c r="G14">
        <v>1687.5</v>
      </c>
      <c r="H14" s="3">
        <v>0.16311548281416999</v>
      </c>
      <c r="J14">
        <f t="shared" si="0"/>
        <v>7.6469898544340664E-2</v>
      </c>
      <c r="K14">
        <f t="shared" si="1"/>
        <v>0.92353010145565939</v>
      </c>
      <c r="M14">
        <f t="shared" si="2"/>
        <v>0.91858195904048323</v>
      </c>
      <c r="N14">
        <f t="shared" si="3"/>
        <v>8.1418040959516769E-2</v>
      </c>
      <c r="Y14">
        <v>1</v>
      </c>
    </row>
    <row r="15" spans="1:25" x14ac:dyDescent="0.25">
      <c r="A15">
        <v>1688</v>
      </c>
      <c r="B15" s="11">
        <v>1.3599E-2</v>
      </c>
      <c r="D15" s="1">
        <v>1688</v>
      </c>
      <c r="E15" s="3">
        <v>0.17757359</v>
      </c>
      <c r="G15">
        <v>1688</v>
      </c>
      <c r="H15" s="3">
        <v>0.16551129516947299</v>
      </c>
      <c r="J15">
        <f t="shared" si="0"/>
        <v>7.6582334118491385E-2</v>
      </c>
      <c r="K15">
        <f t="shared" si="1"/>
        <v>0.92341766588150864</v>
      </c>
      <c r="M15">
        <f t="shared" si="2"/>
        <v>0.93207157195770496</v>
      </c>
      <c r="N15">
        <f t="shared" si="3"/>
        <v>6.7928428042295042E-2</v>
      </c>
      <c r="Y15">
        <v>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C9D7C-9906-4FFE-B361-68998733F0B4}">
  <dimension ref="A1:AI143"/>
  <sheetViews>
    <sheetView tabSelected="1" zoomScaleNormal="100" workbookViewId="0">
      <selection activeCell="D2" sqref="D2"/>
    </sheetView>
  </sheetViews>
  <sheetFormatPr defaultRowHeight="15.75" x14ac:dyDescent="0.25"/>
  <cols>
    <col min="1" max="1" width="13.625" customWidth="1"/>
    <col min="2" max="2" width="9" customWidth="1"/>
    <col min="3" max="3" width="12.875" customWidth="1"/>
    <col min="4" max="5" width="14.125" customWidth="1"/>
    <col min="6" max="6" width="16.75" customWidth="1"/>
    <col min="7" max="7" width="6.875" style="13" customWidth="1"/>
    <col min="8" max="8" width="14.75" style="1" customWidth="1"/>
    <col min="9" max="9" width="14.375" style="4" customWidth="1"/>
    <col min="10" max="10" width="7" style="13" customWidth="1"/>
    <col min="11" max="11" width="13.625" customWidth="1"/>
    <col min="12" max="12" width="13.125" style="3" customWidth="1"/>
    <col min="13" max="13" width="7" style="15" customWidth="1"/>
    <col min="14" max="15" width="14.125" customWidth="1"/>
    <col min="16" max="16" width="16.75" customWidth="1"/>
    <col min="17" max="17" width="12.375" customWidth="1"/>
    <col min="18" max="18" width="6.875" style="13" customWidth="1"/>
    <col min="19" max="19" width="12.125" customWidth="1"/>
    <col min="20" max="20" width="13.5" customWidth="1"/>
    <col min="21" max="21" width="20.375" customWidth="1"/>
    <col min="28" max="28" width="13.75" customWidth="1"/>
    <col min="29" max="29" width="14.5" style="7" bestFit="1" customWidth="1"/>
    <col min="33" max="33" width="11.625" customWidth="1"/>
    <col min="35" max="35" width="13.25" style="4" bestFit="1" customWidth="1"/>
  </cols>
  <sheetData>
    <row r="1" spans="1:35" x14ac:dyDescent="0.25">
      <c r="C1" t="s">
        <v>0</v>
      </c>
      <c r="E1" s="12" t="s">
        <v>10</v>
      </c>
      <c r="I1" s="4" t="s">
        <v>1</v>
      </c>
      <c r="K1" t="s">
        <v>2</v>
      </c>
      <c r="N1" t="s">
        <v>5</v>
      </c>
      <c r="O1" t="s">
        <v>6</v>
      </c>
      <c r="P1" s="4" t="s">
        <v>7</v>
      </c>
      <c r="Q1" t="s">
        <v>6</v>
      </c>
      <c r="S1" t="s">
        <v>5</v>
      </c>
      <c r="T1" t="s">
        <v>11</v>
      </c>
      <c r="AC1" s="7" t="s">
        <v>12</v>
      </c>
    </row>
    <row r="2" spans="1:35" x14ac:dyDescent="0.25">
      <c r="A2" t="s">
        <v>8</v>
      </c>
      <c r="B2" t="s">
        <v>13</v>
      </c>
      <c r="C2" t="s">
        <v>14</v>
      </c>
      <c r="D2" t="s">
        <v>9</v>
      </c>
      <c r="E2" s="12" t="s">
        <v>15</v>
      </c>
      <c r="F2" s="12" t="s">
        <v>16</v>
      </c>
      <c r="G2" s="14"/>
      <c r="H2" t="s">
        <v>8</v>
      </c>
      <c r="I2" t="s">
        <v>9</v>
      </c>
      <c r="K2" t="s">
        <v>8</v>
      </c>
      <c r="S2" t="s">
        <v>10</v>
      </c>
    </row>
    <row r="3" spans="1:35" x14ac:dyDescent="0.25">
      <c r="A3">
        <v>1682</v>
      </c>
      <c r="B3">
        <v>1.3301E-2</v>
      </c>
      <c r="C3">
        <f t="shared" ref="C3:C15" si="0">B3*4*PI()/(0.0064886478302)</f>
        <v>25.759649763029199</v>
      </c>
      <c r="D3" s="9">
        <v>4.3839999999999999E-3</v>
      </c>
      <c r="E3">
        <v>1682</v>
      </c>
      <c r="F3">
        <v>4.555E-3</v>
      </c>
      <c r="H3" s="1">
        <v>1682</v>
      </c>
      <c r="I3" s="4">
        <v>4.8863748E-3</v>
      </c>
      <c r="K3">
        <v>1681</v>
      </c>
      <c r="L3" s="3">
        <v>9.8172728207313108E-4</v>
      </c>
      <c r="N3">
        <f t="shared" ref="N3:N12" si="1">D3/I3</f>
        <v>0.89718864791133091</v>
      </c>
      <c r="O3">
        <f>1-N3</f>
        <v>0.10281135208866909</v>
      </c>
      <c r="P3">
        <f>L23/I3</f>
        <v>0.99629700456442061</v>
      </c>
      <c r="Q3">
        <f>1-P3</f>
        <v>3.7029954355793926E-3</v>
      </c>
      <c r="S3" s="4">
        <f>F3/I3</f>
        <v>0.93218391679655843</v>
      </c>
      <c r="T3" s="4">
        <f>1-S3</f>
        <v>6.7816083203441568E-2</v>
      </c>
      <c r="U3" s="4">
        <f>I3-F3</f>
        <v>3.313748E-4</v>
      </c>
      <c r="AB3">
        <v>1682</v>
      </c>
      <c r="AC3" s="7">
        <v>8.8983541854869804E-4</v>
      </c>
      <c r="AD3">
        <f t="shared" ref="AD3:AD15" si="2">AC3/I3</f>
        <v>0.18210543705093971</v>
      </c>
      <c r="AE3">
        <v>1</v>
      </c>
      <c r="AG3" s="10">
        <v>1682</v>
      </c>
      <c r="AH3" s="10">
        <v>0</v>
      </c>
      <c r="AI3" s="4">
        <v>4.8848507000000003E-3</v>
      </c>
    </row>
    <row r="4" spans="1:35" x14ac:dyDescent="0.25">
      <c r="A4">
        <v>1682.5</v>
      </c>
      <c r="B4">
        <v>7.4741000000000002E-2</v>
      </c>
      <c r="C4">
        <f t="shared" si="0"/>
        <v>144.74866423115293</v>
      </c>
      <c r="D4" s="9">
        <v>1.5667E-2</v>
      </c>
      <c r="E4">
        <v>1682.05</v>
      </c>
      <c r="F4">
        <v>4.8580000000000003E-3</v>
      </c>
      <c r="H4" s="1">
        <v>1682.05</v>
      </c>
      <c r="I4" s="4">
        <v>5.4723899999999997E-3</v>
      </c>
      <c r="K4">
        <v>1681.05</v>
      </c>
      <c r="L4" s="3">
        <v>1.0380584958485501E-3</v>
      </c>
      <c r="N4">
        <f t="shared" si="1"/>
        <v>2.8629172993883842</v>
      </c>
      <c r="O4">
        <f t="shared" ref="O4:O15" si="3">1-N4</f>
        <v>-1.8629172993883842</v>
      </c>
      <c r="P4">
        <f t="shared" ref="P4:P67" si="4">L24/I4</f>
        <v>0.99577986519207162</v>
      </c>
      <c r="Q4">
        <f t="shared" ref="Q4:Q15" si="5">1-P4</f>
        <v>4.2201348079283774E-3</v>
      </c>
      <c r="S4" s="4">
        <f t="shared" ref="S4:S67" si="6">F4/I4</f>
        <v>0.88772912749274091</v>
      </c>
      <c r="T4" s="4">
        <f t="shared" ref="T4:T67" si="7">1-S4</f>
        <v>0.11227087250725909</v>
      </c>
      <c r="U4" s="4">
        <f t="shared" ref="U4:U67" si="8">I4-F4</f>
        <v>6.1438999999999938E-4</v>
      </c>
      <c r="AB4">
        <v>1682.5</v>
      </c>
      <c r="AC4" s="7">
        <v>1.5446415332312101E-3</v>
      </c>
      <c r="AD4">
        <f t="shared" si="2"/>
        <v>0.28226086467360884</v>
      </c>
      <c r="AE4">
        <v>1</v>
      </c>
      <c r="AG4" s="10">
        <v>1682.5</v>
      </c>
      <c r="AH4" s="10">
        <v>0</v>
      </c>
      <c r="AI4" s="4">
        <v>1.7108984000000001E-2</v>
      </c>
    </row>
    <row r="5" spans="1:35" x14ac:dyDescent="0.25">
      <c r="A5">
        <v>1683</v>
      </c>
      <c r="B5">
        <v>0.38253300000000001</v>
      </c>
      <c r="C5">
        <f t="shared" si="0"/>
        <v>740.84024530492809</v>
      </c>
      <c r="D5" s="9">
        <v>6.4353999999999995E-2</v>
      </c>
      <c r="E5">
        <v>1682.1</v>
      </c>
      <c r="F5">
        <v>5.594E-3</v>
      </c>
      <c r="H5" s="1">
        <v>1682.1</v>
      </c>
      <c r="I5" s="4">
        <v>6.1453795E-3</v>
      </c>
      <c r="K5">
        <v>1681.1</v>
      </c>
      <c r="L5" s="3">
        <v>1.09955218937679E-3</v>
      </c>
      <c r="N5">
        <f t="shared" si="1"/>
        <v>10.471932612135669</v>
      </c>
      <c r="O5">
        <f t="shared" si="3"/>
        <v>-9.4719326121356691</v>
      </c>
      <c r="P5">
        <f t="shared" si="4"/>
        <v>0.9956282034509325</v>
      </c>
      <c r="Q5">
        <f t="shared" si="5"/>
        <v>4.371796549067497E-3</v>
      </c>
      <c r="S5" s="4">
        <f t="shared" si="6"/>
        <v>0.91027738807668424</v>
      </c>
      <c r="T5" s="4">
        <f t="shared" si="7"/>
        <v>8.9722611923315765E-2</v>
      </c>
      <c r="U5" s="4">
        <f t="shared" si="8"/>
        <v>5.5137950000000002E-4</v>
      </c>
      <c r="AB5">
        <v>1683</v>
      </c>
      <c r="AC5" s="7">
        <v>3.7442934636350701E-3</v>
      </c>
      <c r="AD5">
        <f t="shared" si="2"/>
        <v>0.60928596250810385</v>
      </c>
      <c r="AE5">
        <v>1</v>
      </c>
      <c r="AG5" s="10">
        <v>1683</v>
      </c>
      <c r="AH5" s="10">
        <v>0</v>
      </c>
      <c r="AI5" s="4">
        <v>7.1113205999999998E-2</v>
      </c>
    </row>
    <row r="6" spans="1:35" x14ac:dyDescent="0.25">
      <c r="A6">
        <v>1683.5</v>
      </c>
      <c r="B6">
        <v>0.98482099999999995</v>
      </c>
      <c r="C6">
        <f t="shared" si="0"/>
        <v>1907.2734410402359</v>
      </c>
      <c r="D6" s="9">
        <v>0.157611</v>
      </c>
      <c r="E6">
        <v>1682.15</v>
      </c>
      <c r="F6">
        <v>6.7730000000000004E-3</v>
      </c>
      <c r="H6" s="1">
        <v>1682.15</v>
      </c>
      <c r="I6" s="4">
        <v>6.9197412000000002E-3</v>
      </c>
      <c r="K6">
        <v>1681.15</v>
      </c>
      <c r="L6" s="3">
        <v>1.1669074232693599E-3</v>
      </c>
      <c r="N6">
        <f t="shared" si="1"/>
        <v>22.777007903127938</v>
      </c>
      <c r="O6">
        <f t="shared" si="3"/>
        <v>-21.777007903127938</v>
      </c>
      <c r="P6">
        <f t="shared" si="4"/>
        <v>0.99575802162545324</v>
      </c>
      <c r="Q6">
        <f t="shared" si="5"/>
        <v>4.2419783745467621E-3</v>
      </c>
      <c r="S6" s="4">
        <f t="shared" si="6"/>
        <v>0.97879383119125907</v>
      </c>
      <c r="T6" s="4">
        <f t="shared" si="7"/>
        <v>2.1206168808740933E-2</v>
      </c>
      <c r="U6" s="4">
        <f t="shared" si="8"/>
        <v>1.4674119999999978E-4</v>
      </c>
      <c r="AB6">
        <v>1683.5</v>
      </c>
      <c r="AC6" s="7">
        <v>6.3854451953421695E-2</v>
      </c>
      <c r="AD6">
        <f t="shared" si="2"/>
        <v>9.2278670701473189</v>
      </c>
      <c r="AE6">
        <v>1</v>
      </c>
      <c r="AG6" s="10">
        <v>1683.5</v>
      </c>
      <c r="AH6" s="10">
        <v>0</v>
      </c>
      <c r="AI6" s="4">
        <v>0.16833718</v>
      </c>
    </row>
    <row r="7" spans="1:35" x14ac:dyDescent="0.25">
      <c r="A7">
        <v>1684</v>
      </c>
      <c r="B7">
        <v>1.0658110000000001</v>
      </c>
      <c r="C7">
        <f t="shared" si="0"/>
        <v>2064.1243570847241</v>
      </c>
      <c r="D7" s="9">
        <v>0.17284099999999999</v>
      </c>
      <c r="E7">
        <v>1682.2</v>
      </c>
      <c r="F7">
        <v>7.2300000000000003E-3</v>
      </c>
      <c r="H7" s="1">
        <v>1682.2</v>
      </c>
      <c r="I7" s="4">
        <v>7.8169777999999995E-3</v>
      </c>
      <c r="K7">
        <v>1681.2</v>
      </c>
      <c r="L7" s="3">
        <v>1.2409325406935799E-3</v>
      </c>
      <c r="N7">
        <f t="shared" si="1"/>
        <v>22.11097490899872</v>
      </c>
      <c r="O7">
        <f t="shared" si="3"/>
        <v>-21.11097490899872</v>
      </c>
      <c r="P7">
        <f t="shared" si="4"/>
        <v>0.99549817661684681</v>
      </c>
      <c r="Q7">
        <f t="shared" si="5"/>
        <v>4.5018233831531917E-3</v>
      </c>
      <c r="S7" s="4">
        <f t="shared" si="6"/>
        <v>0.92490988013295894</v>
      </c>
      <c r="T7" s="4">
        <f t="shared" si="7"/>
        <v>7.5090119867041061E-2</v>
      </c>
      <c r="U7" s="4">
        <f t="shared" si="8"/>
        <v>5.8697779999999922E-4</v>
      </c>
      <c r="AB7">
        <v>1684</v>
      </c>
      <c r="AC7" s="7">
        <v>9.1707409461661296E-2</v>
      </c>
      <c r="AD7">
        <f t="shared" si="2"/>
        <v>11.731824217495065</v>
      </c>
      <c r="AE7">
        <v>1</v>
      </c>
      <c r="AG7" s="10">
        <v>1684</v>
      </c>
      <c r="AH7" s="10">
        <v>0</v>
      </c>
      <c r="AI7" s="4">
        <v>0.17262216999999999</v>
      </c>
    </row>
    <row r="8" spans="1:35" x14ac:dyDescent="0.25">
      <c r="A8">
        <v>1684.5</v>
      </c>
      <c r="B8">
        <v>1.064487</v>
      </c>
      <c r="C8">
        <f t="shared" si="0"/>
        <v>2061.5602057963811</v>
      </c>
      <c r="D8" s="9">
        <v>0.17313700000000001</v>
      </c>
      <c r="E8">
        <v>1682.25</v>
      </c>
      <c r="F8">
        <v>8.0940000000000005E-3</v>
      </c>
      <c r="H8" s="1">
        <v>1682.25</v>
      </c>
      <c r="I8" s="4">
        <v>8.8531523999999997E-3</v>
      </c>
      <c r="K8">
        <v>1681.25</v>
      </c>
      <c r="L8" s="3">
        <v>1.3225633812752699E-3</v>
      </c>
      <c r="N8">
        <f t="shared" si="1"/>
        <v>19.556536720185683</v>
      </c>
      <c r="O8">
        <f t="shared" si="3"/>
        <v>-18.556536720185683</v>
      </c>
      <c r="P8">
        <f t="shared" si="4"/>
        <v>0.9953954535887839</v>
      </c>
      <c r="Q8">
        <f t="shared" si="5"/>
        <v>4.6045464112161039E-3</v>
      </c>
      <c r="S8" s="4">
        <f t="shared" si="6"/>
        <v>0.91425061201928493</v>
      </c>
      <c r="T8" s="4">
        <f t="shared" si="7"/>
        <v>8.5749387980715075E-2</v>
      </c>
      <c r="U8" s="4">
        <f t="shared" si="8"/>
        <v>7.5915239999999919E-4</v>
      </c>
      <c r="AB8">
        <v>1684.5</v>
      </c>
      <c r="AC8" s="7">
        <v>0.11090798773387001</v>
      </c>
      <c r="AD8">
        <f t="shared" si="2"/>
        <v>12.527513672290336</v>
      </c>
      <c r="AE8">
        <v>1</v>
      </c>
      <c r="AG8" s="10">
        <v>1684.5</v>
      </c>
      <c r="AH8" s="10">
        <v>0</v>
      </c>
      <c r="AI8" s="4">
        <v>0.17367657</v>
      </c>
    </row>
    <row r="9" spans="1:35" x14ac:dyDescent="0.25">
      <c r="A9">
        <v>1685</v>
      </c>
      <c r="B9">
        <v>1.062524</v>
      </c>
      <c r="C9">
        <f t="shared" si="0"/>
        <v>2057.7585222774856</v>
      </c>
      <c r="D9" s="9">
        <v>0.173564</v>
      </c>
      <c r="E9">
        <v>1682.3</v>
      </c>
      <c r="F9">
        <v>9.9710000000000007E-3</v>
      </c>
      <c r="H9" s="1">
        <v>1682.3</v>
      </c>
      <c r="I9" s="4">
        <v>1.0055578000000001E-2</v>
      </c>
      <c r="K9">
        <v>1681.3</v>
      </c>
      <c r="L9" s="3">
        <v>1.4128841627911799E-3</v>
      </c>
      <c r="N9">
        <f t="shared" si="1"/>
        <v>17.260469761161417</v>
      </c>
      <c r="O9">
        <f t="shared" si="3"/>
        <v>-16.260469761161417</v>
      </c>
      <c r="P9">
        <f t="shared" si="4"/>
        <v>0.99498395116140514</v>
      </c>
      <c r="Q9">
        <f t="shared" si="5"/>
        <v>5.0160488385948554E-3</v>
      </c>
      <c r="S9" s="4">
        <f t="shared" si="6"/>
        <v>0.99158894695063771</v>
      </c>
      <c r="T9" s="4">
        <f t="shared" si="7"/>
        <v>8.4110530493622937E-3</v>
      </c>
      <c r="U9" s="4">
        <f t="shared" si="8"/>
        <v>8.4578000000000084E-5</v>
      </c>
      <c r="AB9">
        <v>1685</v>
      </c>
      <c r="AC9" s="7">
        <v>0.12280694198691799</v>
      </c>
      <c r="AD9">
        <f t="shared" si="2"/>
        <v>12.212817799923384</v>
      </c>
      <c r="AE9">
        <v>1</v>
      </c>
      <c r="AG9" s="10">
        <v>1685</v>
      </c>
      <c r="AH9" s="10">
        <v>0</v>
      </c>
      <c r="AI9" s="4">
        <v>0.17418550999999999</v>
      </c>
    </row>
    <row r="10" spans="1:35" x14ac:dyDescent="0.25">
      <c r="A10">
        <v>1685.5</v>
      </c>
      <c r="B10">
        <v>1.063974</v>
      </c>
      <c r="C10">
        <f t="shared" si="0"/>
        <v>2060.5666940056558</v>
      </c>
      <c r="D10" s="9">
        <v>0.17402599999999999</v>
      </c>
      <c r="E10">
        <v>1682.35</v>
      </c>
      <c r="F10">
        <v>1.0862E-2</v>
      </c>
      <c r="H10" s="1">
        <v>1682.35</v>
      </c>
      <c r="I10" s="4">
        <v>1.1445398000000001E-2</v>
      </c>
      <c r="K10">
        <v>1681.35</v>
      </c>
      <c r="L10" s="3">
        <v>1.5131523505745299E-3</v>
      </c>
      <c r="N10">
        <f t="shared" si="1"/>
        <v>15.204888462594308</v>
      </c>
      <c r="O10">
        <f t="shared" si="3"/>
        <v>-14.204888462594308</v>
      </c>
      <c r="P10">
        <f t="shared" si="4"/>
        <v>0.99487970492286071</v>
      </c>
      <c r="Q10">
        <f t="shared" si="5"/>
        <v>5.1202950771392919E-3</v>
      </c>
      <c r="S10" s="4">
        <f t="shared" si="6"/>
        <v>0.94902772275809011</v>
      </c>
      <c r="T10" s="4">
        <f t="shared" si="7"/>
        <v>5.0972277241909891E-2</v>
      </c>
      <c r="U10" s="4">
        <f t="shared" si="8"/>
        <v>5.833980000000006E-4</v>
      </c>
      <c r="AB10">
        <v>1685.5</v>
      </c>
      <c r="AC10" s="7">
        <v>0.13106760343929699</v>
      </c>
      <c r="AD10">
        <f t="shared" si="2"/>
        <v>11.4515548903845</v>
      </c>
      <c r="AE10">
        <v>1</v>
      </c>
      <c r="AG10" s="10">
        <v>1685.5</v>
      </c>
      <c r="AH10" s="10">
        <v>0</v>
      </c>
      <c r="AI10" s="4">
        <v>0.1744878</v>
      </c>
    </row>
    <row r="11" spans="1:35" x14ac:dyDescent="0.25">
      <c r="A11">
        <v>1686</v>
      </c>
      <c r="B11">
        <v>1.065388</v>
      </c>
      <c r="C11">
        <f t="shared" si="0"/>
        <v>2063.3051456081612</v>
      </c>
      <c r="D11" s="9">
        <v>0.17427400000000001</v>
      </c>
      <c r="E11">
        <v>1682.4</v>
      </c>
      <c r="F11">
        <v>1.2106E-2</v>
      </c>
      <c r="H11" s="1">
        <v>1682.4</v>
      </c>
      <c r="I11" s="4">
        <v>1.305446E-2</v>
      </c>
      <c r="K11">
        <v>1681.4</v>
      </c>
      <c r="L11" s="3">
        <v>1.6248274385822199E-3</v>
      </c>
      <c r="N11">
        <f t="shared" si="1"/>
        <v>13.349767052792686</v>
      </c>
      <c r="O11">
        <f t="shared" si="3"/>
        <v>-12.349767052792686</v>
      </c>
      <c r="P11">
        <f t="shared" si="4"/>
        <v>0.99494913225879889</v>
      </c>
      <c r="Q11">
        <f t="shared" si="5"/>
        <v>5.0508677412011149E-3</v>
      </c>
      <c r="S11" s="4">
        <f t="shared" si="6"/>
        <v>0.92734590323919952</v>
      </c>
      <c r="T11" s="4">
        <f t="shared" si="7"/>
        <v>7.265409676080048E-2</v>
      </c>
      <c r="U11" s="4">
        <f t="shared" si="8"/>
        <v>9.4845999999999993E-4</v>
      </c>
      <c r="AB11">
        <v>1686</v>
      </c>
      <c r="AC11" s="7">
        <v>0.13675001733144501</v>
      </c>
      <c r="AD11">
        <f t="shared" si="2"/>
        <v>10.475348450372135</v>
      </c>
      <c r="AE11">
        <v>1</v>
      </c>
      <c r="AG11" s="10">
        <v>1686</v>
      </c>
      <c r="AH11" s="10">
        <v>0</v>
      </c>
      <c r="AI11" s="4">
        <v>0.17464568</v>
      </c>
    </row>
    <row r="12" spans="1:35" x14ac:dyDescent="0.25">
      <c r="A12">
        <v>1686.5</v>
      </c>
      <c r="B12">
        <v>1.066899</v>
      </c>
      <c r="C12">
        <f t="shared" si="0"/>
        <v>2066.2314542159302</v>
      </c>
      <c r="D12" s="9">
        <v>0.17512900000000001</v>
      </c>
      <c r="E12">
        <v>1682.45</v>
      </c>
      <c r="F12">
        <v>1.4895E-2</v>
      </c>
      <c r="H12" s="1">
        <v>1682.45</v>
      </c>
      <c r="I12" s="4">
        <v>1.4917026999999999E-2</v>
      </c>
      <c r="K12">
        <v>1681.45</v>
      </c>
      <c r="L12" s="3">
        <v>1.74960523331943E-3</v>
      </c>
      <c r="N12">
        <f t="shared" si="1"/>
        <v>11.740208018662164</v>
      </c>
      <c r="O12">
        <f t="shared" si="3"/>
        <v>-10.740208018662164</v>
      </c>
      <c r="P12">
        <f t="shared" si="4"/>
        <v>0.99528081083133391</v>
      </c>
      <c r="Q12">
        <f t="shared" si="5"/>
        <v>4.7191891686660936E-3</v>
      </c>
      <c r="S12" s="4">
        <f t="shared" si="6"/>
        <v>0.99852336527915386</v>
      </c>
      <c r="T12" s="4">
        <f t="shared" si="7"/>
        <v>1.4766347208461372E-3</v>
      </c>
      <c r="U12" s="4">
        <f t="shared" si="8"/>
        <v>2.2026999999999117E-5</v>
      </c>
      <c r="AB12">
        <v>1686.5</v>
      </c>
      <c r="AC12" s="7">
        <v>0.14866562814529799</v>
      </c>
      <c r="AD12">
        <f t="shared" si="2"/>
        <v>9.9661700783472469</v>
      </c>
      <c r="AE12">
        <v>1</v>
      </c>
      <c r="AG12" s="10">
        <v>1686.5</v>
      </c>
      <c r="AH12" s="10">
        <v>0</v>
      </c>
      <c r="AI12" s="4">
        <v>0.17477021000000001</v>
      </c>
    </row>
    <row r="13" spans="1:35" x14ac:dyDescent="0.25">
      <c r="A13">
        <v>1687</v>
      </c>
      <c r="B13">
        <v>1.0633159999999999</v>
      </c>
      <c r="C13">
        <f t="shared" si="0"/>
        <v>2059.2923650421135</v>
      </c>
      <c r="D13" s="9">
        <v>0.174258</v>
      </c>
      <c r="E13">
        <v>1682.5</v>
      </c>
      <c r="F13">
        <v>1.6369000000000002E-2</v>
      </c>
      <c r="H13" s="1">
        <v>1682.5</v>
      </c>
      <c r="I13" s="4">
        <v>1.7097009E-2</v>
      </c>
      <c r="K13">
        <v>1681.5</v>
      </c>
      <c r="L13" s="3">
        <v>1.8894558649629001E-3</v>
      </c>
      <c r="N13">
        <f t="shared" ref="N13:N15" si="9">D13/I13</f>
        <v>10.192309075815542</v>
      </c>
      <c r="O13">
        <f t="shared" si="3"/>
        <v>-9.1923090758155421</v>
      </c>
      <c r="P13">
        <f t="shared" si="4"/>
        <v>0.99452217696925815</v>
      </c>
      <c r="Q13">
        <f t="shared" si="5"/>
        <v>5.4778230307418463E-3</v>
      </c>
      <c r="S13" s="4">
        <f t="shared" si="6"/>
        <v>0.95741892631629322</v>
      </c>
      <c r="T13" s="4">
        <f t="shared" si="7"/>
        <v>4.2581073683706783E-2</v>
      </c>
      <c r="U13" s="4">
        <f t="shared" si="8"/>
        <v>7.2800899999999821E-4</v>
      </c>
      <c r="AB13">
        <v>1687</v>
      </c>
      <c r="AC13" s="7">
        <v>0.15476444994458599</v>
      </c>
      <c r="AD13">
        <f t="shared" si="2"/>
        <v>9.0521359580840137</v>
      </c>
      <c r="AE13">
        <v>1</v>
      </c>
      <c r="AG13" s="10">
        <v>1687</v>
      </c>
      <c r="AH13" s="10">
        <v>0</v>
      </c>
      <c r="AI13" s="4">
        <v>0.17485112999999999</v>
      </c>
    </row>
    <row r="14" spans="1:35" x14ac:dyDescent="0.25">
      <c r="A14">
        <v>1687.5</v>
      </c>
      <c r="B14">
        <v>1.0662529999999999</v>
      </c>
      <c r="C14">
        <f t="shared" si="0"/>
        <v>2064.980365294276</v>
      </c>
      <c r="D14" s="9">
        <v>0.174869</v>
      </c>
      <c r="E14">
        <v>1682.55</v>
      </c>
      <c r="F14">
        <v>1.8527999999999999E-2</v>
      </c>
      <c r="H14" s="1">
        <v>1682.55</v>
      </c>
      <c r="I14" s="4">
        <v>1.9626012000000002E-2</v>
      </c>
      <c r="K14">
        <v>1681.55</v>
      </c>
      <c r="L14" s="3">
        <v>2.0466713928259999E-3</v>
      </c>
      <c r="N14">
        <f t="shared" si="9"/>
        <v>8.9100628288620207</v>
      </c>
      <c r="O14">
        <f t="shared" si="3"/>
        <v>-7.9100628288620207</v>
      </c>
      <c r="P14">
        <f t="shared" si="4"/>
        <v>0.99397560317125544</v>
      </c>
      <c r="Q14">
        <f t="shared" si="5"/>
        <v>6.0243968287445604E-3</v>
      </c>
      <c r="S14" s="4">
        <f t="shared" si="6"/>
        <v>0.94405322894941657</v>
      </c>
      <c r="T14" s="4">
        <f t="shared" si="7"/>
        <v>5.5946771050583433E-2</v>
      </c>
      <c r="U14" s="4">
        <f t="shared" si="8"/>
        <v>1.0980120000000024E-3</v>
      </c>
      <c r="AB14">
        <v>1687.5</v>
      </c>
      <c r="AC14" s="7">
        <v>0.159346458524315</v>
      </c>
      <c r="AD14">
        <f t="shared" si="2"/>
        <v>8.1191460865465181</v>
      </c>
      <c r="AE14">
        <v>1</v>
      </c>
      <c r="AG14" s="10">
        <v>1687.5</v>
      </c>
      <c r="AH14" s="10">
        <v>0</v>
      </c>
      <c r="AI14" s="4">
        <v>0.17496154999999999</v>
      </c>
    </row>
    <row r="15" spans="1:35" x14ac:dyDescent="0.25">
      <c r="A15">
        <v>1688</v>
      </c>
      <c r="B15">
        <v>1.0678989999999999</v>
      </c>
      <c r="C15">
        <f t="shared" si="0"/>
        <v>2068.1681243732892</v>
      </c>
      <c r="D15" s="9">
        <v>0.17565</v>
      </c>
      <c r="E15">
        <v>1682.6</v>
      </c>
      <c r="F15">
        <v>2.2549E-2</v>
      </c>
      <c r="H15" s="1">
        <v>1682.6</v>
      </c>
      <c r="I15" s="4">
        <v>2.2546904E-2</v>
      </c>
      <c r="K15">
        <v>1681.6</v>
      </c>
      <c r="L15" s="3">
        <v>2.2239182066585098E-3</v>
      </c>
      <c r="N15">
        <f t="shared" si="9"/>
        <v>7.7904265703175923</v>
      </c>
      <c r="O15">
        <f t="shared" si="3"/>
        <v>-6.7904265703175923</v>
      </c>
      <c r="P15">
        <f t="shared" si="4"/>
        <v>0.99423238396085334</v>
      </c>
      <c r="Q15">
        <f t="shared" si="5"/>
        <v>5.7676160391466613E-3</v>
      </c>
      <c r="S15" s="4">
        <f t="shared" si="6"/>
        <v>1.0000929617653935</v>
      </c>
      <c r="T15" s="4">
        <f t="shared" si="7"/>
        <v>-9.296176539352885E-5</v>
      </c>
      <c r="U15" s="4">
        <f t="shared" si="8"/>
        <v>-2.0960000000000423E-6</v>
      </c>
      <c r="AB15">
        <v>1688</v>
      </c>
      <c r="AC15" s="7">
        <v>0.162680061445441</v>
      </c>
      <c r="AD15">
        <f t="shared" si="2"/>
        <v>7.2151840201848119</v>
      </c>
      <c r="AE15">
        <v>1</v>
      </c>
      <c r="AG15" s="10">
        <v>1688</v>
      </c>
      <c r="AH15" s="10">
        <v>0</v>
      </c>
      <c r="AI15" s="4">
        <v>0.17499264</v>
      </c>
    </row>
    <row r="16" spans="1:35" x14ac:dyDescent="0.25">
      <c r="E16">
        <v>1682.65</v>
      </c>
      <c r="F16">
        <v>2.4816000000000001E-2</v>
      </c>
      <c r="H16" s="1">
        <v>1682.65</v>
      </c>
      <c r="I16" s="4">
        <v>2.5949628999999998E-2</v>
      </c>
      <c r="K16">
        <v>1681.65</v>
      </c>
      <c r="L16" s="3">
        <v>2.4243028079420298E-3</v>
      </c>
      <c r="P16">
        <f t="shared" si="4"/>
        <v>0.99410302176100873</v>
      </c>
      <c r="S16" s="4">
        <f t="shared" si="6"/>
        <v>0.95631425019602412</v>
      </c>
      <c r="T16" s="4">
        <f t="shared" si="7"/>
        <v>4.3685749803975882E-2</v>
      </c>
      <c r="U16" s="4">
        <f t="shared" si="8"/>
        <v>1.1336289999999971E-3</v>
      </c>
    </row>
    <row r="17" spans="5:21" x14ac:dyDescent="0.25">
      <c r="E17">
        <v>1682.7</v>
      </c>
      <c r="F17">
        <v>2.9172E-2</v>
      </c>
      <c r="H17" s="1">
        <v>1682.7</v>
      </c>
      <c r="I17" s="4">
        <v>2.9892879000000001E-2</v>
      </c>
      <c r="K17">
        <v>1681.7</v>
      </c>
      <c r="L17" s="3">
        <v>2.6514423973602501E-3</v>
      </c>
      <c r="P17">
        <f t="shared" si="4"/>
        <v>0.99432595485503084</v>
      </c>
      <c r="S17" s="4">
        <f t="shared" si="6"/>
        <v>0.97588459110947456</v>
      </c>
      <c r="T17" s="4">
        <f t="shared" si="7"/>
        <v>2.4115408890525436E-2</v>
      </c>
      <c r="U17" s="4">
        <f t="shared" si="8"/>
        <v>7.2087900000000066E-4</v>
      </c>
    </row>
    <row r="18" spans="5:21" x14ac:dyDescent="0.25">
      <c r="E18">
        <v>1682.75</v>
      </c>
      <c r="F18">
        <v>3.3800999999999998E-2</v>
      </c>
      <c r="H18" s="1">
        <v>1682.75</v>
      </c>
      <c r="I18" s="4">
        <v>3.4494244E-2</v>
      </c>
      <c r="K18">
        <v>1681.75</v>
      </c>
      <c r="L18" s="3">
        <v>2.9095526903904598E-3</v>
      </c>
      <c r="P18">
        <f t="shared" si="4"/>
        <v>0.99392395547916046</v>
      </c>
      <c r="S18" s="4">
        <f t="shared" si="6"/>
        <v>0.97990261795562172</v>
      </c>
      <c r="T18" s="4">
        <f t="shared" si="7"/>
        <v>2.0097382044378276E-2</v>
      </c>
      <c r="U18" s="4">
        <f t="shared" si="8"/>
        <v>6.9324400000000258E-4</v>
      </c>
    </row>
    <row r="19" spans="5:21" x14ac:dyDescent="0.25">
      <c r="E19">
        <v>1682.8</v>
      </c>
      <c r="F19">
        <v>3.8436999999999999E-2</v>
      </c>
      <c r="H19" s="1">
        <v>1682.8</v>
      </c>
      <c r="I19" s="4">
        <v>3.9826385999999998E-2</v>
      </c>
      <c r="K19">
        <v>1681.8</v>
      </c>
      <c r="L19" s="3">
        <v>3.2035478066688898E-3</v>
      </c>
      <c r="P19">
        <f t="shared" si="4"/>
        <v>0.9938466635625437</v>
      </c>
      <c r="S19" s="4">
        <f t="shared" si="6"/>
        <v>0.96511393225586672</v>
      </c>
      <c r="T19" s="4">
        <f t="shared" si="7"/>
        <v>3.4886067744133276E-2</v>
      </c>
      <c r="U19" s="4">
        <f t="shared" si="8"/>
        <v>1.3893859999999994E-3</v>
      </c>
    </row>
    <row r="20" spans="5:21" x14ac:dyDescent="0.25">
      <c r="E20">
        <v>1682.85</v>
      </c>
      <c r="F20">
        <v>4.5601000000000003E-2</v>
      </c>
      <c r="H20" s="1">
        <v>1682.85</v>
      </c>
      <c r="I20" s="4">
        <v>4.6020078999999998E-2</v>
      </c>
      <c r="K20">
        <v>1681.85</v>
      </c>
      <c r="L20" s="3">
        <v>3.5391589257221202E-3</v>
      </c>
      <c r="P20">
        <f t="shared" si="4"/>
        <v>0.99364414479416474</v>
      </c>
      <c r="S20" s="4">
        <f t="shared" si="6"/>
        <v>0.99089356191674516</v>
      </c>
      <c r="T20" s="4">
        <f t="shared" si="7"/>
        <v>9.1064380832548419E-3</v>
      </c>
      <c r="U20" s="4">
        <f t="shared" si="8"/>
        <v>4.1907899999999582E-4</v>
      </c>
    </row>
    <row r="21" spans="5:21" x14ac:dyDescent="0.25">
      <c r="E21">
        <v>1682.9</v>
      </c>
      <c r="F21">
        <v>5.1506000000000003E-2</v>
      </c>
      <c r="H21" s="1">
        <v>1682.9</v>
      </c>
      <c r="I21" s="4">
        <v>5.3174949999999999E-2</v>
      </c>
      <c r="K21">
        <v>1681.9</v>
      </c>
      <c r="L21" s="3">
        <v>3.92306896529852E-3</v>
      </c>
      <c r="P21">
        <f t="shared" si="4"/>
        <v>0.99393377481104161</v>
      </c>
      <c r="S21" s="4">
        <f t="shared" si="6"/>
        <v>0.96861398083119976</v>
      </c>
      <c r="T21" s="4">
        <f t="shared" si="7"/>
        <v>3.1386019168800239E-2</v>
      </c>
      <c r="U21" s="4">
        <f t="shared" si="8"/>
        <v>1.6689499999999954E-3</v>
      </c>
    </row>
    <row r="22" spans="5:21" x14ac:dyDescent="0.25">
      <c r="E22">
        <v>1682.95</v>
      </c>
      <c r="F22">
        <v>6.0898000000000001E-2</v>
      </c>
      <c r="H22" s="1">
        <v>1682.95</v>
      </c>
      <c r="I22" s="4">
        <v>6.1484665000000001E-2</v>
      </c>
      <c r="K22">
        <v>1681.95</v>
      </c>
      <c r="L22" s="3">
        <v>4.3630773535941799E-3</v>
      </c>
      <c r="P22">
        <f t="shared" si="4"/>
        <v>0.99373627512694263</v>
      </c>
      <c r="S22" s="4">
        <f t="shared" si="6"/>
        <v>0.99045835250139203</v>
      </c>
      <c r="T22" s="4">
        <f t="shared" si="7"/>
        <v>9.5416474986079747E-3</v>
      </c>
      <c r="U22" s="4">
        <f t="shared" si="8"/>
        <v>5.866650000000001E-4</v>
      </c>
    </row>
    <row r="23" spans="5:21" x14ac:dyDescent="0.25">
      <c r="E23">
        <v>1683</v>
      </c>
      <c r="F23">
        <v>6.9203000000000001E-2</v>
      </c>
      <c r="H23" s="1">
        <v>1683</v>
      </c>
      <c r="I23" s="4">
        <v>7.1090735000000002E-2</v>
      </c>
      <c r="K23">
        <v>1682</v>
      </c>
      <c r="L23" s="3">
        <v>4.8682805764190696E-3</v>
      </c>
      <c r="P23">
        <f t="shared" si="4"/>
        <v>0.99344098630294075</v>
      </c>
      <c r="S23" s="4">
        <f t="shared" si="6"/>
        <v>0.9734461178379995</v>
      </c>
      <c r="T23" s="4">
        <f t="shared" si="7"/>
        <v>2.6553882162000497E-2</v>
      </c>
      <c r="U23" s="4">
        <f t="shared" si="8"/>
        <v>1.8877350000000015E-3</v>
      </c>
    </row>
    <row r="24" spans="5:21" x14ac:dyDescent="0.25">
      <c r="E24">
        <v>1683.05</v>
      </c>
      <c r="F24">
        <v>8.0570000000000003E-2</v>
      </c>
      <c r="H24" s="1">
        <v>1683.05</v>
      </c>
      <c r="I24" s="4">
        <v>8.2118048999999999E-2</v>
      </c>
      <c r="K24">
        <v>1682.05</v>
      </c>
      <c r="L24" s="3">
        <v>5.4492957764784404E-3</v>
      </c>
      <c r="P24">
        <f t="shared" si="4"/>
        <v>0.99343740576588113</v>
      </c>
      <c r="S24" s="4">
        <f t="shared" si="6"/>
        <v>0.98114849270225601</v>
      </c>
      <c r="T24" s="4">
        <f t="shared" si="7"/>
        <v>1.8851507297743986E-2</v>
      </c>
      <c r="U24" s="4">
        <f t="shared" si="8"/>
        <v>1.5480489999999958E-3</v>
      </c>
    </row>
    <row r="25" spans="5:21" x14ac:dyDescent="0.25">
      <c r="E25">
        <v>1683.1</v>
      </c>
      <c r="F25">
        <v>9.3849000000000002E-2</v>
      </c>
      <c r="H25" s="1">
        <v>1683.1</v>
      </c>
      <c r="I25" s="4">
        <v>9.4596348999999996E-2</v>
      </c>
      <c r="K25">
        <v>1682.1</v>
      </c>
      <c r="L25" s="3">
        <v>6.1185131511091902E-3</v>
      </c>
      <c r="P25">
        <f t="shared" si="4"/>
        <v>0.99458237995953536</v>
      </c>
      <c r="S25" s="4">
        <f t="shared" si="6"/>
        <v>0.99209959995390529</v>
      </c>
      <c r="T25" s="4">
        <f t="shared" si="7"/>
        <v>7.9004000460947132E-3</v>
      </c>
      <c r="U25" s="4">
        <f t="shared" si="8"/>
        <v>7.4734899999999438E-4</v>
      </c>
    </row>
    <row r="26" spans="5:21" x14ac:dyDescent="0.25">
      <c r="E26">
        <v>1683.15</v>
      </c>
      <c r="F26">
        <v>0.106458</v>
      </c>
      <c r="H26" s="1">
        <v>1683.15</v>
      </c>
      <c r="I26" s="4">
        <v>0.10847859999999999</v>
      </c>
      <c r="K26">
        <v>1682.15</v>
      </c>
      <c r="L26" s="3">
        <v>6.8903878074721399E-3</v>
      </c>
      <c r="P26">
        <f t="shared" si="4"/>
        <v>0.99752247041051423</v>
      </c>
      <c r="S26" s="4">
        <f t="shared" si="6"/>
        <v>0.98137328468472129</v>
      </c>
      <c r="T26" s="4">
        <f t="shared" si="7"/>
        <v>1.8626715315278708E-2</v>
      </c>
      <c r="U26" s="4">
        <f t="shared" si="8"/>
        <v>2.0205999999999974E-3</v>
      </c>
    </row>
    <row r="27" spans="5:21" x14ac:dyDescent="0.25">
      <c r="E27">
        <v>1683.2</v>
      </c>
      <c r="F27">
        <v>0.121433</v>
      </c>
      <c r="H27" s="1">
        <v>1683.2</v>
      </c>
      <c r="I27" s="4">
        <v>0.12356884</v>
      </c>
      <c r="K27">
        <v>1682.2</v>
      </c>
      <c r="L27" s="3">
        <v>7.7817871465543703E-3</v>
      </c>
      <c r="P27">
        <f t="shared" si="4"/>
        <v>1.0023712978998185</v>
      </c>
      <c r="S27" s="4">
        <f t="shared" si="6"/>
        <v>0.98271538358699495</v>
      </c>
      <c r="T27" s="4">
        <f t="shared" si="7"/>
        <v>1.7284616413005049E-2</v>
      </c>
      <c r="U27" s="4">
        <f t="shared" si="8"/>
        <v>2.13584E-3</v>
      </c>
    </row>
    <row r="28" spans="5:21" x14ac:dyDescent="0.25">
      <c r="E28">
        <v>1683.25</v>
      </c>
      <c r="F28">
        <v>0.137571</v>
      </c>
      <c r="H28" s="1">
        <v>1683.25</v>
      </c>
      <c r="I28" s="4">
        <v>0.13907265999999999</v>
      </c>
      <c r="K28">
        <v>1682.25</v>
      </c>
      <c r="L28" s="3">
        <v>8.81238764888863E-3</v>
      </c>
      <c r="P28">
        <f t="shared" si="4"/>
        <v>1.0063339173991497</v>
      </c>
      <c r="S28" s="4">
        <f t="shared" si="6"/>
        <v>0.98920233495210352</v>
      </c>
      <c r="T28" s="4">
        <f t="shared" si="7"/>
        <v>1.0797665047896476E-2</v>
      </c>
      <c r="U28" s="4">
        <f t="shared" si="8"/>
        <v>1.501659999999988E-3</v>
      </c>
    </row>
    <row r="29" spans="5:21" x14ac:dyDescent="0.25">
      <c r="E29">
        <v>1683.3</v>
      </c>
      <c r="F29">
        <v>0.15298400000000001</v>
      </c>
      <c r="H29" s="1">
        <v>1683.3</v>
      </c>
      <c r="I29" s="4">
        <v>0.15209808999999999</v>
      </c>
      <c r="K29">
        <v>1682.3</v>
      </c>
      <c r="L29" s="3">
        <v>1.00051387296517E-2</v>
      </c>
      <c r="P29">
        <f t="shared" si="4"/>
        <v>1.0084766909694265</v>
      </c>
      <c r="S29" s="4">
        <f t="shared" si="6"/>
        <v>1.005824596482441</v>
      </c>
      <c r="T29" s="4">
        <f t="shared" si="7"/>
        <v>-5.8245964824410468E-3</v>
      </c>
      <c r="U29" s="4">
        <f t="shared" si="8"/>
        <v>-8.8591000000001752E-4</v>
      </c>
    </row>
    <row r="30" spans="5:21" x14ac:dyDescent="0.25">
      <c r="E30">
        <v>1683.35</v>
      </c>
      <c r="F30">
        <v>0.158863</v>
      </c>
      <c r="H30" s="1">
        <v>1683.35</v>
      </c>
      <c r="I30" s="4">
        <v>0.15982689</v>
      </c>
      <c r="K30">
        <v>1682.35</v>
      </c>
      <c r="L30" s="3">
        <v>1.13867941849647E-2</v>
      </c>
      <c r="P30">
        <f t="shared" si="4"/>
        <v>1.0099307151826205</v>
      </c>
      <c r="S30" s="4">
        <f t="shared" si="6"/>
        <v>0.99396916251076406</v>
      </c>
      <c r="T30" s="4">
        <f t="shared" si="7"/>
        <v>6.0308374892359407E-3</v>
      </c>
      <c r="U30" s="4">
        <f t="shared" si="8"/>
        <v>9.6388999999999503E-4</v>
      </c>
    </row>
    <row r="31" spans="5:21" x14ac:dyDescent="0.25">
      <c r="E31">
        <v>1683.4</v>
      </c>
      <c r="F31">
        <v>0.162826</v>
      </c>
      <c r="H31" s="1">
        <v>1683.4</v>
      </c>
      <c r="I31" s="4">
        <v>0.16388726000000001</v>
      </c>
      <c r="K31">
        <v>1682.4</v>
      </c>
      <c r="L31" s="3">
        <v>1.29885236491072E-2</v>
      </c>
      <c r="P31">
        <f t="shared" si="4"/>
        <v>1.0075480631890787</v>
      </c>
      <c r="S31" s="4">
        <f t="shared" si="6"/>
        <v>0.99352445089386443</v>
      </c>
      <c r="T31" s="4">
        <f t="shared" si="7"/>
        <v>6.4755491061355697E-3</v>
      </c>
      <c r="U31" s="4">
        <f t="shared" si="8"/>
        <v>1.0612600000000083E-3</v>
      </c>
    </row>
    <row r="32" spans="5:21" x14ac:dyDescent="0.25">
      <c r="E32">
        <v>1683.45</v>
      </c>
      <c r="F32">
        <v>0.165606</v>
      </c>
      <c r="H32" s="1">
        <v>1683.45</v>
      </c>
      <c r="I32" s="4">
        <v>0.16654559999999999</v>
      </c>
      <c r="K32">
        <v>1682.45</v>
      </c>
      <c r="L32" s="3">
        <v>1.4846630727752899E-2</v>
      </c>
      <c r="P32">
        <f t="shared" si="4"/>
        <v>1.0033596898904624</v>
      </c>
      <c r="S32" s="4">
        <f t="shared" si="6"/>
        <v>0.9943583018704788</v>
      </c>
      <c r="T32" s="4">
        <f t="shared" si="7"/>
        <v>5.6416981295211999E-3</v>
      </c>
      <c r="U32" s="4">
        <f t="shared" si="8"/>
        <v>9.3959999999998489E-4</v>
      </c>
    </row>
    <row r="33" spans="5:21" x14ac:dyDescent="0.25">
      <c r="E33">
        <v>1683.5</v>
      </c>
      <c r="F33">
        <v>0.16731699999999999</v>
      </c>
      <c r="H33" s="1">
        <v>1683.5</v>
      </c>
      <c r="I33" s="4">
        <v>0.16833644</v>
      </c>
      <c r="K33">
        <v>1682.5</v>
      </c>
      <c r="L33" s="3">
        <v>1.7003354610343E-2</v>
      </c>
      <c r="P33">
        <f t="shared" si="4"/>
        <v>1.0007836870059033</v>
      </c>
      <c r="S33" s="4">
        <f t="shared" si="6"/>
        <v>0.99394403255765651</v>
      </c>
      <c r="T33" s="4">
        <f t="shared" si="7"/>
        <v>6.0559674423434906E-3</v>
      </c>
      <c r="U33" s="4">
        <f t="shared" si="8"/>
        <v>1.0194400000000103E-3</v>
      </c>
    </row>
    <row r="34" spans="5:21" x14ac:dyDescent="0.25">
      <c r="E34">
        <v>1683.55</v>
      </c>
      <c r="F34">
        <v>0.16841400000000001</v>
      </c>
      <c r="H34" s="1">
        <v>1683.55</v>
      </c>
      <c r="I34" s="4">
        <v>0.16935979000000001</v>
      </c>
      <c r="K34">
        <v>1682.55</v>
      </c>
      <c r="L34" s="3">
        <v>1.9507777115546299E-2</v>
      </c>
      <c r="P34">
        <f t="shared" si="4"/>
        <v>1.0004197459463016</v>
      </c>
      <c r="S34" s="4">
        <f t="shared" si="6"/>
        <v>0.99441549850764455</v>
      </c>
      <c r="T34" s="4">
        <f t="shared" si="7"/>
        <v>5.5845014923554537E-3</v>
      </c>
      <c r="U34" s="4">
        <f t="shared" si="8"/>
        <v>9.4579000000000191E-4</v>
      </c>
    </row>
    <row r="35" spans="5:21" x14ac:dyDescent="0.25">
      <c r="E35">
        <v>1683.6</v>
      </c>
      <c r="F35">
        <v>0.169236</v>
      </c>
      <c r="H35" s="1">
        <v>1683.6</v>
      </c>
      <c r="I35" s="4">
        <v>0.17004987999999999</v>
      </c>
      <c r="K35">
        <v>1682.6</v>
      </c>
      <c r="L35" s="3">
        <v>2.2416862114856499E-2</v>
      </c>
      <c r="P35">
        <f t="shared" si="4"/>
        <v>1.0004604881675601</v>
      </c>
      <c r="S35" s="4">
        <f t="shared" si="6"/>
        <v>0.99521387489364888</v>
      </c>
      <c r="T35" s="4">
        <f t="shared" si="7"/>
        <v>4.7861251063511245E-3</v>
      </c>
      <c r="U35" s="4">
        <f t="shared" si="8"/>
        <v>8.1387999999998906E-4</v>
      </c>
    </row>
    <row r="36" spans="5:21" x14ac:dyDescent="0.25">
      <c r="E36">
        <v>1683.65</v>
      </c>
      <c r="F36">
        <v>0.16981199999999999</v>
      </c>
      <c r="H36" s="1">
        <v>1683.65</v>
      </c>
      <c r="I36" s="4">
        <v>0.17051037999999999</v>
      </c>
      <c r="K36">
        <v>1682.65</v>
      </c>
      <c r="L36" s="3">
        <v>2.57966046024771E-2</v>
      </c>
      <c r="P36">
        <f t="shared" si="4"/>
        <v>1.0009465488069467</v>
      </c>
      <c r="S36" s="4">
        <f t="shared" si="6"/>
        <v>0.99590417897139161</v>
      </c>
      <c r="T36" s="4">
        <f t="shared" si="7"/>
        <v>4.0958210286083929E-3</v>
      </c>
      <c r="U36" s="4">
        <f t="shared" si="8"/>
        <v>6.9837999999999845E-4</v>
      </c>
    </row>
    <row r="37" spans="5:21" x14ac:dyDescent="0.25">
      <c r="E37">
        <v>1683.7</v>
      </c>
      <c r="F37">
        <v>0.17031199999999999</v>
      </c>
      <c r="H37" s="1">
        <v>1683.7</v>
      </c>
      <c r="I37" s="4">
        <v>0.17091237000000001</v>
      </c>
      <c r="K37">
        <v>1682.7</v>
      </c>
      <c r="L37" s="3">
        <v>2.97232654550409E-2</v>
      </c>
      <c r="P37">
        <f t="shared" si="4"/>
        <v>1.0011940978298994</v>
      </c>
      <c r="S37" s="4">
        <f t="shared" si="6"/>
        <v>0.99648726420445743</v>
      </c>
      <c r="T37" s="4">
        <f t="shared" si="7"/>
        <v>3.5127357955425653E-3</v>
      </c>
      <c r="U37" s="4">
        <f t="shared" si="8"/>
        <v>6.0037000000001672E-4</v>
      </c>
    </row>
    <row r="38" spans="5:21" x14ac:dyDescent="0.25">
      <c r="E38">
        <v>1683.75</v>
      </c>
      <c r="F38">
        <v>0.170711</v>
      </c>
      <c r="H38" s="1">
        <v>1683.75</v>
      </c>
      <c r="I38" s="4">
        <v>0.17134009</v>
      </c>
      <c r="K38">
        <v>1682.75</v>
      </c>
      <c r="L38" s="3">
        <v>3.4284655437743297E-2</v>
      </c>
      <c r="P38">
        <f t="shared" si="4"/>
        <v>1.0008529973001707</v>
      </c>
      <c r="S38" s="4">
        <f t="shared" si="6"/>
        <v>0.99632841327444155</v>
      </c>
      <c r="T38" s="4">
        <f t="shared" si="7"/>
        <v>3.6715867255584511E-3</v>
      </c>
      <c r="U38" s="4">
        <f t="shared" si="8"/>
        <v>6.2908999999999882E-4</v>
      </c>
    </row>
    <row r="39" spans="5:21" x14ac:dyDescent="0.25">
      <c r="E39">
        <v>1683.8</v>
      </c>
      <c r="F39">
        <v>0.17105699999999999</v>
      </c>
      <c r="H39" s="1">
        <v>1683.8</v>
      </c>
      <c r="I39" s="4">
        <v>0.17167741</v>
      </c>
      <c r="K39">
        <v>1682.8</v>
      </c>
      <c r="L39" s="3">
        <v>3.9581320847853999E-2</v>
      </c>
      <c r="P39">
        <f t="shared" si="4"/>
        <v>1.0006960057450367</v>
      </c>
      <c r="S39" s="4">
        <f t="shared" si="6"/>
        <v>0.99638618732656781</v>
      </c>
      <c r="T39" s="4">
        <f t="shared" si="7"/>
        <v>3.6138126734321929E-3</v>
      </c>
      <c r="U39" s="4">
        <f t="shared" si="8"/>
        <v>6.2041000000001567E-4</v>
      </c>
    </row>
    <row r="40" spans="5:21" x14ac:dyDescent="0.25">
      <c r="E40">
        <v>1683.85</v>
      </c>
      <c r="F40">
        <v>0.17136499999999999</v>
      </c>
      <c r="H40" s="1">
        <v>1683.85</v>
      </c>
      <c r="I40" s="4">
        <v>0.17193916000000001</v>
      </c>
      <c r="K40">
        <v>1682.85</v>
      </c>
      <c r="L40" s="3">
        <v>4.5727582041314899E-2</v>
      </c>
      <c r="P40">
        <f t="shared" si="4"/>
        <v>1.0007120272535937</v>
      </c>
      <c r="S40" s="4">
        <f t="shared" si="6"/>
        <v>0.99666067927748381</v>
      </c>
      <c r="T40" s="4">
        <f t="shared" si="7"/>
        <v>3.3393207225161925E-3</v>
      </c>
      <c r="U40" s="4">
        <f t="shared" si="8"/>
        <v>5.7416000000001799E-4</v>
      </c>
    </row>
    <row r="41" spans="5:21" x14ac:dyDescent="0.25">
      <c r="E41">
        <v>1683.9</v>
      </c>
      <c r="F41">
        <v>0.17160600000000001</v>
      </c>
      <c r="H41" s="1">
        <v>1683.9</v>
      </c>
      <c r="I41" s="4">
        <v>0.17215800000000001</v>
      </c>
      <c r="K41">
        <v>1682.9</v>
      </c>
      <c r="L41" s="3">
        <v>5.2852378778888397E-2</v>
      </c>
      <c r="P41">
        <f t="shared" si="4"/>
        <v>1.0007697112172131</v>
      </c>
      <c r="S41" s="4">
        <f t="shared" si="6"/>
        <v>0.99679364304882723</v>
      </c>
      <c r="T41" s="4">
        <f t="shared" si="7"/>
        <v>3.206356951172773E-3</v>
      </c>
      <c r="U41" s="4">
        <f t="shared" si="8"/>
        <v>5.5199999999999694E-4</v>
      </c>
    </row>
    <row r="42" spans="5:21" x14ac:dyDescent="0.25">
      <c r="E42">
        <v>1683.95</v>
      </c>
      <c r="F42">
        <v>0.17182900000000001</v>
      </c>
      <c r="H42" s="1">
        <v>1683.95</v>
      </c>
      <c r="I42" s="4">
        <v>0.17244433000000001</v>
      </c>
      <c r="K42">
        <v>1682.95</v>
      </c>
      <c r="L42" s="3">
        <v>6.1099541974527903E-2</v>
      </c>
      <c r="P42">
        <f t="shared" si="4"/>
        <v>1.0002703622418492</v>
      </c>
      <c r="S42" s="4">
        <f t="shared" si="6"/>
        <v>0.99643171799269947</v>
      </c>
      <c r="T42" s="4">
        <f t="shared" si="7"/>
        <v>3.5682820073005272E-3</v>
      </c>
      <c r="U42" s="4">
        <f t="shared" si="8"/>
        <v>6.1532999999999727E-4</v>
      </c>
    </row>
    <row r="43" spans="5:21" x14ac:dyDescent="0.25">
      <c r="E43">
        <v>1684</v>
      </c>
      <c r="F43">
        <v>0.17204700000000001</v>
      </c>
      <c r="H43" s="1">
        <v>1684</v>
      </c>
      <c r="I43" s="4">
        <v>0.17255551999999999</v>
      </c>
      <c r="K43">
        <v>1683</v>
      </c>
      <c r="L43" s="3">
        <v>7.0624449895400995E-2</v>
      </c>
      <c r="P43">
        <f t="shared" si="4"/>
        <v>1.0006522945950962</v>
      </c>
      <c r="S43" s="4">
        <f t="shared" si="6"/>
        <v>0.99705300647582884</v>
      </c>
      <c r="T43" s="4">
        <f t="shared" si="7"/>
        <v>2.9469935241711598E-3</v>
      </c>
      <c r="U43" s="4">
        <f t="shared" si="8"/>
        <v>5.0851999999998454E-4</v>
      </c>
    </row>
    <row r="44" spans="5:21" x14ac:dyDescent="0.25">
      <c r="E44">
        <v>1684.05</v>
      </c>
      <c r="F44">
        <v>0.17222000000000001</v>
      </c>
      <c r="H44" s="1">
        <v>1684.05</v>
      </c>
      <c r="I44" s="4">
        <v>0.17274858000000001</v>
      </c>
      <c r="K44">
        <v>1683.05</v>
      </c>
      <c r="L44" s="3">
        <v>8.1579141565115504E-2</v>
      </c>
      <c r="P44">
        <f t="shared" si="4"/>
        <v>1.0004468149089618</v>
      </c>
      <c r="S44" s="4">
        <f t="shared" si="6"/>
        <v>0.99694017745326768</v>
      </c>
      <c r="T44" s="4">
        <f t="shared" si="7"/>
        <v>3.0598225467323159E-3</v>
      </c>
      <c r="U44" s="4">
        <f t="shared" si="8"/>
        <v>5.2858000000000072E-4</v>
      </c>
    </row>
    <row r="45" spans="5:21" x14ac:dyDescent="0.25">
      <c r="E45">
        <v>1684.1</v>
      </c>
      <c r="F45">
        <v>0.172398</v>
      </c>
      <c r="H45" s="1">
        <v>1684.1</v>
      </c>
      <c r="I45" s="4">
        <v>0.17286852999999999</v>
      </c>
      <c r="K45">
        <v>1683.1</v>
      </c>
      <c r="L45" s="3">
        <v>9.4083861923902806E-2</v>
      </c>
      <c r="P45">
        <f t="shared" si="4"/>
        <v>1.0005701134102083</v>
      </c>
      <c r="S45" s="4">
        <f t="shared" si="6"/>
        <v>0.99727810492748448</v>
      </c>
      <c r="T45" s="4">
        <f t="shared" si="7"/>
        <v>2.7218950725155233E-3</v>
      </c>
      <c r="U45" s="4">
        <f t="shared" si="8"/>
        <v>4.7052999999999678E-4</v>
      </c>
    </row>
    <row r="46" spans="5:21" x14ac:dyDescent="0.25">
      <c r="E46">
        <v>1684.15</v>
      </c>
      <c r="F46">
        <v>0.17253199999999999</v>
      </c>
      <c r="H46" s="1">
        <v>1684.15</v>
      </c>
      <c r="I46" s="4">
        <v>0.17299426000000001</v>
      </c>
      <c r="K46">
        <v>1683.15</v>
      </c>
      <c r="L46" s="3">
        <v>0.108209841058674</v>
      </c>
      <c r="P46">
        <f t="shared" si="4"/>
        <v>1.0005794579598015</v>
      </c>
      <c r="S46" s="4">
        <f t="shared" si="6"/>
        <v>0.9973278882201061</v>
      </c>
      <c r="T46" s="4">
        <f t="shared" si="7"/>
        <v>2.6721117798939042E-3</v>
      </c>
      <c r="U46" s="4">
        <f t="shared" si="8"/>
        <v>4.6226000000001988E-4</v>
      </c>
    </row>
    <row r="47" spans="5:21" x14ac:dyDescent="0.25">
      <c r="E47">
        <v>1684.2</v>
      </c>
      <c r="F47">
        <v>0.172684</v>
      </c>
      <c r="H47" s="1">
        <v>1684.2</v>
      </c>
      <c r="I47" s="4">
        <v>0.17309737</v>
      </c>
      <c r="K47">
        <v>1683.2</v>
      </c>
      <c r="L47" s="3">
        <v>0.123861858530775</v>
      </c>
      <c r="P47">
        <f t="shared" si="4"/>
        <v>1.0006507955119306</v>
      </c>
      <c r="S47" s="4">
        <f t="shared" si="6"/>
        <v>0.99761192212221361</v>
      </c>
      <c r="T47" s="4">
        <f t="shared" si="7"/>
        <v>2.3880778777863876E-3</v>
      </c>
      <c r="U47" s="4">
        <f t="shared" si="8"/>
        <v>4.1336999999999624E-4</v>
      </c>
    </row>
    <row r="48" spans="5:21" x14ac:dyDescent="0.25">
      <c r="E48">
        <v>1684.25</v>
      </c>
      <c r="F48">
        <v>0.17281299999999999</v>
      </c>
      <c r="H48" s="1">
        <v>1684.25</v>
      </c>
      <c r="I48" s="4">
        <v>0.17328729000000001</v>
      </c>
      <c r="K48">
        <v>1683.25</v>
      </c>
      <c r="L48" s="3">
        <v>0.13995353474092001</v>
      </c>
      <c r="P48">
        <f t="shared" si="4"/>
        <v>1.000161478733143</v>
      </c>
      <c r="S48" s="4">
        <f t="shared" si="6"/>
        <v>0.99726298449239981</v>
      </c>
      <c r="T48" s="4">
        <f t="shared" si="7"/>
        <v>2.7370155076001934E-3</v>
      </c>
      <c r="U48" s="4">
        <f t="shared" si="8"/>
        <v>4.7429000000001609E-4</v>
      </c>
    </row>
    <row r="49" spans="5:21" x14ac:dyDescent="0.25">
      <c r="E49">
        <v>1684.3</v>
      </c>
      <c r="F49">
        <v>0.17292399999999999</v>
      </c>
      <c r="H49" s="1">
        <v>1684.3</v>
      </c>
      <c r="I49" s="4">
        <v>0.17333904</v>
      </c>
      <c r="K49">
        <v>1683.3</v>
      </c>
      <c r="L49" s="3">
        <v>0.15338737850597001</v>
      </c>
      <c r="P49">
        <f t="shared" si="4"/>
        <v>1.0004185859753405</v>
      </c>
      <c r="S49" s="4">
        <f t="shared" si="6"/>
        <v>0.99760561729198449</v>
      </c>
      <c r="T49" s="4">
        <f t="shared" si="7"/>
        <v>2.3943827080155078E-3</v>
      </c>
      <c r="U49" s="4">
        <f t="shared" si="8"/>
        <v>4.150400000000054E-4</v>
      </c>
    </row>
    <row r="50" spans="5:21" x14ac:dyDescent="0.25">
      <c r="E50">
        <v>1684.35</v>
      </c>
      <c r="F50">
        <v>0.173042</v>
      </c>
      <c r="H50" s="1">
        <v>1684.35</v>
      </c>
      <c r="I50" s="4">
        <v>0.17347520999999999</v>
      </c>
      <c r="K50">
        <v>1683.35</v>
      </c>
      <c r="L50" s="3">
        <v>0.16141408532311399</v>
      </c>
      <c r="P50">
        <f t="shared" si="4"/>
        <v>1.0001434962961742</v>
      </c>
      <c r="S50" s="4">
        <f t="shared" si="6"/>
        <v>0.9975027555810424</v>
      </c>
      <c r="T50" s="4">
        <f t="shared" si="7"/>
        <v>2.4972444189576004E-3</v>
      </c>
      <c r="U50" s="4">
        <f t="shared" si="8"/>
        <v>4.3320999999998944E-4</v>
      </c>
    </row>
    <row r="51" spans="5:21" x14ac:dyDescent="0.25">
      <c r="E51">
        <v>1684.4</v>
      </c>
      <c r="F51">
        <v>0.17314399999999999</v>
      </c>
      <c r="H51" s="1">
        <v>1684.4</v>
      </c>
      <c r="I51" s="4">
        <v>0.17354054999999999</v>
      </c>
      <c r="K51">
        <v>1683.4</v>
      </c>
      <c r="L51" s="3">
        <v>0.16512429139436499</v>
      </c>
      <c r="P51">
        <f t="shared" si="4"/>
        <v>1.0002372178676799</v>
      </c>
      <c r="S51" s="4">
        <f t="shared" si="6"/>
        <v>0.99771494327982713</v>
      </c>
      <c r="T51" s="4">
        <f t="shared" si="7"/>
        <v>2.2850567201728733E-3</v>
      </c>
      <c r="U51" s="4">
        <f t="shared" si="8"/>
        <v>3.9654999999999552E-4</v>
      </c>
    </row>
    <row r="52" spans="5:21" x14ac:dyDescent="0.25">
      <c r="E52">
        <v>1684.45</v>
      </c>
      <c r="F52">
        <v>0.17322799999999999</v>
      </c>
      <c r="H52" s="1">
        <v>1684.45</v>
      </c>
      <c r="I52" s="4">
        <v>0.17365488000000001</v>
      </c>
      <c r="K52">
        <v>1683.45</v>
      </c>
      <c r="L52" s="3">
        <v>0.167105141568621</v>
      </c>
      <c r="P52">
        <f t="shared" si="4"/>
        <v>1.0000135160481007</v>
      </c>
      <c r="S52" s="4">
        <f t="shared" si="6"/>
        <v>0.99754179093613715</v>
      </c>
      <c r="T52" s="4">
        <f t="shared" si="7"/>
        <v>2.4582090638628484E-3</v>
      </c>
      <c r="U52" s="4">
        <f t="shared" si="8"/>
        <v>4.2688000000001836E-4</v>
      </c>
    </row>
    <row r="53" spans="5:21" x14ac:dyDescent="0.25">
      <c r="E53">
        <v>1684.5</v>
      </c>
      <c r="F53">
        <v>0.17331299999999999</v>
      </c>
      <c r="H53" s="1">
        <v>1684.5</v>
      </c>
      <c r="I53" s="4">
        <v>0.17367611999999999</v>
      </c>
      <c r="K53">
        <v>1683.5</v>
      </c>
      <c r="L53" s="3">
        <v>0.168468363080648</v>
      </c>
      <c r="P53">
        <f t="shared" si="4"/>
        <v>1.0002947174010683</v>
      </c>
      <c r="S53" s="4">
        <f t="shared" si="6"/>
        <v>0.99790921169818858</v>
      </c>
      <c r="T53" s="4">
        <f t="shared" si="7"/>
        <v>2.0907883018114193E-3</v>
      </c>
      <c r="U53" s="4">
        <f t="shared" si="8"/>
        <v>3.6311999999999456E-4</v>
      </c>
    </row>
    <row r="54" spans="5:21" x14ac:dyDescent="0.25">
      <c r="E54">
        <v>1684.55</v>
      </c>
      <c r="F54">
        <v>0.173403</v>
      </c>
      <c r="H54" s="1">
        <v>1684.55</v>
      </c>
      <c r="I54" s="4">
        <v>0.17379658000000001</v>
      </c>
      <c r="K54">
        <v>1683.55</v>
      </c>
      <c r="L54" s="3">
        <v>0.16943087808531901</v>
      </c>
      <c r="P54">
        <f t="shared" si="4"/>
        <v>0.99997669142952639</v>
      </c>
      <c r="S54" s="4">
        <f t="shared" si="6"/>
        <v>0.99773539847562021</v>
      </c>
      <c r="T54" s="4">
        <f t="shared" si="7"/>
        <v>2.2646015243797946E-3</v>
      </c>
      <c r="U54" s="4">
        <f t="shared" si="8"/>
        <v>3.9358000000000448E-4</v>
      </c>
    </row>
    <row r="55" spans="5:21" x14ac:dyDescent="0.25">
      <c r="E55">
        <v>1684.6</v>
      </c>
      <c r="F55">
        <v>0.173486</v>
      </c>
      <c r="H55" s="1">
        <v>1684.6</v>
      </c>
      <c r="I55" s="4">
        <v>0.17382511</v>
      </c>
      <c r="K55">
        <v>1683.6</v>
      </c>
      <c r="L55" s="3">
        <v>0.17012818595763499</v>
      </c>
      <c r="P55">
        <f t="shared" si="4"/>
        <v>1.0001626846240799</v>
      </c>
      <c r="S55" s="4">
        <f t="shared" si="6"/>
        <v>0.99804913110654725</v>
      </c>
      <c r="T55" s="4">
        <f t="shared" si="7"/>
        <v>1.9508688934527507E-3</v>
      </c>
      <c r="U55" s="4">
        <f t="shared" si="8"/>
        <v>3.3911000000000358E-4</v>
      </c>
    </row>
    <row r="56" spans="5:21" x14ac:dyDescent="0.25">
      <c r="E56">
        <v>1684.65</v>
      </c>
      <c r="F56">
        <v>0.17352799999999999</v>
      </c>
      <c r="H56" s="1">
        <v>1684.65</v>
      </c>
      <c r="I56" s="4">
        <v>0.17388313</v>
      </c>
      <c r="K56">
        <v>1683.65</v>
      </c>
      <c r="L56" s="3">
        <v>0.17067177639676101</v>
      </c>
      <c r="P56">
        <f t="shared" si="4"/>
        <v>1.0001563460952136</v>
      </c>
      <c r="S56" s="4">
        <f t="shared" si="6"/>
        <v>0.9979576512109023</v>
      </c>
      <c r="T56" s="4">
        <f t="shared" si="7"/>
        <v>2.0423487890977032E-3</v>
      </c>
      <c r="U56" s="4">
        <f t="shared" si="8"/>
        <v>3.5513000000000905E-4</v>
      </c>
    </row>
    <row r="57" spans="5:21" x14ac:dyDescent="0.25">
      <c r="E57">
        <v>1684.7</v>
      </c>
      <c r="F57">
        <v>0.17361399999999999</v>
      </c>
      <c r="H57" s="1">
        <v>1684.7</v>
      </c>
      <c r="I57" s="4">
        <v>0.17389597000000001</v>
      </c>
      <c r="K57">
        <v>1683.7</v>
      </c>
      <c r="L57" s="3">
        <v>0.17111645609011999</v>
      </c>
      <c r="P57">
        <f t="shared" si="4"/>
        <v>1.000389394477428</v>
      </c>
      <c r="S57" s="4">
        <f t="shared" si="6"/>
        <v>0.99837851331459826</v>
      </c>
      <c r="T57" s="4">
        <f t="shared" si="7"/>
        <v>1.6214866854017407E-3</v>
      </c>
      <c r="U57" s="4">
        <f t="shared" si="8"/>
        <v>2.8197000000002026E-4</v>
      </c>
    </row>
    <row r="58" spans="5:21" x14ac:dyDescent="0.25">
      <c r="E58">
        <v>1684.75</v>
      </c>
      <c r="F58">
        <v>0.17367099999999999</v>
      </c>
      <c r="H58" s="1">
        <v>1684.75</v>
      </c>
      <c r="I58" s="4">
        <v>0.17396197999999999</v>
      </c>
      <c r="K58">
        <v>1683.75</v>
      </c>
      <c r="L58" s="3">
        <v>0.171486242634181</v>
      </c>
      <c r="P58">
        <f t="shared" si="4"/>
        <v>1.0002980100143433</v>
      </c>
      <c r="S58" s="4">
        <f t="shared" si="6"/>
        <v>0.99832733566265464</v>
      </c>
      <c r="T58" s="4">
        <f t="shared" si="7"/>
        <v>1.6726643373453642E-3</v>
      </c>
      <c r="U58" s="4">
        <f t="shared" si="8"/>
        <v>2.9097999999999624E-4</v>
      </c>
    </row>
    <row r="59" spans="5:21" x14ac:dyDescent="0.25">
      <c r="E59">
        <v>1684.8</v>
      </c>
      <c r="F59">
        <v>0.17374300000000001</v>
      </c>
      <c r="H59" s="1">
        <v>1684.8</v>
      </c>
      <c r="I59" s="4">
        <v>0.17409356000000001</v>
      </c>
      <c r="K59">
        <v>1683.8</v>
      </c>
      <c r="L59" s="3">
        <v>0.17179689846365301</v>
      </c>
      <c r="P59">
        <f t="shared" si="4"/>
        <v>0.99981306633206879</v>
      </c>
      <c r="S59" s="4">
        <f t="shared" si="6"/>
        <v>0.99798637008744029</v>
      </c>
      <c r="T59" s="4">
        <f t="shared" si="7"/>
        <v>2.0136299125597112E-3</v>
      </c>
      <c r="U59" s="4">
        <f t="shared" si="8"/>
        <v>3.5055999999999976E-4</v>
      </c>
    </row>
    <row r="60" spans="5:21" x14ac:dyDescent="0.25">
      <c r="E60">
        <v>1684.85</v>
      </c>
      <c r="F60">
        <v>0.173791</v>
      </c>
      <c r="H60" s="1">
        <v>1684.85</v>
      </c>
      <c r="I60" s="4">
        <v>0.17408198</v>
      </c>
      <c r="K60">
        <v>1683.85</v>
      </c>
      <c r="L60" s="3">
        <v>0.17206158536787999</v>
      </c>
      <c r="P60">
        <f t="shared" si="4"/>
        <v>1.0001352498587792</v>
      </c>
      <c r="S60" s="4">
        <f t="shared" si="6"/>
        <v>0.99832848868102264</v>
      </c>
      <c r="T60" s="4">
        <f t="shared" si="7"/>
        <v>1.6715113189773589E-3</v>
      </c>
      <c r="U60" s="4">
        <f t="shared" si="8"/>
        <v>2.9097999999999624E-4</v>
      </c>
    </row>
    <row r="61" spans="5:21" x14ac:dyDescent="0.25">
      <c r="E61">
        <v>1684.9</v>
      </c>
      <c r="F61">
        <v>0.17383599999999999</v>
      </c>
      <c r="H61" s="1">
        <v>1684.9</v>
      </c>
      <c r="I61" s="4">
        <v>0.17410074</v>
      </c>
      <c r="K61">
        <v>1683.9</v>
      </c>
      <c r="L61" s="3">
        <v>0.17229051194373299</v>
      </c>
      <c r="P61">
        <f t="shared" si="4"/>
        <v>1.0002689860037528</v>
      </c>
      <c r="S61" s="4">
        <f t="shared" si="6"/>
        <v>0.9984793861301221</v>
      </c>
      <c r="T61" s="4">
        <f t="shared" si="7"/>
        <v>1.5206138698778959E-3</v>
      </c>
      <c r="U61" s="4">
        <f t="shared" si="8"/>
        <v>2.647400000000133E-4</v>
      </c>
    </row>
    <row r="62" spans="5:21" x14ac:dyDescent="0.25">
      <c r="E62">
        <v>1684.95</v>
      </c>
      <c r="F62">
        <v>0.17388500000000001</v>
      </c>
      <c r="H62" s="1">
        <v>1684.95</v>
      </c>
      <c r="I62" s="4">
        <v>0.17412066000000001</v>
      </c>
      <c r="K62">
        <v>1683.95</v>
      </c>
      <c r="L62" s="3">
        <v>0.17249095243565299</v>
      </c>
      <c r="P62">
        <f t="shared" si="4"/>
        <v>1.0003830371408138</v>
      </c>
      <c r="S62" s="4">
        <f t="shared" si="6"/>
        <v>0.99864657071711083</v>
      </c>
      <c r="T62" s="4">
        <f t="shared" si="7"/>
        <v>1.3534292828891736E-3</v>
      </c>
      <c r="U62" s="4">
        <f t="shared" si="8"/>
        <v>2.3565999999999865E-4</v>
      </c>
    </row>
    <row r="63" spans="5:21" x14ac:dyDescent="0.25">
      <c r="E63">
        <v>1685</v>
      </c>
      <c r="F63">
        <v>0.17393700000000001</v>
      </c>
      <c r="H63" s="1">
        <v>1685</v>
      </c>
      <c r="I63" s="4">
        <v>0.17425686000000001</v>
      </c>
      <c r="K63">
        <v>1684</v>
      </c>
      <c r="L63" s="3">
        <v>0.17266807703305001</v>
      </c>
      <c r="P63">
        <f t="shared" si="4"/>
        <v>0.99981749211154147</v>
      </c>
      <c r="S63" s="4">
        <f t="shared" si="6"/>
        <v>0.9981644338133947</v>
      </c>
      <c r="T63" s="4">
        <f t="shared" si="7"/>
        <v>1.8355661866052975E-3</v>
      </c>
      <c r="U63" s="4">
        <f t="shared" si="8"/>
        <v>3.1986000000000514E-4</v>
      </c>
    </row>
    <row r="64" spans="5:21" x14ac:dyDescent="0.25">
      <c r="E64">
        <v>1685.05</v>
      </c>
      <c r="F64">
        <v>0.17397299999999999</v>
      </c>
      <c r="H64" s="1">
        <v>1685.05</v>
      </c>
      <c r="I64" s="4">
        <v>0.17426604000000001</v>
      </c>
      <c r="K64">
        <v>1684.05</v>
      </c>
      <c r="L64" s="3">
        <v>0.17282576664104601</v>
      </c>
      <c r="P64">
        <f t="shared" si="4"/>
        <v>0.99997016681768858</v>
      </c>
      <c r="S64" s="4">
        <f t="shared" si="6"/>
        <v>0.99831843312672952</v>
      </c>
      <c r="T64" s="4">
        <f t="shared" si="7"/>
        <v>1.6815668732704792E-3</v>
      </c>
      <c r="U64" s="4">
        <f t="shared" si="8"/>
        <v>2.9304000000002217E-4</v>
      </c>
    </row>
    <row r="65" spans="5:21" x14ac:dyDescent="0.25">
      <c r="E65">
        <v>1685.1</v>
      </c>
      <c r="F65">
        <v>0.17402799999999999</v>
      </c>
      <c r="H65" s="1">
        <v>1685.1</v>
      </c>
      <c r="I65" s="4">
        <v>0.17427711000000001</v>
      </c>
      <c r="K65">
        <v>1684.1</v>
      </c>
      <c r="L65" s="3">
        <v>0.17296708466715599</v>
      </c>
      <c r="P65">
        <f t="shared" si="4"/>
        <v>1.0001017764647864</v>
      </c>
      <c r="S65" s="4">
        <f t="shared" si="6"/>
        <v>0.99857060976051282</v>
      </c>
      <c r="T65" s="4">
        <f t="shared" si="7"/>
        <v>1.4293902394871827E-3</v>
      </c>
      <c r="U65" s="4">
        <f t="shared" si="8"/>
        <v>2.4911000000002459E-4</v>
      </c>
    </row>
    <row r="66" spans="5:21" x14ac:dyDescent="0.25">
      <c r="E66">
        <v>1685.15</v>
      </c>
      <c r="F66">
        <v>0.17405899999999999</v>
      </c>
      <c r="H66" s="1">
        <v>1685.15</v>
      </c>
      <c r="I66" s="4">
        <v>0.1742803</v>
      </c>
      <c r="K66">
        <v>1684.15</v>
      </c>
      <c r="L66" s="3">
        <v>0.17309450290095699</v>
      </c>
      <c r="P66">
        <f t="shared" si="4"/>
        <v>1.0002691498361147</v>
      </c>
      <c r="S66" s="4">
        <f t="shared" si="6"/>
        <v>0.99873020645477428</v>
      </c>
      <c r="T66" s="4">
        <f t="shared" si="7"/>
        <v>1.269793545225717E-3</v>
      </c>
      <c r="U66" s="4">
        <f t="shared" si="8"/>
        <v>2.213000000000076E-4</v>
      </c>
    </row>
    <row r="67" spans="5:21" x14ac:dyDescent="0.25">
      <c r="E67">
        <v>1685.2</v>
      </c>
      <c r="F67">
        <v>0.174095</v>
      </c>
      <c r="H67" s="1">
        <v>1685.2</v>
      </c>
      <c r="I67" s="4">
        <v>0.17436409</v>
      </c>
      <c r="K67">
        <v>1684.2</v>
      </c>
      <c r="L67" s="3">
        <v>0.17321002099152299</v>
      </c>
      <c r="P67">
        <f t="shared" si="4"/>
        <v>0.99996530484854995</v>
      </c>
      <c r="S67" s="4">
        <f t="shared" si="6"/>
        <v>0.99845673498482401</v>
      </c>
      <c r="T67" s="4">
        <f t="shared" si="7"/>
        <v>1.5432650151759875E-3</v>
      </c>
      <c r="U67" s="4">
        <f t="shared" si="8"/>
        <v>2.6908999999999961E-4</v>
      </c>
    </row>
    <row r="68" spans="5:21" x14ac:dyDescent="0.25">
      <c r="E68">
        <v>1685.25</v>
      </c>
      <c r="F68">
        <v>0.17413600000000001</v>
      </c>
      <c r="H68" s="1">
        <v>1685.25</v>
      </c>
      <c r="I68" s="4">
        <v>0.17441052000000001</v>
      </c>
      <c r="K68">
        <v>1684.25</v>
      </c>
      <c r="L68" s="3">
        <v>0.173315272212059</v>
      </c>
      <c r="P68">
        <f t="shared" ref="P68:P123" si="10">L88/I68</f>
        <v>0.99986774071630546</v>
      </c>
      <c r="S68" s="4">
        <f t="shared" ref="S68:S123" si="11">F68/I68</f>
        <v>0.99842601237585893</v>
      </c>
      <c r="T68" s="4">
        <f t="shared" ref="T68:T123" si="12">1-S68</f>
        <v>1.5739876241410711E-3</v>
      </c>
      <c r="U68" s="4">
        <f t="shared" ref="U68:U123" si="13">I68-F68</f>
        <v>2.7452000000000032E-4</v>
      </c>
    </row>
    <row r="69" spans="5:21" x14ac:dyDescent="0.25">
      <c r="E69">
        <v>1685.3</v>
      </c>
      <c r="F69">
        <v>0.17417199999999999</v>
      </c>
      <c r="H69" s="1">
        <v>1685.3</v>
      </c>
      <c r="I69" s="4">
        <v>0.17438503</v>
      </c>
      <c r="K69">
        <v>1684.3</v>
      </c>
      <c r="L69" s="3">
        <v>0.17341159729112299</v>
      </c>
      <c r="P69">
        <f t="shared" si="10"/>
        <v>1.0001749575652565</v>
      </c>
      <c r="S69" s="4">
        <f t="shared" si="11"/>
        <v>0.99877839284713832</v>
      </c>
      <c r="T69" s="4">
        <f t="shared" si="12"/>
        <v>1.2216071528616812E-3</v>
      </c>
      <c r="U69" s="4">
        <f t="shared" si="13"/>
        <v>2.1303000000000294E-4</v>
      </c>
    </row>
    <row r="70" spans="5:21" x14ac:dyDescent="0.25">
      <c r="E70">
        <v>1685.35</v>
      </c>
      <c r="F70">
        <v>0.17419299999999999</v>
      </c>
      <c r="H70" s="1">
        <v>1685.35</v>
      </c>
      <c r="I70" s="4">
        <v>0.17441872</v>
      </c>
      <c r="K70">
        <v>1684.35</v>
      </c>
      <c r="L70" s="3">
        <v>0.17350010305011301</v>
      </c>
      <c r="P70">
        <f t="shared" si="10"/>
        <v>1.0001357199201668</v>
      </c>
      <c r="S70" s="4">
        <f t="shared" si="11"/>
        <v>0.99870587285584933</v>
      </c>
      <c r="T70" s="4">
        <f t="shared" si="12"/>
        <v>1.2941271441506697E-3</v>
      </c>
      <c r="U70" s="4">
        <f t="shared" si="13"/>
        <v>2.2572000000001258E-4</v>
      </c>
    </row>
    <row r="71" spans="5:21" x14ac:dyDescent="0.25">
      <c r="E71">
        <v>1685.4</v>
      </c>
      <c r="F71">
        <v>0.17422599999999999</v>
      </c>
      <c r="H71" s="1">
        <v>1685.4</v>
      </c>
      <c r="I71" s="4">
        <v>0.17448253999999999</v>
      </c>
      <c r="K71">
        <v>1684.4</v>
      </c>
      <c r="L71" s="3">
        <v>0.173581716919227</v>
      </c>
      <c r="P71">
        <f t="shared" si="10"/>
        <v>0.99991717050446427</v>
      </c>
      <c r="S71" s="4">
        <f t="shared" si="11"/>
        <v>0.99852970962022902</v>
      </c>
      <c r="T71" s="4">
        <f t="shared" si="12"/>
        <v>1.4702903797709777E-3</v>
      </c>
      <c r="U71" s="4">
        <f t="shared" si="13"/>
        <v>2.5653999999999955E-4</v>
      </c>
    </row>
    <row r="72" spans="5:21" x14ac:dyDescent="0.25">
      <c r="E72">
        <v>1685.45</v>
      </c>
      <c r="F72">
        <v>0.174259</v>
      </c>
      <c r="H72" s="1">
        <v>1685.45</v>
      </c>
      <c r="I72" s="4">
        <v>0.17452957999999999</v>
      </c>
      <c r="K72">
        <v>1684.45</v>
      </c>
      <c r="L72" s="3">
        <v>0.17365722712771101</v>
      </c>
      <c r="P72">
        <f t="shared" si="10"/>
        <v>0.99978870706665324</v>
      </c>
      <c r="S72" s="4">
        <f t="shared" si="11"/>
        <v>0.99844966108323874</v>
      </c>
      <c r="T72" s="4">
        <f t="shared" si="12"/>
        <v>1.5503389167612625E-3</v>
      </c>
      <c r="U72" s="4">
        <f t="shared" si="13"/>
        <v>2.7057999999999249E-4</v>
      </c>
    </row>
    <row r="73" spans="5:21" x14ac:dyDescent="0.25">
      <c r="E73">
        <v>1685.5</v>
      </c>
      <c r="F73">
        <v>0.174286</v>
      </c>
      <c r="H73" s="1">
        <v>1685.5</v>
      </c>
      <c r="I73" s="4">
        <v>0.17450789999999999</v>
      </c>
      <c r="K73">
        <v>1684.5</v>
      </c>
      <c r="L73" s="3">
        <v>0.17372730537471401</v>
      </c>
      <c r="P73">
        <f t="shared" si="10"/>
        <v>1.0000481469055384</v>
      </c>
      <c r="S73" s="4">
        <f t="shared" si="11"/>
        <v>0.99872842432921372</v>
      </c>
      <c r="T73" s="4">
        <f t="shared" si="12"/>
        <v>1.2715756707862846E-3</v>
      </c>
      <c r="U73" s="4">
        <f t="shared" si="13"/>
        <v>2.218999999999971E-4</v>
      </c>
    </row>
    <row r="74" spans="5:21" x14ac:dyDescent="0.25">
      <c r="E74">
        <v>1685.55</v>
      </c>
      <c r="F74">
        <v>0.174319</v>
      </c>
      <c r="H74" s="1">
        <v>1685.55</v>
      </c>
      <c r="I74" s="4">
        <v>0.17450072</v>
      </c>
      <c r="K74">
        <v>1684.55</v>
      </c>
      <c r="L74" s="3">
        <v>0.17379252905016701</v>
      </c>
      <c r="P74">
        <f t="shared" si="10"/>
        <v>1.0002190798186907</v>
      </c>
      <c r="S74" s="4">
        <f t="shared" si="11"/>
        <v>0.99895862893860843</v>
      </c>
      <c r="T74" s="4">
        <f t="shared" si="12"/>
        <v>1.0413710613915717E-3</v>
      </c>
      <c r="U74" s="4">
        <f t="shared" si="13"/>
        <v>1.8171999999999633E-4</v>
      </c>
    </row>
    <row r="75" spans="5:21" x14ac:dyDescent="0.25">
      <c r="E75">
        <v>1685.6</v>
      </c>
      <c r="F75">
        <v>0.17432700000000001</v>
      </c>
      <c r="H75" s="1">
        <v>1685.6</v>
      </c>
      <c r="I75" s="4">
        <v>0.17463471999999999</v>
      </c>
      <c r="K75">
        <v>1684.6</v>
      </c>
      <c r="L75" s="3">
        <v>0.173853388672676</v>
      </c>
      <c r="P75">
        <f t="shared" si="10"/>
        <v>0.99957615020481605</v>
      </c>
      <c r="S75" s="4">
        <f t="shared" si="11"/>
        <v>0.99823792198939598</v>
      </c>
      <c r="T75" s="4">
        <f t="shared" si="12"/>
        <v>1.7620780106040179E-3</v>
      </c>
      <c r="U75" s="4">
        <f t="shared" si="13"/>
        <v>3.0771999999998356E-4</v>
      </c>
    </row>
    <row r="76" spans="5:21" x14ac:dyDescent="0.25">
      <c r="E76">
        <v>1685.65</v>
      </c>
      <c r="F76">
        <v>0.17435100000000001</v>
      </c>
      <c r="H76" s="1">
        <v>1685.65</v>
      </c>
      <c r="I76" s="4">
        <v>0.17462273</v>
      </c>
      <c r="K76">
        <v>1684.65</v>
      </c>
      <c r="L76" s="3">
        <v>0.17391031594839901</v>
      </c>
      <c r="P76">
        <f t="shared" si="10"/>
        <v>0.9997645140129181</v>
      </c>
      <c r="S76" s="4">
        <f t="shared" si="11"/>
        <v>0.9984439024633277</v>
      </c>
      <c r="T76" s="4">
        <f t="shared" si="12"/>
        <v>1.5560975366722962E-3</v>
      </c>
      <c r="U76" s="4">
        <f t="shared" si="13"/>
        <v>2.7172999999999781E-4</v>
      </c>
    </row>
    <row r="77" spans="5:21" x14ac:dyDescent="0.25">
      <c r="E77">
        <v>1685.7</v>
      </c>
      <c r="F77">
        <v>0.17439099999999999</v>
      </c>
      <c r="H77" s="1">
        <v>1685.7</v>
      </c>
      <c r="I77" s="4">
        <v>0.17456838</v>
      </c>
      <c r="K77">
        <v>1684.7</v>
      </c>
      <c r="L77" s="3">
        <v>0.173963684130365</v>
      </c>
      <c r="P77">
        <f t="shared" si="10"/>
        <v>1.0001909944324168</v>
      </c>
      <c r="S77" s="4">
        <f t="shared" si="11"/>
        <v>0.9989838938758554</v>
      </c>
      <c r="T77" s="4">
        <f t="shared" si="12"/>
        <v>1.0161061241446001E-3</v>
      </c>
      <c r="U77" s="4">
        <f t="shared" si="13"/>
        <v>1.7738000000000476E-4</v>
      </c>
    </row>
    <row r="78" spans="5:21" x14ac:dyDescent="0.25">
      <c r="E78">
        <v>1685.75</v>
      </c>
      <c r="F78">
        <v>0.174405</v>
      </c>
      <c r="H78" s="1">
        <v>1685.75</v>
      </c>
      <c r="I78" s="4">
        <v>0.17462192000000001</v>
      </c>
      <c r="K78">
        <v>1684.75</v>
      </c>
      <c r="L78" s="3">
        <v>0.17401382241215499</v>
      </c>
      <c r="P78">
        <f t="shared" si="10"/>
        <v>0.99999521836482486</v>
      </c>
      <c r="S78" s="4">
        <f t="shared" si="11"/>
        <v>0.99875777336545146</v>
      </c>
      <c r="T78" s="4">
        <f t="shared" si="12"/>
        <v>1.2422266345485378E-3</v>
      </c>
      <c r="U78" s="4">
        <f t="shared" si="13"/>
        <v>2.1692000000000933E-4</v>
      </c>
    </row>
    <row r="79" spans="5:21" x14ac:dyDescent="0.25">
      <c r="E79">
        <v>1685.8</v>
      </c>
      <c r="F79">
        <v>0.17441999999999999</v>
      </c>
      <c r="H79" s="1">
        <v>1685.8</v>
      </c>
      <c r="I79" s="4">
        <v>0.17469180000000001</v>
      </c>
      <c r="K79">
        <v>1684.8</v>
      </c>
      <c r="L79" s="3">
        <v>0.17406101605226601</v>
      </c>
      <c r="P79">
        <f t="shared" si="10"/>
        <v>0.99970198649750008</v>
      </c>
      <c r="S79" s="4">
        <f t="shared" si="11"/>
        <v>0.99844411701064384</v>
      </c>
      <c r="T79" s="4">
        <f t="shared" si="12"/>
        <v>1.555882989356161E-3</v>
      </c>
      <c r="U79" s="4">
        <f t="shared" si="13"/>
        <v>2.7180000000001647E-4</v>
      </c>
    </row>
    <row r="80" spans="5:21" x14ac:dyDescent="0.25">
      <c r="E80">
        <v>1685.85</v>
      </c>
      <c r="F80">
        <v>0.174453</v>
      </c>
      <c r="H80" s="1">
        <v>1685.85</v>
      </c>
      <c r="I80" s="4">
        <v>0.17469485000000001</v>
      </c>
      <c r="K80">
        <v>1684.85</v>
      </c>
      <c r="L80" s="3">
        <v>0.17410552456321099</v>
      </c>
      <c r="P80">
        <f t="shared" si="10"/>
        <v>0.99978748284623153</v>
      </c>
      <c r="S80" s="4">
        <f t="shared" si="11"/>
        <v>0.99861558597749156</v>
      </c>
      <c r="T80" s="4">
        <f t="shared" si="12"/>
        <v>1.38441402250844E-3</v>
      </c>
      <c r="U80" s="4">
        <f t="shared" si="13"/>
        <v>2.4185000000001566E-4</v>
      </c>
    </row>
    <row r="81" spans="5:21" x14ac:dyDescent="0.25">
      <c r="E81">
        <v>1685.9</v>
      </c>
      <c r="F81">
        <v>0.17446600000000001</v>
      </c>
      <c r="H81" s="1">
        <v>1685.9</v>
      </c>
      <c r="I81" s="4">
        <v>0.17464218000000001</v>
      </c>
      <c r="K81">
        <v>1684.9</v>
      </c>
      <c r="L81" s="3">
        <v>0.17414757066230299</v>
      </c>
      <c r="P81">
        <f t="shared" si="10"/>
        <v>1.0001883560952973</v>
      </c>
      <c r="S81" s="4">
        <f t="shared" si="11"/>
        <v>0.99899119445256579</v>
      </c>
      <c r="T81" s="4">
        <f t="shared" si="12"/>
        <v>1.0088055474342106E-3</v>
      </c>
      <c r="U81" s="4">
        <f t="shared" si="13"/>
        <v>1.76179999999998E-4</v>
      </c>
    </row>
    <row r="82" spans="5:21" x14ac:dyDescent="0.25">
      <c r="E82">
        <v>1685.95</v>
      </c>
      <c r="F82">
        <v>0.17448</v>
      </c>
      <c r="H82" s="1">
        <v>1685.95</v>
      </c>
      <c r="I82" s="4">
        <v>0.17465267000000001</v>
      </c>
      <c r="K82">
        <v>1684.95</v>
      </c>
      <c r="L82" s="3">
        <v>0.17418735467976301</v>
      </c>
      <c r="P82">
        <f t="shared" si="10"/>
        <v>1.0002241836718613</v>
      </c>
      <c r="S82" s="4">
        <f t="shared" si="11"/>
        <v>0.99901135207380443</v>
      </c>
      <c r="T82" s="4">
        <f t="shared" si="12"/>
        <v>9.8864792619557385E-4</v>
      </c>
      <c r="U82" s="4">
        <f t="shared" si="13"/>
        <v>1.7267000000001365E-4</v>
      </c>
    </row>
    <row r="83" spans="5:21" x14ac:dyDescent="0.25">
      <c r="E83">
        <v>1686</v>
      </c>
      <c r="F83">
        <v>0.17449300000000001</v>
      </c>
      <c r="H83" s="1">
        <v>1686</v>
      </c>
      <c r="I83" s="4">
        <v>0.17480609</v>
      </c>
      <c r="K83">
        <v>1685</v>
      </c>
      <c r="L83" s="3">
        <v>0.174225056748432</v>
      </c>
      <c r="P83">
        <f t="shared" si="10"/>
        <v>0.99943887649497232</v>
      </c>
      <c r="S83" s="4">
        <f t="shared" si="11"/>
        <v>0.99820892967745012</v>
      </c>
      <c r="T83" s="4">
        <f t="shared" si="12"/>
        <v>1.7910703225498814E-3</v>
      </c>
      <c r="U83" s="4">
        <f t="shared" si="13"/>
        <v>3.130899999999881E-4</v>
      </c>
    </row>
    <row r="84" spans="5:21" x14ac:dyDescent="0.25">
      <c r="E84">
        <v>1686.05</v>
      </c>
      <c r="F84">
        <v>0.174509</v>
      </c>
      <c r="H84" s="1">
        <v>1686.05</v>
      </c>
      <c r="I84" s="4">
        <v>0.17473806</v>
      </c>
      <c r="K84">
        <v>1685.05</v>
      </c>
      <c r="L84" s="3">
        <v>0.174260841089458</v>
      </c>
      <c r="P84">
        <f t="shared" si="10"/>
        <v>0.9999174746088173</v>
      </c>
      <c r="S84" s="4">
        <f t="shared" si="11"/>
        <v>0.99868912359448192</v>
      </c>
      <c r="T84" s="4">
        <f t="shared" si="12"/>
        <v>1.3108764055180799E-3</v>
      </c>
      <c r="U84" s="4">
        <f t="shared" si="13"/>
        <v>2.2906000000000315E-4</v>
      </c>
    </row>
    <row r="85" spans="5:21" x14ac:dyDescent="0.25">
      <c r="E85">
        <v>1686.1</v>
      </c>
      <c r="F85">
        <v>0.17453399999999999</v>
      </c>
      <c r="H85" s="1">
        <v>1686.1</v>
      </c>
      <c r="I85" s="4">
        <v>0.17474745</v>
      </c>
      <c r="K85">
        <v>1685.1</v>
      </c>
      <c r="L85" s="3">
        <v>0.17429484730814901</v>
      </c>
      <c r="P85">
        <f t="shared" si="10"/>
        <v>0.99995027482957255</v>
      </c>
      <c r="S85" s="4">
        <f t="shared" si="11"/>
        <v>0.99877852294840352</v>
      </c>
      <c r="T85" s="4">
        <f t="shared" si="12"/>
        <v>1.2214770515964757E-3</v>
      </c>
      <c r="U85" s="4">
        <f t="shared" si="13"/>
        <v>2.1345000000000391E-4</v>
      </c>
    </row>
    <row r="86" spans="5:21" x14ac:dyDescent="0.25">
      <c r="E86">
        <v>1686.15</v>
      </c>
      <c r="F86">
        <v>0.17454600000000001</v>
      </c>
      <c r="H86" s="1">
        <v>1686.15</v>
      </c>
      <c r="I86" s="4">
        <v>0.17473138999999999</v>
      </c>
      <c r="K86">
        <v>1685.15</v>
      </c>
      <c r="L86" s="3">
        <v>0.17432720751418301</v>
      </c>
      <c r="P86">
        <f t="shared" si="10"/>
        <v>1.0001259227446195</v>
      </c>
      <c r="S86" s="4">
        <f t="shared" si="11"/>
        <v>0.99893900002741365</v>
      </c>
      <c r="T86" s="4">
        <f t="shared" si="12"/>
        <v>1.0609999725863517E-3</v>
      </c>
      <c r="U86" s="4">
        <f t="shared" si="13"/>
        <v>1.8538999999997974E-4</v>
      </c>
    </row>
    <row r="87" spans="5:21" x14ac:dyDescent="0.25">
      <c r="E87">
        <v>1686.2</v>
      </c>
      <c r="F87">
        <v>0.17457400000000001</v>
      </c>
      <c r="H87" s="1">
        <v>1686.2</v>
      </c>
      <c r="I87" s="4">
        <v>0.17483061999999999</v>
      </c>
      <c r="K87">
        <v>1685.2</v>
      </c>
      <c r="L87" s="3">
        <v>0.17435804041149</v>
      </c>
      <c r="P87">
        <f t="shared" si="10"/>
        <v>0.99963929192484136</v>
      </c>
      <c r="S87" s="4">
        <f t="shared" si="11"/>
        <v>0.99853217931733018</v>
      </c>
      <c r="T87" s="4">
        <f t="shared" si="12"/>
        <v>1.4678206826698181E-3</v>
      </c>
      <c r="U87" s="4">
        <f t="shared" si="13"/>
        <v>2.5661999999998519E-4</v>
      </c>
    </row>
    <row r="88" spans="5:21" x14ac:dyDescent="0.25">
      <c r="E88">
        <v>1686.25</v>
      </c>
      <c r="F88">
        <v>0.17457400000000001</v>
      </c>
      <c r="H88" s="1">
        <v>1686.25</v>
      </c>
      <c r="I88" s="4">
        <v>0.17483951</v>
      </c>
      <c r="K88">
        <v>1685.25</v>
      </c>
      <c r="L88" s="3">
        <v>0.17438745258955601</v>
      </c>
      <c r="P88">
        <f t="shared" si="10"/>
        <v>0.99966693833209097</v>
      </c>
      <c r="S88" s="4">
        <f t="shared" si="11"/>
        <v>0.99848140732034774</v>
      </c>
      <c r="T88" s="4">
        <f t="shared" si="12"/>
        <v>1.5185926796522642E-3</v>
      </c>
      <c r="U88" s="4">
        <f t="shared" si="13"/>
        <v>2.6550999999999658E-4</v>
      </c>
    </row>
    <row r="89" spans="5:21" x14ac:dyDescent="0.25">
      <c r="E89">
        <v>1686.3</v>
      </c>
      <c r="F89">
        <v>0.174595</v>
      </c>
      <c r="H89" s="1">
        <v>1686.3</v>
      </c>
      <c r="I89" s="4">
        <v>0.17481145000000001</v>
      </c>
      <c r="K89">
        <v>1685.3</v>
      </c>
      <c r="L89" s="3">
        <v>0.17441553998026599</v>
      </c>
      <c r="P89">
        <f t="shared" si="10"/>
        <v>0.99990345697596461</v>
      </c>
      <c r="S89" s="4">
        <f t="shared" si="11"/>
        <v>0.99876180879456122</v>
      </c>
      <c r="T89" s="4">
        <f t="shared" si="12"/>
        <v>1.2381912054387767E-3</v>
      </c>
      <c r="U89" s="4">
        <f t="shared" si="13"/>
        <v>2.1645000000000691E-4</v>
      </c>
    </row>
    <row r="90" spans="5:21" x14ac:dyDescent="0.25">
      <c r="E90">
        <v>1686.35</v>
      </c>
      <c r="F90">
        <v>0.17460999999999999</v>
      </c>
      <c r="H90" s="1">
        <v>1686.35</v>
      </c>
      <c r="I90" s="4">
        <v>0.17472534000000001</v>
      </c>
      <c r="K90">
        <v>1685.35</v>
      </c>
      <c r="L90" s="3">
        <v>0.17444239209475401</v>
      </c>
      <c r="P90">
        <f t="shared" si="10"/>
        <v>1.0004700208537927</v>
      </c>
      <c r="S90" s="4">
        <f t="shared" si="11"/>
        <v>0.99933987823403281</v>
      </c>
      <c r="T90" s="4">
        <f t="shared" si="12"/>
        <v>6.6012176596719208E-4</v>
      </c>
      <c r="U90" s="4">
        <f t="shared" si="13"/>
        <v>1.1534000000001932E-4</v>
      </c>
    </row>
    <row r="91" spans="5:21" x14ac:dyDescent="0.25">
      <c r="E91">
        <v>1686.4</v>
      </c>
      <c r="F91">
        <v>0.17461699999999999</v>
      </c>
      <c r="H91" s="1">
        <v>1686.4</v>
      </c>
      <c r="I91" s="4">
        <v>0.17483138000000001</v>
      </c>
      <c r="K91">
        <v>1685.4</v>
      </c>
      <c r="L91" s="3">
        <v>0.174468087699232</v>
      </c>
      <c r="P91">
        <f t="shared" si="10"/>
        <v>0.99993472356058732</v>
      </c>
      <c r="S91" s="4">
        <f t="shared" si="11"/>
        <v>0.9987737899226099</v>
      </c>
      <c r="T91" s="4">
        <f t="shared" si="12"/>
        <v>1.2262100773900997E-3</v>
      </c>
      <c r="U91" s="4">
        <f t="shared" si="13"/>
        <v>2.14380000000014E-4</v>
      </c>
    </row>
    <row r="92" spans="5:21" x14ac:dyDescent="0.25">
      <c r="E92">
        <v>1686.45</v>
      </c>
      <c r="F92">
        <v>0.17463799999999999</v>
      </c>
      <c r="H92" s="1">
        <v>1686.45</v>
      </c>
      <c r="I92" s="4">
        <v>0.17493926000000001</v>
      </c>
      <c r="K92">
        <v>1685.45</v>
      </c>
      <c r="L92" s="3">
        <v>0.17449270313308601</v>
      </c>
      <c r="P92">
        <f t="shared" si="10"/>
        <v>0.99938745449367972</v>
      </c>
      <c r="S92" s="4">
        <f t="shared" si="11"/>
        <v>0.99827791657515852</v>
      </c>
      <c r="T92" s="4">
        <f t="shared" si="12"/>
        <v>1.7220834248414807E-3</v>
      </c>
      <c r="U92" s="4">
        <f t="shared" si="13"/>
        <v>3.012600000000254E-4</v>
      </c>
    </row>
    <row r="93" spans="5:21" x14ac:dyDescent="0.25">
      <c r="E93">
        <v>1686.5</v>
      </c>
      <c r="F93">
        <v>0.174646</v>
      </c>
      <c r="H93" s="1">
        <v>1686.5</v>
      </c>
      <c r="I93" s="4">
        <v>0.17488423</v>
      </c>
      <c r="K93">
        <v>1685.5</v>
      </c>
      <c r="L93" s="3">
        <v>0.17451630201537699</v>
      </c>
      <c r="P93">
        <f t="shared" si="10"/>
        <v>0.99976927687633688</v>
      </c>
      <c r="S93" s="4">
        <f t="shared" si="11"/>
        <v>0.9986377845503851</v>
      </c>
      <c r="T93" s="4">
        <f t="shared" si="12"/>
        <v>1.3622154496149008E-3</v>
      </c>
      <c r="U93" s="4">
        <f t="shared" si="13"/>
        <v>2.3823000000000594E-4</v>
      </c>
    </row>
    <row r="94" spans="5:21" x14ac:dyDescent="0.25">
      <c r="E94">
        <v>1686.55</v>
      </c>
      <c r="F94">
        <v>0.17465900000000001</v>
      </c>
      <c r="H94" s="1">
        <v>1686.55</v>
      </c>
      <c r="I94" s="4">
        <v>0.17475213000000001</v>
      </c>
      <c r="K94">
        <v>1685.55</v>
      </c>
      <c r="L94" s="3">
        <v>0.174538949586099</v>
      </c>
      <c r="P94">
        <f t="shared" si="10"/>
        <v>1.0005904936894732</v>
      </c>
      <c r="S94" s="4">
        <f t="shared" si="11"/>
        <v>0.99946707373466637</v>
      </c>
      <c r="T94" s="4">
        <f t="shared" si="12"/>
        <v>5.3292626533363308E-4</v>
      </c>
      <c r="U94" s="4">
        <f t="shared" si="13"/>
        <v>9.3129999999996826E-5</v>
      </c>
    </row>
    <row r="95" spans="5:21" x14ac:dyDescent="0.25">
      <c r="E95">
        <v>1686.6</v>
      </c>
      <c r="F95">
        <v>0.17467099999999999</v>
      </c>
      <c r="H95" s="1">
        <v>1686.6</v>
      </c>
      <c r="I95" s="4">
        <v>0.17478676000000001</v>
      </c>
      <c r="K95">
        <v>1685.6</v>
      </c>
      <c r="L95" s="3">
        <v>0.17456070110969599</v>
      </c>
      <c r="P95">
        <f t="shared" si="10"/>
        <v>1.0004558340519214</v>
      </c>
      <c r="S95" s="4">
        <f t="shared" si="11"/>
        <v>0.99933770727256444</v>
      </c>
      <c r="T95" s="4">
        <f t="shared" si="12"/>
        <v>6.62292727435565E-4</v>
      </c>
      <c r="U95" s="4">
        <f t="shared" si="13"/>
        <v>1.1576000000002029E-4</v>
      </c>
    </row>
    <row r="96" spans="5:21" x14ac:dyDescent="0.25">
      <c r="E96">
        <v>1686.65</v>
      </c>
      <c r="F96">
        <v>0.17469199999999999</v>
      </c>
      <c r="H96" s="1">
        <v>1686.65</v>
      </c>
      <c r="I96" s="4">
        <v>0.17498950999999999</v>
      </c>
      <c r="K96">
        <v>1685.65</v>
      </c>
      <c r="L96" s="3">
        <v>0.17458160879405901</v>
      </c>
      <c r="P96">
        <f t="shared" si="10"/>
        <v>0.99935839404659177</v>
      </c>
      <c r="S96" s="4">
        <f t="shared" si="11"/>
        <v>0.99829984094475144</v>
      </c>
      <c r="T96" s="4">
        <f t="shared" si="12"/>
        <v>1.7001590552485624E-3</v>
      </c>
      <c r="U96" s="4">
        <f t="shared" si="13"/>
        <v>2.9751000000000083E-4</v>
      </c>
    </row>
    <row r="97" spans="5:21" x14ac:dyDescent="0.25">
      <c r="E97">
        <v>1686.7</v>
      </c>
      <c r="F97">
        <v>0.17469000000000001</v>
      </c>
      <c r="H97" s="1">
        <v>1686.7</v>
      </c>
      <c r="I97" s="4">
        <v>0.17496912000000001</v>
      </c>
      <c r="K97">
        <v>1685.7</v>
      </c>
      <c r="L97" s="3">
        <v>0.174601721588656</v>
      </c>
      <c r="P97">
        <f t="shared" si="10"/>
        <v>0.99953487351345194</v>
      </c>
      <c r="S97" s="4">
        <f t="shared" si="11"/>
        <v>0.99840474707765581</v>
      </c>
      <c r="T97" s="4">
        <f t="shared" si="12"/>
        <v>1.5952529223441925E-3</v>
      </c>
      <c r="U97" s="4">
        <f t="shared" si="13"/>
        <v>2.7911999999999382E-4</v>
      </c>
    </row>
    <row r="98" spans="5:21" x14ac:dyDescent="0.25">
      <c r="E98">
        <v>1686.75</v>
      </c>
      <c r="F98">
        <v>0.17469999999999999</v>
      </c>
      <c r="H98" s="1">
        <v>1686.75</v>
      </c>
      <c r="I98" s="4">
        <v>0.17475842</v>
      </c>
      <c r="K98">
        <v>1685.75</v>
      </c>
      <c r="L98" s="3">
        <v>0.174621085021685</v>
      </c>
      <c r="P98">
        <f t="shared" si="10"/>
        <v>1.0007984176289131</v>
      </c>
      <c r="S98" s="4">
        <f t="shared" si="11"/>
        <v>0.99966570995549164</v>
      </c>
      <c r="T98" s="4">
        <f t="shared" si="12"/>
        <v>3.3429004450835631E-4</v>
      </c>
      <c r="U98" s="4">
        <f t="shared" si="13"/>
        <v>5.8420000000003469E-5</v>
      </c>
    </row>
    <row r="99" spans="5:21" x14ac:dyDescent="0.25">
      <c r="E99">
        <v>1686.8</v>
      </c>
      <c r="F99">
        <v>0.17471600000000001</v>
      </c>
      <c r="H99" s="1">
        <v>1686.8</v>
      </c>
      <c r="I99" s="4">
        <v>0.17477751</v>
      </c>
      <c r="K99">
        <v>1685.8</v>
      </c>
      <c r="L99" s="3">
        <v>0.174639739484824</v>
      </c>
      <c r="P99">
        <f t="shared" si="10"/>
        <v>1.0007459478741172</v>
      </c>
      <c r="S99" s="4">
        <f t="shared" si="11"/>
        <v>0.99964806684796004</v>
      </c>
      <c r="T99" s="4">
        <f t="shared" si="12"/>
        <v>3.5193315203996267E-4</v>
      </c>
      <c r="U99" s="4">
        <f t="shared" si="13"/>
        <v>6.1509999999986853E-5</v>
      </c>
    </row>
    <row r="100" spans="5:21" x14ac:dyDescent="0.25">
      <c r="E100">
        <v>1686.85</v>
      </c>
      <c r="F100">
        <v>0.17472799999999999</v>
      </c>
      <c r="H100" s="1">
        <v>1686.85</v>
      </c>
      <c r="I100" s="4">
        <v>0.17505978</v>
      </c>
      <c r="K100">
        <v>1685.85</v>
      </c>
      <c r="L100" s="3">
        <v>0.17465772434769999</v>
      </c>
      <c r="P100">
        <f t="shared" si="10"/>
        <v>0.99918754613100746</v>
      </c>
      <c r="S100" s="4">
        <f t="shared" si="11"/>
        <v>0.99810476169911788</v>
      </c>
      <c r="T100" s="4">
        <f t="shared" si="12"/>
        <v>1.8952383008821183E-3</v>
      </c>
      <c r="U100" s="4">
        <f t="shared" si="13"/>
        <v>3.3178000000000374E-4</v>
      </c>
    </row>
    <row r="101" spans="5:21" x14ac:dyDescent="0.25">
      <c r="E101">
        <v>1686.9</v>
      </c>
      <c r="F101">
        <v>0.17474999999999999</v>
      </c>
      <c r="H101" s="1">
        <v>1686.9</v>
      </c>
      <c r="I101" s="4">
        <v>0.17498031</v>
      </c>
      <c r="K101">
        <v>1685.9</v>
      </c>
      <c r="L101" s="3">
        <v>0.174675074919099</v>
      </c>
      <c r="P101">
        <f t="shared" si="10"/>
        <v>0.99969510742196088</v>
      </c>
      <c r="S101" s="4">
        <f t="shared" si="11"/>
        <v>0.99868379476525093</v>
      </c>
      <c r="T101" s="4">
        <f t="shared" si="12"/>
        <v>1.3162052347490683E-3</v>
      </c>
      <c r="U101" s="4">
        <f t="shared" si="13"/>
        <v>2.3031000000001134E-4</v>
      </c>
    </row>
    <row r="102" spans="5:21" x14ac:dyDescent="0.25">
      <c r="E102">
        <v>1686.95</v>
      </c>
      <c r="F102">
        <v>0.17473900000000001</v>
      </c>
      <c r="H102" s="1">
        <v>1686.95</v>
      </c>
      <c r="I102" s="4">
        <v>0.17477076999999999</v>
      </c>
      <c r="K102">
        <v>1685.95</v>
      </c>
      <c r="L102" s="3">
        <v>0.174691824276861</v>
      </c>
      <c r="P102">
        <f t="shared" si="10"/>
        <v>1.0009460824125682</v>
      </c>
      <c r="S102" s="4">
        <f t="shared" si="11"/>
        <v>0.99981821903056223</v>
      </c>
      <c r="T102" s="4">
        <f t="shared" si="12"/>
        <v>1.8178096943777255E-4</v>
      </c>
      <c r="U102" s="4">
        <f t="shared" si="13"/>
        <v>3.1769999999986531E-5</v>
      </c>
    </row>
    <row r="103" spans="5:21" x14ac:dyDescent="0.25">
      <c r="E103">
        <v>1687</v>
      </c>
      <c r="F103">
        <v>0.174759</v>
      </c>
      <c r="H103" s="1">
        <v>1687</v>
      </c>
      <c r="I103" s="4">
        <v>0.17481442999999999</v>
      </c>
      <c r="K103">
        <v>1686</v>
      </c>
      <c r="L103" s="3">
        <v>0.174708002194079</v>
      </c>
      <c r="P103">
        <f t="shared" si="10"/>
        <v>1.0007470879708729</v>
      </c>
      <c r="S103" s="4">
        <f t="shared" si="11"/>
        <v>0.99968292091219246</v>
      </c>
      <c r="T103" s="4">
        <f t="shared" si="12"/>
        <v>3.1707908780753691E-4</v>
      </c>
      <c r="U103" s="4">
        <f t="shared" si="13"/>
        <v>5.5429999999995205E-5</v>
      </c>
    </row>
    <row r="104" spans="5:21" x14ac:dyDescent="0.25">
      <c r="E104">
        <v>1687.05</v>
      </c>
      <c r="F104">
        <v>0.17477100000000001</v>
      </c>
      <c r="H104" s="1">
        <v>1687.05</v>
      </c>
      <c r="I104" s="4">
        <v>0.17508278999999999</v>
      </c>
      <c r="K104">
        <v>1686.05</v>
      </c>
      <c r="L104" s="3">
        <v>0.174723639673244</v>
      </c>
      <c r="P104">
        <f t="shared" si="10"/>
        <v>0.9992627546208569</v>
      </c>
      <c r="S104" s="4">
        <f t="shared" si="11"/>
        <v>0.99821918533512077</v>
      </c>
      <c r="T104" s="4">
        <f t="shared" si="12"/>
        <v>1.7808146648792267E-3</v>
      </c>
      <c r="U104" s="4">
        <f t="shared" si="13"/>
        <v>3.1178999999997847E-4</v>
      </c>
    </row>
    <row r="105" spans="5:21" x14ac:dyDescent="0.25">
      <c r="E105">
        <v>1687.1</v>
      </c>
      <c r="F105">
        <v>0.174764</v>
      </c>
      <c r="H105" s="1">
        <v>1687.1</v>
      </c>
      <c r="I105" s="4">
        <v>0.17499816000000001</v>
      </c>
      <c r="K105">
        <v>1686.1</v>
      </c>
      <c r="L105" s="3">
        <v>0.17473876065326699</v>
      </c>
      <c r="P105">
        <f t="shared" si="10"/>
        <v>0.99979428344854593</v>
      </c>
      <c r="S105" s="4">
        <f t="shared" si="11"/>
        <v>0.99866192878827975</v>
      </c>
      <c r="T105" s="4">
        <f t="shared" si="12"/>
        <v>1.3380712117202487E-3</v>
      </c>
      <c r="U105" s="4">
        <f t="shared" si="13"/>
        <v>2.3416000000001103E-4</v>
      </c>
    </row>
    <row r="106" spans="5:21" x14ac:dyDescent="0.25">
      <c r="E106">
        <v>1687.15</v>
      </c>
      <c r="F106">
        <v>0.174787</v>
      </c>
      <c r="H106" s="1">
        <v>1687.15</v>
      </c>
      <c r="I106" s="4">
        <v>0.17476307999999999</v>
      </c>
      <c r="K106">
        <v>1686.15</v>
      </c>
      <c r="L106" s="3">
        <v>0.17475339265619999</v>
      </c>
      <c r="P106">
        <f t="shared" si="10"/>
        <v>1.001186212075142</v>
      </c>
      <c r="S106" s="4">
        <f t="shared" si="11"/>
        <v>1.0001368710141754</v>
      </c>
      <c r="T106" s="4">
        <f t="shared" si="12"/>
        <v>-1.3687101417536596E-4</v>
      </c>
      <c r="U106" s="4">
        <f t="shared" si="13"/>
        <v>-2.3920000000010599E-5</v>
      </c>
    </row>
    <row r="107" spans="5:21" x14ac:dyDescent="0.25">
      <c r="E107">
        <v>1687.2</v>
      </c>
      <c r="F107">
        <v>0.174794</v>
      </c>
      <c r="H107" s="1">
        <v>1687.2</v>
      </c>
      <c r="I107" s="4">
        <v>0.17481448999999999</v>
      </c>
      <c r="K107">
        <v>1686.2</v>
      </c>
      <c r="L107" s="3">
        <v>0.174767557183581</v>
      </c>
      <c r="P107">
        <f t="shared" si="10"/>
        <v>1.0009375777396885</v>
      </c>
      <c r="S107" s="4">
        <f t="shared" si="11"/>
        <v>0.9998827900364553</v>
      </c>
      <c r="T107" s="4">
        <f t="shared" si="12"/>
        <v>1.1720996354469548E-4</v>
      </c>
      <c r="U107" s="4">
        <f t="shared" si="13"/>
        <v>2.0489999999984132E-5</v>
      </c>
    </row>
    <row r="108" spans="5:21" x14ac:dyDescent="0.25">
      <c r="E108">
        <v>1687.25</v>
      </c>
      <c r="F108">
        <v>0.17480100000000001</v>
      </c>
      <c r="H108" s="1">
        <v>1687.25</v>
      </c>
      <c r="I108" s="4">
        <v>0.17511508000000001</v>
      </c>
      <c r="K108">
        <v>1686.25</v>
      </c>
      <c r="L108" s="3">
        <v>0.17478127766118301</v>
      </c>
      <c r="P108">
        <f t="shared" si="10"/>
        <v>0.9992639346125588</v>
      </c>
      <c r="S108" s="4">
        <f t="shared" si="11"/>
        <v>0.99820643659015551</v>
      </c>
      <c r="T108" s="4">
        <f t="shared" si="12"/>
        <v>1.7935634098444897E-3</v>
      </c>
      <c r="U108" s="4">
        <f t="shared" si="13"/>
        <v>3.1407999999999436E-4</v>
      </c>
    </row>
    <row r="109" spans="5:21" x14ac:dyDescent="0.25">
      <c r="E109">
        <v>1687.3</v>
      </c>
      <c r="F109">
        <v>0.174793</v>
      </c>
      <c r="H109" s="1">
        <v>1687.3</v>
      </c>
      <c r="I109" s="4">
        <v>0.17500478</v>
      </c>
      <c r="K109">
        <v>1686.3</v>
      </c>
      <c r="L109" s="3">
        <v>0.174794573173981</v>
      </c>
      <c r="P109">
        <f t="shared" si="10"/>
        <v>0.99993704415907392</v>
      </c>
      <c r="S109" s="4">
        <f t="shared" si="11"/>
        <v>0.99878986162549388</v>
      </c>
      <c r="T109" s="4">
        <f t="shared" si="12"/>
        <v>1.2101383745061201E-3</v>
      </c>
      <c r="U109" s="4">
        <f t="shared" si="13"/>
        <v>2.1177999999999475E-4</v>
      </c>
    </row>
    <row r="110" spans="5:21" x14ac:dyDescent="0.25">
      <c r="E110">
        <v>1687.35</v>
      </c>
      <c r="F110">
        <v>0.17481099999999999</v>
      </c>
      <c r="H110" s="1">
        <v>1687.35</v>
      </c>
      <c r="I110" s="4">
        <v>0.17470719000000001</v>
      </c>
      <c r="K110">
        <v>1686.35</v>
      </c>
      <c r="L110" s="3">
        <v>0.174807464553486</v>
      </c>
      <c r="P110">
        <f t="shared" si="10"/>
        <v>1.0016824771814485</v>
      </c>
      <c r="S110" s="4">
        <f t="shared" si="11"/>
        <v>1.000594194205745</v>
      </c>
      <c r="T110" s="4">
        <f t="shared" si="12"/>
        <v>-5.9419420574502446E-4</v>
      </c>
      <c r="U110" s="4">
        <f t="shared" si="13"/>
        <v>-1.0380999999998197E-4</v>
      </c>
    </row>
    <row r="111" spans="5:21" x14ac:dyDescent="0.25">
      <c r="E111">
        <v>1687.4</v>
      </c>
      <c r="F111">
        <v>0.17483799999999999</v>
      </c>
      <c r="H111" s="1">
        <v>1687.4</v>
      </c>
      <c r="I111" s="4">
        <v>0.17483731999999999</v>
      </c>
      <c r="K111">
        <v>1686.4</v>
      </c>
      <c r="L111" s="3">
        <v>0.174819967630016</v>
      </c>
      <c r="P111">
        <f t="shared" si="10"/>
        <v>1.000977874493455</v>
      </c>
      <c r="S111" s="4">
        <f t="shared" si="11"/>
        <v>1.0000038893298067</v>
      </c>
      <c r="T111" s="4">
        <f t="shared" si="12"/>
        <v>-3.8893298066611237E-6</v>
      </c>
      <c r="U111" s="4">
        <f t="shared" si="13"/>
        <v>-6.8000000000290051E-7</v>
      </c>
    </row>
    <row r="112" spans="5:21" x14ac:dyDescent="0.25">
      <c r="E112">
        <v>1687.45</v>
      </c>
      <c r="F112">
        <v>0.17482700000000001</v>
      </c>
      <c r="H112" s="1">
        <v>1687.45</v>
      </c>
      <c r="I112" s="4">
        <v>0.1751413</v>
      </c>
      <c r="K112">
        <v>1686.45</v>
      </c>
      <c r="L112" s="3">
        <v>0.17483210174240801</v>
      </c>
      <c r="P112">
        <f t="shared" si="10"/>
        <v>0.99928021932309508</v>
      </c>
      <c r="S112" s="4">
        <f t="shared" si="11"/>
        <v>0.9982054489717731</v>
      </c>
      <c r="T112" s="4">
        <f t="shared" si="12"/>
        <v>1.7945510282268984E-3</v>
      </c>
      <c r="U112" s="4">
        <f t="shared" si="13"/>
        <v>3.1429999999998959E-4</v>
      </c>
    </row>
    <row r="113" spans="5:21" x14ac:dyDescent="0.25">
      <c r="E113">
        <v>1687.5</v>
      </c>
      <c r="F113">
        <v>0.17483799999999999</v>
      </c>
      <c r="H113" s="1">
        <v>1687.5</v>
      </c>
      <c r="I113" s="4">
        <v>0.17501637</v>
      </c>
      <c r="K113">
        <v>1686.5</v>
      </c>
      <c r="L113" s="3">
        <v>0.17484388016417499</v>
      </c>
      <c r="P113">
        <f t="shared" si="10"/>
        <v>1.0000320072249871</v>
      </c>
      <c r="S113" s="4">
        <f t="shared" si="11"/>
        <v>0.9989808381924502</v>
      </c>
      <c r="T113" s="4">
        <f t="shared" si="12"/>
        <v>1.0191618075497955E-3</v>
      </c>
      <c r="U113" s="4">
        <f t="shared" si="13"/>
        <v>1.7837000000001102E-4</v>
      </c>
    </row>
    <row r="114" spans="5:21" x14ac:dyDescent="0.25">
      <c r="E114">
        <v>1687.55</v>
      </c>
      <c r="F114">
        <v>0.17484</v>
      </c>
      <c r="H114" s="1">
        <v>1687.55</v>
      </c>
      <c r="I114" s="4">
        <v>0.17478789</v>
      </c>
      <c r="K114">
        <v>1686.55</v>
      </c>
      <c r="L114" s="3">
        <v>0.17485532002998699</v>
      </c>
      <c r="P114">
        <f t="shared" si="10"/>
        <v>1.0013765318808014</v>
      </c>
      <c r="S114" s="4">
        <f t="shared" si="11"/>
        <v>1.00029813278254</v>
      </c>
      <c r="T114" s="4">
        <f t="shared" si="12"/>
        <v>-2.9813278253998376E-4</v>
      </c>
      <c r="U114" s="4">
        <f t="shared" si="13"/>
        <v>-5.2109999999994105E-5</v>
      </c>
    </row>
    <row r="115" spans="5:21" x14ac:dyDescent="0.25">
      <c r="E115">
        <v>1687.6</v>
      </c>
      <c r="F115">
        <v>0.17485200000000001</v>
      </c>
      <c r="H115" s="1">
        <v>1687.6</v>
      </c>
      <c r="I115" s="4">
        <v>0.17479997999999999</v>
      </c>
      <c r="K115">
        <v>1686.6</v>
      </c>
      <c r="L115" s="3">
        <v>0.17486643375703301</v>
      </c>
      <c r="P115">
        <f t="shared" si="10"/>
        <v>1.0013432960869333</v>
      </c>
      <c r="S115" s="4">
        <f t="shared" si="11"/>
        <v>1.0002975972880548</v>
      </c>
      <c r="T115" s="4">
        <f t="shared" si="12"/>
        <v>-2.9759728805478503E-4</v>
      </c>
      <c r="U115" s="4">
        <f t="shared" si="13"/>
        <v>-5.2020000000013722E-5</v>
      </c>
    </row>
    <row r="116" spans="5:21" x14ac:dyDescent="0.25">
      <c r="E116">
        <v>1687.65</v>
      </c>
      <c r="F116">
        <v>0.174848</v>
      </c>
      <c r="H116" s="1">
        <v>1687.65</v>
      </c>
      <c r="I116" s="4">
        <v>0.17502487</v>
      </c>
      <c r="K116">
        <v>1686.65</v>
      </c>
      <c r="L116" s="3">
        <v>0.1748772356886</v>
      </c>
      <c r="P116">
        <f t="shared" si="10"/>
        <v>1.000091337843199</v>
      </c>
      <c r="S116" s="4">
        <f t="shared" si="11"/>
        <v>0.99898945789818328</v>
      </c>
      <c r="T116" s="4">
        <f t="shared" si="12"/>
        <v>1.0105421018167249E-3</v>
      </c>
      <c r="U116" s="4">
        <f t="shared" si="13"/>
        <v>1.7686999999999564E-4</v>
      </c>
    </row>
    <row r="117" spans="5:21" x14ac:dyDescent="0.25">
      <c r="E117">
        <v>1687.7</v>
      </c>
      <c r="F117">
        <v>0.17485899999999999</v>
      </c>
      <c r="H117" s="1">
        <v>1687.7</v>
      </c>
      <c r="I117" s="4">
        <v>0.17506774999999999</v>
      </c>
      <c r="K117">
        <v>1686.7</v>
      </c>
      <c r="L117" s="3">
        <v>0.17488773722796</v>
      </c>
      <c r="P117">
        <f t="shared" si="10"/>
        <v>0.99987967299482639</v>
      </c>
      <c r="S117" s="4">
        <f t="shared" si="11"/>
        <v>0.99880760448454953</v>
      </c>
      <c r="T117" s="4">
        <f t="shared" si="12"/>
        <v>1.1923955154504728E-3</v>
      </c>
      <c r="U117" s="4">
        <f t="shared" si="13"/>
        <v>2.0875000000000754E-4</v>
      </c>
    </row>
    <row r="118" spans="5:21" x14ac:dyDescent="0.25">
      <c r="E118">
        <v>1687.75</v>
      </c>
      <c r="F118">
        <v>0.17488500000000001</v>
      </c>
      <c r="H118" s="1">
        <v>1687.75</v>
      </c>
      <c r="I118" s="4">
        <v>0.17486525999999999</v>
      </c>
      <c r="K118">
        <v>1686.75</v>
      </c>
      <c r="L118" s="3">
        <v>0.17489795020332899</v>
      </c>
      <c r="P118">
        <f t="shared" si="10"/>
        <v>1.0010694014168682</v>
      </c>
      <c r="S118" s="4">
        <f t="shared" si="11"/>
        <v>1.000112886916475</v>
      </c>
      <c r="T118" s="4">
        <f t="shared" si="12"/>
        <v>-1.1288691647504123E-4</v>
      </c>
      <c r="U118" s="4">
        <f t="shared" si="13"/>
        <v>-1.9740000000018076E-5</v>
      </c>
    </row>
    <row r="119" spans="5:21" x14ac:dyDescent="0.25">
      <c r="E119">
        <v>1687.8</v>
      </c>
      <c r="F119">
        <v>0.174871</v>
      </c>
      <c r="H119" s="1">
        <v>1687.8</v>
      </c>
      <c r="I119" s="4">
        <v>0.17470031999999999</v>
      </c>
      <c r="K119">
        <v>1686.8</v>
      </c>
      <c r="L119" s="3">
        <v>0.17490788491202799</v>
      </c>
      <c r="P119">
        <f t="shared" si="10"/>
        <v>1.0020449250741612</v>
      </c>
      <c r="S119" s="4">
        <f t="shared" si="11"/>
        <v>1.0009769873346541</v>
      </c>
      <c r="T119" s="4">
        <f t="shared" si="12"/>
        <v>-9.7698733465412246E-4</v>
      </c>
      <c r="U119" s="4">
        <f t="shared" si="13"/>
        <v>-1.7068000000000638E-4</v>
      </c>
    </row>
    <row r="120" spans="5:21" x14ac:dyDescent="0.25">
      <c r="E120">
        <v>1687.85</v>
      </c>
      <c r="F120">
        <v>0.17487800000000001</v>
      </c>
      <c r="H120" s="1">
        <v>1687.85</v>
      </c>
      <c r="I120" s="4">
        <v>0.17496676999999999</v>
      </c>
      <c r="K120">
        <v>1686.85</v>
      </c>
      <c r="L120" s="3">
        <v>0.17491755200443401</v>
      </c>
      <c r="P120">
        <f t="shared" si="10"/>
        <v>1.0005476417531054</v>
      </c>
      <c r="S120" s="4">
        <f t="shared" si="11"/>
        <v>0.99949264651796454</v>
      </c>
      <c r="T120" s="4">
        <f t="shared" si="12"/>
        <v>5.0735348203545527E-4</v>
      </c>
      <c r="U120" s="4">
        <f t="shared" si="13"/>
        <v>8.8769999999988025E-5</v>
      </c>
    </row>
    <row r="121" spans="5:21" x14ac:dyDescent="0.25">
      <c r="E121">
        <v>1687.9</v>
      </c>
      <c r="F121">
        <v>0.174896</v>
      </c>
      <c r="H121" s="1">
        <v>1687.9</v>
      </c>
      <c r="I121" s="4">
        <v>0.17500695999999999</v>
      </c>
      <c r="K121">
        <v>1686.9</v>
      </c>
      <c r="L121" s="3">
        <v>0.17492695980217801</v>
      </c>
      <c r="P121">
        <f t="shared" si="10"/>
        <v>1.0003447634778355</v>
      </c>
      <c r="S121" s="4">
        <f t="shared" si="11"/>
        <v>0.99936596807349842</v>
      </c>
      <c r="T121" s="4">
        <f t="shared" si="12"/>
        <v>6.3403192650157703E-4</v>
      </c>
      <c r="U121" s="4">
        <f t="shared" si="13"/>
        <v>1.1095999999999329E-4</v>
      </c>
    </row>
    <row r="122" spans="5:21" x14ac:dyDescent="0.25">
      <c r="E122">
        <v>1687.95</v>
      </c>
      <c r="F122">
        <v>0.17488000000000001</v>
      </c>
      <c r="H122" s="1">
        <v>1687.95</v>
      </c>
      <c r="I122" s="4">
        <v>0.17493165999999999</v>
      </c>
      <c r="K122">
        <v>1686.95</v>
      </c>
      <c r="L122" s="3">
        <v>0.174936117551728</v>
      </c>
      <c r="P122">
        <f t="shared" si="10"/>
        <v>1.0008003179150704</v>
      </c>
      <c r="S122" s="4">
        <f t="shared" si="11"/>
        <v>0.99970468467514695</v>
      </c>
      <c r="T122" s="4">
        <f t="shared" si="12"/>
        <v>2.9531532485305156E-4</v>
      </c>
      <c r="U122" s="4">
        <f t="shared" si="13"/>
        <v>5.1659999999981165E-5</v>
      </c>
    </row>
    <row r="123" spans="5:21" x14ac:dyDescent="0.25">
      <c r="E123">
        <v>1688</v>
      </c>
      <c r="F123">
        <v>0.17488699999999999</v>
      </c>
      <c r="H123" s="1">
        <v>1688</v>
      </c>
      <c r="I123" s="4">
        <v>0.1747939</v>
      </c>
      <c r="K123">
        <v>1687</v>
      </c>
      <c r="L123" s="3">
        <v>0.174945031757788</v>
      </c>
      <c r="P123">
        <f t="shared" si="10"/>
        <v>1.0016118772719929</v>
      </c>
      <c r="S123" s="4">
        <f t="shared" si="11"/>
        <v>1.0005326272827597</v>
      </c>
      <c r="T123" s="4">
        <f t="shared" si="12"/>
        <v>-5.3262728275971227E-4</v>
      </c>
      <c r="U123" s="4">
        <f t="shared" si="13"/>
        <v>-9.3099999999984862E-5</v>
      </c>
    </row>
    <row r="124" spans="5:21" x14ac:dyDescent="0.25">
      <c r="K124">
        <v>1687.05</v>
      </c>
      <c r="L124" s="3">
        <v>0.174953711022105</v>
      </c>
    </row>
    <row r="125" spans="5:21" x14ac:dyDescent="0.25">
      <c r="K125">
        <v>1687.1</v>
      </c>
      <c r="L125" s="3">
        <v>0.174962159982014</v>
      </c>
    </row>
    <row r="126" spans="5:21" x14ac:dyDescent="0.25">
      <c r="K126">
        <v>1687.15</v>
      </c>
      <c r="L126" s="3">
        <v>0.17497038607578499</v>
      </c>
    </row>
    <row r="127" spans="5:21" x14ac:dyDescent="0.25">
      <c r="K127">
        <v>1687.2</v>
      </c>
      <c r="L127" s="3">
        <v>0.17497839217439901</v>
      </c>
    </row>
    <row r="128" spans="5:21" x14ac:dyDescent="0.25">
      <c r="K128">
        <v>1687.25</v>
      </c>
      <c r="L128" s="3">
        <v>0.17498618385079301</v>
      </c>
    </row>
    <row r="129" spans="11:12" x14ac:dyDescent="0.25">
      <c r="K129">
        <v>1687.3</v>
      </c>
      <c r="L129" s="3">
        <v>0.17499376242690901</v>
      </c>
    </row>
    <row r="130" spans="11:12" x14ac:dyDescent="0.25">
      <c r="K130">
        <v>1687.35</v>
      </c>
      <c r="L130" s="3">
        <v>0.17500113086061</v>
      </c>
    </row>
    <row r="131" spans="11:12" x14ac:dyDescent="0.25">
      <c r="K131">
        <v>1687.4</v>
      </c>
      <c r="L131" s="3">
        <v>0.17500828895573201</v>
      </c>
    </row>
    <row r="132" spans="11:12" x14ac:dyDescent="0.25">
      <c r="K132">
        <v>1687.45</v>
      </c>
      <c r="L132" s="3">
        <v>0.17501523667653199</v>
      </c>
    </row>
    <row r="133" spans="11:12" x14ac:dyDescent="0.25">
      <c r="K133">
        <v>1687.5</v>
      </c>
      <c r="L133" s="3">
        <v>0.17502197178833101</v>
      </c>
    </row>
    <row r="134" spans="11:12" x14ac:dyDescent="0.25">
      <c r="K134">
        <v>1687.55</v>
      </c>
      <c r="L134" s="3">
        <v>0.17502849110296301</v>
      </c>
    </row>
    <row r="135" spans="11:12" x14ac:dyDescent="0.25">
      <c r="K135">
        <v>1687.6</v>
      </c>
      <c r="L135" s="3">
        <v>0.17503478812913001</v>
      </c>
    </row>
    <row r="136" spans="11:12" x14ac:dyDescent="0.25">
      <c r="K136">
        <v>1687.65</v>
      </c>
      <c r="L136" s="3">
        <v>0.175040856394132</v>
      </c>
    </row>
    <row r="137" spans="11:12" x14ac:dyDescent="0.25">
      <c r="K137">
        <v>1687.7</v>
      </c>
      <c r="L137" s="3">
        <v>0.17504668462194001</v>
      </c>
    </row>
    <row r="138" spans="11:12" x14ac:dyDescent="0.25">
      <c r="K138">
        <v>1687.75</v>
      </c>
      <c r="L138" s="3">
        <v>0.175052261156805</v>
      </c>
    </row>
    <row r="139" spans="11:12" x14ac:dyDescent="0.25">
      <c r="K139">
        <v>1687.8</v>
      </c>
      <c r="L139" s="3">
        <v>0.175057569064832</v>
      </c>
    </row>
    <row r="140" spans="11:12" x14ac:dyDescent="0.25">
      <c r="K140">
        <v>1687.85</v>
      </c>
      <c r="L140" s="3">
        <v>0.17506258910865799</v>
      </c>
    </row>
    <row r="141" spans="11:12" x14ac:dyDescent="0.25">
      <c r="K141">
        <v>1687.9</v>
      </c>
      <c r="L141" s="3">
        <v>0.175067296008175</v>
      </c>
    </row>
    <row r="142" spans="11:12" x14ac:dyDescent="0.25">
      <c r="K142">
        <v>1687.95</v>
      </c>
      <c r="L142" s="3">
        <v>0.17507166094141099</v>
      </c>
    </row>
    <row r="143" spans="11:12" x14ac:dyDescent="0.25">
      <c r="K143">
        <v>1688</v>
      </c>
      <c r="L143" s="3">
        <v>0.175075646314693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C8885-8201-4341-AA9A-3C0D58E6783C}">
  <dimension ref="A1:AH143"/>
  <sheetViews>
    <sheetView topLeftCell="K4" zoomScale="80" zoomScaleNormal="80" workbookViewId="0">
      <selection activeCell="T3" sqref="T3"/>
    </sheetView>
  </sheetViews>
  <sheetFormatPr defaultRowHeight="15.75" x14ac:dyDescent="0.25"/>
  <cols>
    <col min="1" max="1" width="11.5" customWidth="1"/>
    <col min="2" max="3" width="9" customWidth="1"/>
    <col min="4" max="5" width="14.375" customWidth="1"/>
    <col min="7" max="7" width="6" style="13" customWidth="1"/>
    <col min="8" max="8" width="12.375" customWidth="1"/>
    <col min="9" max="9" width="15" style="4" customWidth="1"/>
    <col min="10" max="10" width="6.5" style="13" customWidth="1"/>
    <col min="11" max="11" width="12.75" customWidth="1"/>
    <col min="12" max="12" width="16.25" style="4" customWidth="1"/>
    <col min="13" max="13" width="7.375" style="16" customWidth="1"/>
    <col min="14" max="14" width="14" customWidth="1"/>
    <col min="16" max="16" width="12.75" customWidth="1"/>
    <col min="17" max="17" width="11.875" customWidth="1"/>
    <col min="18" max="18" width="6.75" style="13" customWidth="1"/>
    <col min="20" max="20" width="12.125" customWidth="1"/>
    <col min="28" max="28" width="15.5" style="8" bestFit="1" customWidth="1"/>
    <col min="32" max="32" width="45.125" customWidth="1"/>
    <col min="34" max="34" width="12.375" style="4" bestFit="1" customWidth="1"/>
  </cols>
  <sheetData>
    <row r="1" spans="1:33" x14ac:dyDescent="0.25">
      <c r="C1" t="s">
        <v>0</v>
      </c>
      <c r="E1" t="s">
        <v>17</v>
      </c>
      <c r="H1" s="4" t="s">
        <v>1</v>
      </c>
      <c r="J1" s="16"/>
      <c r="K1" t="s">
        <v>2</v>
      </c>
      <c r="N1" t="s">
        <v>5</v>
      </c>
      <c r="O1" t="s">
        <v>6</v>
      </c>
      <c r="P1" s="4" t="s">
        <v>7</v>
      </c>
      <c r="Q1" t="s">
        <v>6</v>
      </c>
      <c r="S1" t="s">
        <v>5</v>
      </c>
      <c r="T1" t="s">
        <v>6</v>
      </c>
      <c r="AB1" s="8" t="s">
        <v>12</v>
      </c>
    </row>
    <row r="2" spans="1:33" x14ac:dyDescent="0.25">
      <c r="A2" t="s">
        <v>8</v>
      </c>
      <c r="B2" t="s">
        <v>13</v>
      </c>
      <c r="C2" t="s">
        <v>14</v>
      </c>
      <c r="D2" t="s">
        <v>9</v>
      </c>
      <c r="E2" t="s">
        <v>10</v>
      </c>
      <c r="H2" t="s">
        <v>8</v>
      </c>
      <c r="I2" t="s">
        <v>9</v>
      </c>
      <c r="K2" t="s">
        <v>8</v>
      </c>
      <c r="S2" t="s">
        <v>10</v>
      </c>
    </row>
    <row r="3" spans="1:33" x14ac:dyDescent="0.25">
      <c r="A3">
        <v>1682</v>
      </c>
      <c r="B3">
        <v>0.159995</v>
      </c>
      <c r="C3">
        <f t="shared" ref="C3:C15" si="0">B3*4*PI()/(0.0064886478302)</f>
        <v>309.85754182661879</v>
      </c>
      <c r="D3">
        <v>8.2889999999999995E-3</v>
      </c>
      <c r="E3" s="1">
        <v>1682</v>
      </c>
      <c r="F3" s="11">
        <v>8.6269999999999993E-3</v>
      </c>
      <c r="H3" s="1">
        <v>1682</v>
      </c>
      <c r="I3" s="4">
        <v>9.0565104000000004E-3</v>
      </c>
      <c r="J3" s="16"/>
      <c r="K3">
        <v>1681</v>
      </c>
      <c r="L3" s="4">
        <v>1.2168819722832901E-3</v>
      </c>
      <c r="N3">
        <f t="shared" ref="N3:N15" si="1">D3/I3</f>
        <v>0.91525318626035024</v>
      </c>
      <c r="O3">
        <f>1-N3</f>
        <v>8.4746813739649762E-2</v>
      </c>
      <c r="P3">
        <f>L23/I3</f>
        <v>0.99408205853462273</v>
      </c>
      <c r="Q3">
        <f>1-P3</f>
        <v>5.9179414653772744E-3</v>
      </c>
      <c r="S3">
        <f>F3/I3</f>
        <v>0.95257440437544227</v>
      </c>
      <c r="T3">
        <f>1-S3</f>
        <v>4.7425595624557726E-2</v>
      </c>
      <c r="AA3">
        <v>1682</v>
      </c>
      <c r="AB3" s="8">
        <v>1.2352397795488701E-3</v>
      </c>
      <c r="AC3">
        <f t="shared" ref="AC3:AC15" si="2">AB3/I3</f>
        <v>0.13639246519817058</v>
      </c>
      <c r="AD3">
        <v>1</v>
      </c>
      <c r="AF3" s="10"/>
      <c r="AG3" s="10"/>
    </row>
    <row r="4" spans="1:33" x14ac:dyDescent="0.25">
      <c r="A4">
        <v>1682.5</v>
      </c>
      <c r="B4">
        <v>0.30877700000000002</v>
      </c>
      <c r="C4">
        <f t="shared" si="0"/>
        <v>597.99920117877355</v>
      </c>
      <c r="D4">
        <v>2.8070999999999999E-2</v>
      </c>
      <c r="E4" s="1">
        <v>1682.05</v>
      </c>
      <c r="F4" s="11">
        <v>1.0834999999999999E-2</v>
      </c>
      <c r="H4" s="1">
        <v>1682.05</v>
      </c>
      <c r="I4" s="4">
        <v>1.0281139E-2</v>
      </c>
      <c r="K4">
        <v>1681.05</v>
      </c>
      <c r="L4" s="4">
        <v>1.30673541265033E-3</v>
      </c>
      <c r="N4">
        <f t="shared" si="1"/>
        <v>2.730339508103139</v>
      </c>
      <c r="O4">
        <f t="shared" ref="O4:O15" si="3">1-N4</f>
        <v>-1.730339508103139</v>
      </c>
      <c r="P4">
        <f t="shared" ref="P4:P67" si="4">L24/I4</f>
        <v>0.99358764106296005</v>
      </c>
      <c r="Q4">
        <f t="shared" ref="Q4:Q15" si="5">1-P4</f>
        <v>6.4123589370399525E-3</v>
      </c>
      <c r="S4">
        <f t="shared" ref="S4:S67" si="6">F4/I4</f>
        <v>1.0538715603397639</v>
      </c>
      <c r="T4">
        <f t="shared" ref="T4:T67" si="7">1-S4</f>
        <v>-5.3871560339763924E-2</v>
      </c>
      <c r="AA4">
        <v>1682.5</v>
      </c>
      <c r="AB4" s="8">
        <v>5.0202693819145104E-3</v>
      </c>
      <c r="AC4">
        <f t="shared" si="2"/>
        <v>0.48829895033172011</v>
      </c>
      <c r="AD4">
        <v>1</v>
      </c>
      <c r="AF4" s="10"/>
      <c r="AG4" s="10"/>
    </row>
    <row r="5" spans="1:33" x14ac:dyDescent="0.25">
      <c r="A5">
        <v>1683</v>
      </c>
      <c r="B5">
        <v>0.50622</v>
      </c>
      <c r="C5">
        <f t="shared" si="0"/>
        <v>980.38116705816412</v>
      </c>
      <c r="D5">
        <v>7.6609999999999998E-2</v>
      </c>
      <c r="E5" s="1">
        <v>1682.1</v>
      </c>
      <c r="F5" s="11">
        <v>1.1625999999999999E-2</v>
      </c>
      <c r="H5" s="1">
        <v>1682.1</v>
      </c>
      <c r="I5" s="4">
        <v>1.1667231E-2</v>
      </c>
      <c r="K5">
        <v>1681.1</v>
      </c>
      <c r="L5" s="4">
        <v>1.4071043779100799E-3</v>
      </c>
      <c r="N5">
        <f t="shared" si="1"/>
        <v>6.5662538094943006</v>
      </c>
      <c r="O5">
        <f t="shared" si="3"/>
        <v>-5.5662538094943006</v>
      </c>
      <c r="P5">
        <f t="shared" si="4"/>
        <v>0.99424980789662942</v>
      </c>
      <c r="Q5">
        <f t="shared" si="5"/>
        <v>5.7501921033705772E-3</v>
      </c>
      <c r="S5">
        <f t="shared" si="6"/>
        <v>0.99646608522622027</v>
      </c>
      <c r="T5">
        <f t="shared" si="7"/>
        <v>3.5339147737797338E-3</v>
      </c>
      <c r="AA5">
        <v>1683</v>
      </c>
      <c r="AB5" s="8">
        <v>2.5584615568896199E-2</v>
      </c>
      <c r="AC5">
        <f t="shared" si="2"/>
        <v>2.1928609769444178</v>
      </c>
      <c r="AD5">
        <v>1</v>
      </c>
      <c r="AF5" s="10"/>
      <c r="AG5" s="10"/>
    </row>
    <row r="6" spans="1:33" x14ac:dyDescent="0.25">
      <c r="A6">
        <v>1683.5</v>
      </c>
      <c r="B6">
        <v>0.71726699999999999</v>
      </c>
      <c r="C6">
        <f t="shared" si="0"/>
        <v>1389.1095937582636</v>
      </c>
      <c r="D6">
        <v>0.13639499999999999</v>
      </c>
      <c r="E6" s="1">
        <v>1682.15</v>
      </c>
      <c r="F6" s="11">
        <v>1.2373E-2</v>
      </c>
      <c r="H6" s="1">
        <v>1682.15</v>
      </c>
      <c r="I6" s="4">
        <v>1.3252603E-2</v>
      </c>
      <c r="K6">
        <v>1681.15</v>
      </c>
      <c r="L6" s="4">
        <v>1.5195744944967299E-3</v>
      </c>
      <c r="N6">
        <f t="shared" si="1"/>
        <v>10.291940383334504</v>
      </c>
      <c r="O6">
        <f t="shared" si="3"/>
        <v>-9.291940383334504</v>
      </c>
      <c r="P6">
        <f t="shared" si="4"/>
        <v>0.99440884034018828</v>
      </c>
      <c r="Q6">
        <f t="shared" si="5"/>
        <v>5.5911596598117175E-3</v>
      </c>
      <c r="S6">
        <f t="shared" si="6"/>
        <v>0.93362790691006137</v>
      </c>
      <c r="T6">
        <f t="shared" si="7"/>
        <v>6.6372093089938633E-2</v>
      </c>
      <c r="AA6">
        <v>1683.5</v>
      </c>
      <c r="AB6" s="8">
        <v>6.2254040229661502E-2</v>
      </c>
      <c r="AC6">
        <f t="shared" si="2"/>
        <v>4.6974952942951287</v>
      </c>
      <c r="AD6">
        <v>1</v>
      </c>
      <c r="AF6" s="10"/>
      <c r="AG6" s="10"/>
    </row>
    <row r="7" spans="1:33" x14ac:dyDescent="0.25">
      <c r="A7">
        <v>1684</v>
      </c>
      <c r="B7">
        <v>0.86027600000000004</v>
      </c>
      <c r="C7">
        <f t="shared" si="0"/>
        <v>1666.0708562919863</v>
      </c>
      <c r="D7">
        <v>0.16428000000000001</v>
      </c>
      <c r="E7" s="1">
        <v>1682.2</v>
      </c>
      <c r="F7" s="11">
        <v>1.4578000000000001E-2</v>
      </c>
      <c r="H7" s="1">
        <v>1682.2</v>
      </c>
      <c r="I7" s="4">
        <v>1.5054674000000001E-2</v>
      </c>
      <c r="K7">
        <v>1681.2</v>
      </c>
      <c r="L7" s="4">
        <v>1.6459866963240699E-3</v>
      </c>
      <c r="N7">
        <f t="shared" si="1"/>
        <v>10.912225664933031</v>
      </c>
      <c r="O7">
        <f t="shared" si="3"/>
        <v>-9.9122256649330307</v>
      </c>
      <c r="P7">
        <f t="shared" si="4"/>
        <v>0.9945194580003659</v>
      </c>
      <c r="Q7">
        <f t="shared" si="5"/>
        <v>5.4805419996341032E-3</v>
      </c>
      <c r="S7">
        <f t="shared" si="6"/>
        <v>0.96833714233865176</v>
      </c>
      <c r="T7">
        <f t="shared" si="7"/>
        <v>3.1662857661348243E-2</v>
      </c>
      <c r="AA7">
        <v>1684</v>
      </c>
      <c r="AB7" s="8">
        <v>8.0949883048273399E-2</v>
      </c>
      <c r="AC7">
        <f t="shared" si="2"/>
        <v>5.3770598452197236</v>
      </c>
      <c r="AD7">
        <v>1</v>
      </c>
      <c r="AF7" s="10"/>
      <c r="AG7" s="10"/>
    </row>
    <row r="8" spans="1:33" x14ac:dyDescent="0.25">
      <c r="A8">
        <v>1684.5</v>
      </c>
      <c r="B8">
        <v>0.96959099999999998</v>
      </c>
      <c r="C8">
        <f t="shared" si="0"/>
        <v>1877.7779545436615</v>
      </c>
      <c r="D8">
        <v>0.17253499999999999</v>
      </c>
      <c r="E8" s="1">
        <v>1682.25</v>
      </c>
      <c r="F8" s="11">
        <v>1.7940999999999999E-2</v>
      </c>
      <c r="H8" s="1">
        <v>1682.25</v>
      </c>
      <c r="I8" s="4">
        <v>1.7098840000000001E-2</v>
      </c>
      <c r="K8">
        <v>1681.25</v>
      </c>
      <c r="L8" s="4">
        <v>1.78848165606435E-3</v>
      </c>
      <c r="N8">
        <f t="shared" si="1"/>
        <v>10.090450580273281</v>
      </c>
      <c r="O8">
        <f t="shared" si="3"/>
        <v>-9.0904505802732807</v>
      </c>
      <c r="P8">
        <f t="shared" si="4"/>
        <v>0.99443405704550136</v>
      </c>
      <c r="Q8">
        <f t="shared" si="5"/>
        <v>5.5659429544986372E-3</v>
      </c>
      <c r="S8">
        <f t="shared" si="6"/>
        <v>1.0492524639098324</v>
      </c>
      <c r="T8">
        <f t="shared" si="7"/>
        <v>-4.92524639098324E-2</v>
      </c>
      <c r="AA8">
        <v>1684.5</v>
      </c>
      <c r="AB8" s="8">
        <v>9.6469196243387706E-2</v>
      </c>
      <c r="AC8">
        <f t="shared" si="2"/>
        <v>5.641856186933599</v>
      </c>
      <c r="AD8">
        <v>1</v>
      </c>
      <c r="AF8" s="10"/>
      <c r="AG8" s="10"/>
    </row>
    <row r="9" spans="1:33" x14ac:dyDescent="0.25">
      <c r="A9">
        <v>1685</v>
      </c>
      <c r="B9">
        <v>1.029995</v>
      </c>
      <c r="C9">
        <f t="shared" si="0"/>
        <v>1994.7605787287616</v>
      </c>
      <c r="D9">
        <v>0.17302799999999999</v>
      </c>
      <c r="E9" s="1">
        <v>1682.3</v>
      </c>
      <c r="F9" s="11">
        <v>1.8870000000000001E-2</v>
      </c>
      <c r="H9" s="1">
        <v>1682.3</v>
      </c>
      <c r="I9" s="4">
        <v>1.9403158E-2</v>
      </c>
      <c r="K9">
        <v>1681.3</v>
      </c>
      <c r="L9" s="4">
        <v>1.9495479916258301E-3</v>
      </c>
      <c r="N9">
        <f t="shared" si="1"/>
        <v>8.9175174474175787</v>
      </c>
      <c r="O9">
        <f t="shared" si="3"/>
        <v>-7.9175174474175787</v>
      </c>
      <c r="P9">
        <f t="shared" si="4"/>
        <v>0.99446312340874099</v>
      </c>
      <c r="Q9">
        <f t="shared" si="5"/>
        <v>5.5368765912590101E-3</v>
      </c>
      <c r="S9">
        <f t="shared" si="6"/>
        <v>0.97252210181456034</v>
      </c>
      <c r="T9">
        <f t="shared" si="7"/>
        <v>2.7477898185439664E-2</v>
      </c>
      <c r="AA9">
        <v>1685</v>
      </c>
      <c r="AB9" s="8">
        <v>0.115975632395154</v>
      </c>
      <c r="AC9">
        <f t="shared" si="2"/>
        <v>5.9771523993750915</v>
      </c>
      <c r="AD9">
        <v>1</v>
      </c>
      <c r="AF9" s="10"/>
      <c r="AG9" s="10"/>
    </row>
    <row r="10" spans="1:33" x14ac:dyDescent="0.25">
      <c r="A10">
        <v>1685.5</v>
      </c>
      <c r="B10">
        <v>1.0564279999999999</v>
      </c>
      <c r="C10">
        <f t="shared" si="0"/>
        <v>2045.9525809982263</v>
      </c>
      <c r="D10">
        <v>0.17477300000000001</v>
      </c>
      <c r="E10" s="1">
        <v>1682.35</v>
      </c>
      <c r="F10" s="11">
        <v>2.0635000000000001E-2</v>
      </c>
      <c r="H10" s="1">
        <v>1682.35</v>
      </c>
      <c r="I10" s="4">
        <v>2.1977310999999999E-2</v>
      </c>
      <c r="K10">
        <v>1681.35</v>
      </c>
      <c r="L10" s="4">
        <v>2.1320768347373301E-3</v>
      </c>
      <c r="N10">
        <f t="shared" si="1"/>
        <v>7.9524287570940784</v>
      </c>
      <c r="O10">
        <f t="shared" si="3"/>
        <v>-6.9524287570940784</v>
      </c>
      <c r="P10">
        <f t="shared" si="4"/>
        <v>0.99514326350451621</v>
      </c>
      <c r="Q10">
        <f t="shared" si="5"/>
        <v>4.8567364954837933E-3</v>
      </c>
      <c r="S10">
        <f t="shared" si="6"/>
        <v>0.93892287368550231</v>
      </c>
      <c r="T10">
        <f t="shared" si="7"/>
        <v>6.1077126314497687E-2</v>
      </c>
      <c r="AA10">
        <v>1685.5</v>
      </c>
      <c r="AB10" s="8">
        <v>0.12806900671500601</v>
      </c>
      <c r="AC10">
        <f t="shared" si="2"/>
        <v>5.8273283166901546</v>
      </c>
      <c r="AD10">
        <v>1</v>
      </c>
      <c r="AF10" s="10"/>
      <c r="AG10" s="10"/>
    </row>
    <row r="11" spans="1:33" x14ac:dyDescent="0.25">
      <c r="A11">
        <v>1686</v>
      </c>
      <c r="B11">
        <v>1.061299</v>
      </c>
      <c r="C11">
        <f t="shared" si="0"/>
        <v>2055.3861013347209</v>
      </c>
      <c r="D11">
        <v>0.17374000000000001</v>
      </c>
      <c r="E11" s="1">
        <v>1682.4</v>
      </c>
      <c r="F11" s="11">
        <v>2.5249000000000001E-2</v>
      </c>
      <c r="H11" s="1">
        <v>1682.4</v>
      </c>
      <c r="I11" s="4">
        <v>2.4867671000000001E-2</v>
      </c>
      <c r="K11">
        <v>1681.4</v>
      </c>
      <c r="L11" s="4">
        <v>2.33942409359324E-3</v>
      </c>
      <c r="N11">
        <f t="shared" si="1"/>
        <v>6.9865810915706579</v>
      </c>
      <c r="O11">
        <f t="shared" si="3"/>
        <v>-5.9865810915706579</v>
      </c>
      <c r="P11">
        <f t="shared" si="4"/>
        <v>0.99523581361380797</v>
      </c>
      <c r="Q11">
        <f t="shared" si="5"/>
        <v>4.7641863861920264E-3</v>
      </c>
      <c r="S11">
        <f t="shared" si="6"/>
        <v>1.0153343270465498</v>
      </c>
      <c r="T11">
        <f t="shared" si="7"/>
        <v>-1.53343270465498E-2</v>
      </c>
      <c r="AA11">
        <v>1686</v>
      </c>
      <c r="AB11" s="8">
        <v>0.14082519171102001</v>
      </c>
      <c r="AC11">
        <f t="shared" si="2"/>
        <v>5.6629827421723569</v>
      </c>
      <c r="AD11">
        <v>1</v>
      </c>
      <c r="AF11" s="10"/>
      <c r="AG11" s="10"/>
    </row>
    <row r="12" spans="1:33" x14ac:dyDescent="0.25">
      <c r="A12">
        <v>1686.5</v>
      </c>
      <c r="B12">
        <v>1.0678510000000001</v>
      </c>
      <c r="C12">
        <f t="shared" si="0"/>
        <v>2068.0751642057357</v>
      </c>
      <c r="D12">
        <v>0.174761</v>
      </c>
      <c r="E12" s="1">
        <v>1682.45</v>
      </c>
      <c r="F12" s="11">
        <v>2.8419E-2</v>
      </c>
      <c r="H12" s="1">
        <v>1682.45</v>
      </c>
      <c r="I12" s="4">
        <v>2.8065125999999999E-2</v>
      </c>
      <c r="K12">
        <v>1681.45</v>
      </c>
      <c r="L12" s="4">
        <v>2.5754838014751102E-3</v>
      </c>
      <c r="N12">
        <f t="shared" si="1"/>
        <v>6.2269807732201166</v>
      </c>
      <c r="O12">
        <f t="shared" si="3"/>
        <v>-5.2269807732201166</v>
      </c>
      <c r="P12">
        <f t="shared" si="4"/>
        <v>0.9959134132205214</v>
      </c>
      <c r="Q12">
        <f t="shared" si="5"/>
        <v>4.0865867794785959E-3</v>
      </c>
      <c r="S12">
        <f t="shared" si="6"/>
        <v>1.0126090294410224</v>
      </c>
      <c r="T12">
        <f t="shared" si="7"/>
        <v>-1.2609029441022379E-2</v>
      </c>
      <c r="AA12">
        <v>1686.5</v>
      </c>
      <c r="AB12" s="8">
        <v>0.152196102543175</v>
      </c>
      <c r="AC12">
        <f t="shared" si="2"/>
        <v>5.4229616693392009</v>
      </c>
      <c r="AD12">
        <v>1</v>
      </c>
      <c r="AF12" s="10"/>
      <c r="AG12" s="10"/>
    </row>
    <row r="13" spans="1:33" x14ac:dyDescent="0.25">
      <c r="A13">
        <v>1687</v>
      </c>
      <c r="B13">
        <v>1.0648949999999999</v>
      </c>
      <c r="C13">
        <f t="shared" si="0"/>
        <v>2062.3503672205829</v>
      </c>
      <c r="D13">
        <v>0.17439499999999999</v>
      </c>
      <c r="E13" s="1">
        <v>1682.5</v>
      </c>
      <c r="F13" s="11">
        <v>2.9951999999999999E-2</v>
      </c>
      <c r="H13" s="1">
        <v>1682.5</v>
      </c>
      <c r="I13" s="4">
        <v>3.1611594999999999E-2</v>
      </c>
      <c r="K13">
        <v>1681.5</v>
      </c>
      <c r="L13" s="4">
        <v>2.84476799194428E-3</v>
      </c>
      <c r="N13">
        <f t="shared" si="1"/>
        <v>5.516804830632557</v>
      </c>
      <c r="O13">
        <f t="shared" si="3"/>
        <v>-4.516804830632557</v>
      </c>
      <c r="P13">
        <f t="shared" si="4"/>
        <v>0.99615305255739539</v>
      </c>
      <c r="Q13">
        <f t="shared" si="5"/>
        <v>3.8469474426046091E-3</v>
      </c>
      <c r="S13">
        <f t="shared" si="6"/>
        <v>0.94750043457155519</v>
      </c>
      <c r="T13">
        <f t="shared" si="7"/>
        <v>5.2499565428444805E-2</v>
      </c>
      <c r="AA13">
        <v>1687</v>
      </c>
      <c r="AB13" s="8">
        <v>0.15757995848550299</v>
      </c>
      <c r="AC13">
        <f t="shared" si="2"/>
        <v>4.9848784436692615</v>
      </c>
      <c r="AD13">
        <v>1</v>
      </c>
      <c r="AF13" s="10"/>
      <c r="AG13" s="10"/>
    </row>
    <row r="14" spans="1:33" x14ac:dyDescent="0.25">
      <c r="A14">
        <v>1687.5</v>
      </c>
      <c r="B14">
        <v>1.0669489999999999</v>
      </c>
      <c r="C14">
        <f t="shared" si="0"/>
        <v>2066.328287723798</v>
      </c>
      <c r="D14">
        <v>0.174873</v>
      </c>
      <c r="E14" s="1">
        <v>1682.55</v>
      </c>
      <c r="F14" s="11">
        <v>3.4737999999999998E-2</v>
      </c>
      <c r="H14" s="1">
        <v>1682.55</v>
      </c>
      <c r="I14" s="4">
        <v>3.552578E-2</v>
      </c>
      <c r="K14">
        <v>1681.55</v>
      </c>
      <c r="L14" s="4">
        <v>3.15249862182417E-3</v>
      </c>
      <c r="N14">
        <f t="shared" si="1"/>
        <v>4.9224253485778497</v>
      </c>
      <c r="O14">
        <f t="shared" si="3"/>
        <v>-3.9224253485778497</v>
      </c>
      <c r="P14">
        <f t="shared" si="4"/>
        <v>0.99587850189091409</v>
      </c>
      <c r="Q14">
        <f t="shared" si="5"/>
        <v>4.1214981090859082E-3</v>
      </c>
      <c r="S14">
        <f t="shared" si="6"/>
        <v>0.97782511742177081</v>
      </c>
      <c r="T14">
        <f t="shared" si="7"/>
        <v>2.2174882578229194E-2</v>
      </c>
      <c r="AA14">
        <v>1687.5</v>
      </c>
      <c r="AB14" s="8">
        <v>0.16141575207490999</v>
      </c>
      <c r="AC14">
        <f t="shared" si="2"/>
        <v>4.5436230274158653</v>
      </c>
      <c r="AD14">
        <v>1</v>
      </c>
      <c r="AF14" s="10"/>
      <c r="AG14" s="10"/>
    </row>
    <row r="15" spans="1:33" x14ac:dyDescent="0.25">
      <c r="A15">
        <v>1688</v>
      </c>
      <c r="B15">
        <v>1.0640419999999999</v>
      </c>
      <c r="C15">
        <f t="shared" si="0"/>
        <v>2060.6983875763563</v>
      </c>
      <c r="D15">
        <v>0.17541599999999999</v>
      </c>
      <c r="E15" s="1">
        <v>1682.6</v>
      </c>
      <c r="F15" s="11">
        <v>4.0807999999999997E-2</v>
      </c>
      <c r="H15" s="1">
        <v>1682.6</v>
      </c>
      <c r="I15" s="4">
        <v>3.9738752000000002E-2</v>
      </c>
      <c r="K15">
        <v>1681.6</v>
      </c>
      <c r="L15" s="4">
        <v>3.50470568643154E-3</v>
      </c>
      <c r="N15">
        <f t="shared" si="1"/>
        <v>4.4142302204155781</v>
      </c>
      <c r="O15">
        <f t="shared" si="3"/>
        <v>-3.4142302204155781</v>
      </c>
      <c r="P15">
        <f t="shared" si="4"/>
        <v>0.99713272923689444</v>
      </c>
      <c r="Q15">
        <f t="shared" si="5"/>
        <v>2.8672707631055561E-3</v>
      </c>
      <c r="S15">
        <f t="shared" si="6"/>
        <v>1.0269069345710704</v>
      </c>
      <c r="T15">
        <f t="shared" si="7"/>
        <v>-2.6906934571070407E-2</v>
      </c>
      <c r="AA15">
        <v>1688</v>
      </c>
      <c r="AB15" s="8">
        <v>0.16416158538898901</v>
      </c>
      <c r="AC15">
        <f t="shared" si="2"/>
        <v>4.1310201535516011</v>
      </c>
      <c r="AD15">
        <v>1</v>
      </c>
      <c r="AF15" s="10"/>
      <c r="AG15" s="10"/>
    </row>
    <row r="16" spans="1:33" x14ac:dyDescent="0.25">
      <c r="E16">
        <v>1682.65</v>
      </c>
      <c r="F16" s="11">
        <v>4.2576000000000003E-2</v>
      </c>
      <c r="H16">
        <v>1682.65</v>
      </c>
      <c r="I16" s="4">
        <v>4.4358338999999997E-2</v>
      </c>
      <c r="K16">
        <v>1681.65</v>
      </c>
      <c r="L16" s="4">
        <v>3.9083369736490998E-3</v>
      </c>
      <c r="P16">
        <f t="shared" si="4"/>
        <v>0.99702386874901028</v>
      </c>
      <c r="S16">
        <f t="shared" si="6"/>
        <v>0.95981952795842973</v>
      </c>
      <c r="T16">
        <f t="shared" si="7"/>
        <v>4.018047204157027E-2</v>
      </c>
    </row>
    <row r="17" spans="5:20" x14ac:dyDescent="0.25">
      <c r="E17">
        <v>1682.7</v>
      </c>
      <c r="F17" s="11">
        <v>4.7891000000000003E-2</v>
      </c>
      <c r="H17">
        <v>1682.7</v>
      </c>
      <c r="I17" s="4">
        <v>4.9282707000000002E-2</v>
      </c>
      <c r="K17">
        <v>1681.7</v>
      </c>
      <c r="L17" s="4">
        <v>4.3713710223870998E-3</v>
      </c>
      <c r="P17">
        <f t="shared" si="4"/>
        <v>0.99784927505192844</v>
      </c>
      <c r="S17">
        <f t="shared" si="6"/>
        <v>0.97176074358090758</v>
      </c>
      <c r="T17">
        <f t="shared" si="7"/>
        <v>2.8239256419092418E-2</v>
      </c>
    </row>
    <row r="18" spans="5:20" x14ac:dyDescent="0.25">
      <c r="E18">
        <v>1682.75</v>
      </c>
      <c r="F18" s="11">
        <v>5.5648999999999997E-2</v>
      </c>
      <c r="H18">
        <v>1682.75</v>
      </c>
      <c r="I18" s="4">
        <v>5.4554763999999999E-2</v>
      </c>
      <c r="K18">
        <v>1681.75</v>
      </c>
      <c r="L18" s="4">
        <v>4.90293781603877E-3</v>
      </c>
      <c r="P18">
        <f t="shared" si="4"/>
        <v>0.99827976007116259</v>
      </c>
      <c r="S18">
        <f t="shared" si="6"/>
        <v>1.0200575700409957</v>
      </c>
      <c r="T18">
        <f t="shared" si="7"/>
        <v>-2.0057570040995731E-2</v>
      </c>
    </row>
    <row r="19" spans="5:20" x14ac:dyDescent="0.25">
      <c r="E19">
        <v>1682.8</v>
      </c>
      <c r="F19" s="11">
        <v>5.8089000000000002E-2</v>
      </c>
      <c r="H19">
        <v>1682.8</v>
      </c>
      <c r="I19" s="4">
        <v>6.0168172999999998E-2</v>
      </c>
      <c r="K19">
        <v>1681.8</v>
      </c>
      <c r="L19" s="4">
        <v>5.5134351153663698E-3</v>
      </c>
      <c r="P19">
        <f t="shared" si="4"/>
        <v>0.99812775380411001</v>
      </c>
      <c r="S19">
        <f t="shared" si="6"/>
        <v>0.96544397317831143</v>
      </c>
      <c r="T19">
        <f t="shared" si="7"/>
        <v>3.4556026821688568E-2</v>
      </c>
    </row>
    <row r="20" spans="5:20" x14ac:dyDescent="0.25">
      <c r="E20">
        <v>1682.85</v>
      </c>
      <c r="F20" s="11">
        <v>6.4906000000000005E-2</v>
      </c>
      <c r="H20">
        <v>1682.85</v>
      </c>
      <c r="I20" s="4">
        <v>6.5998919000000003E-2</v>
      </c>
      <c r="K20">
        <v>1681.85</v>
      </c>
      <c r="L20" s="4">
        <v>6.2146429426445798E-3</v>
      </c>
      <c r="P20">
        <f t="shared" si="4"/>
        <v>0.99893523013669361</v>
      </c>
      <c r="S20">
        <f t="shared" si="6"/>
        <v>0.98344034998512631</v>
      </c>
      <c r="T20">
        <f t="shared" si="7"/>
        <v>1.6559650014873695E-2</v>
      </c>
    </row>
    <row r="21" spans="5:20" x14ac:dyDescent="0.25">
      <c r="E21">
        <v>1682.9</v>
      </c>
      <c r="F21" s="11">
        <v>7.2167999999999996E-2</v>
      </c>
      <c r="H21">
        <v>1682.9</v>
      </c>
      <c r="I21" s="4">
        <v>7.2107449000000004E-2</v>
      </c>
      <c r="K21">
        <v>1681.9</v>
      </c>
      <c r="L21" s="4">
        <v>7.0198192272103504E-3</v>
      </c>
      <c r="P21">
        <f t="shared" si="4"/>
        <v>0.99906649467660136</v>
      </c>
      <c r="S21">
        <f t="shared" si="6"/>
        <v>1.0008397329379937</v>
      </c>
      <c r="T21">
        <f t="shared" si="7"/>
        <v>-8.3973293799366466E-4</v>
      </c>
    </row>
    <row r="22" spans="5:20" x14ac:dyDescent="0.25">
      <c r="E22">
        <v>1682.95</v>
      </c>
      <c r="F22" s="11">
        <v>7.5897000000000006E-2</v>
      </c>
      <c r="H22">
        <v>1682.95</v>
      </c>
      <c r="I22" s="4">
        <v>7.8367934E-2</v>
      </c>
      <c r="K22">
        <v>1681.95</v>
      </c>
      <c r="L22" s="4">
        <v>7.9437761395178101E-3</v>
      </c>
      <c r="P22">
        <f t="shared" si="4"/>
        <v>0.99967182162230028</v>
      </c>
      <c r="S22">
        <f t="shared" si="6"/>
        <v>0.96847008879932961</v>
      </c>
      <c r="T22">
        <f t="shared" si="7"/>
        <v>3.1529911200670391E-2</v>
      </c>
    </row>
    <row r="23" spans="5:20" x14ac:dyDescent="0.25">
      <c r="E23">
        <v>1683</v>
      </c>
      <c r="F23" s="11">
        <v>8.5439000000000001E-2</v>
      </c>
      <c r="H23">
        <v>1683</v>
      </c>
      <c r="I23" s="4">
        <v>8.4798052999999998E-2</v>
      </c>
      <c r="K23">
        <v>1682</v>
      </c>
      <c r="L23" s="4">
        <v>9.0029145015722203E-3</v>
      </c>
      <c r="P23">
        <f t="shared" si="4"/>
        <v>0.99979272159588506</v>
      </c>
      <c r="S23">
        <f t="shared" si="6"/>
        <v>1.0075585108068461</v>
      </c>
      <c r="T23">
        <f t="shared" si="7"/>
        <v>-7.5585108068461082E-3</v>
      </c>
    </row>
    <row r="24" spans="5:20" x14ac:dyDescent="0.25">
      <c r="E24">
        <v>1683.05</v>
      </c>
      <c r="F24" s="11">
        <v>8.9837E-2</v>
      </c>
      <c r="H24">
        <v>1683.05</v>
      </c>
      <c r="I24" s="4">
        <v>9.1317385000000001E-2</v>
      </c>
      <c r="K24">
        <v>1682.05</v>
      </c>
      <c r="L24" s="4">
        <v>1.02152126464504E-2</v>
      </c>
      <c r="P24">
        <f t="shared" si="4"/>
        <v>0.99975790463908154</v>
      </c>
      <c r="S24">
        <f t="shared" si="6"/>
        <v>0.98378857432240308</v>
      </c>
      <c r="T24">
        <f t="shared" si="7"/>
        <v>1.6211425677596925E-2</v>
      </c>
    </row>
    <row r="25" spans="5:20" x14ac:dyDescent="0.25">
      <c r="E25">
        <v>1683.1</v>
      </c>
      <c r="F25" s="11">
        <v>9.6688999999999997E-2</v>
      </c>
      <c r="H25">
        <v>1683.1</v>
      </c>
      <c r="I25" s="4">
        <v>9.7761690999999998E-2</v>
      </c>
      <c r="K25">
        <v>1682.1</v>
      </c>
      <c r="L25" s="4">
        <v>1.16001421804356E-2</v>
      </c>
      <c r="P25">
        <f t="shared" si="4"/>
        <v>1.000631621680744</v>
      </c>
      <c r="S25">
        <f t="shared" si="6"/>
        <v>0.98902749135139245</v>
      </c>
      <c r="T25">
        <f t="shared" si="7"/>
        <v>1.0972508648607548E-2</v>
      </c>
    </row>
    <row r="26" spans="5:20" x14ac:dyDescent="0.25">
      <c r="E26">
        <v>1683.15</v>
      </c>
      <c r="F26" s="11">
        <v>0.103851</v>
      </c>
      <c r="H26">
        <v>1683.15</v>
      </c>
      <c r="I26" s="4">
        <v>0.10427119999999999</v>
      </c>
      <c r="K26">
        <v>1682.15</v>
      </c>
      <c r="L26" s="4">
        <v>1.31785055807189E-2</v>
      </c>
      <c r="P26">
        <f t="shared" si="4"/>
        <v>1.0002780108450657</v>
      </c>
      <c r="S26">
        <f t="shared" si="6"/>
        <v>0.99597012406110219</v>
      </c>
      <c r="T26">
        <f t="shared" si="7"/>
        <v>4.0298759388978089E-3</v>
      </c>
    </row>
    <row r="27" spans="5:20" x14ac:dyDescent="0.25">
      <c r="E27">
        <v>1683.2</v>
      </c>
      <c r="F27" s="11">
        <v>0.11018</v>
      </c>
      <c r="H27">
        <v>1683.2</v>
      </c>
      <c r="I27" s="4">
        <v>0.11060723</v>
      </c>
      <c r="K27">
        <v>1682.2</v>
      </c>
      <c r="L27" s="4">
        <v>1.4972166226852201E-2</v>
      </c>
      <c r="P27">
        <f t="shared" si="4"/>
        <v>1.0004882026115109</v>
      </c>
      <c r="S27">
        <f t="shared" si="6"/>
        <v>0.99613741344033291</v>
      </c>
      <c r="T27">
        <f t="shared" si="7"/>
        <v>3.8625865596670916E-3</v>
      </c>
    </row>
    <row r="28" spans="5:20" x14ac:dyDescent="0.25">
      <c r="E28">
        <v>1683.25</v>
      </c>
      <c r="F28" s="11">
        <v>0.118835</v>
      </c>
      <c r="H28">
        <v>1683.25</v>
      </c>
      <c r="I28" s="4">
        <v>0.11672701000000001</v>
      </c>
      <c r="K28">
        <v>1682.25</v>
      </c>
      <c r="L28" s="4">
        <v>1.7003668831971901E-2</v>
      </c>
      <c r="P28">
        <f t="shared" si="4"/>
        <v>1.0010094951963473</v>
      </c>
      <c r="S28">
        <f t="shared" si="6"/>
        <v>1.0180591450085117</v>
      </c>
      <c r="T28">
        <f t="shared" si="7"/>
        <v>-1.805914500851169E-2</v>
      </c>
    </row>
    <row r="29" spans="5:20" x14ac:dyDescent="0.25">
      <c r="E29">
        <v>1683.3</v>
      </c>
      <c r="F29" s="11">
        <v>0.12745000000000001</v>
      </c>
      <c r="H29">
        <v>1683.3</v>
      </c>
      <c r="I29" s="4">
        <v>0.12270287000000001</v>
      </c>
      <c r="K29">
        <v>1682.3</v>
      </c>
      <c r="L29" s="4">
        <v>1.9295725108673299E-2</v>
      </c>
      <c r="P29">
        <f t="shared" si="4"/>
        <v>1.000741883543107</v>
      </c>
      <c r="S29">
        <f t="shared" si="6"/>
        <v>1.0386880111280201</v>
      </c>
      <c r="T29">
        <f t="shared" si="7"/>
        <v>-3.8688011128020117E-2</v>
      </c>
    </row>
    <row r="30" spans="5:20" x14ac:dyDescent="0.25">
      <c r="E30">
        <v>1683.35</v>
      </c>
      <c r="F30" s="11">
        <v>0.13028699999999999</v>
      </c>
      <c r="H30">
        <v>1683.35</v>
      </c>
      <c r="I30" s="4">
        <v>0.12831073000000001</v>
      </c>
      <c r="K30">
        <v>1682.35</v>
      </c>
      <c r="L30" s="4">
        <v>2.1870572991593701E-2</v>
      </c>
      <c r="P30">
        <f t="shared" si="4"/>
        <v>1.0011448963067002</v>
      </c>
      <c r="S30">
        <f t="shared" si="6"/>
        <v>1.0154022192843886</v>
      </c>
      <c r="T30">
        <f t="shared" si="7"/>
        <v>-1.5402219284388563E-2</v>
      </c>
    </row>
    <row r="31" spans="5:20" x14ac:dyDescent="0.25">
      <c r="E31">
        <v>1683.4</v>
      </c>
      <c r="F31" s="11">
        <v>0.13358999999999999</v>
      </c>
      <c r="H31">
        <v>1683.4</v>
      </c>
      <c r="I31" s="4">
        <v>0.13367338000000001</v>
      </c>
      <c r="K31">
        <v>1682.4</v>
      </c>
      <c r="L31" s="4">
        <v>2.4749196780365499E-2</v>
      </c>
      <c r="P31">
        <f t="shared" si="4"/>
        <v>1.0008957740801572</v>
      </c>
      <c r="S31">
        <f t="shared" si="6"/>
        <v>0.99937624080426468</v>
      </c>
      <c r="T31">
        <f t="shared" si="7"/>
        <v>6.2375919573531835E-4</v>
      </c>
    </row>
    <row r="32" spans="5:20" x14ac:dyDescent="0.25">
      <c r="E32">
        <v>1683.45</v>
      </c>
      <c r="F32" s="11">
        <v>0.13807</v>
      </c>
      <c r="H32">
        <v>1683.45</v>
      </c>
      <c r="I32" s="4">
        <v>0.13859479</v>
      </c>
      <c r="K32">
        <v>1682.45</v>
      </c>
      <c r="L32" s="4">
        <v>2.7950435427123999E-2</v>
      </c>
      <c r="P32">
        <f t="shared" si="4"/>
        <v>1.0012381412314706</v>
      </c>
      <c r="S32">
        <f t="shared" si="6"/>
        <v>0.99621349402816661</v>
      </c>
      <c r="T32">
        <f t="shared" si="7"/>
        <v>3.7865059718333871E-3</v>
      </c>
    </row>
    <row r="33" spans="5:20" x14ac:dyDescent="0.25">
      <c r="E33">
        <v>1683.5</v>
      </c>
      <c r="F33" s="11">
        <v>0.142402</v>
      </c>
      <c r="H33">
        <v>1683.5</v>
      </c>
      <c r="I33" s="4">
        <v>0.14318380999999999</v>
      </c>
      <c r="K33">
        <v>1682.5</v>
      </c>
      <c r="L33" s="4">
        <v>3.1489986855458098E-2</v>
      </c>
      <c r="P33">
        <f t="shared" si="4"/>
        <v>1.0011819543029201</v>
      </c>
      <c r="S33">
        <f t="shared" si="6"/>
        <v>0.99453981563977101</v>
      </c>
      <c r="T33">
        <f t="shared" si="7"/>
        <v>5.4601843602289923E-3</v>
      </c>
    </row>
    <row r="34" spans="5:20" x14ac:dyDescent="0.25">
      <c r="E34">
        <v>1683.55</v>
      </c>
      <c r="F34" s="11">
        <v>0.14652499999999999</v>
      </c>
      <c r="H34">
        <v>1683.55</v>
      </c>
      <c r="I34" s="4">
        <v>0.14736742999999999</v>
      </c>
      <c r="K34">
        <v>1682.55</v>
      </c>
      <c r="L34" s="4">
        <v>3.5379360564906197E-2</v>
      </c>
      <c r="P34">
        <f t="shared" si="4"/>
        <v>1.0011607368087916</v>
      </c>
      <c r="S34">
        <f t="shared" si="6"/>
        <v>0.99428347227063674</v>
      </c>
      <c r="T34">
        <f t="shared" si="7"/>
        <v>5.7165277293632633E-3</v>
      </c>
    </row>
    <row r="35" spans="5:20" x14ac:dyDescent="0.25">
      <c r="E35">
        <v>1683.6</v>
      </c>
      <c r="F35" s="11">
        <v>0.15030299999999999</v>
      </c>
      <c r="H35">
        <v>1683.6</v>
      </c>
      <c r="I35" s="4">
        <v>0.15113503</v>
      </c>
      <c r="K35">
        <v>1682.6</v>
      </c>
      <c r="L35" s="4">
        <v>3.96248102382281E-2</v>
      </c>
      <c r="P35">
        <f t="shared" si="4"/>
        <v>1.0012081896469005</v>
      </c>
      <c r="S35">
        <f t="shared" si="6"/>
        <v>0.99449479051944467</v>
      </c>
      <c r="T35">
        <f t="shared" si="7"/>
        <v>5.5052094805553287E-3</v>
      </c>
    </row>
    <row r="36" spans="5:20" x14ac:dyDescent="0.25">
      <c r="E36">
        <v>1683.65</v>
      </c>
      <c r="F36" s="11">
        <v>0.153694</v>
      </c>
      <c r="H36">
        <v>1683.65</v>
      </c>
      <c r="I36" s="4">
        <v>0.15458387000000001</v>
      </c>
      <c r="K36">
        <v>1682.65</v>
      </c>
      <c r="L36" s="4">
        <v>4.4226322761060102E-2</v>
      </c>
      <c r="P36">
        <f t="shared" si="4"/>
        <v>1.0007143722135692</v>
      </c>
      <c r="S36">
        <f t="shared" si="6"/>
        <v>0.99424344855643731</v>
      </c>
      <c r="T36">
        <f t="shared" si="7"/>
        <v>5.7565514435626852E-3</v>
      </c>
    </row>
    <row r="37" spans="5:20" x14ac:dyDescent="0.25">
      <c r="E37">
        <v>1683.7</v>
      </c>
      <c r="F37" s="11">
        <v>0.15675800000000001</v>
      </c>
      <c r="H37">
        <v>1683.7</v>
      </c>
      <c r="I37" s="4">
        <v>0.15751467999999999</v>
      </c>
      <c r="K37">
        <v>1682.7</v>
      </c>
      <c r="L37" s="4">
        <v>4.9176713452546601E-2</v>
      </c>
      <c r="P37">
        <f t="shared" si="4"/>
        <v>1.0010509953703743</v>
      </c>
      <c r="S37">
        <f t="shared" si="6"/>
        <v>0.99519613029084031</v>
      </c>
      <c r="T37">
        <f t="shared" si="7"/>
        <v>4.8038697091596916E-3</v>
      </c>
    </row>
    <row r="38" spans="5:20" x14ac:dyDescent="0.25">
      <c r="E38">
        <v>1683.75</v>
      </c>
      <c r="F38" s="11">
        <v>0.15939</v>
      </c>
      <c r="H38">
        <v>1683.75</v>
      </c>
      <c r="I38" s="4">
        <v>0.16016169</v>
      </c>
      <c r="K38">
        <v>1682.75</v>
      </c>
      <c r="L38" s="4">
        <v>5.4460916716658897E-2</v>
      </c>
      <c r="P38">
        <f t="shared" si="4"/>
        <v>1.0008250800326033</v>
      </c>
      <c r="S38">
        <f t="shared" si="6"/>
        <v>0.99518180658558242</v>
      </c>
      <c r="T38">
        <f t="shared" si="7"/>
        <v>4.818193414417582E-3</v>
      </c>
    </row>
    <row r="39" spans="5:20" x14ac:dyDescent="0.25">
      <c r="E39">
        <v>1683.8</v>
      </c>
      <c r="F39" s="11">
        <v>0.16175300000000001</v>
      </c>
      <c r="H39">
        <v>1683.8</v>
      </c>
      <c r="I39" s="4">
        <v>0.16242398</v>
      </c>
      <c r="K39">
        <v>1682.8</v>
      </c>
      <c r="L39" s="4">
        <v>6.00555233669871E-2</v>
      </c>
      <c r="P39">
        <f t="shared" si="4"/>
        <v>1.0008304639889136</v>
      </c>
      <c r="S39">
        <f t="shared" si="6"/>
        <v>0.99586895974350598</v>
      </c>
      <c r="T39">
        <f t="shared" si="7"/>
        <v>4.131040256494023E-3</v>
      </c>
    </row>
    <row r="40" spans="5:20" x14ac:dyDescent="0.25">
      <c r="E40">
        <v>1683.85</v>
      </c>
      <c r="F40" s="11">
        <v>0.16375500000000001</v>
      </c>
      <c r="H40">
        <v>1683.85</v>
      </c>
      <c r="I40" s="4">
        <v>0.16441133999999999</v>
      </c>
      <c r="K40">
        <v>1682.85</v>
      </c>
      <c r="L40" s="4">
        <v>6.5928645340038006E-2</v>
      </c>
      <c r="P40">
        <f t="shared" si="4"/>
        <v>1.000557156739456</v>
      </c>
      <c r="S40">
        <f t="shared" si="6"/>
        <v>0.99600793959832712</v>
      </c>
      <c r="T40">
        <f t="shared" si="7"/>
        <v>3.9920604016728811E-3</v>
      </c>
    </row>
    <row r="41" spans="5:20" x14ac:dyDescent="0.25">
      <c r="E41">
        <v>1683.9</v>
      </c>
      <c r="F41" s="11">
        <v>0.16548499999999999</v>
      </c>
      <c r="H41">
        <v>1683.9</v>
      </c>
      <c r="I41" s="4">
        <v>0.16601625</v>
      </c>
      <c r="K41">
        <v>1682.9</v>
      </c>
      <c r="L41" s="4">
        <v>7.2040136312501807E-2</v>
      </c>
      <c r="P41">
        <f t="shared" si="4"/>
        <v>1.0008426898364586</v>
      </c>
      <c r="S41">
        <f t="shared" si="6"/>
        <v>0.99680001204701341</v>
      </c>
      <c r="T41">
        <f t="shared" si="7"/>
        <v>3.1999879529865938E-3</v>
      </c>
    </row>
    <row r="42" spans="5:20" x14ac:dyDescent="0.25">
      <c r="E42">
        <v>1683.95</v>
      </c>
      <c r="F42" s="11">
        <v>0.166911</v>
      </c>
      <c r="H42">
        <v>1683.95</v>
      </c>
      <c r="I42" s="4">
        <v>0.16748594</v>
      </c>
      <c r="K42">
        <v>1682.95</v>
      </c>
      <c r="L42" s="4">
        <v>7.8342215338556204E-2</v>
      </c>
      <c r="P42">
        <f t="shared" si="4"/>
        <v>1.0003808857809677</v>
      </c>
      <c r="S42">
        <f t="shared" si="6"/>
        <v>0.99656723424067717</v>
      </c>
      <c r="T42">
        <f t="shared" si="7"/>
        <v>3.4327657593228311E-3</v>
      </c>
    </row>
    <row r="43" spans="5:20" x14ac:dyDescent="0.25">
      <c r="E43">
        <v>1684</v>
      </c>
      <c r="F43" s="11">
        <v>0.16817599999999999</v>
      </c>
      <c r="H43">
        <v>1684</v>
      </c>
      <c r="I43" s="4">
        <v>0.16863427</v>
      </c>
      <c r="K43">
        <v>1683</v>
      </c>
      <c r="L43" s="4">
        <v>8.4780476194902102E-2</v>
      </c>
      <c r="P43">
        <f t="shared" si="4"/>
        <v>1.0004782901529445</v>
      </c>
      <c r="S43">
        <f t="shared" si="6"/>
        <v>0.99728246221838535</v>
      </c>
      <c r="T43">
        <f t="shared" si="7"/>
        <v>2.717537781614654E-3</v>
      </c>
    </row>
    <row r="44" spans="5:20" x14ac:dyDescent="0.25">
      <c r="E44">
        <v>1684.05</v>
      </c>
      <c r="F44" s="11">
        <v>0.16916</v>
      </c>
      <c r="H44">
        <v>1684.05</v>
      </c>
      <c r="I44" s="4">
        <v>0.16963892999999999</v>
      </c>
      <c r="K44">
        <v>1683.05</v>
      </c>
      <c r="L44" s="4">
        <v>9.12952774847203E-2</v>
      </c>
      <c r="P44">
        <f t="shared" si="4"/>
        <v>1.0002538572022295</v>
      </c>
      <c r="S44">
        <f t="shared" si="6"/>
        <v>0.99717676832788327</v>
      </c>
      <c r="T44">
        <f t="shared" si="7"/>
        <v>2.8232316721167328E-3</v>
      </c>
    </row>
    <row r="45" spans="5:20" x14ac:dyDescent="0.25">
      <c r="E45">
        <v>1684.1</v>
      </c>
      <c r="F45" s="11">
        <v>0.17002600000000001</v>
      </c>
      <c r="H45">
        <v>1684.1</v>
      </c>
      <c r="I45" s="4">
        <v>0.17040329000000001</v>
      </c>
      <c r="K45">
        <v>1683.1</v>
      </c>
      <c r="L45" s="4">
        <v>9.7823439403581805E-2</v>
      </c>
      <c r="P45">
        <f t="shared" si="4"/>
        <v>1.0004470511457377</v>
      </c>
      <c r="S45">
        <f t="shared" si="6"/>
        <v>0.99778589955628205</v>
      </c>
      <c r="T45">
        <f t="shared" si="7"/>
        <v>2.2141004437179479E-3</v>
      </c>
    </row>
    <row r="46" spans="5:20" x14ac:dyDescent="0.25">
      <c r="E46">
        <v>1684.15</v>
      </c>
      <c r="F46" s="11">
        <v>0.17069100000000001</v>
      </c>
      <c r="H46">
        <v>1684.15</v>
      </c>
      <c r="I46" s="4">
        <v>0.17111592</v>
      </c>
      <c r="K46">
        <v>1683.15</v>
      </c>
      <c r="L46" s="4">
        <v>0.104300188524428</v>
      </c>
      <c r="P46">
        <f t="shared" si="4"/>
        <v>1.0001034033311103</v>
      </c>
      <c r="S46">
        <f t="shared" si="6"/>
        <v>0.99751677108710868</v>
      </c>
      <c r="T46">
        <f t="shared" si="7"/>
        <v>2.4832289128913221E-3</v>
      </c>
    </row>
    <row r="47" spans="5:20" x14ac:dyDescent="0.25">
      <c r="E47">
        <v>1684.2</v>
      </c>
      <c r="F47" s="11">
        <v>0.17130699999999999</v>
      </c>
      <c r="H47">
        <v>1684.2</v>
      </c>
      <c r="I47" s="4">
        <v>0.17162409000000001</v>
      </c>
      <c r="K47">
        <v>1683.2</v>
      </c>
      <c r="L47" s="4">
        <v>0.110661228738538</v>
      </c>
      <c r="P47">
        <f t="shared" si="4"/>
        <v>1.0002562898452074</v>
      </c>
      <c r="S47">
        <f t="shared" si="6"/>
        <v>0.99815241554958856</v>
      </c>
      <c r="T47">
        <f t="shared" si="7"/>
        <v>1.8475844504114436E-3</v>
      </c>
    </row>
    <row r="48" spans="5:20" x14ac:dyDescent="0.25">
      <c r="E48">
        <v>1684.25</v>
      </c>
      <c r="F48" s="11">
        <v>0.171764</v>
      </c>
      <c r="H48">
        <v>1684.25</v>
      </c>
      <c r="I48" s="4">
        <v>0.17206996999999999</v>
      </c>
      <c r="K48">
        <v>1683.25</v>
      </c>
      <c r="L48" s="4">
        <v>0.116844845355879</v>
      </c>
      <c r="P48">
        <f t="shared" si="4"/>
        <v>1.0001961832694339</v>
      </c>
      <c r="S48">
        <f t="shared" si="6"/>
        <v>0.99822182801566139</v>
      </c>
      <c r="T48">
        <f t="shared" si="7"/>
        <v>1.7781719843386057E-3</v>
      </c>
    </row>
    <row r="49" spans="5:20" x14ac:dyDescent="0.25">
      <c r="E49">
        <v>1684.3</v>
      </c>
      <c r="F49" s="11">
        <v>0.17214299999999999</v>
      </c>
      <c r="H49">
        <v>1684.3</v>
      </c>
      <c r="I49" s="4">
        <v>0.17248377000000001</v>
      </c>
      <c r="K49">
        <v>1683.3</v>
      </c>
      <c r="L49" s="4">
        <v>0.12279390123994501</v>
      </c>
      <c r="P49">
        <f t="shared" si="4"/>
        <v>0.9998543667254548</v>
      </c>
      <c r="S49">
        <f t="shared" si="6"/>
        <v>0.9980243358549038</v>
      </c>
      <c r="T49">
        <f t="shared" si="7"/>
        <v>1.9756641450962009E-3</v>
      </c>
    </row>
    <row r="50" spans="5:20" x14ac:dyDescent="0.25">
      <c r="E50">
        <v>1684.35</v>
      </c>
      <c r="F50" s="11">
        <v>0.17244000000000001</v>
      </c>
      <c r="H50">
        <v>1684.35</v>
      </c>
      <c r="I50" s="4">
        <v>0.17272599</v>
      </c>
      <c r="K50">
        <v>1683.35</v>
      </c>
      <c r="L50" s="4">
        <v>0.12845763248088701</v>
      </c>
      <c r="P50">
        <f t="shared" si="4"/>
        <v>1.0001288466322757</v>
      </c>
      <c r="S50">
        <f t="shared" si="6"/>
        <v>0.99834425612497579</v>
      </c>
      <c r="T50">
        <f t="shared" si="7"/>
        <v>1.6557438750242071E-3</v>
      </c>
    </row>
    <row r="51" spans="5:20" x14ac:dyDescent="0.25">
      <c r="E51">
        <v>1684.4</v>
      </c>
      <c r="F51" s="11">
        <v>0.17268600000000001</v>
      </c>
      <c r="H51">
        <v>1684.4</v>
      </c>
      <c r="I51" s="4">
        <v>0.17295641</v>
      </c>
      <c r="K51">
        <v>1683.4</v>
      </c>
      <c r="L51" s="4">
        <v>0.13379312114901101</v>
      </c>
      <c r="P51">
        <f t="shared" si="4"/>
        <v>1.0001676775329114</v>
      </c>
      <c r="S51">
        <f t="shared" si="6"/>
        <v>0.99843654247911362</v>
      </c>
      <c r="T51">
        <f t="shared" si="7"/>
        <v>1.5634575208863799E-3</v>
      </c>
    </row>
    <row r="52" spans="5:20" x14ac:dyDescent="0.25">
      <c r="E52">
        <v>1684.45</v>
      </c>
      <c r="F52" s="11">
        <v>0.17291500000000001</v>
      </c>
      <c r="H52">
        <v>1684.45</v>
      </c>
      <c r="I52" s="4">
        <v>0.17317326</v>
      </c>
      <c r="K52">
        <v>1683.45</v>
      </c>
      <c r="L52" s="4">
        <v>0.138766389923966</v>
      </c>
      <c r="P52">
        <f t="shared" si="4"/>
        <v>1.0000435269633892</v>
      </c>
      <c r="S52">
        <f t="shared" si="6"/>
        <v>0.99850866121016613</v>
      </c>
      <c r="T52">
        <f t="shared" si="7"/>
        <v>1.4913387898338737E-3</v>
      </c>
    </row>
    <row r="53" spans="5:20" x14ac:dyDescent="0.25">
      <c r="E53">
        <v>1684.5</v>
      </c>
      <c r="F53" s="11">
        <v>0.17308999999999999</v>
      </c>
      <c r="H53">
        <v>1684.5</v>
      </c>
      <c r="I53" s="4">
        <v>0.17340543999999999</v>
      </c>
      <c r="K53">
        <v>1683.5</v>
      </c>
      <c r="L53" s="4">
        <v>0.143353046720338</v>
      </c>
      <c r="P53">
        <f t="shared" si="4"/>
        <v>0.99964032584026197</v>
      </c>
      <c r="S53">
        <f t="shared" si="6"/>
        <v>0.99818091058734948</v>
      </c>
      <c r="T53">
        <f t="shared" si="7"/>
        <v>1.8190894126505208E-3</v>
      </c>
    </row>
    <row r="54" spans="5:20" x14ac:dyDescent="0.25">
      <c r="E54">
        <v>1684.55</v>
      </c>
      <c r="F54" s="11">
        <v>0.17322299999999999</v>
      </c>
      <c r="H54">
        <v>1684.55</v>
      </c>
      <c r="I54" s="4">
        <v>0.17347156999999999</v>
      </c>
      <c r="K54">
        <v>1683.55</v>
      </c>
      <c r="L54" s="4">
        <v>0.14753848480041801</v>
      </c>
      <c r="P54">
        <f t="shared" si="4"/>
        <v>1.000043951858884</v>
      </c>
      <c r="S54">
        <f t="shared" si="6"/>
        <v>0.99856708508489311</v>
      </c>
      <c r="T54">
        <f t="shared" si="7"/>
        <v>1.4329149151068865E-3</v>
      </c>
    </row>
    <row r="55" spans="5:20" x14ac:dyDescent="0.25">
      <c r="E55">
        <v>1684.6</v>
      </c>
      <c r="F55" s="11">
        <v>0.17336399999999999</v>
      </c>
      <c r="H55">
        <v>1684.6</v>
      </c>
      <c r="I55" s="4">
        <v>0.17360838000000001</v>
      </c>
      <c r="K55">
        <v>1683.6</v>
      </c>
      <c r="L55" s="4">
        <v>0.15131762977853</v>
      </c>
      <c r="P55">
        <f t="shared" si="4"/>
        <v>0.99992118994961543</v>
      </c>
      <c r="S55">
        <f t="shared" si="6"/>
        <v>0.99859234905596139</v>
      </c>
      <c r="T55">
        <f t="shared" si="7"/>
        <v>1.4076509440386076E-3</v>
      </c>
    </row>
    <row r="56" spans="5:20" x14ac:dyDescent="0.25">
      <c r="E56">
        <v>1684.65</v>
      </c>
      <c r="F56" s="11">
        <v>0.17344799999999999</v>
      </c>
      <c r="H56">
        <v>1684.65</v>
      </c>
      <c r="I56" s="4">
        <v>0.17369525</v>
      </c>
      <c r="K56">
        <v>1683.65</v>
      </c>
      <c r="L56" s="4">
        <v>0.15469430042139401</v>
      </c>
      <c r="P56">
        <f t="shared" si="4"/>
        <v>0.99999239787648186</v>
      </c>
      <c r="S56">
        <f t="shared" si="6"/>
        <v>0.99857652987056356</v>
      </c>
      <c r="T56">
        <f t="shared" si="7"/>
        <v>1.4234701294364438E-3</v>
      </c>
    </row>
    <row r="57" spans="5:20" x14ac:dyDescent="0.25">
      <c r="E57">
        <v>1684.7</v>
      </c>
      <c r="F57" s="11">
        <v>0.17353299999999999</v>
      </c>
      <c r="H57">
        <v>1684.7</v>
      </c>
      <c r="I57" s="4">
        <v>0.17380075</v>
      </c>
      <c r="K57">
        <v>1683.7</v>
      </c>
      <c r="L57" s="4">
        <v>0.15768022719944599</v>
      </c>
      <c r="P57">
        <f t="shared" si="4"/>
        <v>0.99988219079571283</v>
      </c>
      <c r="S57">
        <f t="shared" si="6"/>
        <v>0.99845944278146093</v>
      </c>
      <c r="T57">
        <f t="shared" si="7"/>
        <v>1.5405572185390737E-3</v>
      </c>
    </row>
    <row r="58" spans="5:20" x14ac:dyDescent="0.25">
      <c r="E58">
        <v>1684.75</v>
      </c>
      <c r="F58" s="11">
        <v>0.173628</v>
      </c>
      <c r="H58">
        <v>1684.75</v>
      </c>
      <c r="I58" s="4">
        <v>0.17389892000000001</v>
      </c>
      <c r="K58">
        <v>1683.75</v>
      </c>
      <c r="L58" s="4">
        <v>0.160293836212407</v>
      </c>
      <c r="P58">
        <f t="shared" si="4"/>
        <v>0.99975523303705394</v>
      </c>
      <c r="S58">
        <f t="shared" si="6"/>
        <v>0.99844208348159946</v>
      </c>
      <c r="T58">
        <f t="shared" si="7"/>
        <v>1.5579165184005372E-3</v>
      </c>
    </row>
    <row r="59" spans="5:20" x14ac:dyDescent="0.25">
      <c r="E59">
        <v>1684.8</v>
      </c>
      <c r="F59" s="11">
        <v>0.17369899999999999</v>
      </c>
      <c r="H59">
        <v>1684.8</v>
      </c>
      <c r="I59" s="4">
        <v>0.17389204999999999</v>
      </c>
      <c r="K59">
        <v>1683.8</v>
      </c>
      <c r="L59" s="4">
        <v>0.16255886726632601</v>
      </c>
      <c r="P59">
        <f t="shared" si="4"/>
        <v>1.0001848109221037</v>
      </c>
      <c r="S59">
        <f t="shared" si="6"/>
        <v>0.99888982848842145</v>
      </c>
      <c r="T59">
        <f t="shared" si="7"/>
        <v>1.1101715115785504E-3</v>
      </c>
    </row>
    <row r="60" spans="5:20" x14ac:dyDescent="0.25">
      <c r="E60">
        <v>1684.85</v>
      </c>
      <c r="F60" s="11">
        <v>0.17374999999999999</v>
      </c>
      <c r="H60">
        <v>1684.85</v>
      </c>
      <c r="I60" s="4">
        <v>0.17402245</v>
      </c>
      <c r="K60">
        <v>1683.85</v>
      </c>
      <c r="L60" s="4">
        <v>0.16450294288612399</v>
      </c>
      <c r="P60">
        <f t="shared" si="4"/>
        <v>0.99978663986299476</v>
      </c>
      <c r="S60">
        <f t="shared" si="6"/>
        <v>0.99843439740102491</v>
      </c>
      <c r="T60">
        <f t="shared" si="7"/>
        <v>1.565602598975091E-3</v>
      </c>
    </row>
    <row r="61" spans="5:20" x14ac:dyDescent="0.25">
      <c r="E61">
        <v>1684.9</v>
      </c>
      <c r="F61" s="11">
        <v>0.173813</v>
      </c>
      <c r="H61">
        <v>1684.9</v>
      </c>
      <c r="I61" s="4">
        <v>0.17406232999999999</v>
      </c>
      <c r="K61">
        <v>1683.9</v>
      </c>
      <c r="L61" s="4">
        <v>0.16615615020656199</v>
      </c>
      <c r="P61">
        <f t="shared" si="4"/>
        <v>0.99987712918383331</v>
      </c>
      <c r="S61">
        <f t="shared" si="6"/>
        <v>0.99856758208395813</v>
      </c>
      <c r="T61">
        <f t="shared" si="7"/>
        <v>1.4324179160418726E-3</v>
      </c>
    </row>
    <row r="62" spans="5:20" x14ac:dyDescent="0.25">
      <c r="E62">
        <v>1684.95</v>
      </c>
      <c r="F62" s="11">
        <v>0.17386299999999999</v>
      </c>
      <c r="H62">
        <v>1684.95</v>
      </c>
      <c r="I62" s="4">
        <v>0.17414473</v>
      </c>
      <c r="K62">
        <v>1683.95</v>
      </c>
      <c r="L62" s="4">
        <v>0.16754973301305801</v>
      </c>
      <c r="P62">
        <f t="shared" si="4"/>
        <v>0.99969703685233546</v>
      </c>
      <c r="S62">
        <f t="shared" si="6"/>
        <v>0.99838220771883246</v>
      </c>
      <c r="T62">
        <f t="shared" si="7"/>
        <v>1.6177922811675405E-3</v>
      </c>
    </row>
    <row r="63" spans="5:20" x14ac:dyDescent="0.25">
      <c r="E63">
        <v>1685</v>
      </c>
      <c r="F63" s="11">
        <v>0.17391300000000001</v>
      </c>
      <c r="H63">
        <v>1685</v>
      </c>
      <c r="I63" s="4">
        <v>0.17413084000000001</v>
      </c>
      <c r="K63">
        <v>1684</v>
      </c>
      <c r="L63" s="4">
        <v>0.16871492611079</v>
      </c>
      <c r="P63">
        <f t="shared" si="4"/>
        <v>1.0000474959613643</v>
      </c>
      <c r="S63">
        <f t="shared" si="6"/>
        <v>0.99874898668150913</v>
      </c>
      <c r="T63">
        <f t="shared" si="7"/>
        <v>1.2510133184908678E-3</v>
      </c>
    </row>
    <row r="64" spans="5:20" x14ac:dyDescent="0.25">
      <c r="E64">
        <v>1685.05</v>
      </c>
      <c r="F64" s="11">
        <v>0.17396700000000001</v>
      </c>
      <c r="H64">
        <v>1685.05</v>
      </c>
      <c r="I64" s="4">
        <v>0.17414953999999999</v>
      </c>
      <c r="K64">
        <v>1684.05</v>
      </c>
      <c r="L64" s="4">
        <v>0.16968199406415899</v>
      </c>
      <c r="P64">
        <f t="shared" si="4"/>
        <v>1.0001916574606973</v>
      </c>
      <c r="S64">
        <f t="shared" si="6"/>
        <v>0.99895182037230768</v>
      </c>
      <c r="T64">
        <f t="shared" si="7"/>
        <v>1.048179627692325E-3</v>
      </c>
    </row>
    <row r="65" spans="5:20" x14ac:dyDescent="0.25">
      <c r="E65">
        <v>1685.1</v>
      </c>
      <c r="F65" s="11">
        <v>0.17400599999999999</v>
      </c>
      <c r="H65">
        <v>1685.1</v>
      </c>
      <c r="I65" s="4">
        <v>0.17431360000000001</v>
      </c>
      <c r="K65">
        <v>1684.1</v>
      </c>
      <c r="L65" s="4">
        <v>0.170479468986032</v>
      </c>
      <c r="P65">
        <f t="shared" si="4"/>
        <v>0.99948498030158284</v>
      </c>
      <c r="S65">
        <f t="shared" si="6"/>
        <v>0.99823536430892357</v>
      </c>
      <c r="T65">
        <f t="shared" si="7"/>
        <v>1.7646356910764327E-3</v>
      </c>
    </row>
    <row r="66" spans="5:20" x14ac:dyDescent="0.25">
      <c r="E66">
        <v>1685.15</v>
      </c>
      <c r="F66" s="11">
        <v>0.17403199999999999</v>
      </c>
      <c r="H66">
        <v>1685.15</v>
      </c>
      <c r="I66" s="4">
        <v>0.17425989</v>
      </c>
      <c r="K66">
        <v>1684.15</v>
      </c>
      <c r="L66" s="4">
        <v>0.171133613956134</v>
      </c>
      <c r="P66">
        <f t="shared" si="4"/>
        <v>1.000013170305915</v>
      </c>
      <c r="S66">
        <f t="shared" si="6"/>
        <v>0.99869224065273998</v>
      </c>
      <c r="T66">
        <f t="shared" si="7"/>
        <v>1.307759347260018E-3</v>
      </c>
    </row>
    <row r="67" spans="5:20" x14ac:dyDescent="0.25">
      <c r="E67">
        <v>1685.2</v>
      </c>
      <c r="F67" s="11">
        <v>0.174072</v>
      </c>
      <c r="H67">
        <v>1685.2</v>
      </c>
      <c r="I67" s="4">
        <v>0.17430957</v>
      </c>
      <c r="K67">
        <v>1684.2</v>
      </c>
      <c r="L67" s="4">
        <v>0.17166807551145999</v>
      </c>
      <c r="P67">
        <f t="shared" si="4"/>
        <v>0.99993522315319805</v>
      </c>
      <c r="S67">
        <f t="shared" si="6"/>
        <v>0.99863707999509155</v>
      </c>
      <c r="T67">
        <f t="shared" si="7"/>
        <v>1.3629200049084522E-3</v>
      </c>
    </row>
    <row r="68" spans="5:20" x14ac:dyDescent="0.25">
      <c r="E68">
        <v>1685.25</v>
      </c>
      <c r="F68" s="11">
        <v>0.17411399999999999</v>
      </c>
      <c r="H68">
        <v>1685.25</v>
      </c>
      <c r="I68" s="4">
        <v>0.17428025999999999</v>
      </c>
      <c r="K68">
        <v>1684.25</v>
      </c>
      <c r="L68" s="4">
        <v>0.17210372724928599</v>
      </c>
      <c r="P68">
        <f t="shared" ref="P68:P123" si="8">L88/I68</f>
        <v>1.0002988355336628</v>
      </c>
      <c r="S68">
        <f t="shared" ref="S68:S123" si="9">F68/I68</f>
        <v>0.99904601932542447</v>
      </c>
      <c r="T68">
        <f t="shared" ref="T68:T123" si="10">1-S68</f>
        <v>9.5398067457552749E-4</v>
      </c>
    </row>
    <row r="69" spans="5:20" x14ac:dyDescent="0.25">
      <c r="E69">
        <v>1685.3</v>
      </c>
      <c r="F69" s="11">
        <v>0.17415</v>
      </c>
      <c r="H69">
        <v>1685.3</v>
      </c>
      <c r="I69" s="4">
        <v>0.17442321999999999</v>
      </c>
      <c r="K69">
        <v>1684.3</v>
      </c>
      <c r="L69" s="4">
        <v>0.172458650623769</v>
      </c>
      <c r="P69">
        <f t="shared" si="8"/>
        <v>0.99966372520592162</v>
      </c>
      <c r="S69">
        <f t="shared" si="9"/>
        <v>0.99843358011622541</v>
      </c>
      <c r="T69">
        <f t="shared" si="10"/>
        <v>1.5664198837745946E-3</v>
      </c>
    </row>
    <row r="70" spans="5:20" x14ac:dyDescent="0.25">
      <c r="E70">
        <v>1685.35</v>
      </c>
      <c r="F70" s="11">
        <v>0.17418</v>
      </c>
      <c r="H70">
        <v>1685.35</v>
      </c>
      <c r="I70" s="4">
        <v>0.17447985999999999</v>
      </c>
      <c r="K70">
        <v>1684.35</v>
      </c>
      <c r="L70" s="4">
        <v>0.17274824516211801</v>
      </c>
      <c r="P70">
        <f t="shared" si="8"/>
        <v>0.99951432840767418</v>
      </c>
      <c r="S70">
        <f t="shared" si="9"/>
        <v>0.99828140623221506</v>
      </c>
      <c r="T70">
        <f t="shared" si="10"/>
        <v>1.7185937677849372E-3</v>
      </c>
    </row>
    <row r="71" spans="5:20" x14ac:dyDescent="0.25">
      <c r="E71">
        <v>1685.4</v>
      </c>
      <c r="F71" s="11">
        <v>0.17419599999999999</v>
      </c>
      <c r="H71">
        <v>1685.4</v>
      </c>
      <c r="I71" s="4">
        <v>0.17439318000000001</v>
      </c>
      <c r="K71">
        <v>1684.4</v>
      </c>
      <c r="L71" s="4">
        <v>0.17298541090413</v>
      </c>
      <c r="P71">
        <f t="shared" si="8"/>
        <v>1.0001775554724273</v>
      </c>
      <c r="S71">
        <f t="shared" si="9"/>
        <v>0.99886933651877885</v>
      </c>
      <c r="T71">
        <f t="shared" si="10"/>
        <v>1.1306634812211502E-3</v>
      </c>
    </row>
    <row r="72" spans="5:20" x14ac:dyDescent="0.25">
      <c r="E72">
        <v>1685.45</v>
      </c>
      <c r="F72" s="11">
        <v>0.174235</v>
      </c>
      <c r="H72">
        <v>1685.45</v>
      </c>
      <c r="I72" s="4">
        <v>0.17443399000000001</v>
      </c>
      <c r="K72">
        <v>1684.45</v>
      </c>
      <c r="L72" s="4">
        <v>0.173180797706148</v>
      </c>
      <c r="P72">
        <f t="shared" si="8"/>
        <v>1.0001018949710259</v>
      </c>
      <c r="S72">
        <f t="shared" si="9"/>
        <v>0.99885922462703503</v>
      </c>
      <c r="T72">
        <f t="shared" si="10"/>
        <v>1.140775372964975E-3</v>
      </c>
    </row>
    <row r="73" spans="5:20" x14ac:dyDescent="0.25">
      <c r="E73">
        <v>1685.5</v>
      </c>
      <c r="F73" s="11">
        <v>0.17425299999999999</v>
      </c>
      <c r="H73">
        <v>1685.5</v>
      </c>
      <c r="I73" s="4">
        <v>0.17450246</v>
      </c>
      <c r="K73">
        <v>1684.5</v>
      </c>
      <c r="L73" s="4">
        <v>0.173343070544074</v>
      </c>
      <c r="P73">
        <f t="shared" si="8"/>
        <v>0.99986032577206652</v>
      </c>
      <c r="S73">
        <f t="shared" si="9"/>
        <v>0.99857044995239608</v>
      </c>
      <c r="T73">
        <f t="shared" si="10"/>
        <v>1.4295500476039225E-3</v>
      </c>
    </row>
    <row r="74" spans="5:20" x14ac:dyDescent="0.25">
      <c r="E74">
        <v>1685.55</v>
      </c>
      <c r="F74" s="11">
        <v>0.174289</v>
      </c>
      <c r="H74">
        <v>1685.55</v>
      </c>
      <c r="I74" s="4">
        <v>0.17454217</v>
      </c>
      <c r="K74">
        <v>1684.55</v>
      </c>
      <c r="L74" s="4">
        <v>0.173479194397965</v>
      </c>
      <c r="P74">
        <f t="shared" si="8"/>
        <v>0.99977678769668665</v>
      </c>
      <c r="S74">
        <f t="shared" si="9"/>
        <v>0.99854951958028249</v>
      </c>
      <c r="T74">
        <f t="shared" si="10"/>
        <v>1.4504804197175147E-3</v>
      </c>
    </row>
    <row r="75" spans="5:20" x14ac:dyDescent="0.25">
      <c r="E75">
        <v>1685.6</v>
      </c>
      <c r="F75" s="11">
        <v>0.17430999999999999</v>
      </c>
      <c r="H75">
        <v>1685.6</v>
      </c>
      <c r="I75" s="4">
        <v>0.17450966000000001</v>
      </c>
      <c r="K75">
        <v>1684.6</v>
      </c>
      <c r="L75" s="4">
        <v>0.17359469791482501</v>
      </c>
      <c r="P75">
        <f t="shared" si="8"/>
        <v>1.0001006275253816</v>
      </c>
      <c r="S75">
        <f t="shared" si="9"/>
        <v>0.99885587995529868</v>
      </c>
      <c r="T75">
        <f t="shared" si="10"/>
        <v>1.1441200447013244E-3</v>
      </c>
    </row>
    <row r="76" spans="5:20" x14ac:dyDescent="0.25">
      <c r="E76">
        <v>1685.65</v>
      </c>
      <c r="F76" s="11">
        <v>0.17433100000000001</v>
      </c>
      <c r="H76">
        <v>1685.65</v>
      </c>
      <c r="I76" s="4">
        <v>0.17453854999999999</v>
      </c>
      <c r="K76">
        <v>1684.65</v>
      </c>
      <c r="L76" s="4">
        <v>0.17369392954725499</v>
      </c>
      <c r="P76">
        <f t="shared" si="8"/>
        <v>1.0000667158441847</v>
      </c>
      <c r="S76">
        <f t="shared" si="9"/>
        <v>0.99881086441935052</v>
      </c>
      <c r="T76">
        <f t="shared" si="10"/>
        <v>1.1891355806494808E-3</v>
      </c>
    </row>
    <row r="77" spans="5:20" x14ac:dyDescent="0.25">
      <c r="E77">
        <v>1685.7</v>
      </c>
      <c r="F77" s="11">
        <v>0.17435300000000001</v>
      </c>
      <c r="H77">
        <v>1685.7</v>
      </c>
      <c r="I77" s="4">
        <v>0.17464084999999999</v>
      </c>
      <c r="K77">
        <v>1684.7</v>
      </c>
      <c r="L77" s="4">
        <v>0.17378027467193799</v>
      </c>
      <c r="P77">
        <f t="shared" si="8"/>
        <v>0.99960691581264072</v>
      </c>
      <c r="S77">
        <f t="shared" si="9"/>
        <v>0.99835176019814387</v>
      </c>
      <c r="T77">
        <f t="shared" si="10"/>
        <v>1.6482398018561328E-3</v>
      </c>
    </row>
    <row r="78" spans="5:20" x14ac:dyDescent="0.25">
      <c r="E78">
        <v>1685.75</v>
      </c>
      <c r="F78" s="11">
        <v>0.17437900000000001</v>
      </c>
      <c r="H78">
        <v>1685.75</v>
      </c>
      <c r="I78" s="4">
        <v>0.17464389</v>
      </c>
      <c r="K78">
        <v>1684.75</v>
      </c>
      <c r="L78" s="4">
        <v>0.173856355289492</v>
      </c>
      <c r="P78">
        <f t="shared" si="8"/>
        <v>0.99971035502939731</v>
      </c>
      <c r="S78">
        <f t="shared" si="9"/>
        <v>0.99848325641395186</v>
      </c>
      <c r="T78">
        <f t="shared" si="10"/>
        <v>1.5167435860481415E-3</v>
      </c>
    </row>
    <row r="79" spans="5:20" x14ac:dyDescent="0.25">
      <c r="E79">
        <v>1685.8</v>
      </c>
      <c r="F79" s="11">
        <v>0.17439299999999999</v>
      </c>
      <c r="H79">
        <v>1685.8</v>
      </c>
      <c r="I79" s="4">
        <v>0.17453457</v>
      </c>
      <c r="K79">
        <v>1684.8</v>
      </c>
      <c r="L79" s="4">
        <v>0.17392418715010699</v>
      </c>
      <c r="P79">
        <f t="shared" si="8"/>
        <v>1.0004525812621248</v>
      </c>
      <c r="S79">
        <f t="shared" si="9"/>
        <v>0.99918887129352074</v>
      </c>
      <c r="T79">
        <f t="shared" si="10"/>
        <v>8.1112870647925828E-4</v>
      </c>
    </row>
    <row r="80" spans="5:20" x14ac:dyDescent="0.25">
      <c r="E80">
        <v>1685.85</v>
      </c>
      <c r="F80" s="11">
        <v>0.17441400000000001</v>
      </c>
      <c r="H80">
        <v>1685.85</v>
      </c>
      <c r="I80" s="4">
        <v>0.17462949</v>
      </c>
      <c r="K80">
        <v>1684.85</v>
      </c>
      <c r="L80" s="4">
        <v>0.17398532054622601</v>
      </c>
      <c r="P80">
        <f t="shared" si="8"/>
        <v>1.0000202326638017</v>
      </c>
      <c r="S80">
        <f t="shared" si="9"/>
        <v>0.99876601598046244</v>
      </c>
      <c r="T80">
        <f t="shared" si="10"/>
        <v>1.2339840195375595E-3</v>
      </c>
    </row>
    <row r="81" spans="5:20" x14ac:dyDescent="0.25">
      <c r="E81">
        <v>1685.9</v>
      </c>
      <c r="F81" s="11">
        <v>0.17443900000000001</v>
      </c>
      <c r="H81">
        <v>1685.9</v>
      </c>
      <c r="I81" s="4">
        <v>0.17467715</v>
      </c>
      <c r="K81">
        <v>1684.9</v>
      </c>
      <c r="L81" s="4">
        <v>0.17404094281944901</v>
      </c>
      <c r="P81">
        <f t="shared" si="8"/>
        <v>0.99985451811019366</v>
      </c>
      <c r="S81">
        <f t="shared" si="9"/>
        <v>0.99863662762988747</v>
      </c>
      <c r="T81">
        <f t="shared" si="10"/>
        <v>1.3633723701125255E-3</v>
      </c>
    </row>
    <row r="82" spans="5:20" x14ac:dyDescent="0.25">
      <c r="E82">
        <v>1685.95</v>
      </c>
      <c r="F82" s="11">
        <v>0.174452</v>
      </c>
      <c r="H82">
        <v>1685.95</v>
      </c>
      <c r="I82" s="4">
        <v>0.17472175000000001</v>
      </c>
      <c r="K82">
        <v>1684.95</v>
      </c>
      <c r="L82" s="4">
        <v>0.17409197056445</v>
      </c>
      <c r="P82">
        <f t="shared" si="8"/>
        <v>0.99970238027704617</v>
      </c>
      <c r="S82">
        <f t="shared" si="9"/>
        <v>0.99845611665405132</v>
      </c>
      <c r="T82">
        <f t="shared" si="10"/>
        <v>1.5438833459486823E-3</v>
      </c>
    </row>
    <row r="83" spans="5:20" x14ac:dyDescent="0.25">
      <c r="E83">
        <v>1686</v>
      </c>
      <c r="F83" s="11">
        <v>0.17446700000000001</v>
      </c>
      <c r="H83">
        <v>1686</v>
      </c>
      <c r="I83" s="4">
        <v>0.17462952000000001</v>
      </c>
      <c r="K83">
        <v>1685</v>
      </c>
      <c r="L83" s="4">
        <v>0.17413911051164899</v>
      </c>
      <c r="P83">
        <f t="shared" si="8"/>
        <v>1.0003297129985527</v>
      </c>
      <c r="S83">
        <f t="shared" si="9"/>
        <v>0.99906934406050019</v>
      </c>
      <c r="T83">
        <f t="shared" si="10"/>
        <v>9.3065593949981373E-4</v>
      </c>
    </row>
    <row r="84" spans="5:20" x14ac:dyDescent="0.25">
      <c r="E84">
        <v>1686.05</v>
      </c>
      <c r="F84" s="11">
        <v>0.17448</v>
      </c>
      <c r="H84">
        <v>1686.05</v>
      </c>
      <c r="I84" s="4">
        <v>0.17467421</v>
      </c>
      <c r="K84">
        <v>1685.05</v>
      </c>
      <c r="L84" s="4">
        <v>0.17418291705861799</v>
      </c>
      <c r="P84">
        <f t="shared" si="8"/>
        <v>1.0001695175606291</v>
      </c>
      <c r="S84">
        <f t="shared" si="9"/>
        <v>0.99888815870413838</v>
      </c>
      <c r="T84">
        <f t="shared" si="10"/>
        <v>1.1118412958616153E-3</v>
      </c>
    </row>
    <row r="85" spans="5:20" x14ac:dyDescent="0.25">
      <c r="E85">
        <v>1686.1</v>
      </c>
      <c r="F85" s="11">
        <v>0.174509</v>
      </c>
      <c r="H85">
        <v>1686.1</v>
      </c>
      <c r="I85" s="4">
        <v>0.17475626999999999</v>
      </c>
      <c r="K85">
        <v>1685.1</v>
      </c>
      <c r="L85" s="4">
        <v>0.174223825062298</v>
      </c>
      <c r="P85">
        <f t="shared" si="8"/>
        <v>0.99979216959452166</v>
      </c>
      <c r="S85">
        <f t="shared" si="9"/>
        <v>0.99858505792095476</v>
      </c>
      <c r="T85">
        <f t="shared" si="10"/>
        <v>1.4149420790452449E-3</v>
      </c>
    </row>
    <row r="86" spans="5:20" x14ac:dyDescent="0.25">
      <c r="E86">
        <v>1686.15</v>
      </c>
      <c r="F86" s="11">
        <v>0.174516</v>
      </c>
      <c r="H86">
        <v>1686.15</v>
      </c>
      <c r="I86" s="4">
        <v>0.17480066</v>
      </c>
      <c r="K86">
        <v>1685.15</v>
      </c>
      <c r="L86" s="4">
        <v>0.17426218505606</v>
      </c>
      <c r="P86">
        <f t="shared" si="8"/>
        <v>0.99962735278370229</v>
      </c>
      <c r="S86">
        <f t="shared" si="9"/>
        <v>0.99837151644621946</v>
      </c>
      <c r="T86">
        <f t="shared" si="10"/>
        <v>1.6284835537805353E-3</v>
      </c>
    </row>
    <row r="87" spans="5:20" x14ac:dyDescent="0.25">
      <c r="E87">
        <v>1686.2</v>
      </c>
      <c r="F87" s="11">
        <v>0.17453299999999999</v>
      </c>
      <c r="H87">
        <v>1686.2</v>
      </c>
      <c r="I87" s="4">
        <v>0.17476273000000001</v>
      </c>
      <c r="K87">
        <v>1685.2</v>
      </c>
      <c r="L87" s="4">
        <v>0.17429827877568799</v>
      </c>
      <c r="P87">
        <f t="shared" si="8"/>
        <v>0.9999303594552168</v>
      </c>
      <c r="S87">
        <f t="shared" si="9"/>
        <v>0.99868547487213088</v>
      </c>
      <c r="T87">
        <f t="shared" si="10"/>
        <v>1.314525127869115E-3</v>
      </c>
    </row>
    <row r="88" spans="5:20" x14ac:dyDescent="0.25">
      <c r="E88">
        <v>1686.25</v>
      </c>
      <c r="F88" s="11">
        <v>0.17455300000000001</v>
      </c>
      <c r="H88">
        <v>1686.25</v>
      </c>
      <c r="I88" s="4">
        <v>0.17469530999999999</v>
      </c>
      <c r="K88">
        <v>1685.25</v>
      </c>
      <c r="L88" s="4">
        <v>0.17433234113450399</v>
      </c>
      <c r="P88">
        <f t="shared" si="8"/>
        <v>1.000399464298326</v>
      </c>
      <c r="S88">
        <f t="shared" si="9"/>
        <v>0.99918538167967996</v>
      </c>
      <c r="T88">
        <f t="shared" si="10"/>
        <v>8.1461832032003745E-4</v>
      </c>
    </row>
    <row r="89" spans="5:20" x14ac:dyDescent="0.25">
      <c r="E89">
        <v>1686.3</v>
      </c>
      <c r="F89" s="11">
        <v>0.174566</v>
      </c>
      <c r="H89">
        <v>1686.3</v>
      </c>
      <c r="I89" s="4">
        <v>0.17475657</v>
      </c>
      <c r="K89">
        <v>1685.3</v>
      </c>
      <c r="L89" s="4">
        <v>0.17436456586761201</v>
      </c>
      <c r="P89">
        <f t="shared" si="8"/>
        <v>1.0001292074779107</v>
      </c>
      <c r="S89">
        <f t="shared" si="9"/>
        <v>0.99890951167100617</v>
      </c>
      <c r="T89">
        <f t="shared" si="10"/>
        <v>1.0904883289938327E-3</v>
      </c>
    </row>
    <row r="90" spans="5:20" x14ac:dyDescent="0.25">
      <c r="E90">
        <v>1686.35</v>
      </c>
      <c r="F90" s="11">
        <v>0.17458499999999999</v>
      </c>
      <c r="H90">
        <v>1686.35</v>
      </c>
      <c r="I90" s="4">
        <v>0.17485503999999999</v>
      </c>
      <c r="K90">
        <v>1685.35</v>
      </c>
      <c r="L90" s="4">
        <v>0.174395120088565</v>
      </c>
      <c r="P90">
        <f t="shared" si="8"/>
        <v>0.99964376047432779</v>
      </c>
      <c r="S90">
        <f t="shared" si="9"/>
        <v>0.99845563502201595</v>
      </c>
      <c r="T90">
        <f t="shared" si="10"/>
        <v>1.5443649779840474E-3</v>
      </c>
    </row>
    <row r="91" spans="5:20" x14ac:dyDescent="0.25">
      <c r="E91">
        <v>1686.4</v>
      </c>
      <c r="F91" s="11">
        <v>0.17458000000000001</v>
      </c>
      <c r="H91">
        <v>1686.4</v>
      </c>
      <c r="I91" s="4">
        <v>0.17485154999999999</v>
      </c>
      <c r="K91">
        <v>1685.4</v>
      </c>
      <c r="L91" s="4">
        <v>0.17442414446346299</v>
      </c>
      <c r="P91">
        <f t="shared" si="8"/>
        <v>0.99973900751931</v>
      </c>
      <c r="S91">
        <f t="shared" si="9"/>
        <v>0.9984469682996806</v>
      </c>
      <c r="T91">
        <f t="shared" si="10"/>
        <v>1.5530317003193961E-3</v>
      </c>
    </row>
    <row r="92" spans="5:20" x14ac:dyDescent="0.25">
      <c r="E92">
        <v>1686.45</v>
      </c>
      <c r="F92" s="11">
        <v>0.17460999999999999</v>
      </c>
      <c r="H92">
        <v>1686.45</v>
      </c>
      <c r="I92" s="4">
        <v>0.17471918</v>
      </c>
      <c r="K92">
        <v>1685.45</v>
      </c>
      <c r="L92" s="4">
        <v>0.174451763946357</v>
      </c>
      <c r="P92">
        <f t="shared" si="8"/>
        <v>1.0005694059278551</v>
      </c>
      <c r="S92">
        <f t="shared" si="9"/>
        <v>0.99937511153612324</v>
      </c>
      <c r="T92">
        <f t="shared" si="10"/>
        <v>6.2488846387676045E-4</v>
      </c>
    </row>
    <row r="93" spans="5:20" x14ac:dyDescent="0.25">
      <c r="E93">
        <v>1686.5</v>
      </c>
      <c r="F93" s="11">
        <v>0.174623</v>
      </c>
      <c r="H93">
        <v>1686.5</v>
      </c>
      <c r="I93" s="4">
        <v>0.17471179000000001</v>
      </c>
      <c r="K93">
        <v>1685.5</v>
      </c>
      <c r="L93" s="4">
        <v>0.17447808650362701</v>
      </c>
      <c r="P93">
        <f t="shared" si="8"/>
        <v>1.0006824462017303</v>
      </c>
      <c r="S93">
        <f t="shared" si="9"/>
        <v>0.99949179159574741</v>
      </c>
      <c r="T93">
        <f t="shared" si="10"/>
        <v>5.0820840425258584E-4</v>
      </c>
    </row>
    <row r="94" spans="5:20" x14ac:dyDescent="0.25">
      <c r="E94">
        <v>1686.55</v>
      </c>
      <c r="F94" s="11">
        <v>0.174626</v>
      </c>
      <c r="H94">
        <v>1686.55</v>
      </c>
      <c r="I94" s="4">
        <v>0.17488328</v>
      </c>
      <c r="K94">
        <v>1685.55</v>
      </c>
      <c r="L94" s="4">
        <v>0.17450321004020899</v>
      </c>
      <c r="P94">
        <f t="shared" si="8"/>
        <v>0.99976966547850077</v>
      </c>
      <c r="S94">
        <f t="shared" si="9"/>
        <v>0.99852884735464709</v>
      </c>
      <c r="T94">
        <f t="shared" si="10"/>
        <v>1.4711526453529133E-3</v>
      </c>
    </row>
    <row r="95" spans="5:20" x14ac:dyDescent="0.25">
      <c r="E95">
        <v>1686.6</v>
      </c>
      <c r="F95" s="11">
        <v>0.17463699999999999</v>
      </c>
      <c r="H95">
        <v>1686.6</v>
      </c>
      <c r="I95" s="4">
        <v>0.17496468000000001</v>
      </c>
      <c r="K95">
        <v>1685.6</v>
      </c>
      <c r="L95" s="4">
        <v>0.174527220475241</v>
      </c>
      <c r="P95">
        <f t="shared" si="8"/>
        <v>0.99937091446968607</v>
      </c>
      <c r="S95">
        <f t="shared" si="9"/>
        <v>0.99812716486550301</v>
      </c>
      <c r="T95">
        <f t="shared" si="10"/>
        <v>1.8728351344969862E-3</v>
      </c>
    </row>
    <row r="96" spans="5:20" x14ac:dyDescent="0.25">
      <c r="E96">
        <v>1686.65</v>
      </c>
      <c r="F96" s="11">
        <v>0.17466499999999999</v>
      </c>
      <c r="H96">
        <v>1686.65</v>
      </c>
      <c r="I96" s="4">
        <v>0.17478368999999999</v>
      </c>
      <c r="K96">
        <v>1685.65</v>
      </c>
      <c r="L96" s="4">
        <v>0.174550194486706</v>
      </c>
      <c r="P96">
        <f t="shared" si="8"/>
        <v>1.0004702317966854</v>
      </c>
      <c r="S96">
        <f t="shared" si="9"/>
        <v>0.99932093206179595</v>
      </c>
      <c r="T96">
        <f t="shared" si="10"/>
        <v>6.7906793820404765E-4</v>
      </c>
    </row>
    <row r="97" spans="5:20" x14ac:dyDescent="0.25">
      <c r="E97">
        <v>1686.7</v>
      </c>
      <c r="F97" s="11">
        <v>0.17465900000000001</v>
      </c>
      <c r="H97">
        <v>1686.7</v>
      </c>
      <c r="I97" s="4">
        <v>0.17471401</v>
      </c>
      <c r="K97">
        <v>1685.7</v>
      </c>
      <c r="L97" s="4">
        <v>0.174572201443398</v>
      </c>
      <c r="P97">
        <f t="shared" si="8"/>
        <v>1.0009318102507463</v>
      </c>
      <c r="S97">
        <f t="shared" si="9"/>
        <v>0.99968514259388819</v>
      </c>
      <c r="T97">
        <f t="shared" si="10"/>
        <v>3.1485740611181257E-4</v>
      </c>
    </row>
    <row r="98" spans="5:20" x14ac:dyDescent="0.25">
      <c r="E98">
        <v>1686.75</v>
      </c>
      <c r="F98" s="11">
        <v>0.17465900000000001</v>
      </c>
      <c r="H98">
        <v>1686.75</v>
      </c>
      <c r="I98" s="4">
        <v>0.17492905</v>
      </c>
      <c r="K98">
        <v>1685.75</v>
      </c>
      <c r="L98" s="4">
        <v>0.17459330527561501</v>
      </c>
      <c r="P98">
        <f t="shared" si="8"/>
        <v>0.99976202217764865</v>
      </c>
      <c r="S98">
        <f t="shared" si="9"/>
        <v>0.99845623125490024</v>
      </c>
      <c r="T98">
        <f t="shared" si="10"/>
        <v>1.5437687450997606E-3</v>
      </c>
    </row>
    <row r="99" spans="5:20" x14ac:dyDescent="0.25">
      <c r="E99">
        <v>1686.8</v>
      </c>
      <c r="F99" s="11">
        <v>0.17469999999999999</v>
      </c>
      <c r="H99">
        <v>1686.8</v>
      </c>
      <c r="I99" s="4">
        <v>0.17499565</v>
      </c>
      <c r="K99">
        <v>1685.8</v>
      </c>
      <c r="L99" s="4">
        <v>0.174613561075975</v>
      </c>
      <c r="P99">
        <f t="shared" si="8"/>
        <v>0.99944038300952043</v>
      </c>
      <c r="S99">
        <f t="shared" si="9"/>
        <v>0.99831052943316012</v>
      </c>
      <c r="T99">
        <f t="shared" si="10"/>
        <v>1.6894705668398791E-3</v>
      </c>
    </row>
    <row r="100" spans="5:20" x14ac:dyDescent="0.25">
      <c r="E100">
        <v>1686.85</v>
      </c>
      <c r="F100" s="11">
        <v>0.17469000000000001</v>
      </c>
      <c r="H100">
        <v>1686.85</v>
      </c>
      <c r="I100" s="4">
        <v>0.17485261999999999</v>
      </c>
      <c r="K100">
        <v>1685.85</v>
      </c>
      <c r="L100" s="4">
        <v>0.17463302321976101</v>
      </c>
      <c r="P100">
        <f t="shared" si="8"/>
        <v>1.0003151158230401</v>
      </c>
      <c r="S100">
        <f t="shared" si="9"/>
        <v>0.99906995960369382</v>
      </c>
      <c r="T100">
        <f t="shared" si="10"/>
        <v>9.3004039630617541E-4</v>
      </c>
    </row>
    <row r="101" spans="5:20" x14ac:dyDescent="0.25">
      <c r="E101">
        <v>1686.9</v>
      </c>
      <c r="F101" s="11">
        <v>0.174703</v>
      </c>
      <c r="H101">
        <v>1686.9</v>
      </c>
      <c r="I101" s="4">
        <v>0.17466693999999999</v>
      </c>
      <c r="K101">
        <v>1685.9</v>
      </c>
      <c r="L101" s="4">
        <v>0.17465173763811201</v>
      </c>
      <c r="P101">
        <f t="shared" si="8"/>
        <v>1.0014340772761579</v>
      </c>
      <c r="S101">
        <f t="shared" si="9"/>
        <v>1.0002064500586088</v>
      </c>
      <c r="T101">
        <f t="shared" si="10"/>
        <v>-2.0645005860875365E-4</v>
      </c>
    </row>
    <row r="102" spans="5:20" x14ac:dyDescent="0.25">
      <c r="E102">
        <v>1686.95</v>
      </c>
      <c r="F102" s="11">
        <v>0.17472199999999999</v>
      </c>
      <c r="H102">
        <v>1686.95</v>
      </c>
      <c r="I102" s="4">
        <v>0.17488807000000001</v>
      </c>
      <c r="K102">
        <v>1685.95</v>
      </c>
      <c r="L102" s="4">
        <v>0.174669749361171</v>
      </c>
      <c r="P102">
        <f t="shared" si="8"/>
        <v>1.0002217448415436</v>
      </c>
      <c r="S102">
        <f t="shared" si="9"/>
        <v>0.99905042122084131</v>
      </c>
      <c r="T102">
        <f t="shared" si="10"/>
        <v>9.4957877915868849E-4</v>
      </c>
    </row>
    <row r="103" spans="5:20" x14ac:dyDescent="0.25">
      <c r="E103">
        <v>1687</v>
      </c>
      <c r="F103" s="11">
        <v>0.17471600000000001</v>
      </c>
      <c r="H103">
        <v>1687</v>
      </c>
      <c r="I103" s="4">
        <v>0.1750689</v>
      </c>
      <c r="K103">
        <v>1686</v>
      </c>
      <c r="L103" s="4">
        <v>0.17468709762267501</v>
      </c>
      <c r="P103">
        <f t="shared" si="8"/>
        <v>0.99924086035949844</v>
      </c>
      <c r="S103">
        <f t="shared" si="9"/>
        <v>0.99798422221194061</v>
      </c>
      <c r="T103">
        <f t="shared" si="10"/>
        <v>2.0157777880593919E-3</v>
      </c>
    </row>
    <row r="104" spans="5:20" x14ac:dyDescent="0.25">
      <c r="E104">
        <v>1687.05</v>
      </c>
      <c r="F104" s="11">
        <v>0.174729</v>
      </c>
      <c r="H104">
        <v>1687.05</v>
      </c>
      <c r="I104" s="4">
        <v>0.17488055999999999</v>
      </c>
      <c r="K104">
        <v>1686.05</v>
      </c>
      <c r="L104" s="4">
        <v>0.174703820345984</v>
      </c>
      <c r="P104">
        <f t="shared" si="8"/>
        <v>1.0003677714255719</v>
      </c>
      <c r="S104">
        <f t="shared" si="9"/>
        <v>0.99913335135706338</v>
      </c>
      <c r="T104">
        <f t="shared" si="10"/>
        <v>8.6664864293661825E-4</v>
      </c>
    </row>
    <row r="105" spans="5:20" x14ac:dyDescent="0.25">
      <c r="E105">
        <v>1687.1</v>
      </c>
      <c r="F105" s="11">
        <v>0.17474400000000001</v>
      </c>
      <c r="H105">
        <v>1687.1</v>
      </c>
      <c r="I105" s="4">
        <v>0.17466967999999999</v>
      </c>
      <c r="K105">
        <v>1686.1</v>
      </c>
      <c r="L105" s="4">
        <v>0.17471995033354601</v>
      </c>
      <c r="P105">
        <f t="shared" si="8"/>
        <v>1.0016248267646566</v>
      </c>
      <c r="S105">
        <f t="shared" si="9"/>
        <v>1.0004254888427118</v>
      </c>
      <c r="T105">
        <f t="shared" si="10"/>
        <v>-4.2548884271176313E-4</v>
      </c>
    </row>
    <row r="106" spans="5:20" x14ac:dyDescent="0.25">
      <c r="E106">
        <v>1687.15</v>
      </c>
      <c r="F106" s="11">
        <v>0.17474600000000001</v>
      </c>
      <c r="H106">
        <v>1687.15</v>
      </c>
      <c r="I106" s="4">
        <v>0.17490789000000001</v>
      </c>
      <c r="K106">
        <v>1686.15</v>
      </c>
      <c r="L106" s="4">
        <v>0.17473552102064399</v>
      </c>
      <c r="P106">
        <f t="shared" si="8"/>
        <v>1.0003084373155036</v>
      </c>
      <c r="S106">
        <f t="shared" si="9"/>
        <v>0.99907442711703853</v>
      </c>
      <c r="T106">
        <f t="shared" si="10"/>
        <v>9.2557288296146734E-4</v>
      </c>
    </row>
    <row r="107" spans="5:20" x14ac:dyDescent="0.25">
      <c r="E107">
        <v>1687.2</v>
      </c>
      <c r="F107" s="11">
        <v>0.17474799999999999</v>
      </c>
      <c r="H107">
        <v>1687.2</v>
      </c>
      <c r="I107" s="4">
        <v>0.17508392</v>
      </c>
      <c r="K107">
        <v>1686.2</v>
      </c>
      <c r="L107" s="4">
        <v>0.174750559428275</v>
      </c>
      <c r="P107">
        <f t="shared" si="8"/>
        <v>0.99934893242879186</v>
      </c>
      <c r="S107">
        <f t="shared" si="9"/>
        <v>0.99808137720471413</v>
      </c>
      <c r="T107">
        <f t="shared" si="10"/>
        <v>1.9186227952858737E-3</v>
      </c>
    </row>
    <row r="108" spans="5:20" x14ac:dyDescent="0.25">
      <c r="E108">
        <v>1687.25</v>
      </c>
      <c r="F108" s="11">
        <v>0.17477400000000001</v>
      </c>
      <c r="H108">
        <v>1687.25</v>
      </c>
      <c r="I108" s="4">
        <v>0.17486747</v>
      </c>
      <c r="K108">
        <v>1686.25</v>
      </c>
      <c r="L108" s="4">
        <v>0.17476509453943001</v>
      </c>
      <c r="P108">
        <f t="shared" si="8"/>
        <v>1.0006307135840646</v>
      </c>
      <c r="S108">
        <f t="shared" si="9"/>
        <v>0.99946548091534704</v>
      </c>
      <c r="T108">
        <f t="shared" si="10"/>
        <v>5.3451908465296238E-4</v>
      </c>
    </row>
    <row r="109" spans="5:20" x14ac:dyDescent="0.25">
      <c r="E109">
        <v>1687.3</v>
      </c>
      <c r="F109" s="11">
        <v>0.17479</v>
      </c>
      <c r="H109">
        <v>1687.3</v>
      </c>
      <c r="I109" s="4">
        <v>0.17470922999999999</v>
      </c>
      <c r="K109">
        <v>1686.3</v>
      </c>
      <c r="L109" s="4">
        <v>0.17477914985565801</v>
      </c>
      <c r="P109">
        <f t="shared" si="8"/>
        <v>1.0015803721846179</v>
      </c>
      <c r="S109">
        <f t="shared" si="9"/>
        <v>1.0004623110066939</v>
      </c>
      <c r="T109">
        <f t="shared" si="10"/>
        <v>-4.6231100669391623E-4</v>
      </c>
    </row>
    <row r="110" spans="5:20" x14ac:dyDescent="0.25">
      <c r="E110">
        <v>1687.35</v>
      </c>
      <c r="F110" s="11">
        <v>0.17476800000000001</v>
      </c>
      <c r="H110">
        <v>1687.35</v>
      </c>
      <c r="I110" s="4">
        <v>0.17487401</v>
      </c>
      <c r="K110">
        <v>1686.35</v>
      </c>
      <c r="L110" s="4">
        <v>0.17479274972348899</v>
      </c>
      <c r="P110">
        <f t="shared" si="8"/>
        <v>1.0006784420082036</v>
      </c>
      <c r="S110">
        <f t="shared" si="9"/>
        <v>0.99939379213640733</v>
      </c>
      <c r="T110">
        <f t="shared" si="10"/>
        <v>6.062078635926671E-4</v>
      </c>
    </row>
    <row r="111" spans="5:20" x14ac:dyDescent="0.25">
      <c r="E111">
        <v>1687.4</v>
      </c>
      <c r="F111" s="11">
        <v>0.17478199999999999</v>
      </c>
      <c r="H111">
        <v>1687.4</v>
      </c>
      <c r="I111" s="4">
        <v>0.17509106999999999</v>
      </c>
      <c r="K111">
        <v>1686.4</v>
      </c>
      <c r="L111" s="4">
        <v>0.17480591506021301</v>
      </c>
      <c r="P111">
        <f t="shared" si="8"/>
        <v>0.99947819733988719</v>
      </c>
      <c r="S111">
        <f t="shared" si="9"/>
        <v>0.99823480432211653</v>
      </c>
      <c r="T111">
        <f t="shared" si="10"/>
        <v>1.7651956778834688E-3</v>
      </c>
    </row>
    <row r="112" spans="5:20" x14ac:dyDescent="0.25">
      <c r="E112">
        <v>1687.45</v>
      </c>
      <c r="F112" s="11">
        <v>0.17479600000000001</v>
      </c>
      <c r="H112">
        <v>1687.45</v>
      </c>
      <c r="I112" s="4">
        <v>0.17496264</v>
      </c>
      <c r="K112">
        <v>1686.45</v>
      </c>
      <c r="L112" s="4">
        <v>0.174818666136802</v>
      </c>
      <c r="P112">
        <f t="shared" si="8"/>
        <v>1.0002506767024664</v>
      </c>
      <c r="S112">
        <f t="shared" si="9"/>
        <v>0.99904756809796658</v>
      </c>
      <c r="T112">
        <f t="shared" si="10"/>
        <v>9.5243190203342376E-4</v>
      </c>
    </row>
    <row r="113" spans="5:20" x14ac:dyDescent="0.25">
      <c r="E113">
        <v>1687.5</v>
      </c>
      <c r="F113" s="11">
        <v>0.17479800000000001</v>
      </c>
      <c r="H113">
        <v>1687.5</v>
      </c>
      <c r="I113" s="4">
        <v>0.17463353000000001</v>
      </c>
      <c r="K113">
        <v>1686.5</v>
      </c>
      <c r="L113" s="4">
        <v>0.17483102139748299</v>
      </c>
      <c r="P113">
        <f t="shared" si="8"/>
        <v>1.0021730860792255</v>
      </c>
      <c r="S113">
        <f t="shared" si="9"/>
        <v>1.0009418008099591</v>
      </c>
      <c r="T113">
        <f t="shared" si="10"/>
        <v>-9.4180080995909243E-4</v>
      </c>
    </row>
    <row r="114" spans="5:20" x14ac:dyDescent="0.25">
      <c r="E114">
        <v>1687.55</v>
      </c>
      <c r="F114" s="11">
        <v>0.17481099999999999</v>
      </c>
      <c r="H114">
        <v>1687.55</v>
      </c>
      <c r="I114" s="4">
        <v>0.17484155000000001</v>
      </c>
      <c r="K114">
        <v>1686.55</v>
      </c>
      <c r="L114" s="4">
        <v>0.17484299834338299</v>
      </c>
      <c r="P114">
        <f t="shared" si="8"/>
        <v>1.0010165035906795</v>
      </c>
      <c r="S114">
        <f t="shared" si="9"/>
        <v>0.99982527036622582</v>
      </c>
      <c r="T114">
        <f t="shared" si="10"/>
        <v>1.7472963377418438E-4</v>
      </c>
    </row>
    <row r="115" spans="5:20" x14ac:dyDescent="0.25">
      <c r="E115">
        <v>1687.6</v>
      </c>
      <c r="F115" s="11">
        <v>0.174819</v>
      </c>
      <c r="H115">
        <v>1687.6</v>
      </c>
      <c r="I115" s="4">
        <v>0.17514172</v>
      </c>
      <c r="K115">
        <v>1686.6</v>
      </c>
      <c r="L115" s="4">
        <v>0.17485461225149601</v>
      </c>
      <c r="P115">
        <f t="shared" si="8"/>
        <v>0.99933501553707482</v>
      </c>
      <c r="S115">
        <f t="shared" si="9"/>
        <v>0.99815737792229065</v>
      </c>
      <c r="T115">
        <f t="shared" si="10"/>
        <v>1.8426220777093549E-3</v>
      </c>
    </row>
    <row r="116" spans="5:20" x14ac:dyDescent="0.25">
      <c r="E116">
        <v>1687.65</v>
      </c>
      <c r="F116" s="11">
        <v>0.174816</v>
      </c>
      <c r="H116">
        <v>1687.65</v>
      </c>
      <c r="I116" s="4">
        <v>0.17495896</v>
      </c>
      <c r="K116">
        <v>1686.65</v>
      </c>
      <c r="L116" s="4">
        <v>0.17486587884857999</v>
      </c>
      <c r="P116">
        <f t="shared" si="8"/>
        <v>1.0004114610429726</v>
      </c>
      <c r="S116">
        <f t="shared" si="9"/>
        <v>0.99918289409127714</v>
      </c>
      <c r="T116">
        <f t="shared" si="10"/>
        <v>8.1710590872285938E-4</v>
      </c>
    </row>
    <row r="117" spans="5:20" x14ac:dyDescent="0.25">
      <c r="E117">
        <v>1687.7</v>
      </c>
      <c r="F117" s="11">
        <v>0.17483499999999999</v>
      </c>
      <c r="H117">
        <v>1687.7</v>
      </c>
      <c r="I117" s="4">
        <v>0.17471278000000001</v>
      </c>
      <c r="K117">
        <v>1686.7</v>
      </c>
      <c r="L117" s="4">
        <v>0.17487681030546701</v>
      </c>
      <c r="P117">
        <f t="shared" si="8"/>
        <v>1.001852048627101</v>
      </c>
      <c r="S117">
        <f t="shared" si="9"/>
        <v>1.0006995481383787</v>
      </c>
      <c r="T117">
        <f t="shared" si="10"/>
        <v>-6.9954813837869168E-4</v>
      </c>
    </row>
    <row r="118" spans="5:20" x14ac:dyDescent="0.25">
      <c r="E118">
        <v>1687.75</v>
      </c>
      <c r="F118" s="11">
        <v>0.17482600000000001</v>
      </c>
      <c r="H118">
        <v>1687.75</v>
      </c>
      <c r="I118" s="4">
        <v>0.17474050999999999</v>
      </c>
      <c r="K118">
        <v>1686.75</v>
      </c>
      <c r="L118" s="4">
        <v>0.174887420765615</v>
      </c>
      <c r="P118">
        <f t="shared" si="8"/>
        <v>1.0017223421237584</v>
      </c>
      <c r="S118">
        <f t="shared" si="9"/>
        <v>1.0004892397303866</v>
      </c>
      <c r="T118">
        <f t="shared" si="10"/>
        <v>-4.8923973038661472E-4</v>
      </c>
    </row>
    <row r="119" spans="5:20" x14ac:dyDescent="0.25">
      <c r="E119">
        <v>1687.8</v>
      </c>
      <c r="F119" s="11">
        <v>0.17484</v>
      </c>
      <c r="H119">
        <v>1687.8</v>
      </c>
      <c r="I119" s="4">
        <v>0.17500234000000001</v>
      </c>
      <c r="K119">
        <v>1686.8</v>
      </c>
      <c r="L119" s="4">
        <v>0.174897719461</v>
      </c>
      <c r="P119">
        <f t="shared" si="8"/>
        <v>1.0002511549383339</v>
      </c>
      <c r="S119">
        <f t="shared" si="9"/>
        <v>0.99907235526107818</v>
      </c>
      <c r="T119">
        <f t="shared" si="10"/>
        <v>9.2764473892181787E-4</v>
      </c>
    </row>
    <row r="120" spans="5:20" x14ac:dyDescent="0.25">
      <c r="E120">
        <v>1687.85</v>
      </c>
      <c r="F120" s="11">
        <v>0.174848</v>
      </c>
      <c r="H120">
        <v>1687.85</v>
      </c>
      <c r="I120" s="4">
        <v>0.1750263</v>
      </c>
      <c r="K120">
        <v>1686.85</v>
      </c>
      <c r="L120" s="4">
        <v>0.174907718827262</v>
      </c>
      <c r="P120">
        <f t="shared" si="8"/>
        <v>1.00014005345055</v>
      </c>
      <c r="S120">
        <f t="shared" si="9"/>
        <v>0.99898129595380813</v>
      </c>
      <c r="T120">
        <f t="shared" si="10"/>
        <v>1.0187040461918651E-3</v>
      </c>
    </row>
    <row r="121" spans="5:20" x14ac:dyDescent="0.25">
      <c r="E121">
        <v>1687.9</v>
      </c>
      <c r="F121" s="11">
        <v>0.17483799999999999</v>
      </c>
      <c r="H121">
        <v>1687.9</v>
      </c>
      <c r="I121" s="4">
        <v>0.17491676</v>
      </c>
      <c r="K121">
        <v>1686.9</v>
      </c>
      <c r="L121" s="4">
        <v>0.17491742588955</v>
      </c>
      <c r="P121">
        <f t="shared" si="8"/>
        <v>1.0007904953065503</v>
      </c>
      <c r="S121">
        <f t="shared" si="9"/>
        <v>0.99954972868237435</v>
      </c>
      <c r="T121">
        <f t="shared" si="10"/>
        <v>4.5027131762565009E-4</v>
      </c>
    </row>
    <row r="122" spans="5:20" x14ac:dyDescent="0.25">
      <c r="E122">
        <v>1687.95</v>
      </c>
      <c r="F122" s="11">
        <v>0.17485899999999999</v>
      </c>
      <c r="H122">
        <v>1687.95</v>
      </c>
      <c r="I122" s="4">
        <v>0.17467917999999999</v>
      </c>
      <c r="K122">
        <v>1686.95</v>
      </c>
      <c r="L122" s="4">
        <v>0.17492685052737</v>
      </c>
      <c r="P122">
        <f t="shared" si="8"/>
        <v>1.0021740796874419</v>
      </c>
      <c r="S122">
        <f t="shared" si="9"/>
        <v>1.0010294300671665</v>
      </c>
      <c r="T122">
        <f t="shared" si="10"/>
        <v>-1.0294300671664924E-3</v>
      </c>
    </row>
    <row r="123" spans="5:20" x14ac:dyDescent="0.25">
      <c r="E123">
        <v>1688</v>
      </c>
      <c r="F123" s="11">
        <v>0.174848</v>
      </c>
      <c r="H123">
        <v>1688</v>
      </c>
      <c r="I123" s="4">
        <v>0.17488213</v>
      </c>
      <c r="K123">
        <v>1687</v>
      </c>
      <c r="L123" s="4">
        <v>0.17493599825819101</v>
      </c>
      <c r="P123">
        <f t="shared" si="8"/>
        <v>1.0010317212809736</v>
      </c>
      <c r="S123">
        <f t="shared" si="9"/>
        <v>0.99980483997993397</v>
      </c>
      <c r="T123">
        <f t="shared" si="10"/>
        <v>1.9516002006603195E-4</v>
      </c>
    </row>
    <row r="124" spans="5:20" x14ac:dyDescent="0.25">
      <c r="K124">
        <v>1687.05</v>
      </c>
      <c r="L124" s="4">
        <v>0.174944876072856</v>
      </c>
    </row>
    <row r="125" spans="5:20" x14ac:dyDescent="0.25">
      <c r="K125">
        <v>1687.1</v>
      </c>
      <c r="L125" s="4">
        <v>0.17495348797103799</v>
      </c>
    </row>
    <row r="126" spans="5:20" x14ac:dyDescent="0.25">
      <c r="K126">
        <v>1687.15</v>
      </c>
      <c r="L126" s="4">
        <v>0.174961838120052</v>
      </c>
    </row>
    <row r="127" spans="5:20" x14ac:dyDescent="0.25">
      <c r="K127">
        <v>1687.2</v>
      </c>
      <c r="L127" s="4">
        <v>0.174969928537448</v>
      </c>
    </row>
    <row r="128" spans="5:20" x14ac:dyDescent="0.25">
      <c r="K128">
        <v>1687.25</v>
      </c>
      <c r="L128" s="4">
        <v>0.17497776128874001</v>
      </c>
    </row>
    <row r="129" spans="11:12" x14ac:dyDescent="0.25">
      <c r="K129">
        <v>1687.3</v>
      </c>
      <c r="L129" s="4">
        <v>0.174985335607488</v>
      </c>
    </row>
    <row r="130" spans="11:12" x14ac:dyDescent="0.25">
      <c r="K130">
        <v>1687.35</v>
      </c>
      <c r="L130" s="4">
        <v>0.17499265187452701</v>
      </c>
    </row>
    <row r="131" spans="11:12" x14ac:dyDescent="0.25">
      <c r="K131">
        <v>1687.4</v>
      </c>
      <c r="L131" s="4">
        <v>0.17499970701391199</v>
      </c>
    </row>
    <row r="132" spans="11:12" x14ac:dyDescent="0.25">
      <c r="K132">
        <v>1687.45</v>
      </c>
      <c r="L132" s="4">
        <v>0.17500649905765001</v>
      </c>
    </row>
    <row r="133" spans="11:12" x14ac:dyDescent="0.25">
      <c r="K133">
        <v>1687.5</v>
      </c>
      <c r="L133" s="4">
        <v>0.175013023693009</v>
      </c>
    </row>
    <row r="134" spans="11:12" x14ac:dyDescent="0.25">
      <c r="K134">
        <v>1687.55</v>
      </c>
      <c r="L134" s="4">
        <v>0.175019277063375</v>
      </c>
    </row>
    <row r="135" spans="11:12" x14ac:dyDescent="0.25">
      <c r="K135">
        <v>1687.6</v>
      </c>
      <c r="L135" s="4">
        <v>0.17502525347739001</v>
      </c>
    </row>
    <row r="136" spans="11:12" x14ac:dyDescent="0.25">
      <c r="K136">
        <v>1687.65</v>
      </c>
      <c r="L136" s="4">
        <v>0.17503094879615899</v>
      </c>
    </row>
    <row r="137" spans="11:12" x14ac:dyDescent="0.25">
      <c r="K137">
        <v>1687.7</v>
      </c>
      <c r="L137" s="4">
        <v>0.175036356564336</v>
      </c>
    </row>
    <row r="138" spans="11:12" x14ac:dyDescent="0.25">
      <c r="K138">
        <v>1687.75</v>
      </c>
      <c r="L138" s="4">
        <v>0.17504147294110001</v>
      </c>
    </row>
    <row r="139" spans="11:12" x14ac:dyDescent="0.25">
      <c r="K139">
        <v>1687.8</v>
      </c>
      <c r="L139" s="4">
        <v>0.17504629270191099</v>
      </c>
    </row>
    <row r="140" spans="11:12" x14ac:dyDescent="0.25">
      <c r="K140">
        <v>1687.85</v>
      </c>
      <c r="L140" s="4">
        <v>0.17505081303725201</v>
      </c>
    </row>
    <row r="141" spans="11:12" x14ac:dyDescent="0.25">
      <c r="K141">
        <v>1687.9</v>
      </c>
      <c r="L141" s="4">
        <v>0.17505503087781699</v>
      </c>
    </row>
    <row r="142" spans="11:12" x14ac:dyDescent="0.25">
      <c r="K142">
        <v>1687.95</v>
      </c>
      <c r="L142" s="4">
        <v>0.175058946457057</v>
      </c>
    </row>
    <row r="143" spans="11:12" x14ac:dyDescent="0.25">
      <c r="K143">
        <v>1688</v>
      </c>
      <c r="L143" s="4">
        <v>0.17506255961518299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8B3A4-5FEB-426E-A0AF-1D7992C378F1}">
  <dimension ref="A1:AG7150"/>
  <sheetViews>
    <sheetView topLeftCell="I22" zoomScale="71" zoomScaleNormal="71" workbookViewId="0">
      <selection activeCell="Q2" sqref="Q2"/>
    </sheetView>
  </sheetViews>
  <sheetFormatPr defaultRowHeight="15.75" x14ac:dyDescent="0.25"/>
  <cols>
    <col min="1" max="1" width="17.125" customWidth="1"/>
    <col min="2" max="2" width="14.125" customWidth="1"/>
    <col min="4" max="4" width="5.875" style="13" customWidth="1"/>
    <col min="5" max="5" width="17.125" style="1" customWidth="1"/>
    <col min="6" max="6" width="16.125" style="4" customWidth="1"/>
    <col min="7" max="7" width="6.375" style="13" customWidth="1"/>
    <col min="8" max="8" width="15" customWidth="1"/>
    <col min="9" max="10" width="16" style="7" customWidth="1"/>
    <col min="11" max="11" width="7" style="18" customWidth="1"/>
    <col min="15" max="15" width="9" style="13"/>
    <col min="17" max="17" width="16" customWidth="1"/>
    <col min="18" max="18" width="9" customWidth="1"/>
  </cols>
  <sheetData>
    <row r="1" spans="1:18" x14ac:dyDescent="0.25">
      <c r="B1" t="s">
        <v>18</v>
      </c>
      <c r="F1" s="4" t="s">
        <v>1</v>
      </c>
      <c r="I1" s="5" t="s">
        <v>2</v>
      </c>
      <c r="J1" s="5"/>
      <c r="K1" s="17"/>
      <c r="M1" t="s">
        <v>0</v>
      </c>
      <c r="N1" t="s">
        <v>0</v>
      </c>
      <c r="Q1" t="s">
        <v>22</v>
      </c>
    </row>
    <row r="2" spans="1:18" x14ac:dyDescent="0.25">
      <c r="A2" t="s">
        <v>8</v>
      </c>
      <c r="J2" s="7" t="s">
        <v>19</v>
      </c>
      <c r="L2" t="s">
        <v>8</v>
      </c>
      <c r="N2" t="s">
        <v>10</v>
      </c>
    </row>
    <row r="3" spans="1:18" x14ac:dyDescent="0.25">
      <c r="A3">
        <v>1678.7890400000001</v>
      </c>
      <c r="B3" s="10">
        <v>1.3679999999999999E-4</v>
      </c>
      <c r="C3" s="10">
        <f>B3*0.1775</f>
        <v>2.4281999999999999E-5</v>
      </c>
      <c r="E3" s="1">
        <v>1682</v>
      </c>
      <c r="F3" s="4">
        <v>2.0776745E-3</v>
      </c>
      <c r="H3">
        <v>1681</v>
      </c>
      <c r="I3" s="7">
        <v>7.87976000229725E-4</v>
      </c>
      <c r="J3" s="4">
        <v>8.5795867030499296E-4</v>
      </c>
      <c r="K3" s="16"/>
      <c r="L3">
        <v>1682</v>
      </c>
      <c r="M3">
        <v>1.797E-3</v>
      </c>
      <c r="N3">
        <v>0</v>
      </c>
      <c r="P3">
        <v>1682</v>
      </c>
      <c r="Q3">
        <v>5008052.2911688099</v>
      </c>
      <c r="R3">
        <f>Q3/1000000000</f>
        <v>5.0080522911688102E-3</v>
      </c>
    </row>
    <row r="4" spans="1:18" x14ac:dyDescent="0.25">
      <c r="A4">
        <v>1678.8357800000001</v>
      </c>
      <c r="B4" s="10">
        <v>1.706E-4</v>
      </c>
      <c r="C4" s="10">
        <f t="shared" ref="C4:C67" si="0">B4*0.1775</f>
        <v>3.0281499999999998E-5</v>
      </c>
      <c r="E4" s="1">
        <v>1682.05</v>
      </c>
      <c r="F4" s="4">
        <v>2.2027320000000002E-3</v>
      </c>
      <c r="H4">
        <v>1681.05</v>
      </c>
      <c r="I4" s="7">
        <v>8.2058766360420903E-4</v>
      </c>
      <c r="J4" s="4">
        <v>8.9588758889360895E-4</v>
      </c>
      <c r="K4" s="16"/>
      <c r="L4">
        <v>1682.05</v>
      </c>
      <c r="M4">
        <v>1.895E-3</v>
      </c>
      <c r="N4">
        <v>0</v>
      </c>
      <c r="P4">
        <v>1682.05</v>
      </c>
      <c r="Q4">
        <v>6070322.66449604</v>
      </c>
      <c r="R4">
        <f t="shared" ref="R4:R67" si="1">Q4/1000000000</f>
        <v>6.0703226644960402E-3</v>
      </c>
    </row>
    <row r="5" spans="1:18" x14ac:dyDescent="0.25">
      <c r="A5">
        <v>1678.8825099999999</v>
      </c>
      <c r="B5" s="10">
        <v>2.274E-4</v>
      </c>
      <c r="C5" s="10">
        <f t="shared" si="0"/>
        <v>4.0363500000000001E-5</v>
      </c>
      <c r="E5" s="1">
        <v>1682.1</v>
      </c>
      <c r="F5" s="4">
        <v>2.3390132000000001E-3</v>
      </c>
      <c r="H5">
        <v>1681.1</v>
      </c>
      <c r="I5" s="7">
        <v>8.5479271552429297E-4</v>
      </c>
      <c r="J5" s="4">
        <v>9.3599246366972302E-4</v>
      </c>
      <c r="K5" s="16"/>
      <c r="L5">
        <v>1682.1</v>
      </c>
      <c r="M5">
        <v>2.0019999999999999E-3</v>
      </c>
      <c r="N5">
        <v>0</v>
      </c>
      <c r="P5">
        <v>1682.1</v>
      </c>
      <c r="Q5">
        <v>6604812.2914087502</v>
      </c>
      <c r="R5">
        <f t="shared" si="1"/>
        <v>6.6048122914087503E-3</v>
      </c>
    </row>
    <row r="6" spans="1:18" x14ac:dyDescent="0.25">
      <c r="A6">
        <v>1678.9292499999999</v>
      </c>
      <c r="B6" s="10">
        <v>2.8229999999999998E-4</v>
      </c>
      <c r="C6" s="10">
        <f t="shared" si="0"/>
        <v>5.0108249999999992E-5</v>
      </c>
      <c r="E6" s="1">
        <v>1682.15</v>
      </c>
      <c r="F6" s="4">
        <v>2.4896807E-3</v>
      </c>
      <c r="H6">
        <v>1681.15</v>
      </c>
      <c r="I6" s="7">
        <v>8.9071343936604703E-4</v>
      </c>
      <c r="J6" s="4">
        <v>9.7847933633642397E-4</v>
      </c>
      <c r="K6" s="16"/>
      <c r="L6">
        <v>1682.15</v>
      </c>
      <c r="M6">
        <v>2.1189999999999998E-3</v>
      </c>
      <c r="N6">
        <v>0</v>
      </c>
      <c r="P6">
        <v>1682.15</v>
      </c>
      <c r="Q6">
        <v>7274641.2805701802</v>
      </c>
      <c r="R6">
        <f t="shared" si="1"/>
        <v>7.27464128057018E-3</v>
      </c>
    </row>
    <row r="7" spans="1:18" x14ac:dyDescent="0.25">
      <c r="A7">
        <v>1678.9759899999999</v>
      </c>
      <c r="B7" s="10">
        <v>3.3619999999999999E-4</v>
      </c>
      <c r="C7" s="10">
        <f t="shared" si="0"/>
        <v>5.9675499999999995E-5</v>
      </c>
      <c r="E7" s="1">
        <v>1682.2</v>
      </c>
      <c r="F7" s="4">
        <v>2.6560158000000001E-3</v>
      </c>
      <c r="H7">
        <v>1681.2</v>
      </c>
      <c r="I7" s="7">
        <v>9.2847858372412996E-4</v>
      </c>
      <c r="J7" s="4">
        <v>1.0235877388301601E-3</v>
      </c>
      <c r="K7" s="16"/>
      <c r="L7">
        <v>1682.2</v>
      </c>
      <c r="M7">
        <v>2.2469999999999999E-3</v>
      </c>
      <c r="N7">
        <v>0</v>
      </c>
      <c r="P7">
        <v>1682.2</v>
      </c>
      <c r="Q7">
        <v>7814793.15019802</v>
      </c>
      <c r="R7">
        <f t="shared" si="1"/>
        <v>7.8147931501980194E-3</v>
      </c>
    </row>
    <row r="8" spans="1:18" x14ac:dyDescent="0.25">
      <c r="A8">
        <v>1679.0227199999999</v>
      </c>
      <c r="B8" s="10">
        <v>3.8969999999999999E-4</v>
      </c>
      <c r="C8" s="10">
        <f t="shared" si="0"/>
        <v>6.917174999999999E-5</v>
      </c>
      <c r="E8" s="1">
        <v>1682.25</v>
      </c>
      <c r="F8" s="4">
        <v>2.8411839E-3</v>
      </c>
      <c r="H8">
        <v>1681.25</v>
      </c>
      <c r="I8" s="7">
        <v>9.6823432447511702E-4</v>
      </c>
      <c r="J8" s="4">
        <v>1.07159546846418E-3</v>
      </c>
      <c r="K8" s="16"/>
      <c r="L8">
        <v>1682.25</v>
      </c>
      <c r="M8">
        <v>2.3869999999999998E-3</v>
      </c>
      <c r="N8">
        <v>0</v>
      </c>
      <c r="P8">
        <v>1682.25</v>
      </c>
      <c r="Q8">
        <v>8981709.5211236607</v>
      </c>
      <c r="R8">
        <f t="shared" si="1"/>
        <v>8.9817095211236608E-3</v>
      </c>
    </row>
    <row r="9" spans="1:18" x14ac:dyDescent="0.25">
      <c r="A9">
        <v>1679.0694599999999</v>
      </c>
      <c r="B9" s="10">
        <v>4.4309999999999998E-4</v>
      </c>
      <c r="C9" s="10">
        <f t="shared" si="0"/>
        <v>7.8650249999999991E-5</v>
      </c>
      <c r="E9" s="1">
        <v>1682.3</v>
      </c>
      <c r="F9" s="4">
        <v>3.0485208000000001E-3</v>
      </c>
      <c r="H9">
        <v>1681.3</v>
      </c>
      <c r="I9" s="7">
        <v>1.0101405412136801E-3</v>
      </c>
      <c r="J9" s="4">
        <v>1.1228277236217301E-3</v>
      </c>
      <c r="K9" s="16"/>
      <c r="L9">
        <v>1682.3</v>
      </c>
      <c r="M9">
        <v>2.5400000000000002E-3</v>
      </c>
      <c r="N9">
        <v>0</v>
      </c>
      <c r="P9">
        <v>1682.3</v>
      </c>
      <c r="Q9">
        <v>9740749.6146322805</v>
      </c>
      <c r="R9">
        <f t="shared" si="1"/>
        <v>9.7407496146322808E-3</v>
      </c>
    </row>
    <row r="10" spans="1:18" x14ac:dyDescent="0.25">
      <c r="A10">
        <v>1679.11619</v>
      </c>
      <c r="B10" s="10">
        <v>4.9680000000000004E-4</v>
      </c>
      <c r="C10" s="10">
        <f t="shared" si="0"/>
        <v>8.8182000000000004E-5</v>
      </c>
      <c r="E10" s="1">
        <v>1682.35</v>
      </c>
      <c r="F10" s="4">
        <v>3.2803791E-3</v>
      </c>
      <c r="H10">
        <v>1681.35</v>
      </c>
      <c r="I10" s="7">
        <v>1.0543758188392501E-3</v>
      </c>
      <c r="J10" s="4">
        <v>1.17766977055487E-3</v>
      </c>
      <c r="K10" s="16"/>
      <c r="L10">
        <v>1682.35</v>
      </c>
      <c r="M10">
        <v>2.7109999999999999E-3</v>
      </c>
      <c r="N10">
        <v>0</v>
      </c>
      <c r="P10">
        <v>1682.35</v>
      </c>
      <c r="Q10">
        <v>11144594.6592905</v>
      </c>
      <c r="R10">
        <f t="shared" si="1"/>
        <v>1.11445946592905E-2</v>
      </c>
    </row>
    <row r="11" spans="1:18" x14ac:dyDescent="0.25">
      <c r="A11">
        <v>1679.16293</v>
      </c>
      <c r="B11" s="10">
        <v>5.5099999999999995E-4</v>
      </c>
      <c r="C11" s="10">
        <f t="shared" si="0"/>
        <v>9.7802499999999991E-5</v>
      </c>
      <c r="E11" s="1">
        <v>1682.4</v>
      </c>
      <c r="F11" s="4">
        <v>3.5431311000000002E-3</v>
      </c>
      <c r="H11">
        <v>1681.4</v>
      </c>
      <c r="I11" s="7">
        <v>1.1011398145780299E-3</v>
      </c>
      <c r="J11" s="4">
        <v>1.2365806361068501E-3</v>
      </c>
      <c r="K11" s="16"/>
      <c r="L11">
        <v>1682.4</v>
      </c>
      <c r="M11">
        <v>2.9009999999999999E-3</v>
      </c>
      <c r="N11">
        <v>0</v>
      </c>
      <c r="P11">
        <v>1682.4</v>
      </c>
      <c r="Q11">
        <v>12296994.4512139</v>
      </c>
      <c r="R11">
        <f t="shared" si="1"/>
        <v>1.22969944512139E-2</v>
      </c>
    </row>
    <row r="12" spans="1:18" x14ac:dyDescent="0.25">
      <c r="A12">
        <v>1679.20966</v>
      </c>
      <c r="B12" s="10">
        <v>6.0559999999999998E-4</v>
      </c>
      <c r="C12" s="10">
        <f t="shared" si="0"/>
        <v>1.0749399999999998E-4</v>
      </c>
      <c r="E12" s="1">
        <v>1682.45</v>
      </c>
      <c r="F12" s="4">
        <v>3.8431601E-3</v>
      </c>
      <c r="H12">
        <v>1681.45</v>
      </c>
      <c r="I12" s="7">
        <v>1.15065454143946E-3</v>
      </c>
      <c r="J12" s="4">
        <v>1.3001118328323201E-3</v>
      </c>
      <c r="K12" s="16"/>
      <c r="L12">
        <v>1682.45</v>
      </c>
      <c r="M12">
        <v>3.1129999999999999E-3</v>
      </c>
      <c r="N12">
        <v>0</v>
      </c>
      <c r="P12">
        <v>1682.45</v>
      </c>
      <c r="Q12">
        <v>13645727.6633531</v>
      </c>
      <c r="R12">
        <f t="shared" si="1"/>
        <v>1.36457276633531E-2</v>
      </c>
    </row>
    <row r="13" spans="1:18" x14ac:dyDescent="0.25">
      <c r="A13">
        <v>1679.2564</v>
      </c>
      <c r="B13" s="10">
        <v>6.6100000000000002E-4</v>
      </c>
      <c r="C13" s="10">
        <f t="shared" si="0"/>
        <v>1.173275E-4</v>
      </c>
      <c r="E13" s="1">
        <v>1682.5</v>
      </c>
      <c r="F13" s="4">
        <v>4.1881161999999996E-3</v>
      </c>
      <c r="H13">
        <v>1681.5</v>
      </c>
      <c r="I13" s="7">
        <v>1.2031664982350501E-3</v>
      </c>
      <c r="J13" s="4">
        <v>1.3689400312836299E-3</v>
      </c>
      <c r="K13" s="16"/>
      <c r="L13">
        <v>1682.5</v>
      </c>
      <c r="M13">
        <v>3.3519999999999999E-3</v>
      </c>
      <c r="N13">
        <v>0</v>
      </c>
      <c r="P13">
        <v>1682.5</v>
      </c>
      <c r="Q13">
        <v>15633121.723057</v>
      </c>
      <c r="R13">
        <f t="shared" si="1"/>
        <v>1.5633121723057E-2</v>
      </c>
    </row>
    <row r="14" spans="1:18" x14ac:dyDescent="0.25">
      <c r="A14">
        <v>1679.30313</v>
      </c>
      <c r="B14" s="10">
        <v>7.1719999999999998E-4</v>
      </c>
      <c r="C14" s="10">
        <f t="shared" si="0"/>
        <v>1.27303E-4</v>
      </c>
      <c r="E14" s="1">
        <v>1682.55</v>
      </c>
      <c r="F14" s="4">
        <v>4.5890076999999998E-3</v>
      </c>
      <c r="H14">
        <v>1681.55</v>
      </c>
      <c r="I14" s="7">
        <v>1.25894984338515E-3</v>
      </c>
      <c r="J14" s="4">
        <v>1.44390165621931E-3</v>
      </c>
      <c r="K14" s="16"/>
      <c r="L14">
        <v>1682.55</v>
      </c>
      <c r="M14">
        <v>3.6229999999999999E-3</v>
      </c>
      <c r="N14">
        <v>0</v>
      </c>
      <c r="P14">
        <v>1682.55</v>
      </c>
      <c r="Q14">
        <v>17269770.378046501</v>
      </c>
      <c r="R14">
        <f t="shared" si="1"/>
        <v>1.7269770378046501E-2</v>
      </c>
    </row>
    <row r="15" spans="1:18" x14ac:dyDescent="0.25">
      <c r="A15">
        <v>1679.34987</v>
      </c>
      <c r="B15" s="10">
        <v>7.7430000000000001E-4</v>
      </c>
      <c r="C15" s="10">
        <f t="shared" si="0"/>
        <v>1.3743824999999998E-4</v>
      </c>
      <c r="E15" s="1">
        <v>1682.6</v>
      </c>
      <c r="F15" s="4">
        <v>5.0570737000000003E-3</v>
      </c>
      <c r="H15">
        <v>1681.6</v>
      </c>
      <c r="I15" s="7">
        <v>1.3183188611452399E-3</v>
      </c>
      <c r="J15" s="4">
        <v>1.5260405287713899E-3</v>
      </c>
      <c r="K15" s="16"/>
      <c r="L15">
        <v>1682.6</v>
      </c>
      <c r="M15">
        <v>3.9329999999999999E-3</v>
      </c>
      <c r="N15">
        <v>0</v>
      </c>
      <c r="P15">
        <v>1682.6</v>
      </c>
      <c r="Q15">
        <v>19199771.999063499</v>
      </c>
      <c r="R15">
        <f t="shared" si="1"/>
        <v>1.9199771999063499E-2</v>
      </c>
    </row>
    <row r="16" spans="1:18" x14ac:dyDescent="0.25">
      <c r="A16">
        <v>1679.3966</v>
      </c>
      <c r="B16" s="10">
        <v>8.3239999999999996E-4</v>
      </c>
      <c r="C16" s="10">
        <f t="shared" si="0"/>
        <v>1.4775099999999998E-4</v>
      </c>
      <c r="E16" s="1">
        <v>1682.65</v>
      </c>
      <c r="F16" s="4">
        <v>5.6165722000000003E-3</v>
      </c>
      <c r="H16">
        <v>1681.65</v>
      </c>
      <c r="I16" s="7">
        <v>1.38162996283886E-3</v>
      </c>
      <c r="J16" s="4">
        <v>1.61667155067158E-3</v>
      </c>
      <c r="K16" s="16"/>
      <c r="L16">
        <v>1682.65</v>
      </c>
      <c r="M16">
        <v>4.2900000000000004E-3</v>
      </c>
      <c r="N16">
        <v>0</v>
      </c>
      <c r="P16">
        <v>1682.65</v>
      </c>
      <c r="Q16">
        <v>22337207.525730599</v>
      </c>
      <c r="R16">
        <f t="shared" si="1"/>
        <v>2.2337207525730599E-2</v>
      </c>
    </row>
    <row r="17" spans="1:33" x14ac:dyDescent="0.25">
      <c r="A17">
        <v>1679.44334</v>
      </c>
      <c r="B17" s="10">
        <v>8.9150000000000004E-4</v>
      </c>
      <c r="C17" s="10">
        <f t="shared" si="0"/>
        <v>1.5824125E-4</v>
      </c>
      <c r="E17" s="1">
        <v>1682.7</v>
      </c>
      <c r="F17" s="4">
        <v>6.2856791000000002E-3</v>
      </c>
      <c r="H17">
        <v>1681.7</v>
      </c>
      <c r="I17" s="7">
        <v>1.44928470933037E-3</v>
      </c>
      <c r="J17" s="4">
        <v>1.71747396021892E-3</v>
      </c>
      <c r="K17" s="16"/>
      <c r="L17">
        <v>1682.7</v>
      </c>
      <c r="M17">
        <v>4.7060000000000001E-3</v>
      </c>
      <c r="N17">
        <v>0</v>
      </c>
      <c r="P17">
        <v>1682.7</v>
      </c>
      <c r="Q17">
        <v>25003493.028651901</v>
      </c>
      <c r="R17">
        <f t="shared" si="1"/>
        <v>2.5003493028651902E-2</v>
      </c>
    </row>
    <row r="18" spans="1:33" x14ac:dyDescent="0.25">
      <c r="A18">
        <v>1679.4900700000001</v>
      </c>
      <c r="B18" s="10">
        <v>9.5189999999999999E-4</v>
      </c>
      <c r="C18" s="10">
        <f t="shared" si="0"/>
        <v>1.6896224999999999E-4</v>
      </c>
      <c r="E18" s="1">
        <v>1682.75</v>
      </c>
      <c r="F18" s="4">
        <v>7.1109970999999996E-3</v>
      </c>
      <c r="H18">
        <v>1681.75</v>
      </c>
      <c r="I18" s="7">
        <v>1.5217389147336401E-3</v>
      </c>
      <c r="J18" s="4">
        <v>1.83060914164311E-3</v>
      </c>
      <c r="K18" s="16"/>
      <c r="L18">
        <v>1682.75</v>
      </c>
      <c r="M18">
        <v>5.1980000000000004E-3</v>
      </c>
      <c r="N18">
        <v>1.34E-5</v>
      </c>
      <c r="P18">
        <v>1682.75</v>
      </c>
      <c r="Q18">
        <v>29394171.970608901</v>
      </c>
      <c r="R18">
        <f t="shared" si="1"/>
        <v>2.9394171970608902E-2</v>
      </c>
    </row>
    <row r="19" spans="1:33" x14ac:dyDescent="0.25">
      <c r="A19">
        <v>1679.5368100000001</v>
      </c>
      <c r="B19" s="10">
        <v>1.0139999999999999E-3</v>
      </c>
      <c r="C19" s="10">
        <f t="shared" si="0"/>
        <v>1.7998499999999996E-4</v>
      </c>
      <c r="E19" s="1">
        <v>1682.8</v>
      </c>
      <c r="F19" s="4">
        <v>8.1463874999999995E-3</v>
      </c>
      <c r="H19">
        <v>1681.8</v>
      </c>
      <c r="I19" s="7">
        <v>1.5995155319849701E-3</v>
      </c>
      <c r="J19" s="4">
        <v>1.9588871543314399E-3</v>
      </c>
      <c r="K19" s="16"/>
      <c r="L19">
        <v>1682.8</v>
      </c>
      <c r="M19">
        <v>5.7869999999999996E-3</v>
      </c>
      <c r="N19">
        <v>1.206E-4</v>
      </c>
      <c r="P19">
        <v>1682.8</v>
      </c>
      <c r="Q19">
        <v>32868916.537984401</v>
      </c>
      <c r="R19">
        <f t="shared" si="1"/>
        <v>3.2868916537984398E-2</v>
      </c>
    </row>
    <row r="20" spans="1:33" x14ac:dyDescent="0.25">
      <c r="A20">
        <v>1679.5835400000001</v>
      </c>
      <c r="B20" s="10">
        <v>1.0759999999999999E-3</v>
      </c>
      <c r="C20" s="10">
        <f t="shared" si="0"/>
        <v>1.9098999999999999E-4</v>
      </c>
      <c r="E20" s="1">
        <v>1682.85</v>
      </c>
      <c r="F20" s="4">
        <v>9.4757126999999997E-3</v>
      </c>
      <c r="H20">
        <v>1681.85</v>
      </c>
      <c r="I20" s="7">
        <v>1.68322149124147E-3</v>
      </c>
      <c r="J20" s="4">
        <v>2.1059925243881801E-3</v>
      </c>
      <c r="K20" s="16"/>
      <c r="L20">
        <v>1682.85</v>
      </c>
      <c r="M20">
        <v>6.5040000000000002E-3</v>
      </c>
      <c r="N20">
        <v>5.0920000000000002E-4</v>
      </c>
      <c r="P20">
        <v>1682.85</v>
      </c>
      <c r="Q20">
        <v>38034084.509527899</v>
      </c>
      <c r="R20">
        <f t="shared" si="1"/>
        <v>3.8034084509527902E-2</v>
      </c>
    </row>
    <row r="21" spans="1:33" x14ac:dyDescent="0.25">
      <c r="A21">
        <v>1679.6302800000001</v>
      </c>
      <c r="B21" s="10">
        <v>1.1410000000000001E-3</v>
      </c>
      <c r="C21" s="10">
        <f t="shared" si="0"/>
        <v>2.0252750000000002E-4</v>
      </c>
      <c r="E21" s="1">
        <v>1682.9</v>
      </c>
      <c r="F21" s="4">
        <v>1.1237403999999999E-2</v>
      </c>
      <c r="H21">
        <v>1681.9</v>
      </c>
      <c r="I21" s="7">
        <v>1.77355074134764E-3</v>
      </c>
      <c r="J21" s="4">
        <v>2.2767955959327102E-3</v>
      </c>
      <c r="K21" s="16"/>
      <c r="L21">
        <v>1682.9</v>
      </c>
      <c r="M21">
        <v>7.3959999999999998E-3</v>
      </c>
      <c r="N21">
        <v>1.2998E-3</v>
      </c>
      <c r="P21">
        <v>1682.9</v>
      </c>
      <c r="Q21">
        <v>42597824.767491303</v>
      </c>
      <c r="R21">
        <f t="shared" si="1"/>
        <v>4.2597824767491306E-2</v>
      </c>
    </row>
    <row r="22" spans="1:33" x14ac:dyDescent="0.25">
      <c r="A22">
        <v>1679.6770100000001</v>
      </c>
      <c r="B22" s="10">
        <v>1.207E-3</v>
      </c>
      <c r="C22" s="10">
        <f t="shared" si="0"/>
        <v>2.1424249999999999E-4</v>
      </c>
      <c r="E22" s="1">
        <v>1682.95</v>
      </c>
      <c r="F22" s="4">
        <v>1.3667609000000001E-2</v>
      </c>
      <c r="H22">
        <v>1681.95</v>
      </c>
      <c r="I22" s="7">
        <v>1.87130835254383E-3</v>
      </c>
      <c r="J22" s="4">
        <v>2.4777805599160599E-3</v>
      </c>
      <c r="K22" s="16"/>
      <c r="L22">
        <v>1682.95</v>
      </c>
      <c r="M22">
        <v>8.5360000000000002E-3</v>
      </c>
      <c r="N22">
        <v>2.5326000000000003E-3</v>
      </c>
      <c r="P22">
        <v>1682.95</v>
      </c>
      <c r="Q22">
        <v>48457657.435924701</v>
      </c>
      <c r="R22">
        <f t="shared" si="1"/>
        <v>4.84576574359247E-2</v>
      </c>
    </row>
    <row r="23" spans="1:33" x14ac:dyDescent="0.25">
      <c r="A23">
        <v>1679.7237500000001</v>
      </c>
      <c r="B23" s="10">
        <v>1.274E-3</v>
      </c>
      <c r="C23" s="10">
        <f t="shared" si="0"/>
        <v>2.2613499999999998E-4</v>
      </c>
      <c r="E23" s="1">
        <v>1683</v>
      </c>
      <c r="F23" s="4">
        <v>1.7196759999999998E-2</v>
      </c>
      <c r="H23">
        <v>1682</v>
      </c>
      <c r="I23" s="7">
        <v>1.97744115148545E-3</v>
      </c>
      <c r="J23" s="4">
        <v>2.7176290599868198E-3</v>
      </c>
      <c r="K23" s="16"/>
      <c r="L23">
        <v>1683</v>
      </c>
      <c r="M23">
        <v>1.0042000000000001E-2</v>
      </c>
      <c r="N23">
        <v>4.1942000000000004E-3</v>
      </c>
      <c r="P23">
        <v>1683</v>
      </c>
      <c r="Q23">
        <v>54751539.706344903</v>
      </c>
      <c r="R23">
        <f t="shared" si="1"/>
        <v>5.4751539706344901E-2</v>
      </c>
    </row>
    <row r="24" spans="1:33" x14ac:dyDescent="0.25">
      <c r="A24">
        <v>1679.7704799999999</v>
      </c>
      <c r="B24" s="10">
        <v>1.343E-3</v>
      </c>
      <c r="C24" s="10">
        <f t="shared" si="0"/>
        <v>2.3838249999999999E-4</v>
      </c>
      <c r="E24" s="1">
        <v>1683.05</v>
      </c>
      <c r="F24" s="4">
        <v>2.2769365E-2</v>
      </c>
      <c r="H24">
        <v>1682.05</v>
      </c>
      <c r="I24" s="7">
        <v>2.0930634944291899E-3</v>
      </c>
      <c r="J24" s="4">
        <v>3.0080122770875998E-3</v>
      </c>
      <c r="K24" s="16"/>
      <c r="L24">
        <v>1683.05</v>
      </c>
      <c r="M24">
        <v>1.2125E-2</v>
      </c>
      <c r="N24">
        <v>6.5258E-3</v>
      </c>
      <c r="P24">
        <v>1683.05</v>
      </c>
      <c r="Q24">
        <v>62992552.563803896</v>
      </c>
      <c r="R24">
        <f t="shared" si="1"/>
        <v>6.29925525638039E-2</v>
      </c>
    </row>
    <row r="25" spans="1:33" x14ac:dyDescent="0.25">
      <c r="A25">
        <v>1679.8172199999999</v>
      </c>
      <c r="B25" s="10">
        <v>1.4139999999999999E-3</v>
      </c>
      <c r="C25" s="10">
        <f t="shared" si="0"/>
        <v>2.5098499999999996E-4</v>
      </c>
      <c r="E25" s="1">
        <v>1683.1</v>
      </c>
      <c r="F25" s="4">
        <v>3.2487745999999998E-2</v>
      </c>
      <c r="H25">
        <v>1682.1</v>
      </c>
      <c r="I25" s="7">
        <v>2.21948977058094E-3</v>
      </c>
      <c r="J25" s="4">
        <v>3.36464927557613E-3</v>
      </c>
      <c r="K25" s="16"/>
      <c r="L25">
        <v>1683.1</v>
      </c>
      <c r="M25">
        <v>1.5204000000000001E-2</v>
      </c>
      <c r="N25">
        <v>9.8892000000000008E-3</v>
      </c>
      <c r="P25">
        <v>1683.1</v>
      </c>
      <c r="Q25">
        <v>71783887.747449294</v>
      </c>
      <c r="R25">
        <f t="shared" si="1"/>
        <v>7.1783887747449288E-2</v>
      </c>
    </row>
    <row r="26" spans="1:33" x14ac:dyDescent="0.25">
      <c r="A26">
        <v>1679.8639499999999</v>
      </c>
      <c r="B26" s="10">
        <v>1.487E-3</v>
      </c>
      <c r="C26" s="10">
        <f t="shared" si="0"/>
        <v>2.6394249999999998E-4</v>
      </c>
      <c r="E26" s="1">
        <v>1683.15</v>
      </c>
      <c r="F26" s="4">
        <v>5.2492737999999997E-2</v>
      </c>
      <c r="H26">
        <v>1682.15</v>
      </c>
      <c r="I26" s="7">
        <v>2.3582851708168701E-3</v>
      </c>
      <c r="J26" s="4">
        <v>3.80869404246582E-3</v>
      </c>
      <c r="K26" s="16"/>
      <c r="L26">
        <v>1683.15</v>
      </c>
      <c r="M26">
        <v>2.0244000000000002E-2</v>
      </c>
      <c r="N26">
        <v>1.5182199999999998E-2</v>
      </c>
      <c r="P26">
        <v>1683.15</v>
      </c>
      <c r="Q26">
        <v>80668291.811656401</v>
      </c>
      <c r="R26">
        <f t="shared" si="1"/>
        <v>8.0668291811656398E-2</v>
      </c>
    </row>
    <row r="27" spans="1:33" x14ac:dyDescent="0.25">
      <c r="A27">
        <v>1679.9106899999999</v>
      </c>
      <c r="B27" s="10">
        <v>1.562E-3</v>
      </c>
      <c r="C27" s="10">
        <f t="shared" si="0"/>
        <v>2.7725500000000001E-4</v>
      </c>
      <c r="E27" s="1">
        <v>1683.2</v>
      </c>
      <c r="F27" s="4">
        <v>9.7877353E-2</v>
      </c>
      <c r="H27">
        <v>1682.2</v>
      </c>
      <c r="I27" s="7">
        <v>2.5113317578930199E-3</v>
      </c>
      <c r="J27" s="4">
        <v>4.3685042187738502E-3</v>
      </c>
      <c r="K27" s="16"/>
      <c r="L27">
        <v>1683.2</v>
      </c>
      <c r="M27">
        <v>2.9728999999999998E-2</v>
      </c>
      <c r="N27">
        <v>2.4937400000000002E-2</v>
      </c>
      <c r="P27">
        <v>1683.2</v>
      </c>
      <c r="Q27">
        <v>91698494.3794958</v>
      </c>
      <c r="R27">
        <f t="shared" si="1"/>
        <v>9.1698494379495801E-2</v>
      </c>
    </row>
    <row r="28" spans="1:33" x14ac:dyDescent="0.25">
      <c r="A28">
        <v>1679.95742</v>
      </c>
      <c r="B28" s="10">
        <v>1.6379999999999999E-3</v>
      </c>
      <c r="C28" s="10">
        <f t="shared" si="0"/>
        <v>2.9074499999999997E-4</v>
      </c>
      <c r="E28" s="1">
        <v>1683.25</v>
      </c>
      <c r="F28" s="4">
        <v>0.18590569000000001</v>
      </c>
      <c r="H28">
        <v>1682.25</v>
      </c>
      <c r="I28" s="7">
        <v>2.6809159855615398E-3</v>
      </c>
      <c r="J28" s="4">
        <v>5.08180855133089E-3</v>
      </c>
      <c r="K28" s="16"/>
      <c r="L28">
        <v>1683.25</v>
      </c>
      <c r="M28">
        <v>4.9036999999999997E-2</v>
      </c>
      <c r="N28">
        <v>4.4930200000000003E-2</v>
      </c>
      <c r="P28">
        <v>1683.25</v>
      </c>
      <c r="Q28">
        <v>100628912.037991</v>
      </c>
      <c r="R28">
        <f t="shared" si="1"/>
        <v>0.100628912037991</v>
      </c>
      <c r="AG28" s="10"/>
    </row>
    <row r="29" spans="1:33" x14ac:dyDescent="0.25">
      <c r="A29">
        <v>1680.00416</v>
      </c>
      <c r="B29" s="10">
        <v>1.717E-3</v>
      </c>
      <c r="C29" s="10">
        <f t="shared" si="0"/>
        <v>3.0476749999999996E-4</v>
      </c>
      <c r="E29" s="1">
        <v>1683.3</v>
      </c>
      <c r="F29" s="4">
        <v>0.28274336</v>
      </c>
      <c r="H29">
        <v>1682.3</v>
      </c>
      <c r="I29" s="7">
        <v>2.8698285740755298E-3</v>
      </c>
      <c r="J29" s="4">
        <v>5.9982050183214897E-3</v>
      </c>
      <c r="K29" s="16"/>
      <c r="L29">
        <v>1683.3</v>
      </c>
      <c r="M29">
        <v>8.4126999999999993E-2</v>
      </c>
      <c r="N29">
        <v>8.2450200000000001E-2</v>
      </c>
      <c r="P29">
        <v>1683.3</v>
      </c>
      <c r="Q29">
        <v>106147758.683994</v>
      </c>
      <c r="R29">
        <f t="shared" si="1"/>
        <v>0.106147758683994</v>
      </c>
      <c r="AG29" s="10"/>
    </row>
    <row r="30" spans="1:33" x14ac:dyDescent="0.25">
      <c r="A30">
        <v>1680.05089</v>
      </c>
      <c r="B30" s="10">
        <v>1.7979999999999999E-3</v>
      </c>
      <c r="C30" s="10">
        <f t="shared" si="0"/>
        <v>3.1914499999999995E-4</v>
      </c>
      <c r="E30" s="1">
        <v>1683.35</v>
      </c>
      <c r="F30" s="4">
        <v>0.30596441000000002</v>
      </c>
      <c r="H30">
        <v>1682.35</v>
      </c>
      <c r="I30" s="7">
        <v>3.0815271769687098E-3</v>
      </c>
      <c r="J30" s="4">
        <v>7.1817512308634101E-3</v>
      </c>
      <c r="K30" s="16"/>
      <c r="L30">
        <v>1683.35</v>
      </c>
      <c r="M30">
        <v>0.13165399999999999</v>
      </c>
      <c r="N30">
        <v>0.13433499999999998</v>
      </c>
      <c r="P30">
        <v>1683.35</v>
      </c>
      <c r="Q30">
        <v>110142203.52603699</v>
      </c>
      <c r="R30">
        <f t="shared" si="1"/>
        <v>0.11014220352603699</v>
      </c>
      <c r="AG30" s="10"/>
    </row>
    <row r="31" spans="1:33" x14ac:dyDescent="0.25">
      <c r="A31">
        <v>1680.09763</v>
      </c>
      <c r="B31" s="10">
        <v>1.882E-3</v>
      </c>
      <c r="C31" s="10">
        <f t="shared" si="0"/>
        <v>3.3405499999999999E-4</v>
      </c>
      <c r="E31" s="1">
        <v>1683.4</v>
      </c>
      <c r="F31" s="4">
        <v>0.26946869000000001</v>
      </c>
      <c r="H31">
        <v>1682.4</v>
      </c>
      <c r="I31" s="7">
        <v>3.3203367739556601E-3</v>
      </c>
      <c r="J31" s="4">
        <v>8.7131180831282792E-3</v>
      </c>
      <c r="K31" s="16"/>
      <c r="L31">
        <v>1683.4</v>
      </c>
      <c r="M31">
        <v>0.176229</v>
      </c>
      <c r="N31">
        <v>0.18270900000000001</v>
      </c>
      <c r="P31">
        <v>1683.4</v>
      </c>
      <c r="Q31">
        <v>114839540.05213401</v>
      </c>
      <c r="R31">
        <f t="shared" si="1"/>
        <v>0.11483954005213401</v>
      </c>
      <c r="AG31" s="10"/>
    </row>
    <row r="32" spans="1:33" x14ac:dyDescent="0.25">
      <c r="A32">
        <v>1680.14436</v>
      </c>
      <c r="B32" s="10">
        <v>1.9680000000000001E-3</v>
      </c>
      <c r="C32" s="10">
        <f t="shared" si="0"/>
        <v>3.4932000000000002E-4</v>
      </c>
      <c r="E32" s="1">
        <v>1683.45</v>
      </c>
      <c r="F32" s="4">
        <v>0.23140484</v>
      </c>
      <c r="H32">
        <v>1682.45</v>
      </c>
      <c r="I32" s="7">
        <v>3.59173435873352E-3</v>
      </c>
      <c r="J32" s="4">
        <v>1.0690368397334201E-2</v>
      </c>
      <c r="K32" s="16"/>
      <c r="L32">
        <v>1683.45</v>
      </c>
      <c r="M32">
        <v>0.20694799999999999</v>
      </c>
      <c r="N32">
        <v>0.21520400000000003</v>
      </c>
      <c r="P32">
        <v>1683.45</v>
      </c>
      <c r="Q32">
        <v>115693123.38279</v>
      </c>
      <c r="R32">
        <f t="shared" si="1"/>
        <v>0.11569312338279</v>
      </c>
      <c r="AG32" s="10"/>
    </row>
    <row r="33" spans="1:33" x14ac:dyDescent="0.25">
      <c r="A33">
        <v>1680.1911</v>
      </c>
      <c r="B33" s="10">
        <v>2.0569999999999998E-3</v>
      </c>
      <c r="C33" s="10">
        <f t="shared" si="0"/>
        <v>3.6511749999999993E-4</v>
      </c>
      <c r="E33" s="1">
        <v>1683.5</v>
      </c>
      <c r="F33" s="4">
        <v>0.20889969</v>
      </c>
      <c r="H33">
        <v>1682.5</v>
      </c>
      <c r="I33" s="7">
        <v>3.9027647619729699E-3</v>
      </c>
      <c r="J33" s="4">
        <v>1.32269969693815E-2</v>
      </c>
      <c r="K33" s="16"/>
      <c r="L33">
        <v>1683.5</v>
      </c>
      <c r="M33">
        <v>0.22486</v>
      </c>
      <c r="N33">
        <v>0.23399079999999997</v>
      </c>
      <c r="P33">
        <v>1683.5</v>
      </c>
      <c r="Q33">
        <v>117661581.507751</v>
      </c>
      <c r="R33">
        <f t="shared" si="1"/>
        <v>0.11766158150775101</v>
      </c>
      <c r="AG33" s="10"/>
    </row>
    <row r="34" spans="1:33" x14ac:dyDescent="0.25">
      <c r="A34">
        <v>1680.23783</v>
      </c>
      <c r="B34" s="10">
        <v>2.1480000000000002E-3</v>
      </c>
      <c r="C34" s="10">
        <f t="shared" si="0"/>
        <v>3.8127000000000001E-4</v>
      </c>
      <c r="E34" s="1">
        <v>1683.55</v>
      </c>
      <c r="F34" s="4">
        <v>0.19693793000000001</v>
      </c>
      <c r="H34">
        <v>1682.55</v>
      </c>
      <c r="I34" s="7">
        <v>4.2626482690576502E-3</v>
      </c>
      <c r="J34" s="4">
        <v>1.6445688104000399E-2</v>
      </c>
      <c r="K34" s="16"/>
      <c r="L34">
        <v>1683.55</v>
      </c>
      <c r="M34">
        <v>0.23230600000000001</v>
      </c>
      <c r="N34">
        <v>0.2418566</v>
      </c>
      <c r="P34">
        <v>1683.55</v>
      </c>
      <c r="Q34">
        <v>122687294.489538</v>
      </c>
      <c r="R34">
        <f t="shared" si="1"/>
        <v>0.122687294489538</v>
      </c>
      <c r="AG34" s="10"/>
    </row>
    <row r="35" spans="1:33" x14ac:dyDescent="0.25">
      <c r="A35">
        <v>1680.28457</v>
      </c>
      <c r="B35" s="10">
        <v>2.2420000000000001E-3</v>
      </c>
      <c r="C35" s="10">
        <f t="shared" si="0"/>
        <v>3.9795499999999997E-4</v>
      </c>
      <c r="E35" s="1">
        <v>1683.6</v>
      </c>
      <c r="F35" s="4">
        <v>0.19006819999999999</v>
      </c>
      <c r="H35">
        <v>1682.6</v>
      </c>
      <c r="I35" s="7">
        <v>4.6836771537741503E-3</v>
      </c>
      <c r="J35" s="4">
        <v>2.04666842781701E-2</v>
      </c>
      <c r="K35" s="16"/>
      <c r="L35">
        <v>1683.6</v>
      </c>
      <c r="M35">
        <v>0.22981599999999999</v>
      </c>
      <c r="N35">
        <v>0.23864059999999998</v>
      </c>
      <c r="P35">
        <v>1683.6</v>
      </c>
      <c r="Q35">
        <v>124552152.50308</v>
      </c>
      <c r="R35">
        <f t="shared" si="1"/>
        <v>0.12455215250307999</v>
      </c>
      <c r="AG35" s="10"/>
    </row>
    <row r="36" spans="1:33" x14ac:dyDescent="0.25">
      <c r="A36">
        <v>1680.3313000000001</v>
      </c>
      <c r="B36" s="10">
        <v>2.3400000000000001E-3</v>
      </c>
      <c r="C36" s="10">
        <f t="shared" si="0"/>
        <v>4.1534999999999999E-4</v>
      </c>
      <c r="E36" s="1">
        <v>1683.65</v>
      </c>
      <c r="F36" s="4">
        <v>0.18564718999999999</v>
      </c>
      <c r="H36">
        <v>1682.65</v>
      </c>
      <c r="I36" s="7">
        <v>5.1825871269549203E-3</v>
      </c>
      <c r="J36" s="4">
        <v>2.5390983747401698E-2</v>
      </c>
      <c r="K36" s="16"/>
      <c r="L36">
        <v>1683.65</v>
      </c>
      <c r="M36">
        <v>0.22347600000000001</v>
      </c>
      <c r="N36">
        <v>0.23169940000000003</v>
      </c>
      <c r="P36">
        <v>1683.65</v>
      </c>
      <c r="Q36">
        <v>123033991.98878101</v>
      </c>
      <c r="R36">
        <f t="shared" si="1"/>
        <v>0.12303399198878101</v>
      </c>
      <c r="AG36" s="10"/>
    </row>
    <row r="37" spans="1:33" x14ac:dyDescent="0.25">
      <c r="A37">
        <v>1680.3780400000001</v>
      </c>
      <c r="B37" s="10">
        <v>2.4399999999999999E-3</v>
      </c>
      <c r="C37" s="10">
        <f t="shared" si="0"/>
        <v>4.3309999999999996E-4</v>
      </c>
      <c r="E37" s="1">
        <v>1683.7</v>
      </c>
      <c r="F37" s="4">
        <v>0.18253274</v>
      </c>
      <c r="H37">
        <v>1682.7</v>
      </c>
      <c r="I37" s="7">
        <v>5.7827726039933903E-3</v>
      </c>
      <c r="J37" s="4">
        <v>3.1280646568212903E-2</v>
      </c>
      <c r="K37" s="16"/>
      <c r="L37">
        <v>1683.7</v>
      </c>
      <c r="M37">
        <v>0.216839</v>
      </c>
      <c r="N37">
        <v>0.22466440000000001</v>
      </c>
      <c r="P37">
        <v>1683.7</v>
      </c>
      <c r="Q37">
        <v>123779892.003536</v>
      </c>
      <c r="R37">
        <f t="shared" si="1"/>
        <v>0.12377989200353601</v>
      </c>
      <c r="AG37" s="10"/>
    </row>
    <row r="38" spans="1:33" x14ac:dyDescent="0.25">
      <c r="A38">
        <v>1680.4247700000001</v>
      </c>
      <c r="B38" s="10">
        <v>2.5439999999999998E-3</v>
      </c>
      <c r="C38" s="10">
        <f t="shared" si="0"/>
        <v>4.5155999999999994E-4</v>
      </c>
      <c r="E38" s="1">
        <v>1683.75</v>
      </c>
      <c r="F38" s="4">
        <v>0.18037934999999999</v>
      </c>
      <c r="H38">
        <v>1682.75</v>
      </c>
      <c r="I38" s="7">
        <v>6.5179370707269301E-3</v>
      </c>
      <c r="J38" s="4">
        <v>3.8140548268593803E-2</v>
      </c>
      <c r="K38" s="16"/>
      <c r="L38">
        <v>1683.75</v>
      </c>
      <c r="M38">
        <v>0.21072299999999999</v>
      </c>
      <c r="N38">
        <v>0.21824579999999999</v>
      </c>
      <c r="P38">
        <v>1683.75</v>
      </c>
      <c r="Q38">
        <v>123992257.54145201</v>
      </c>
      <c r="R38">
        <f t="shared" si="1"/>
        <v>0.123992257541452</v>
      </c>
      <c r="AG38" s="10"/>
    </row>
    <row r="39" spans="1:33" x14ac:dyDescent="0.25">
      <c r="A39">
        <v>1680.4715100000001</v>
      </c>
      <c r="B39" s="10">
        <v>2.6519999999999998E-3</v>
      </c>
      <c r="C39" s="10">
        <f t="shared" si="0"/>
        <v>4.7072999999999993E-4</v>
      </c>
      <c r="E39" s="1">
        <v>1683.8</v>
      </c>
      <c r="F39" s="4">
        <v>0.17881755999999999</v>
      </c>
      <c r="H39">
        <v>1682.8</v>
      </c>
      <c r="I39" s="7">
        <v>7.4384104394721101E-3</v>
      </c>
      <c r="J39" s="4">
        <v>4.5906884666007397E-2</v>
      </c>
      <c r="K39" s="16"/>
      <c r="L39">
        <v>1683.8</v>
      </c>
      <c r="M39">
        <v>0.205572</v>
      </c>
      <c r="N39">
        <v>0.21251060000000002</v>
      </c>
      <c r="P39">
        <v>1683.8</v>
      </c>
      <c r="Q39">
        <v>121531493.10725699</v>
      </c>
      <c r="R39">
        <f t="shared" si="1"/>
        <v>0.121531493107257</v>
      </c>
      <c r="AG39" s="10"/>
    </row>
    <row r="40" spans="1:33" x14ac:dyDescent="0.25">
      <c r="A40">
        <v>1680.5182400000001</v>
      </c>
      <c r="B40" s="10">
        <v>2.7629999999999998E-3</v>
      </c>
      <c r="C40" s="10">
        <f t="shared" si="0"/>
        <v>4.9043249999999991E-4</v>
      </c>
      <c r="E40" s="1">
        <v>1683.85</v>
      </c>
      <c r="F40" s="4">
        <v>0.17765750999999999</v>
      </c>
      <c r="H40">
        <v>1682.85</v>
      </c>
      <c r="I40" s="7">
        <v>8.6227632542506295E-3</v>
      </c>
      <c r="J40" s="4">
        <v>5.4446771826331897E-2</v>
      </c>
      <c r="K40" s="16"/>
      <c r="L40">
        <v>1683.85</v>
      </c>
      <c r="M40">
        <v>0.20099</v>
      </c>
      <c r="N40">
        <v>0.20752580000000001</v>
      </c>
      <c r="P40">
        <v>1683.85</v>
      </c>
      <c r="Q40">
        <v>124519232.239039</v>
      </c>
      <c r="R40">
        <f t="shared" si="1"/>
        <v>0.124519232239039</v>
      </c>
      <c r="AG40" s="10"/>
    </row>
    <row r="41" spans="1:33" x14ac:dyDescent="0.25">
      <c r="A41">
        <v>1680.5649800000001</v>
      </c>
      <c r="B41" s="10">
        <v>2.8779999999999999E-3</v>
      </c>
      <c r="C41" s="10">
        <f t="shared" si="0"/>
        <v>5.1084500000000001E-4</v>
      </c>
      <c r="E41" s="1">
        <v>1683.9</v>
      </c>
      <c r="F41" s="4">
        <v>0.17688666</v>
      </c>
      <c r="H41">
        <v>1682.9</v>
      </c>
      <c r="I41" s="7">
        <v>1.02006326372705E-2</v>
      </c>
      <c r="J41" s="4">
        <v>6.3570452243565598E-2</v>
      </c>
      <c r="K41" s="16"/>
      <c r="L41">
        <v>1683.9</v>
      </c>
      <c r="M41">
        <v>0.19739200000000001</v>
      </c>
      <c r="N41">
        <v>0.203211</v>
      </c>
      <c r="P41">
        <v>1683.9</v>
      </c>
      <c r="Q41">
        <v>124004481.038709</v>
      </c>
      <c r="R41">
        <f t="shared" si="1"/>
        <v>0.12400448103870899</v>
      </c>
      <c r="AG41" s="10"/>
    </row>
    <row r="42" spans="1:33" x14ac:dyDescent="0.25">
      <c r="A42">
        <v>1680.6117099999999</v>
      </c>
      <c r="B42" s="10">
        <v>2.9970000000000001E-3</v>
      </c>
      <c r="C42" s="10">
        <f t="shared" si="0"/>
        <v>5.3196750000000001E-4</v>
      </c>
      <c r="E42" s="1">
        <v>1683.95</v>
      </c>
      <c r="F42" s="4">
        <v>0.17613303999999999</v>
      </c>
      <c r="H42">
        <v>1682.95</v>
      </c>
      <c r="I42" s="7">
        <v>1.24017317506789E-2</v>
      </c>
      <c r="J42" s="4">
        <v>7.3053951786320695E-2</v>
      </c>
      <c r="K42" s="16"/>
      <c r="L42">
        <v>1683.95</v>
      </c>
      <c r="M42">
        <v>0.19456899999999999</v>
      </c>
      <c r="N42">
        <v>0.1995796</v>
      </c>
      <c r="P42">
        <v>1683.95</v>
      </c>
      <c r="Q42">
        <v>123995138.08359601</v>
      </c>
      <c r="R42">
        <f t="shared" si="1"/>
        <v>0.12399513808359601</v>
      </c>
      <c r="AG42" s="10"/>
    </row>
    <row r="43" spans="1:33" x14ac:dyDescent="0.25">
      <c r="A43">
        <v>1680.6584499999999</v>
      </c>
      <c r="B43" s="10">
        <v>3.1210000000000001E-3</v>
      </c>
      <c r="C43" s="10">
        <f t="shared" si="0"/>
        <v>5.5397749999999994E-4</v>
      </c>
      <c r="E43" s="1">
        <v>1684</v>
      </c>
      <c r="F43" s="4">
        <v>0.17561863</v>
      </c>
      <c r="H43">
        <v>1683</v>
      </c>
      <c r="I43" s="7">
        <v>1.56737699012497E-2</v>
      </c>
      <c r="J43" s="4">
        <v>8.2667016989477399E-2</v>
      </c>
      <c r="K43" s="16"/>
      <c r="L43">
        <v>1684</v>
      </c>
      <c r="M43">
        <v>0.19215099999999999</v>
      </c>
      <c r="N43">
        <v>0.1966986</v>
      </c>
      <c r="P43">
        <v>1684</v>
      </c>
      <c r="Q43">
        <v>125295778.064546</v>
      </c>
      <c r="R43">
        <f t="shared" si="1"/>
        <v>0.125295778064546</v>
      </c>
      <c r="AG43" s="10"/>
    </row>
    <row r="44" spans="1:33" x14ac:dyDescent="0.25">
      <c r="A44">
        <v>1680.7051799999999</v>
      </c>
      <c r="B44" s="10">
        <v>3.2499999999999999E-3</v>
      </c>
      <c r="C44" s="10">
        <f t="shared" si="0"/>
        <v>5.7687499999999991E-4</v>
      </c>
      <c r="E44" s="1">
        <v>1684.05</v>
      </c>
      <c r="F44" s="4">
        <v>0.17519699</v>
      </c>
      <c r="H44">
        <v>1683.05</v>
      </c>
      <c r="I44" s="7">
        <v>2.1012502588133801E-2</v>
      </c>
      <c r="J44" s="4">
        <v>9.2199882380901002E-2</v>
      </c>
      <c r="K44" s="16"/>
      <c r="L44">
        <v>1684.05</v>
      </c>
      <c r="M44">
        <v>0.190724</v>
      </c>
      <c r="N44">
        <v>0.19444739999999999</v>
      </c>
      <c r="P44">
        <v>1684.05</v>
      </c>
      <c r="Q44">
        <v>125468118.742101</v>
      </c>
      <c r="R44">
        <f t="shared" si="1"/>
        <v>0.12546811874210101</v>
      </c>
      <c r="AG44" s="10"/>
    </row>
    <row r="45" spans="1:33" x14ac:dyDescent="0.25">
      <c r="A45">
        <v>1680.7519199999999</v>
      </c>
      <c r="B45" s="10">
        <v>3.3830000000000002E-3</v>
      </c>
      <c r="C45" s="10">
        <f t="shared" si="0"/>
        <v>6.0048250000000001E-4</v>
      </c>
      <c r="E45" s="1">
        <v>1684.1</v>
      </c>
      <c r="F45" s="4">
        <v>0.17500863999999999</v>
      </c>
      <c r="H45">
        <v>1683.1</v>
      </c>
      <c r="I45" s="7">
        <v>3.10708123349203E-2</v>
      </c>
      <c r="J45" s="4">
        <v>0.10148289719693</v>
      </c>
      <c r="K45" s="16"/>
      <c r="L45">
        <v>1684.1</v>
      </c>
      <c r="M45">
        <v>0.189445</v>
      </c>
      <c r="N45">
        <v>0.19289300000000001</v>
      </c>
      <c r="P45">
        <v>1684.1</v>
      </c>
      <c r="Q45">
        <v>126337156.005227</v>
      </c>
      <c r="R45">
        <f t="shared" si="1"/>
        <v>0.12633715600522699</v>
      </c>
      <c r="AG45" s="10"/>
    </row>
    <row r="46" spans="1:33" x14ac:dyDescent="0.25">
      <c r="A46">
        <v>1680.79865</v>
      </c>
      <c r="B46" s="10">
        <v>3.522E-3</v>
      </c>
      <c r="C46" s="10">
        <f t="shared" si="0"/>
        <v>6.2515499999999996E-4</v>
      </c>
      <c r="E46" s="1">
        <v>1684.15</v>
      </c>
      <c r="F46" s="4">
        <v>0.17473538</v>
      </c>
      <c r="H46">
        <v>1683.15</v>
      </c>
      <c r="I46" s="7">
        <v>5.37665374487842E-2</v>
      </c>
      <c r="J46" s="4">
        <v>0.11039382075968</v>
      </c>
      <c r="K46" s="16"/>
      <c r="L46">
        <v>1684.15</v>
      </c>
      <c r="M46">
        <v>0.18884699999999999</v>
      </c>
      <c r="N46">
        <v>0.19182099999999999</v>
      </c>
      <c r="P46">
        <v>1684.15</v>
      </c>
      <c r="Q46">
        <v>125499763.771347</v>
      </c>
      <c r="R46">
        <f t="shared" si="1"/>
        <v>0.125499763771347</v>
      </c>
      <c r="AG46" s="10"/>
    </row>
    <row r="47" spans="1:33" x14ac:dyDescent="0.25">
      <c r="A47">
        <v>1680.84539</v>
      </c>
      <c r="B47" s="10">
        <v>3.666E-3</v>
      </c>
      <c r="C47" s="10">
        <f t="shared" si="0"/>
        <v>6.5071499999999995E-4</v>
      </c>
      <c r="E47" s="1">
        <v>1684.2</v>
      </c>
      <c r="F47" s="4">
        <v>0.17448949999999999</v>
      </c>
      <c r="H47">
        <v>1683.2</v>
      </c>
      <c r="I47" s="7">
        <v>0.10220121162377201</v>
      </c>
      <c r="J47" s="4">
        <v>0.118844644579958</v>
      </c>
      <c r="K47" s="16"/>
      <c r="L47">
        <v>1684.2</v>
      </c>
      <c r="M47">
        <v>0.188361</v>
      </c>
      <c r="N47">
        <v>0.191084</v>
      </c>
      <c r="P47">
        <v>1684.2</v>
      </c>
      <c r="Q47">
        <v>126310583.80944499</v>
      </c>
      <c r="R47">
        <f t="shared" si="1"/>
        <v>0.12631058380944499</v>
      </c>
      <c r="AG47" s="10"/>
    </row>
    <row r="48" spans="1:33" x14ac:dyDescent="0.25">
      <c r="A48">
        <v>1680.89213</v>
      </c>
      <c r="B48" s="10">
        <v>3.8159999999999999E-3</v>
      </c>
      <c r="C48" s="10">
        <f t="shared" si="0"/>
        <v>6.7733999999999991E-4</v>
      </c>
      <c r="E48" s="1">
        <v>1684.25</v>
      </c>
      <c r="F48" s="4">
        <v>0.17436299</v>
      </c>
      <c r="H48">
        <v>1683.25</v>
      </c>
      <c r="I48" s="7">
        <v>0.16157651023368899</v>
      </c>
      <c r="J48" s="4">
        <v>0.12674110581255199</v>
      </c>
      <c r="K48" s="16"/>
      <c r="L48">
        <v>1684.25</v>
      </c>
      <c r="M48">
        <v>0.187695</v>
      </c>
      <c r="N48">
        <v>0.19044080000000002</v>
      </c>
      <c r="P48">
        <v>1684.25</v>
      </c>
      <c r="Q48">
        <v>126625704.52731501</v>
      </c>
      <c r="R48">
        <f t="shared" si="1"/>
        <v>0.126625704527315</v>
      </c>
      <c r="AG48" s="10"/>
    </row>
    <row r="49" spans="1:33" x14ac:dyDescent="0.25">
      <c r="A49">
        <v>1680.93886</v>
      </c>
      <c r="B49" s="10">
        <v>3.973E-3</v>
      </c>
      <c r="C49" s="10">
        <f t="shared" si="0"/>
        <v>7.0520749999999997E-4</v>
      </c>
      <c r="E49" s="1">
        <v>1684.3</v>
      </c>
      <c r="F49" s="4">
        <v>0.17425291000000001</v>
      </c>
      <c r="H49">
        <v>1683.3</v>
      </c>
      <c r="I49" s="7">
        <v>0.19097850067573699</v>
      </c>
      <c r="J49" s="4">
        <v>0.13396953879801801</v>
      </c>
      <c r="K49" s="16"/>
      <c r="L49">
        <v>1684.3</v>
      </c>
      <c r="M49">
        <v>0.187775</v>
      </c>
      <c r="N49">
        <v>0.18987800000000002</v>
      </c>
      <c r="P49">
        <v>1684.3</v>
      </c>
      <c r="Q49">
        <v>126163352.516389</v>
      </c>
      <c r="R49">
        <f t="shared" si="1"/>
        <v>0.12616335251638899</v>
      </c>
      <c r="AG49" s="10"/>
    </row>
    <row r="50" spans="1:33" x14ac:dyDescent="0.25">
      <c r="A50">
        <v>1680.9856</v>
      </c>
      <c r="B50" s="10">
        <v>4.1359999999999999E-3</v>
      </c>
      <c r="C50" s="10">
        <f t="shared" si="0"/>
        <v>7.3413999999999999E-4</v>
      </c>
      <c r="E50" s="1">
        <v>1684.35</v>
      </c>
      <c r="F50" s="4">
        <v>0.17420262</v>
      </c>
      <c r="H50">
        <v>1683.35</v>
      </c>
      <c r="I50" s="7">
        <v>0.19810687780573999</v>
      </c>
      <c r="J50" s="4">
        <v>0.14046710356207101</v>
      </c>
      <c r="K50" s="16"/>
      <c r="L50">
        <v>1684.35</v>
      </c>
      <c r="M50">
        <v>0.18717200000000001</v>
      </c>
      <c r="N50">
        <v>0.18942239999999999</v>
      </c>
      <c r="P50">
        <v>1684.35</v>
      </c>
      <c r="Q50">
        <v>125805465.77015901</v>
      </c>
      <c r="R50">
        <f t="shared" si="1"/>
        <v>0.125805465770159</v>
      </c>
      <c r="AG50" s="10"/>
    </row>
    <row r="51" spans="1:33" x14ac:dyDescent="0.25">
      <c r="A51">
        <v>1681.03233</v>
      </c>
      <c r="B51" s="10">
        <v>4.3059999999999999E-3</v>
      </c>
      <c r="C51" s="10">
        <f t="shared" si="0"/>
        <v>7.64315E-4</v>
      </c>
      <c r="E51" s="1">
        <v>1684.4</v>
      </c>
      <c r="F51" s="4">
        <v>0.17412654999999999</v>
      </c>
      <c r="H51">
        <v>1683.4</v>
      </c>
      <c r="I51" s="7">
        <v>0.20047349538878201</v>
      </c>
      <c r="J51" s="4">
        <v>0.14623369540964401</v>
      </c>
      <c r="K51" s="16"/>
      <c r="L51">
        <v>1684.4</v>
      </c>
      <c r="M51">
        <v>0.186613</v>
      </c>
      <c r="N51">
        <v>0.18899360000000001</v>
      </c>
      <c r="P51">
        <v>1684.4</v>
      </c>
      <c r="Q51">
        <v>124729462.91636799</v>
      </c>
      <c r="R51">
        <f t="shared" si="1"/>
        <v>0.12472946291636799</v>
      </c>
      <c r="AG51" s="10"/>
    </row>
    <row r="52" spans="1:33" x14ac:dyDescent="0.25">
      <c r="A52">
        <v>1681.07907</v>
      </c>
      <c r="B52" s="10">
        <v>4.4840000000000001E-3</v>
      </c>
      <c r="C52" s="10">
        <f t="shared" si="0"/>
        <v>7.9590999999999993E-4</v>
      </c>
      <c r="E52" s="1">
        <v>1684.45</v>
      </c>
      <c r="F52" s="4">
        <v>0.17411381000000001</v>
      </c>
      <c r="H52">
        <v>1683.45</v>
      </c>
      <c r="I52" s="7">
        <v>0.201995139440135</v>
      </c>
      <c r="J52" s="4">
        <v>0.151302984436164</v>
      </c>
      <c r="K52" s="16"/>
      <c r="L52">
        <v>1684.45</v>
      </c>
      <c r="M52">
        <v>0.18642400000000001</v>
      </c>
      <c r="N52">
        <v>0.1884844</v>
      </c>
      <c r="P52">
        <v>1684.45</v>
      </c>
      <c r="Q52">
        <v>126312478.269146</v>
      </c>
      <c r="R52">
        <f t="shared" si="1"/>
        <v>0.12631247826914599</v>
      </c>
      <c r="AG52" s="10"/>
    </row>
    <row r="53" spans="1:33" x14ac:dyDescent="0.25">
      <c r="A53">
        <v>1681.1258</v>
      </c>
      <c r="B53" s="10">
        <v>4.6699999999999997E-3</v>
      </c>
      <c r="C53" s="10">
        <f t="shared" si="0"/>
        <v>8.2892499999999989E-4</v>
      </c>
      <c r="E53" s="1">
        <v>1684.5</v>
      </c>
      <c r="F53" s="4">
        <v>0.17409754999999999</v>
      </c>
      <c r="H53">
        <v>1683.5</v>
      </c>
      <c r="I53" s="7">
        <v>0.202450718170643</v>
      </c>
      <c r="J53" s="4">
        <v>0.155721864204556</v>
      </c>
      <c r="K53" s="16"/>
      <c r="L53">
        <v>1684.5</v>
      </c>
      <c r="M53">
        <v>0.18601200000000001</v>
      </c>
      <c r="N53">
        <v>0.18790820000000003</v>
      </c>
      <c r="P53">
        <v>1684.5</v>
      </c>
      <c r="Q53">
        <v>127631160.23281799</v>
      </c>
      <c r="R53">
        <f t="shared" si="1"/>
        <v>0.12763116023281798</v>
      </c>
      <c r="AG53" s="10"/>
    </row>
    <row r="54" spans="1:33" x14ac:dyDescent="0.25">
      <c r="A54">
        <v>1681.17254</v>
      </c>
      <c r="B54" s="10">
        <v>4.8650000000000004E-3</v>
      </c>
      <c r="C54" s="10">
        <f t="shared" si="0"/>
        <v>8.635375E-4</v>
      </c>
      <c r="E54" s="1">
        <v>1684.55</v>
      </c>
      <c r="F54" s="4">
        <v>0.17409379999999999</v>
      </c>
      <c r="H54">
        <v>1683.55</v>
      </c>
      <c r="I54" s="7">
        <v>0.201666479011682</v>
      </c>
      <c r="J54" s="4">
        <v>0.15954272124254201</v>
      </c>
      <c r="K54" s="16"/>
      <c r="L54">
        <v>1684.55</v>
      </c>
      <c r="M54">
        <v>0.18518999999999999</v>
      </c>
      <c r="N54">
        <v>0.18718460000000001</v>
      </c>
      <c r="P54">
        <v>1684.55</v>
      </c>
      <c r="Q54">
        <v>124846087.848736</v>
      </c>
      <c r="R54">
        <f t="shared" si="1"/>
        <v>0.12484608784873601</v>
      </c>
      <c r="AG54" s="10"/>
    </row>
    <row r="55" spans="1:33" x14ac:dyDescent="0.25">
      <c r="A55">
        <v>1681.2192700000001</v>
      </c>
      <c r="B55" s="10">
        <v>5.0689999999999997E-3</v>
      </c>
      <c r="C55" s="10">
        <f t="shared" si="0"/>
        <v>8.9974749999999996E-4</v>
      </c>
      <c r="E55" s="1">
        <v>1684.6</v>
      </c>
      <c r="F55" s="4">
        <v>0.1740873</v>
      </c>
      <c r="H55">
        <v>1683.6</v>
      </c>
      <c r="I55" s="7">
        <v>0.19990451827783001</v>
      </c>
      <c r="J55" s="4">
        <v>0.16281995778609501</v>
      </c>
      <c r="K55" s="16"/>
      <c r="L55">
        <v>1684.6</v>
      </c>
      <c r="M55">
        <v>0.18457899999999999</v>
      </c>
      <c r="N55">
        <v>0.18644759999999999</v>
      </c>
      <c r="P55">
        <v>1684.6</v>
      </c>
      <c r="Q55">
        <v>125452706.815152</v>
      </c>
      <c r="R55">
        <f t="shared" si="1"/>
        <v>0.125452706815152</v>
      </c>
      <c r="AG55" s="10"/>
    </row>
    <row r="56" spans="1:33" x14ac:dyDescent="0.25">
      <c r="A56">
        <v>1681.2660100000001</v>
      </c>
      <c r="B56" s="10">
        <v>5.2830000000000004E-3</v>
      </c>
      <c r="C56" s="10">
        <f t="shared" si="0"/>
        <v>9.3773249999999999E-4</v>
      </c>
      <c r="E56" s="1">
        <v>1684.65</v>
      </c>
      <c r="F56" s="4">
        <v>0.17412612</v>
      </c>
      <c r="H56">
        <v>1683.65</v>
      </c>
      <c r="I56" s="7">
        <v>0.19762206464783799</v>
      </c>
      <c r="J56" s="4">
        <v>0.165607960028785</v>
      </c>
      <c r="K56" s="16"/>
      <c r="L56">
        <v>1684.65</v>
      </c>
      <c r="M56">
        <v>0.18392700000000001</v>
      </c>
      <c r="N56">
        <v>0.18568380000000001</v>
      </c>
      <c r="P56">
        <v>1684.65</v>
      </c>
      <c r="Q56">
        <v>125973018.328243</v>
      </c>
      <c r="R56">
        <f t="shared" si="1"/>
        <v>0.12597301832824301</v>
      </c>
      <c r="AG56" s="10"/>
    </row>
    <row r="57" spans="1:33" x14ac:dyDescent="0.25">
      <c r="A57">
        <v>1681.3127400000001</v>
      </c>
      <c r="B57" s="10">
        <v>5.5069999999999997E-3</v>
      </c>
      <c r="C57" s="10">
        <f t="shared" si="0"/>
        <v>9.774924999999999E-4</v>
      </c>
      <c r="E57" s="1">
        <v>1684.7</v>
      </c>
      <c r="F57" s="4">
        <v>0.17411272</v>
      </c>
      <c r="H57">
        <v>1683.7</v>
      </c>
      <c r="I57" s="7">
        <v>0.19524877673628699</v>
      </c>
      <c r="J57" s="4">
        <v>0.1679598102015</v>
      </c>
      <c r="K57" s="16"/>
      <c r="L57">
        <v>1684.7</v>
      </c>
      <c r="M57">
        <v>0.18329100000000001</v>
      </c>
      <c r="N57">
        <v>0.18487980000000001</v>
      </c>
      <c r="P57">
        <v>1684.7</v>
      </c>
      <c r="Q57">
        <v>127055463.571832</v>
      </c>
      <c r="R57">
        <f t="shared" si="1"/>
        <v>0.12705546357183201</v>
      </c>
      <c r="AG57" s="10"/>
    </row>
    <row r="58" spans="1:33" x14ac:dyDescent="0.25">
      <c r="A58">
        <v>1681.3594800000001</v>
      </c>
      <c r="B58" s="10">
        <v>5.7429999999999998E-3</v>
      </c>
      <c r="C58" s="10">
        <f t="shared" si="0"/>
        <v>1.0193824999999998E-3</v>
      </c>
      <c r="E58" s="1">
        <v>1684.75</v>
      </c>
      <c r="F58" s="4">
        <v>0.17412604000000001</v>
      </c>
      <c r="H58">
        <v>1683.75</v>
      </c>
      <c r="I58" s="7">
        <v>0.19305351344461599</v>
      </c>
      <c r="J58" s="4">
        <v>0.16992615813746001</v>
      </c>
      <c r="K58" s="16"/>
      <c r="L58">
        <v>1684.75</v>
      </c>
      <c r="M58">
        <v>0.18274699999999999</v>
      </c>
      <c r="N58">
        <v>0.18396860000000001</v>
      </c>
      <c r="P58">
        <v>1684.75</v>
      </c>
      <c r="Q58">
        <v>126411206.086456</v>
      </c>
      <c r="R58">
        <f t="shared" si="1"/>
        <v>0.12641120608645601</v>
      </c>
      <c r="AG58" s="10"/>
    </row>
    <row r="59" spans="1:33" x14ac:dyDescent="0.25">
      <c r="A59">
        <v>1681.4062100000001</v>
      </c>
      <c r="B59" s="10">
        <v>5.9930000000000001E-3</v>
      </c>
      <c r="C59" s="10">
        <f t="shared" si="0"/>
        <v>1.0637575E-3</v>
      </c>
      <c r="E59" s="1">
        <v>1684.8</v>
      </c>
      <c r="F59" s="4">
        <v>0.17415367000000001</v>
      </c>
      <c r="H59">
        <v>1683.8</v>
      </c>
      <c r="I59" s="7">
        <v>0.191166171711243</v>
      </c>
      <c r="J59" s="4">
        <v>0.17155457730141699</v>
      </c>
      <c r="K59" s="16"/>
      <c r="L59">
        <v>1684.8</v>
      </c>
      <c r="M59">
        <v>0.18184</v>
      </c>
      <c r="N59">
        <v>0.18301719999999999</v>
      </c>
      <c r="P59">
        <v>1684.8</v>
      </c>
      <c r="Q59">
        <v>128403441.22766399</v>
      </c>
      <c r="R59">
        <f t="shared" si="1"/>
        <v>0.12840344122766401</v>
      </c>
      <c r="AG59" s="10"/>
    </row>
    <row r="60" spans="1:33" x14ac:dyDescent="0.25">
      <c r="A60">
        <v>1681.4529500000001</v>
      </c>
      <c r="B60" s="10">
        <v>6.2550000000000001E-3</v>
      </c>
      <c r="C60" s="10">
        <f t="shared" si="0"/>
        <v>1.1102625000000001E-3</v>
      </c>
      <c r="E60" s="1">
        <v>1684.85</v>
      </c>
      <c r="F60" s="4">
        <v>0.17417784</v>
      </c>
      <c r="H60">
        <v>1683.85</v>
      </c>
      <c r="I60" s="7">
        <v>0.18966581903225199</v>
      </c>
      <c r="J60" s="4">
        <v>0.172889280065775</v>
      </c>
      <c r="K60" s="16"/>
      <c r="L60">
        <v>1684.85</v>
      </c>
      <c r="M60">
        <v>0.180534</v>
      </c>
      <c r="N60">
        <v>0.18211940000000001</v>
      </c>
      <c r="P60">
        <v>1684.85</v>
      </c>
      <c r="Q60">
        <v>127298032.85986499</v>
      </c>
      <c r="R60">
        <f t="shared" si="1"/>
        <v>0.12729803285986499</v>
      </c>
      <c r="AG60" s="10"/>
    </row>
    <row r="61" spans="1:33" x14ac:dyDescent="0.25">
      <c r="A61">
        <v>1681.4996799999999</v>
      </c>
      <c r="B61" s="10">
        <v>6.5310000000000003E-3</v>
      </c>
      <c r="C61" s="10">
        <f t="shared" si="0"/>
        <v>1.1592525000000001E-3</v>
      </c>
      <c r="E61" s="1">
        <v>1684.9</v>
      </c>
      <c r="F61" s="4">
        <v>0.17422362999999999</v>
      </c>
      <c r="H61">
        <v>1683.9</v>
      </c>
      <c r="I61" s="7">
        <v>0.18861122832956101</v>
      </c>
      <c r="J61" s="4">
        <v>0.17397077784585299</v>
      </c>
      <c r="K61" s="16"/>
      <c r="L61">
        <v>1684.9</v>
      </c>
      <c r="M61">
        <v>0.17981800000000001</v>
      </c>
      <c r="N61">
        <v>0.1812484</v>
      </c>
      <c r="P61">
        <v>1684.9</v>
      </c>
      <c r="Q61">
        <v>126755039.07224301</v>
      </c>
      <c r="R61">
        <f t="shared" si="1"/>
        <v>0.126755039072243</v>
      </c>
      <c r="AG61" s="10"/>
    </row>
    <row r="62" spans="1:33" x14ac:dyDescent="0.25">
      <c r="A62">
        <v>1681.5464199999999</v>
      </c>
      <c r="B62" s="10">
        <v>6.8240000000000002E-3</v>
      </c>
      <c r="C62" s="10">
        <f t="shared" si="0"/>
        <v>1.21126E-3</v>
      </c>
      <c r="E62" s="1">
        <v>1684.95</v>
      </c>
      <c r="F62" s="4">
        <v>0.17423000999999999</v>
      </c>
      <c r="H62">
        <v>1683.95</v>
      </c>
      <c r="I62" s="7">
        <v>0.18786019371628199</v>
      </c>
      <c r="J62" s="4">
        <v>0.174835729798966</v>
      </c>
      <c r="K62" s="16"/>
      <c r="L62">
        <v>1684.95</v>
      </c>
      <c r="M62">
        <v>0.17913599999999999</v>
      </c>
      <c r="N62">
        <v>0.18043100000000001</v>
      </c>
      <c r="P62">
        <v>1684.95</v>
      </c>
      <c r="Q62">
        <v>128526566.420471</v>
      </c>
      <c r="R62">
        <f t="shared" si="1"/>
        <v>0.128526566420471</v>
      </c>
      <c r="AG62" s="10"/>
    </row>
    <row r="63" spans="1:33" x14ac:dyDescent="0.25">
      <c r="A63">
        <v>1681.5931499999999</v>
      </c>
      <c r="B63" s="10">
        <v>7.1339999999999997E-3</v>
      </c>
      <c r="C63" s="10">
        <f t="shared" si="0"/>
        <v>1.2662849999999998E-3</v>
      </c>
      <c r="E63" s="1">
        <v>1685</v>
      </c>
      <c r="F63" s="4">
        <v>0.17426610000000001</v>
      </c>
      <c r="H63">
        <v>1684</v>
      </c>
      <c r="I63" s="7">
        <v>0.187223948680907</v>
      </c>
      <c r="J63" s="4">
        <v>0.17551705291976599</v>
      </c>
      <c r="K63" s="16"/>
      <c r="L63">
        <v>1685</v>
      </c>
      <c r="M63">
        <v>0.17832799999999999</v>
      </c>
      <c r="N63">
        <v>0.17964040000000001</v>
      </c>
      <c r="P63">
        <v>1685</v>
      </c>
      <c r="Q63">
        <v>127851564.517316</v>
      </c>
      <c r="R63">
        <f t="shared" si="1"/>
        <v>0.127851564517316</v>
      </c>
      <c r="AG63" s="10"/>
    </row>
    <row r="64" spans="1:33" x14ac:dyDescent="0.25">
      <c r="A64">
        <v>1681.6398899999999</v>
      </c>
      <c r="B64" s="10">
        <v>7.4619999999999999E-3</v>
      </c>
      <c r="C64" s="10">
        <f t="shared" si="0"/>
        <v>1.3245049999999999E-3</v>
      </c>
      <c r="E64" s="1">
        <v>1685.05</v>
      </c>
      <c r="F64" s="4">
        <v>0.17430572</v>
      </c>
      <c r="H64">
        <v>1684.05</v>
      </c>
      <c r="I64" s="7">
        <v>0.18661477129179599</v>
      </c>
      <c r="J64" s="4">
        <v>0.176044024880809</v>
      </c>
      <c r="K64" s="16"/>
      <c r="L64">
        <v>1685.05</v>
      </c>
      <c r="M64">
        <v>0.17804</v>
      </c>
      <c r="N64">
        <v>0.1788498</v>
      </c>
      <c r="P64">
        <v>1685.05</v>
      </c>
      <c r="Q64">
        <v>128835293.172364</v>
      </c>
      <c r="R64">
        <f t="shared" si="1"/>
        <v>0.128835293172364</v>
      </c>
      <c r="AG64" s="10"/>
    </row>
    <row r="65" spans="1:33" x14ac:dyDescent="0.25">
      <c r="A65">
        <v>1681.6866199999999</v>
      </c>
      <c r="B65" s="10">
        <v>7.8110000000000002E-3</v>
      </c>
      <c r="C65" s="10">
        <f t="shared" si="0"/>
        <v>1.3864525E-3</v>
      </c>
      <c r="E65" s="1">
        <v>1685.1</v>
      </c>
      <c r="F65" s="4">
        <v>0.17434375999999999</v>
      </c>
      <c r="H65">
        <v>1684.1</v>
      </c>
      <c r="I65" s="7">
        <v>0.18600481909047401</v>
      </c>
      <c r="J65" s="4">
        <v>0.17644240339195699</v>
      </c>
      <c r="K65" s="16"/>
      <c r="L65">
        <v>1685.1</v>
      </c>
      <c r="M65">
        <v>0.17718</v>
      </c>
      <c r="N65">
        <v>0.17815300000000001</v>
      </c>
      <c r="P65">
        <v>1685.1</v>
      </c>
      <c r="Q65">
        <v>126511246.70715</v>
      </c>
      <c r="R65">
        <f t="shared" si="1"/>
        <v>0.12651124670715</v>
      </c>
      <c r="AG65" s="10"/>
    </row>
    <row r="66" spans="1:33" x14ac:dyDescent="0.25">
      <c r="A66">
        <v>1681.7333599999999</v>
      </c>
      <c r="B66" s="10">
        <v>8.1829999999999993E-3</v>
      </c>
      <c r="C66" s="10">
        <f t="shared" si="0"/>
        <v>1.4524824999999999E-3</v>
      </c>
      <c r="E66" s="1">
        <v>1685.15</v>
      </c>
      <c r="F66" s="4">
        <v>0.17437021</v>
      </c>
      <c r="H66">
        <v>1684.15</v>
      </c>
      <c r="I66" s="7">
        <v>0.18538834888347699</v>
      </c>
      <c r="J66" s="4">
        <v>0.17673465796589</v>
      </c>
      <c r="K66" s="16"/>
      <c r="L66">
        <v>1685.15</v>
      </c>
      <c r="M66">
        <v>0.176872</v>
      </c>
      <c r="N66">
        <v>0.17755000000000001</v>
      </c>
      <c r="P66">
        <v>1685.15</v>
      </c>
      <c r="Q66">
        <v>126782550.24095599</v>
      </c>
      <c r="R66">
        <f t="shared" si="1"/>
        <v>0.126782550240956</v>
      </c>
      <c r="AG66" s="10"/>
    </row>
    <row r="67" spans="1:33" x14ac:dyDescent="0.25">
      <c r="A67">
        <v>1681.78009</v>
      </c>
      <c r="B67" s="10">
        <v>8.5789999999999998E-3</v>
      </c>
      <c r="C67" s="10">
        <f t="shared" si="0"/>
        <v>1.5227724999999999E-3</v>
      </c>
      <c r="E67" s="1">
        <v>1685.2</v>
      </c>
      <c r="F67" s="4">
        <v>0.17440085</v>
      </c>
      <c r="H67">
        <v>1684.2</v>
      </c>
      <c r="I67" s="7">
        <v>0.18476886756779401</v>
      </c>
      <c r="J67" s="4">
        <v>0.176940194210847</v>
      </c>
      <c r="K67" s="16"/>
      <c r="L67">
        <v>1685.2</v>
      </c>
      <c r="M67">
        <v>0.17616599999999999</v>
      </c>
      <c r="N67">
        <v>0.1770408</v>
      </c>
      <c r="P67">
        <v>1685.2</v>
      </c>
      <c r="Q67">
        <v>128642647.587532</v>
      </c>
      <c r="R67">
        <f t="shared" si="1"/>
        <v>0.12864264758753199</v>
      </c>
      <c r="AG67" s="10"/>
    </row>
    <row r="68" spans="1:33" x14ac:dyDescent="0.25">
      <c r="A68">
        <v>1681.82683</v>
      </c>
      <c r="B68" s="10">
        <v>9.0019999999999996E-3</v>
      </c>
      <c r="C68" s="10">
        <f t="shared" ref="C68:C131" si="2">B68*0.1775</f>
        <v>1.5978549999999998E-3</v>
      </c>
      <c r="E68" s="1">
        <v>1685.25</v>
      </c>
      <c r="F68" s="4">
        <v>0.17444204999999999</v>
      </c>
      <c r="H68">
        <v>1684.25</v>
      </c>
      <c r="I68" s="7">
        <v>0.184153328425467</v>
      </c>
      <c r="J68" s="4">
        <v>0.17707561515282599</v>
      </c>
      <c r="K68" s="16"/>
      <c r="L68">
        <v>1685.25</v>
      </c>
      <c r="M68">
        <v>0.175839</v>
      </c>
      <c r="N68">
        <v>0.1765852</v>
      </c>
      <c r="P68">
        <v>1685.25</v>
      </c>
      <c r="Q68">
        <v>128396010.841878</v>
      </c>
      <c r="R68">
        <f t="shared" ref="R68:R122" si="3">Q68/1000000000</f>
        <v>0.12839601084187799</v>
      </c>
      <c r="AG68" s="10"/>
    </row>
    <row r="69" spans="1:33" x14ac:dyDescent="0.25">
      <c r="A69">
        <v>1681.87356</v>
      </c>
      <c r="B69" s="10">
        <v>9.4549999999999999E-3</v>
      </c>
      <c r="C69" s="10">
        <f t="shared" si="2"/>
        <v>1.6782625E-3</v>
      </c>
      <c r="E69" s="1">
        <v>1685.3</v>
      </c>
      <c r="F69" s="4">
        <v>0.17448099</v>
      </c>
      <c r="H69">
        <v>1684.3</v>
      </c>
      <c r="I69" s="7">
        <v>0.18354924767615799</v>
      </c>
      <c r="J69" s="4">
        <v>0.17715500321594299</v>
      </c>
      <c r="K69" s="16"/>
      <c r="L69">
        <v>1685.3</v>
      </c>
      <c r="M69">
        <v>0.17555599999999999</v>
      </c>
      <c r="N69">
        <v>0.1763306</v>
      </c>
      <c r="P69">
        <v>1685.3</v>
      </c>
      <c r="Q69">
        <v>127978079.914748</v>
      </c>
      <c r="R69">
        <f t="shared" si="3"/>
        <v>0.12797807991474799</v>
      </c>
      <c r="AG69" s="10"/>
    </row>
    <row r="70" spans="1:33" x14ac:dyDescent="0.25">
      <c r="A70">
        <v>1681.9203</v>
      </c>
      <c r="B70" s="10">
        <v>9.9410000000000002E-3</v>
      </c>
      <c r="C70" s="10">
        <f t="shared" si="2"/>
        <v>1.7645274999999998E-3</v>
      </c>
      <c r="E70" s="1">
        <v>1685.35</v>
      </c>
      <c r="F70" s="4">
        <v>0.17452566</v>
      </c>
      <c r="H70">
        <v>1684.35</v>
      </c>
      <c r="I70" s="7">
        <v>0.18296328049198601</v>
      </c>
      <c r="J70" s="4">
        <v>0.17719019163165101</v>
      </c>
      <c r="K70" s="16"/>
      <c r="L70">
        <v>1685.35</v>
      </c>
      <c r="M70">
        <v>0.17529700000000001</v>
      </c>
      <c r="N70">
        <v>0.1759956</v>
      </c>
      <c r="P70">
        <v>1685.35</v>
      </c>
      <c r="Q70">
        <v>127773026.171289</v>
      </c>
      <c r="R70">
        <f t="shared" si="3"/>
        <v>0.12777302617128899</v>
      </c>
      <c r="AG70" s="10"/>
    </row>
    <row r="71" spans="1:33" x14ac:dyDescent="0.25">
      <c r="A71">
        <v>1681.96703</v>
      </c>
      <c r="B71" s="10">
        <v>1.0460000000000001E-2</v>
      </c>
      <c r="C71" s="10">
        <f t="shared" si="2"/>
        <v>1.8566500000000001E-3</v>
      </c>
      <c r="E71" s="1">
        <v>1685.4</v>
      </c>
      <c r="F71" s="4">
        <v>0.17454995000000001</v>
      </c>
      <c r="H71">
        <v>1684.4</v>
      </c>
      <c r="I71" s="7">
        <v>0.18240072031551999</v>
      </c>
      <c r="J71" s="4">
        <v>0.177191033897109</v>
      </c>
      <c r="K71" s="16"/>
      <c r="L71">
        <v>1685.4</v>
      </c>
      <c r="M71">
        <v>0.17472399999999999</v>
      </c>
      <c r="N71">
        <v>0.17575440000000001</v>
      </c>
      <c r="P71">
        <v>1685.4</v>
      </c>
      <c r="Q71">
        <v>126746008.60151599</v>
      </c>
      <c r="R71">
        <f t="shared" si="3"/>
        <v>0.126746008601516</v>
      </c>
      <c r="AG71" s="10"/>
    </row>
    <row r="72" spans="1:33" x14ac:dyDescent="0.25">
      <c r="A72">
        <v>1682.01377</v>
      </c>
      <c r="B72" s="10">
        <v>1.103E-2</v>
      </c>
      <c r="C72" s="10">
        <f t="shared" si="2"/>
        <v>1.9578249999999998E-3</v>
      </c>
      <c r="E72" s="1">
        <v>1685.45</v>
      </c>
      <c r="F72" s="4">
        <v>0.17458022000000001</v>
      </c>
      <c r="H72">
        <v>1684.45</v>
      </c>
      <c r="I72" s="7">
        <v>0.18186498539499801</v>
      </c>
      <c r="J72" s="4">
        <v>0.17716564872405199</v>
      </c>
      <c r="K72" s="16"/>
      <c r="L72">
        <v>1685.45</v>
      </c>
      <c r="M72">
        <v>0.17468400000000001</v>
      </c>
      <c r="N72">
        <v>0.17545959999999999</v>
      </c>
      <c r="P72">
        <v>1685.45</v>
      </c>
      <c r="Q72">
        <v>129836202.967509</v>
      </c>
      <c r="R72">
        <f t="shared" si="3"/>
        <v>0.129836202967509</v>
      </c>
      <c r="AG72" s="10"/>
    </row>
    <row r="73" spans="1:33" x14ac:dyDescent="0.25">
      <c r="A73">
        <v>1682.0605</v>
      </c>
      <c r="B73" s="10">
        <v>1.1639999999999999E-2</v>
      </c>
      <c r="C73" s="10">
        <f t="shared" si="2"/>
        <v>2.0661E-3</v>
      </c>
      <c r="E73" s="1">
        <v>1685.5</v>
      </c>
      <c r="F73" s="4">
        <v>0.17461247999999999</v>
      </c>
      <c r="H73">
        <v>1684.5</v>
      </c>
      <c r="I73" s="7">
        <v>0.18135776180619501</v>
      </c>
      <c r="J73" s="4">
        <v>0.17712066605799501</v>
      </c>
      <c r="K73" s="16"/>
      <c r="L73">
        <v>1685.5</v>
      </c>
      <c r="M73">
        <v>0.174009</v>
      </c>
      <c r="N73">
        <v>0.17533899999999999</v>
      </c>
      <c r="P73">
        <v>1685.5</v>
      </c>
      <c r="Q73">
        <v>127268708.372244</v>
      </c>
      <c r="R73">
        <f t="shared" si="3"/>
        <v>0.12726870837224399</v>
      </c>
      <c r="AG73" s="10"/>
    </row>
    <row r="74" spans="1:33" x14ac:dyDescent="0.25">
      <c r="A74">
        <v>1682.10724</v>
      </c>
      <c r="B74" s="10">
        <v>1.23E-2</v>
      </c>
      <c r="C74" s="10">
        <f t="shared" si="2"/>
        <v>2.1832499999999999E-3</v>
      </c>
      <c r="E74" s="1">
        <v>1685.55</v>
      </c>
      <c r="F74" s="4">
        <v>0.17463819999999999</v>
      </c>
      <c r="H74">
        <v>1684.55</v>
      </c>
      <c r="I74" s="7">
        <v>0.18087994363626</v>
      </c>
      <c r="J74" s="4">
        <v>0.177061446919166</v>
      </c>
      <c r="K74" s="16"/>
      <c r="L74">
        <v>1685.55</v>
      </c>
      <c r="M74">
        <v>0.173677</v>
      </c>
      <c r="N74">
        <v>0.1752988</v>
      </c>
      <c r="P74">
        <v>1685.55</v>
      </c>
      <c r="Q74">
        <v>127098733.245893</v>
      </c>
      <c r="R74">
        <f t="shared" si="3"/>
        <v>0.12709873324589299</v>
      </c>
      <c r="AG74" s="10"/>
    </row>
    <row r="75" spans="1:33" x14ac:dyDescent="0.25">
      <c r="A75">
        <v>1682.1539700000001</v>
      </c>
      <c r="B75" s="10">
        <v>1.302E-2</v>
      </c>
      <c r="C75" s="10">
        <f t="shared" si="2"/>
        <v>2.3110499999999998E-3</v>
      </c>
      <c r="E75" s="1">
        <v>1685.6</v>
      </c>
      <c r="F75" s="4">
        <v>0.17467352999999999</v>
      </c>
      <c r="H75">
        <v>1684.6</v>
      </c>
      <c r="I75" s="7">
        <v>0.180431672831634</v>
      </c>
      <c r="J75" s="4">
        <v>0.17699226917909</v>
      </c>
      <c r="K75" s="16"/>
      <c r="L75">
        <v>1685.6</v>
      </c>
      <c r="M75">
        <v>0.17377400000000001</v>
      </c>
      <c r="N75">
        <v>0.17523179999999999</v>
      </c>
      <c r="P75">
        <v>1685.6</v>
      </c>
      <c r="Q75">
        <v>129461390.08382601</v>
      </c>
      <c r="R75">
        <f t="shared" si="3"/>
        <v>0.12946139008382601</v>
      </c>
      <c r="AG75" s="10"/>
    </row>
    <row r="76" spans="1:33" x14ac:dyDescent="0.25">
      <c r="A76">
        <v>1682.2007100000001</v>
      </c>
      <c r="B76" s="10">
        <v>1.3809999999999999E-2</v>
      </c>
      <c r="C76" s="10">
        <f t="shared" si="2"/>
        <v>2.4512749999999997E-3</v>
      </c>
      <c r="E76" s="1">
        <v>1685.65</v>
      </c>
      <c r="F76" s="4">
        <v>0.17470136</v>
      </c>
      <c r="H76">
        <v>1684.65</v>
      </c>
      <c r="I76" s="7">
        <v>0.18001225920420599</v>
      </c>
      <c r="J76" s="4">
        <v>0.176916509317361</v>
      </c>
      <c r="K76" s="16"/>
      <c r="L76">
        <v>1685.65</v>
      </c>
      <c r="M76">
        <v>0.17297499999999999</v>
      </c>
      <c r="N76">
        <v>0.17525860000000001</v>
      </c>
      <c r="P76">
        <v>1685.65</v>
      </c>
      <c r="Q76">
        <v>128725065.780984</v>
      </c>
      <c r="R76">
        <f t="shared" si="3"/>
        <v>0.128725065780984</v>
      </c>
      <c r="AG76" s="10"/>
    </row>
    <row r="77" spans="1:33" x14ac:dyDescent="0.25">
      <c r="A77">
        <v>1682.2474400000001</v>
      </c>
      <c r="B77" s="10">
        <v>1.4670000000000001E-2</v>
      </c>
      <c r="C77" s="10">
        <f t="shared" si="2"/>
        <v>2.603925E-3</v>
      </c>
      <c r="E77" s="1">
        <v>1685.7</v>
      </c>
      <c r="F77" s="4">
        <v>0.17471941999999999</v>
      </c>
      <c r="H77">
        <v>1684.7</v>
      </c>
      <c r="I77" s="7">
        <v>0.17962088853880401</v>
      </c>
      <c r="J77" s="4">
        <v>0.17683681589907499</v>
      </c>
      <c r="K77" s="16"/>
      <c r="L77">
        <v>1685.7</v>
      </c>
      <c r="M77">
        <v>0.17269599999999999</v>
      </c>
      <c r="N77">
        <v>0.17536579999999999</v>
      </c>
      <c r="P77">
        <v>1685.7</v>
      </c>
      <c r="Q77">
        <v>125114506.18076199</v>
      </c>
      <c r="R77">
        <f t="shared" si="3"/>
        <v>0.125114506180762</v>
      </c>
      <c r="AG77" s="10"/>
    </row>
    <row r="78" spans="1:33" x14ac:dyDescent="0.25">
      <c r="A78">
        <v>1682.2941800000001</v>
      </c>
      <c r="B78" s="10">
        <v>1.5630000000000002E-2</v>
      </c>
      <c r="C78" s="10">
        <f t="shared" si="2"/>
        <v>2.7743250000000002E-3</v>
      </c>
      <c r="E78" s="1">
        <v>1685.75</v>
      </c>
      <c r="F78" s="4">
        <v>0.17474160999999999</v>
      </c>
      <c r="H78">
        <v>1684.75</v>
      </c>
      <c r="I78" s="7">
        <v>0.17925639879397401</v>
      </c>
      <c r="J78" s="4">
        <v>0.17675522296249699</v>
      </c>
      <c r="K78" s="16"/>
      <c r="L78">
        <v>1685.75</v>
      </c>
      <c r="M78">
        <v>0.17281199999999999</v>
      </c>
      <c r="N78">
        <v>0.17545959999999999</v>
      </c>
      <c r="P78">
        <v>1685.75</v>
      </c>
      <c r="Q78">
        <v>125145708.617533</v>
      </c>
      <c r="R78">
        <f t="shared" si="3"/>
        <v>0.12514570861753299</v>
      </c>
      <c r="AG78" s="10"/>
    </row>
    <row r="79" spans="1:33" x14ac:dyDescent="0.25">
      <c r="A79">
        <v>1682.3409099999999</v>
      </c>
      <c r="B79" s="10">
        <v>1.668E-2</v>
      </c>
      <c r="C79" s="10">
        <f t="shared" si="2"/>
        <v>2.9606999999999997E-3</v>
      </c>
      <c r="E79" s="1">
        <v>1685.8</v>
      </c>
      <c r="F79" s="4">
        <v>0.17477413</v>
      </c>
      <c r="H79">
        <v>1684.8</v>
      </c>
      <c r="I79" s="7">
        <v>0.178917395056959</v>
      </c>
      <c r="J79" s="4">
        <v>0.17667328844623401</v>
      </c>
      <c r="K79" s="16"/>
      <c r="L79">
        <v>1685.8</v>
      </c>
      <c r="M79">
        <v>0.17255499999999999</v>
      </c>
      <c r="N79">
        <v>0.17562040000000001</v>
      </c>
      <c r="P79">
        <v>1685.8</v>
      </c>
      <c r="Q79">
        <v>126024339.44677401</v>
      </c>
      <c r="R79">
        <f t="shared" si="3"/>
        <v>0.12602433944677402</v>
      </c>
      <c r="AG79" s="10"/>
    </row>
    <row r="80" spans="1:33" x14ac:dyDescent="0.25">
      <c r="A80">
        <v>1682.3876499999999</v>
      </c>
      <c r="B80" s="10">
        <v>1.7850000000000001E-2</v>
      </c>
      <c r="C80" s="10">
        <f t="shared" si="2"/>
        <v>3.1683750000000002E-3</v>
      </c>
      <c r="E80" s="1">
        <v>1685.85</v>
      </c>
      <c r="F80" s="4">
        <v>0.17480572999999999</v>
      </c>
      <c r="H80">
        <v>1684.85</v>
      </c>
      <c r="I80" s="7">
        <v>0.17860256668458499</v>
      </c>
      <c r="J80" s="4">
        <v>0.17659217226528101</v>
      </c>
      <c r="K80" s="16"/>
      <c r="L80">
        <v>1685.85</v>
      </c>
      <c r="M80">
        <v>0.172073</v>
      </c>
      <c r="N80">
        <v>0.17575440000000001</v>
      </c>
      <c r="P80">
        <v>1685.85</v>
      </c>
      <c r="Q80">
        <v>128135490.183788</v>
      </c>
      <c r="R80">
        <f t="shared" si="3"/>
        <v>0.128135490183788</v>
      </c>
      <c r="AG80" s="10"/>
    </row>
    <row r="81" spans="1:33" x14ac:dyDescent="0.25">
      <c r="A81">
        <v>1682.4343799999999</v>
      </c>
      <c r="B81" s="10">
        <v>1.916E-2</v>
      </c>
      <c r="C81" s="10">
        <f t="shared" si="2"/>
        <v>3.4008999999999997E-3</v>
      </c>
      <c r="E81" s="1">
        <v>1685.9</v>
      </c>
      <c r="F81" s="4">
        <v>0.17482391999999999</v>
      </c>
      <c r="H81">
        <v>1684.9</v>
      </c>
      <c r="I81" s="7">
        <v>0.178310484405169</v>
      </c>
      <c r="J81" s="4">
        <v>0.17651271910571001</v>
      </c>
      <c r="K81" s="16"/>
      <c r="L81">
        <v>1685.9</v>
      </c>
      <c r="M81">
        <v>0.172151</v>
      </c>
      <c r="N81">
        <v>0.17591520000000002</v>
      </c>
      <c r="P81">
        <v>1685.9</v>
      </c>
      <c r="Q81">
        <v>128325360.020716</v>
      </c>
      <c r="R81">
        <f t="shared" si="3"/>
        <v>0.12832536002071598</v>
      </c>
      <c r="AG81" s="10"/>
    </row>
    <row r="82" spans="1:33" x14ac:dyDescent="0.25">
      <c r="A82">
        <v>1682.4811199999999</v>
      </c>
      <c r="B82" s="10">
        <v>2.0629999999999999E-2</v>
      </c>
      <c r="C82" s="10">
        <f t="shared" si="2"/>
        <v>3.6618249999999996E-3</v>
      </c>
      <c r="E82" s="1">
        <v>1685.95</v>
      </c>
      <c r="F82" s="4">
        <v>0.17483172999999999</v>
      </c>
      <c r="H82">
        <v>1684.95</v>
      </c>
      <c r="I82" s="7">
        <v>0.178039628383618</v>
      </c>
      <c r="J82" s="4">
        <v>0.17643551915327901</v>
      </c>
      <c r="K82" s="16"/>
      <c r="L82">
        <v>1685.95</v>
      </c>
      <c r="M82">
        <v>0.172239</v>
      </c>
      <c r="N82">
        <v>0.17603579999999999</v>
      </c>
      <c r="P82">
        <v>1685.95</v>
      </c>
      <c r="Q82">
        <v>127178055.56465399</v>
      </c>
      <c r="R82">
        <f t="shared" si="3"/>
        <v>0.127178055564654</v>
      </c>
      <c r="AG82" s="10"/>
    </row>
    <row r="83" spans="1:33" x14ac:dyDescent="0.25">
      <c r="A83">
        <v>1682.5278499999999</v>
      </c>
      <c r="B83" s="10">
        <v>2.231E-2</v>
      </c>
      <c r="C83" s="10">
        <f t="shared" si="2"/>
        <v>3.9600249999999998E-3</v>
      </c>
      <c r="E83" s="1">
        <v>1686</v>
      </c>
      <c r="F83" s="4">
        <v>0.17484209000000001</v>
      </c>
      <c r="H83">
        <v>1685</v>
      </c>
      <c r="I83" s="7">
        <v>0.17778863917976101</v>
      </c>
      <c r="J83" s="4">
        <v>0.17636097034663301</v>
      </c>
      <c r="K83" s="16"/>
      <c r="L83">
        <v>1686</v>
      </c>
      <c r="M83">
        <v>0.17247999999999999</v>
      </c>
      <c r="N83">
        <v>0.17619659999999998</v>
      </c>
      <c r="P83">
        <v>1686</v>
      </c>
      <c r="Q83">
        <v>128523034.707525</v>
      </c>
      <c r="R83">
        <f t="shared" si="3"/>
        <v>0.12852303470752499</v>
      </c>
      <c r="AG83" s="10"/>
    </row>
    <row r="84" spans="1:33" x14ac:dyDescent="0.25">
      <c r="A84">
        <v>1682.5745899999999</v>
      </c>
      <c r="B84" s="10">
        <v>2.4209999999999999E-2</v>
      </c>
      <c r="C84" s="10">
        <f t="shared" si="2"/>
        <v>4.2972749999999997E-3</v>
      </c>
      <c r="E84" s="1">
        <v>1686.05</v>
      </c>
      <c r="F84" s="4">
        <v>0.17485382999999999</v>
      </c>
      <c r="H84">
        <v>1685.05</v>
      </c>
      <c r="I84" s="7">
        <v>0.177556188316074</v>
      </c>
      <c r="J84" s="4">
        <v>0.17628933918696599</v>
      </c>
      <c r="K84" s="16"/>
      <c r="L84">
        <v>1686.05</v>
      </c>
      <c r="M84">
        <v>0.17233699999999999</v>
      </c>
      <c r="N84">
        <v>0.1763306</v>
      </c>
      <c r="P84">
        <v>1686.05</v>
      </c>
      <c r="Q84">
        <v>127958679.45656499</v>
      </c>
      <c r="R84">
        <f t="shared" si="3"/>
        <v>0.127958679456565</v>
      </c>
      <c r="AG84" s="10"/>
    </row>
    <row r="85" spans="1:33" x14ac:dyDescent="0.25">
      <c r="A85">
        <v>1682.62132</v>
      </c>
      <c r="B85" s="10">
        <v>2.6409999999999999E-2</v>
      </c>
      <c r="C85" s="10">
        <f t="shared" si="2"/>
        <v>4.6877749999999999E-3</v>
      </c>
      <c r="E85" s="1">
        <v>1686.1</v>
      </c>
      <c r="F85" s="4">
        <v>0.17486731999999999</v>
      </c>
      <c r="H85">
        <v>1685.1</v>
      </c>
      <c r="I85" s="7">
        <v>0.177341028122141</v>
      </c>
      <c r="J85" s="4">
        <v>0.17622078839608099</v>
      </c>
      <c r="K85" s="16"/>
      <c r="L85">
        <v>1686.1</v>
      </c>
      <c r="M85">
        <v>0.17206099999999999</v>
      </c>
      <c r="N85">
        <v>0.1764512</v>
      </c>
      <c r="P85">
        <v>1686.1</v>
      </c>
      <c r="Q85">
        <v>125329997.146367</v>
      </c>
      <c r="R85">
        <f t="shared" si="3"/>
        <v>0.125329997146367</v>
      </c>
      <c r="AG85" s="10"/>
    </row>
    <row r="86" spans="1:33" x14ac:dyDescent="0.25">
      <c r="A86">
        <v>1682.66806</v>
      </c>
      <c r="B86" s="10">
        <v>2.896E-2</v>
      </c>
      <c r="C86" s="10">
        <f t="shared" si="2"/>
        <v>5.1403999999999998E-3</v>
      </c>
      <c r="E86" s="1">
        <v>1686.15</v>
      </c>
      <c r="F86" s="4">
        <v>0.17489115999999999</v>
      </c>
      <c r="H86">
        <v>1685.15</v>
      </c>
      <c r="I86" s="7">
        <v>0.17714195284202999</v>
      </c>
      <c r="J86" s="4">
        <v>0.17615538759115801</v>
      </c>
      <c r="K86" s="16"/>
      <c r="L86">
        <v>1686.15</v>
      </c>
      <c r="M86">
        <v>0.171991</v>
      </c>
      <c r="N86">
        <v>0.1765852</v>
      </c>
      <c r="P86">
        <v>1686.15</v>
      </c>
      <c r="Q86">
        <v>127729870.007535</v>
      </c>
      <c r="R86">
        <f t="shared" si="3"/>
        <v>0.127729870007535</v>
      </c>
      <c r="AG86" s="10"/>
    </row>
    <row r="87" spans="1:33" x14ac:dyDescent="0.25">
      <c r="A87">
        <v>1682.71479</v>
      </c>
      <c r="B87" s="10">
        <v>3.1980000000000001E-2</v>
      </c>
      <c r="C87" s="10">
        <f t="shared" si="2"/>
        <v>5.6764499999999996E-3</v>
      </c>
      <c r="E87" s="1">
        <v>1686.2</v>
      </c>
      <c r="F87" s="4">
        <v>0.17488734</v>
      </c>
      <c r="H87">
        <v>1685.2</v>
      </c>
      <c r="I87" s="7">
        <v>0.17695783278001001</v>
      </c>
      <c r="J87" s="4">
        <v>0.176093136016582</v>
      </c>
      <c r="K87" s="16"/>
      <c r="L87">
        <v>1686.2</v>
      </c>
      <c r="M87">
        <v>0.171961</v>
      </c>
      <c r="N87">
        <v>0.17670580000000002</v>
      </c>
      <c r="P87">
        <v>1686.2</v>
      </c>
      <c r="Q87">
        <v>128157545.824449</v>
      </c>
      <c r="R87">
        <f t="shared" si="3"/>
        <v>0.12815754582444899</v>
      </c>
      <c r="AG87" s="10"/>
    </row>
    <row r="88" spans="1:33" x14ac:dyDescent="0.25">
      <c r="A88">
        <v>1682.76153</v>
      </c>
      <c r="B88" s="10">
        <v>3.5560000000000001E-2</v>
      </c>
      <c r="C88" s="10">
        <f t="shared" si="2"/>
        <v>6.3118999999999996E-3</v>
      </c>
      <c r="E88" s="1">
        <v>1686.25</v>
      </c>
      <c r="F88" s="4">
        <v>0.17490163</v>
      </c>
      <c r="H88">
        <v>1685.25</v>
      </c>
      <c r="I88" s="7">
        <v>0.17678763365486999</v>
      </c>
      <c r="J88" s="4">
        <v>0.17603399944168499</v>
      </c>
      <c r="K88" s="16"/>
      <c r="L88">
        <v>1686.25</v>
      </c>
      <c r="M88">
        <v>0.17227899999999999</v>
      </c>
      <c r="N88">
        <v>0.17682639999999999</v>
      </c>
      <c r="P88">
        <v>1686.25</v>
      </c>
      <c r="Q88">
        <v>126782047.905742</v>
      </c>
      <c r="R88">
        <f t="shared" si="3"/>
        <v>0.12678204790574202</v>
      </c>
      <c r="AG88" s="10"/>
    </row>
    <row r="89" spans="1:33" x14ac:dyDescent="0.25">
      <c r="A89">
        <v>1682.80826</v>
      </c>
      <c r="B89" s="10">
        <v>3.9910000000000001E-2</v>
      </c>
      <c r="C89" s="10">
        <f t="shared" si="2"/>
        <v>7.0840249999999999E-3</v>
      </c>
      <c r="E89" s="1">
        <v>1686.3</v>
      </c>
      <c r="F89" s="4">
        <v>0.17489875999999999</v>
      </c>
      <c r="H89">
        <v>1685.3</v>
      </c>
      <c r="I89" s="7">
        <v>0.176630356845033</v>
      </c>
      <c r="J89" s="4">
        <v>0.17597791718103301</v>
      </c>
      <c r="K89" s="16"/>
      <c r="L89">
        <v>1686.3</v>
      </c>
      <c r="M89">
        <v>0.17274800000000001</v>
      </c>
      <c r="N89">
        <v>0.1769068</v>
      </c>
      <c r="P89">
        <v>1686.3</v>
      </c>
      <c r="Q89">
        <v>129558076.261455</v>
      </c>
      <c r="R89">
        <f t="shared" si="3"/>
        <v>0.12955807626145499</v>
      </c>
      <c r="AG89" s="10"/>
    </row>
    <row r="90" spans="1:33" x14ac:dyDescent="0.25">
      <c r="A90">
        <v>1682.855</v>
      </c>
      <c r="B90" s="10">
        <v>4.5269999999999998E-2</v>
      </c>
      <c r="C90" s="10">
        <f t="shared" si="2"/>
        <v>8.0354249999999988E-3</v>
      </c>
      <c r="E90" s="1">
        <v>1686.35</v>
      </c>
      <c r="F90" s="4">
        <v>0.17490827</v>
      </c>
      <c r="H90">
        <v>1685.35</v>
      </c>
      <c r="I90" s="7">
        <v>0.176485055486679</v>
      </c>
      <c r="J90" s="4">
        <v>0.17592480354856699</v>
      </c>
      <c r="K90" s="16"/>
      <c r="L90">
        <v>1686.35</v>
      </c>
      <c r="M90">
        <v>0.17353399999999999</v>
      </c>
      <c r="N90">
        <v>0.1770274</v>
      </c>
      <c r="P90">
        <v>1686.35</v>
      </c>
      <c r="Q90">
        <v>128614392.66399901</v>
      </c>
      <c r="R90">
        <f t="shared" si="3"/>
        <v>0.12861439266399902</v>
      </c>
      <c r="AG90" s="10"/>
    </row>
    <row r="91" spans="1:33" x14ac:dyDescent="0.25">
      <c r="A91">
        <v>1682.90174</v>
      </c>
      <c r="B91" s="10">
        <v>5.2049999999999999E-2</v>
      </c>
      <c r="C91" s="10">
        <f t="shared" si="2"/>
        <v>9.2388749999999988E-3</v>
      </c>
      <c r="E91" s="1">
        <v>1686.4</v>
      </c>
      <c r="F91" s="4">
        <v>0.17491393999999999</v>
      </c>
      <c r="H91">
        <v>1685.4</v>
      </c>
      <c r="I91" s="7">
        <v>0.17635086281260501</v>
      </c>
      <c r="J91" s="4">
        <v>0.17587455335768301</v>
      </c>
      <c r="K91" s="16"/>
      <c r="L91">
        <v>1686.4</v>
      </c>
      <c r="M91">
        <v>0.173677</v>
      </c>
      <c r="N91">
        <v>0.17708099999999999</v>
      </c>
      <c r="P91">
        <v>1686.4</v>
      </c>
      <c r="Q91">
        <v>128498048.810684</v>
      </c>
      <c r="R91">
        <f t="shared" si="3"/>
        <v>0.128498048810684</v>
      </c>
      <c r="AG91" s="10"/>
    </row>
    <row r="92" spans="1:33" x14ac:dyDescent="0.25">
      <c r="A92">
        <v>1682.94847</v>
      </c>
      <c r="B92" s="10">
        <v>6.0839999999999998E-2</v>
      </c>
      <c r="C92" s="10">
        <f t="shared" si="2"/>
        <v>1.0799099999999999E-2</v>
      </c>
      <c r="E92" s="1">
        <v>1686.45</v>
      </c>
      <c r="F92" s="4">
        <v>0.17490701</v>
      </c>
      <c r="H92">
        <v>1685.45</v>
      </c>
      <c r="I92" s="7">
        <v>0.17622697772109699</v>
      </c>
      <c r="J92" s="4">
        <v>0.175827053485551</v>
      </c>
      <c r="K92" s="16"/>
      <c r="L92">
        <v>1686.45</v>
      </c>
      <c r="M92">
        <v>0.17358199999999999</v>
      </c>
      <c r="N92">
        <v>0.17714800000000003</v>
      </c>
      <c r="P92">
        <v>1686.45</v>
      </c>
      <c r="Q92">
        <v>127122973.34035499</v>
      </c>
      <c r="R92">
        <f t="shared" si="3"/>
        <v>0.12712297334035499</v>
      </c>
      <c r="AG92" s="10"/>
    </row>
    <row r="93" spans="1:33" x14ac:dyDescent="0.25">
      <c r="A93">
        <v>1682.99521</v>
      </c>
      <c r="B93" s="10">
        <v>7.2639999999999996E-2</v>
      </c>
      <c r="C93" s="10">
        <f t="shared" si="2"/>
        <v>1.2893599999999998E-2</v>
      </c>
      <c r="E93" s="1">
        <v>1686.5</v>
      </c>
      <c r="F93" s="4">
        <v>0.17489579</v>
      </c>
      <c r="H93">
        <v>1685.5</v>
      </c>
      <c r="I93" s="7">
        <v>0.17611264908834601</v>
      </c>
      <c r="J93" s="4">
        <v>0.17578219559001601</v>
      </c>
      <c r="K93" s="16"/>
      <c r="L93">
        <v>1686.5</v>
      </c>
      <c r="M93">
        <v>0.17379600000000001</v>
      </c>
      <c r="N93">
        <v>0.17720159999999999</v>
      </c>
      <c r="P93">
        <v>1686.5</v>
      </c>
      <c r="Q93">
        <v>128879580.16734099</v>
      </c>
      <c r="R93">
        <f t="shared" si="3"/>
        <v>0.128879580167341</v>
      </c>
      <c r="AG93" s="10"/>
    </row>
    <row r="94" spans="1:33" x14ac:dyDescent="0.25">
      <c r="A94">
        <v>1683.0419400000001</v>
      </c>
      <c r="B94" s="10">
        <v>8.9230000000000004E-2</v>
      </c>
      <c r="C94" s="10">
        <f t="shared" si="2"/>
        <v>1.5838325E-2</v>
      </c>
      <c r="E94" s="1">
        <v>1686.55</v>
      </c>
      <c r="F94" s="4">
        <v>0.17489663</v>
      </c>
      <c r="H94">
        <v>1685.55</v>
      </c>
      <c r="I94" s="7">
        <v>0.176007171829896</v>
      </c>
      <c r="J94" s="4">
        <v>0.17573985999953601</v>
      </c>
      <c r="K94" s="16"/>
      <c r="L94">
        <v>1686.55</v>
      </c>
      <c r="M94">
        <v>0.17428199999999999</v>
      </c>
      <c r="N94">
        <v>0.1772418</v>
      </c>
      <c r="P94">
        <v>1686.55</v>
      </c>
      <c r="Q94">
        <v>129214982.773618</v>
      </c>
      <c r="R94">
        <f t="shared" si="3"/>
        <v>0.12921498277361801</v>
      </c>
      <c r="AG94" s="10"/>
    </row>
    <row r="95" spans="1:33" x14ac:dyDescent="0.25">
      <c r="A95">
        <v>1683.0886800000001</v>
      </c>
      <c r="B95" s="10">
        <v>0.11409999999999999</v>
      </c>
      <c r="C95" s="10">
        <f t="shared" si="2"/>
        <v>2.0252749999999996E-2</v>
      </c>
      <c r="E95" s="1">
        <v>1686.6</v>
      </c>
      <c r="F95" s="4">
        <v>0.17488818</v>
      </c>
      <c r="H95">
        <v>1685.6</v>
      </c>
      <c r="I95" s="7">
        <v>0.175909922115669</v>
      </c>
      <c r="J95" s="4">
        <v>0.17569992753737099</v>
      </c>
      <c r="K95" s="16"/>
      <c r="L95">
        <v>1686.6</v>
      </c>
      <c r="M95">
        <v>0.175348</v>
      </c>
      <c r="N95">
        <v>0.1772552</v>
      </c>
      <c r="P95">
        <v>1686.6</v>
      </c>
      <c r="Q95">
        <v>127676935.924605</v>
      </c>
      <c r="R95">
        <f t="shared" si="3"/>
        <v>0.127676935924605</v>
      </c>
      <c r="AG95" s="10"/>
    </row>
    <row r="96" spans="1:33" x14ac:dyDescent="0.25">
      <c r="A96">
        <v>1683.1354100000001</v>
      </c>
      <c r="B96" s="10">
        <v>0.15440000000000001</v>
      </c>
      <c r="C96" s="10">
        <f t="shared" si="2"/>
        <v>2.7406E-2</v>
      </c>
      <c r="E96" s="1">
        <v>1686.65</v>
      </c>
      <c r="F96" s="4">
        <v>0.17488993999999999</v>
      </c>
      <c r="H96">
        <v>1685.65</v>
      </c>
      <c r="I96" s="7">
        <v>0.175820316526272</v>
      </c>
      <c r="J96" s="4">
        <v>0.17566229160639199</v>
      </c>
      <c r="K96" s="16"/>
      <c r="L96">
        <v>1686.65</v>
      </c>
      <c r="M96">
        <v>0.176372</v>
      </c>
      <c r="N96">
        <v>0.17729539999999999</v>
      </c>
      <c r="P96">
        <v>1686.65</v>
      </c>
      <c r="Q96">
        <v>128089524.846387</v>
      </c>
      <c r="R96">
        <f t="shared" si="3"/>
        <v>0.128089524846387</v>
      </c>
      <c r="AG96" s="10"/>
    </row>
    <row r="97" spans="1:33" x14ac:dyDescent="0.25">
      <c r="A97">
        <v>1683.1821500000001</v>
      </c>
      <c r="B97" s="10">
        <v>0.22869999999999999</v>
      </c>
      <c r="C97" s="10">
        <f t="shared" si="2"/>
        <v>4.0594249999999998E-2</v>
      </c>
      <c r="E97" s="1">
        <v>1686.7</v>
      </c>
      <c r="F97" s="4">
        <v>0.17488565</v>
      </c>
      <c r="H97">
        <v>1685.7</v>
      </c>
      <c r="I97" s="7">
        <v>0.17573780462754601</v>
      </c>
      <c r="J97" s="4">
        <v>0.17562683868946299</v>
      </c>
      <c r="K97" s="16"/>
      <c r="L97">
        <v>1686.7</v>
      </c>
      <c r="M97">
        <v>0.17619599999999999</v>
      </c>
      <c r="N97">
        <v>0.17763040000000002</v>
      </c>
      <c r="P97">
        <v>1686.7</v>
      </c>
      <c r="Q97">
        <v>127357291.835838</v>
      </c>
      <c r="R97">
        <f t="shared" si="3"/>
        <v>0.12735729183583799</v>
      </c>
      <c r="AG97" s="10"/>
    </row>
    <row r="98" spans="1:33" x14ac:dyDescent="0.25">
      <c r="A98">
        <v>1683.2288799999999</v>
      </c>
      <c r="B98" s="10">
        <v>0.39240000000000003</v>
      </c>
      <c r="C98" s="10">
        <f t="shared" si="2"/>
        <v>6.9651000000000005E-2</v>
      </c>
      <c r="E98" s="1">
        <v>1686.75</v>
      </c>
      <c r="F98" s="4">
        <v>0.17487897999999999</v>
      </c>
      <c r="H98">
        <v>1685.75</v>
      </c>
      <c r="I98" s="7">
        <v>0.17566187165497801</v>
      </c>
      <c r="J98" s="4">
        <v>0.17559345461951001</v>
      </c>
      <c r="K98" s="16"/>
      <c r="L98">
        <v>1686.75</v>
      </c>
      <c r="M98">
        <v>0.176091</v>
      </c>
      <c r="N98">
        <v>0.17764379999999999</v>
      </c>
      <c r="P98">
        <v>1686.75</v>
      </c>
      <c r="Q98">
        <v>128123250.602892</v>
      </c>
      <c r="R98">
        <f t="shared" si="3"/>
        <v>0.12812325060289201</v>
      </c>
      <c r="AG98" s="10"/>
    </row>
    <row r="99" spans="1:33" x14ac:dyDescent="0.25">
      <c r="A99">
        <v>1683.2756199999999</v>
      </c>
      <c r="B99" s="10">
        <v>0.79600000000000004</v>
      </c>
      <c r="C99" s="10">
        <f t="shared" si="2"/>
        <v>0.14129</v>
      </c>
      <c r="E99" s="1">
        <v>1686.8</v>
      </c>
      <c r="F99" s="4">
        <v>0.17486209999999999</v>
      </c>
      <c r="H99">
        <v>1685.8</v>
      </c>
      <c r="I99" s="7">
        <v>0.175592025303206</v>
      </c>
      <c r="J99" s="4">
        <v>0.17556203804821199</v>
      </c>
      <c r="K99" s="16"/>
      <c r="L99">
        <v>1686.8</v>
      </c>
      <c r="M99">
        <v>0.17665500000000001</v>
      </c>
      <c r="N99">
        <v>0.17767060000000001</v>
      </c>
      <c r="P99">
        <v>1686.8</v>
      </c>
      <c r="Q99">
        <v>129988852.023479</v>
      </c>
      <c r="R99">
        <f t="shared" si="3"/>
        <v>0.12998885202347901</v>
      </c>
      <c r="AG99" s="10"/>
    </row>
    <row r="100" spans="1:33" x14ac:dyDescent="0.25">
      <c r="A100">
        <v>1683.3223499999999</v>
      </c>
      <c r="B100" s="10">
        <v>1.284</v>
      </c>
      <c r="C100" s="10">
        <f t="shared" si="2"/>
        <v>0.22791</v>
      </c>
      <c r="E100" s="1">
        <v>1686.85</v>
      </c>
      <c r="F100" s="4">
        <v>0.17485212</v>
      </c>
      <c r="H100">
        <v>1685.85</v>
      </c>
      <c r="I100" s="7">
        <v>0.175527829670378</v>
      </c>
      <c r="J100" s="4">
        <v>0.17553249337535701</v>
      </c>
      <c r="K100" s="16"/>
      <c r="L100">
        <v>1686.85</v>
      </c>
      <c r="M100">
        <v>0.17785200000000001</v>
      </c>
      <c r="N100">
        <v>0.17765720000000002</v>
      </c>
      <c r="P100">
        <v>1686.85</v>
      </c>
      <c r="Q100">
        <v>129351114.960352</v>
      </c>
      <c r="R100">
        <f t="shared" si="3"/>
        <v>0.12935111496035201</v>
      </c>
      <c r="AG100" s="10"/>
    </row>
    <row r="101" spans="1:33" x14ac:dyDescent="0.25">
      <c r="A101">
        <v>1683.3690899999999</v>
      </c>
      <c r="B101" s="10">
        <v>1.371</v>
      </c>
      <c r="C101" s="10">
        <f t="shared" si="2"/>
        <v>0.2433525</v>
      </c>
      <c r="E101" s="1">
        <v>1686.9</v>
      </c>
      <c r="F101" s="4">
        <v>0.17484189999999999</v>
      </c>
      <c r="H101">
        <v>1685.9</v>
      </c>
      <c r="I101" s="7">
        <v>0.17546889464335599</v>
      </c>
      <c r="J101" s="4">
        <v>0.175504720676601</v>
      </c>
      <c r="K101" s="16"/>
      <c r="L101">
        <v>1686.9</v>
      </c>
      <c r="M101">
        <v>0.17852000000000001</v>
      </c>
      <c r="N101">
        <v>0.17767060000000001</v>
      </c>
      <c r="P101">
        <v>1686.9</v>
      </c>
      <c r="Q101">
        <v>128271619.284982</v>
      </c>
      <c r="R101">
        <f t="shared" si="3"/>
        <v>0.12827161928498199</v>
      </c>
      <c r="AG101" s="10"/>
    </row>
    <row r="102" spans="1:33" x14ac:dyDescent="0.25">
      <c r="A102">
        <v>1683.4158199999999</v>
      </c>
      <c r="B102" s="10">
        <v>1.33</v>
      </c>
      <c r="C102" s="10">
        <f t="shared" si="2"/>
        <v>0.23607500000000001</v>
      </c>
      <c r="E102" s="1">
        <v>1686.95</v>
      </c>
      <c r="F102" s="4">
        <v>0.17483926</v>
      </c>
      <c r="H102">
        <v>1685.95</v>
      </c>
      <c r="I102" s="7">
        <v>0.175414836503309</v>
      </c>
      <c r="J102" s="4">
        <v>0.17547863167081401</v>
      </c>
      <c r="K102" s="16"/>
      <c r="L102">
        <v>1686.95</v>
      </c>
      <c r="M102">
        <v>0.178449</v>
      </c>
      <c r="N102">
        <v>0.17767060000000001</v>
      </c>
      <c r="P102">
        <v>1686.95</v>
      </c>
      <c r="Q102">
        <v>126663418.311474</v>
      </c>
      <c r="R102">
        <f t="shared" si="3"/>
        <v>0.12666341831147399</v>
      </c>
      <c r="AG102" s="10"/>
    </row>
    <row r="103" spans="1:33" x14ac:dyDescent="0.25">
      <c r="A103">
        <v>1683.4625599999999</v>
      </c>
      <c r="B103" s="10">
        <v>1.2869999999999999</v>
      </c>
      <c r="C103" s="10">
        <f t="shared" si="2"/>
        <v>0.22844249999999997</v>
      </c>
      <c r="E103" s="1">
        <v>1687</v>
      </c>
      <c r="F103" s="4">
        <v>0.17482258000000001</v>
      </c>
      <c r="H103">
        <v>1686</v>
      </c>
      <c r="I103" s="7">
        <v>0.17536529030385301</v>
      </c>
      <c r="J103" s="4">
        <v>0.17545413757449699</v>
      </c>
      <c r="K103" s="16"/>
      <c r="L103">
        <v>1687</v>
      </c>
      <c r="M103">
        <v>0.17832100000000001</v>
      </c>
      <c r="N103">
        <v>0.17765720000000002</v>
      </c>
      <c r="P103">
        <v>1687</v>
      </c>
      <c r="Q103">
        <v>124958671.76381201</v>
      </c>
      <c r="R103">
        <f t="shared" si="3"/>
        <v>0.12495867176381201</v>
      </c>
      <c r="AG103" s="10"/>
    </row>
    <row r="104" spans="1:33" x14ac:dyDescent="0.25">
      <c r="A104">
        <v>1683.50929</v>
      </c>
      <c r="B104" s="10">
        <v>1.2509999999999999</v>
      </c>
      <c r="C104" s="10">
        <f t="shared" si="2"/>
        <v>0.22205249999999996</v>
      </c>
      <c r="E104" s="1">
        <v>1687.05</v>
      </c>
      <c r="F104" s="4">
        <v>0.17480977</v>
      </c>
      <c r="H104">
        <v>1686.05</v>
      </c>
      <c r="I104" s="7">
        <v>0.17531992575352001</v>
      </c>
      <c r="J104" s="4">
        <v>0.17543114991816899</v>
      </c>
      <c r="K104" s="16"/>
      <c r="L104">
        <v>1687.05</v>
      </c>
      <c r="M104">
        <v>0.179315</v>
      </c>
      <c r="N104">
        <v>0.17767060000000001</v>
      </c>
      <c r="P104">
        <v>1687.05</v>
      </c>
      <c r="Q104">
        <v>128226304.063932</v>
      </c>
      <c r="R104">
        <f t="shared" si="3"/>
        <v>0.12822630406393201</v>
      </c>
      <c r="AG104" s="10"/>
    </row>
    <row r="105" spans="1:33" x14ac:dyDescent="0.25">
      <c r="A105">
        <v>1683.55603</v>
      </c>
      <c r="B105" s="10">
        <v>1.222</v>
      </c>
      <c r="C105" s="10">
        <f t="shared" si="2"/>
        <v>0.21690499999999999</v>
      </c>
      <c r="E105" s="1">
        <v>1687.1</v>
      </c>
      <c r="F105" s="4">
        <v>0.17480385000000001</v>
      </c>
      <c r="H105">
        <v>1686.1</v>
      </c>
      <c r="I105" s="7">
        <v>0.17527846175042699</v>
      </c>
      <c r="J105" s="4">
        <v>0.175409593386361</v>
      </c>
      <c r="K105" s="16"/>
      <c r="L105">
        <v>1687.1</v>
      </c>
      <c r="M105">
        <v>0.18055199999999999</v>
      </c>
      <c r="N105">
        <v>0.17764379999999999</v>
      </c>
      <c r="P105">
        <v>1687.1</v>
      </c>
      <c r="Q105">
        <v>129454547.65306801</v>
      </c>
      <c r="R105">
        <f t="shared" si="3"/>
        <v>0.12945454765306802</v>
      </c>
      <c r="AG105" s="10"/>
    </row>
    <row r="106" spans="1:33" x14ac:dyDescent="0.25">
      <c r="A106">
        <v>1683.60276</v>
      </c>
      <c r="B106" s="10">
        <v>1.1970000000000001</v>
      </c>
      <c r="C106" s="10">
        <f t="shared" si="2"/>
        <v>0.2124675</v>
      </c>
      <c r="E106" s="1">
        <v>1687.15</v>
      </c>
      <c r="F106" s="4">
        <v>0.17478543999999999</v>
      </c>
      <c r="H106">
        <v>1686.15</v>
      </c>
      <c r="I106" s="7">
        <v>0.175240634999307</v>
      </c>
      <c r="J106" s="4">
        <v>0.17538938994778699</v>
      </c>
      <c r="K106" s="16"/>
      <c r="L106">
        <v>1687.15</v>
      </c>
      <c r="M106">
        <v>0.18029999999999999</v>
      </c>
      <c r="N106">
        <v>0.17765720000000002</v>
      </c>
      <c r="P106">
        <v>1687.15</v>
      </c>
      <c r="Q106">
        <v>130013559.636646</v>
      </c>
      <c r="R106">
        <f t="shared" si="3"/>
        <v>0.13001355963664601</v>
      </c>
      <c r="AG106" s="10"/>
    </row>
    <row r="107" spans="1:33" x14ac:dyDescent="0.25">
      <c r="A107">
        <v>1683.6495</v>
      </c>
      <c r="B107" s="10">
        <v>1.177</v>
      </c>
      <c r="C107" s="10">
        <f t="shared" si="2"/>
        <v>0.20891750000000001</v>
      </c>
      <c r="E107" s="1">
        <v>1687.2</v>
      </c>
      <c r="F107" s="4">
        <v>0.17477508999999999</v>
      </c>
      <c r="H107">
        <v>1686.2</v>
      </c>
      <c r="I107" s="7">
        <v>0.175206163434934</v>
      </c>
      <c r="J107" s="4">
        <v>0.17537047063679401</v>
      </c>
      <c r="K107" s="16"/>
      <c r="L107">
        <v>1687.2</v>
      </c>
      <c r="M107">
        <v>0.18003</v>
      </c>
      <c r="N107">
        <v>0.17767060000000001</v>
      </c>
      <c r="P107">
        <v>1687.2</v>
      </c>
      <c r="Q107">
        <v>131423190.220358</v>
      </c>
      <c r="R107">
        <f t="shared" si="3"/>
        <v>0.131423190220358</v>
      </c>
      <c r="AG107" s="10"/>
    </row>
    <row r="108" spans="1:33" x14ac:dyDescent="0.25">
      <c r="A108">
        <v>1683.69623</v>
      </c>
      <c r="B108" s="10">
        <v>1.1599999999999999</v>
      </c>
      <c r="C108" s="10">
        <f t="shared" si="2"/>
        <v>0.20589999999999997</v>
      </c>
      <c r="E108" s="1">
        <v>1687.25</v>
      </c>
      <c r="F108" s="4">
        <v>0.17477988</v>
      </c>
      <c r="H108">
        <v>1686.25</v>
      </c>
      <c r="I108" s="7">
        <v>0.17517481080931899</v>
      </c>
      <c r="J108" s="4">
        <v>0.17535277039408301</v>
      </c>
      <c r="K108" s="16"/>
      <c r="L108">
        <v>1687.25</v>
      </c>
      <c r="M108">
        <v>0.18051900000000001</v>
      </c>
      <c r="N108">
        <v>0.17768399999999998</v>
      </c>
      <c r="P108">
        <v>1687.25</v>
      </c>
      <c r="Q108">
        <v>130283297.290797</v>
      </c>
      <c r="R108">
        <f t="shared" si="3"/>
        <v>0.13028329729079699</v>
      </c>
      <c r="AG108" s="10"/>
    </row>
    <row r="109" spans="1:33" x14ac:dyDescent="0.25">
      <c r="A109">
        <v>1683.74297</v>
      </c>
      <c r="B109" s="10">
        <v>1.1439999999999999</v>
      </c>
      <c r="C109" s="10">
        <f t="shared" si="2"/>
        <v>0.20305999999999996</v>
      </c>
      <c r="E109" s="1">
        <v>1687.3</v>
      </c>
      <c r="F109" s="4">
        <v>0.17477706000000001</v>
      </c>
      <c r="H109">
        <v>1686.3</v>
      </c>
      <c r="I109" s="7">
        <v>0.175146354650212</v>
      </c>
      <c r="J109" s="4">
        <v>0.17533622055025899</v>
      </c>
      <c r="K109" s="16"/>
      <c r="L109">
        <v>1687.3</v>
      </c>
      <c r="M109">
        <v>0.181614</v>
      </c>
      <c r="N109">
        <v>0.17768399999999998</v>
      </c>
      <c r="P109">
        <v>1687.3</v>
      </c>
      <c r="Q109">
        <v>127529058.453394</v>
      </c>
      <c r="R109">
        <f t="shared" si="3"/>
        <v>0.12752905845339399</v>
      </c>
      <c r="AG109" s="10"/>
    </row>
    <row r="110" spans="1:33" x14ac:dyDescent="0.25">
      <c r="A110">
        <v>1683.7897</v>
      </c>
      <c r="B110" s="10">
        <v>1.131</v>
      </c>
      <c r="C110" s="10">
        <f t="shared" si="2"/>
        <v>0.2007525</v>
      </c>
      <c r="E110" s="1">
        <v>1687.35</v>
      </c>
      <c r="F110" s="4">
        <v>0.17476781</v>
      </c>
      <c r="H110">
        <v>1686.35</v>
      </c>
      <c r="I110" s="7">
        <v>0.175120578090002</v>
      </c>
      <c r="J110" s="4">
        <v>0.175320760352039</v>
      </c>
      <c r="K110" s="16"/>
      <c r="L110">
        <v>1687.35</v>
      </c>
      <c r="M110">
        <v>0.181756</v>
      </c>
      <c r="N110">
        <v>0.1777108</v>
      </c>
      <c r="P110">
        <v>1687.35</v>
      </c>
      <c r="Q110">
        <v>127205504.59805299</v>
      </c>
      <c r="R110">
        <f t="shared" si="3"/>
        <v>0.12720550459805299</v>
      </c>
      <c r="AG110" s="10"/>
    </row>
    <row r="111" spans="1:33" x14ac:dyDescent="0.25">
      <c r="A111">
        <v>1683.83644</v>
      </c>
      <c r="B111" s="10">
        <v>1.119</v>
      </c>
      <c r="C111" s="10">
        <f t="shared" si="2"/>
        <v>0.19862249999999998</v>
      </c>
      <c r="E111" s="1">
        <v>1687.4</v>
      </c>
      <c r="F111" s="4">
        <v>0.17475495999999999</v>
      </c>
      <c r="H111">
        <v>1686.4</v>
      </c>
      <c r="I111" s="7">
        <v>0.17509728989179599</v>
      </c>
      <c r="J111" s="4">
        <v>0.17530632982807801</v>
      </c>
      <c r="K111" s="16"/>
      <c r="L111">
        <v>1687.4</v>
      </c>
      <c r="M111">
        <v>0.18143000000000001</v>
      </c>
      <c r="N111">
        <v>0.17776440000000002</v>
      </c>
      <c r="P111">
        <v>1687.4</v>
      </c>
      <c r="Q111">
        <v>128478256.12330399</v>
      </c>
      <c r="R111">
        <f t="shared" si="3"/>
        <v>0.12847825612330399</v>
      </c>
      <c r="AG111" s="10"/>
    </row>
    <row r="112" spans="1:33" x14ac:dyDescent="0.25">
      <c r="A112">
        <v>1683.8831700000001</v>
      </c>
      <c r="B112" s="10">
        <v>1.109</v>
      </c>
      <c r="C112" s="10">
        <f t="shared" si="2"/>
        <v>0.19684749999999998</v>
      </c>
      <c r="E112" s="1">
        <v>1687.45</v>
      </c>
      <c r="F112" s="4">
        <v>0.17475319</v>
      </c>
      <c r="H112">
        <v>1686.45</v>
      </c>
      <c r="I112" s="7">
        <v>0.17507630968549201</v>
      </c>
      <c r="J112" s="4">
        <v>0.17529287268881599</v>
      </c>
      <c r="K112" s="16"/>
      <c r="L112">
        <v>1687.45</v>
      </c>
      <c r="M112">
        <v>0.181756</v>
      </c>
      <c r="N112">
        <v>0.17780460000000001</v>
      </c>
      <c r="P112">
        <v>1687.45</v>
      </c>
      <c r="Q112">
        <v>128324274.32978401</v>
      </c>
      <c r="R112">
        <f t="shared" si="3"/>
        <v>0.12832427432978399</v>
      </c>
      <c r="AG112" s="10"/>
    </row>
    <row r="113" spans="1:33" x14ac:dyDescent="0.25">
      <c r="A113">
        <v>1683.9299100000001</v>
      </c>
      <c r="B113" s="10">
        <v>1.099</v>
      </c>
      <c r="C113" s="10">
        <f t="shared" si="2"/>
        <v>0.19507249999999998</v>
      </c>
      <c r="E113" s="1">
        <v>1687.5</v>
      </c>
      <c r="F113" s="4">
        <v>0.17475122000000001</v>
      </c>
      <c r="H113">
        <v>1686.5</v>
      </c>
      <c r="I113" s="7">
        <v>0.17505746383710299</v>
      </c>
      <c r="J113" s="4">
        <v>0.17528033791759801</v>
      </c>
      <c r="K113" s="16"/>
      <c r="L113">
        <v>1687.5</v>
      </c>
      <c r="M113">
        <v>0.18268400000000001</v>
      </c>
      <c r="N113">
        <v>0.17787159999999999</v>
      </c>
      <c r="P113">
        <v>1687.5</v>
      </c>
      <c r="Q113">
        <v>130954693.082505</v>
      </c>
      <c r="R113">
        <f t="shared" si="3"/>
        <v>0.13095469308250501</v>
      </c>
      <c r="AG113" s="10"/>
    </row>
    <row r="114" spans="1:33" x14ac:dyDescent="0.25">
      <c r="A114">
        <v>1683.9766400000001</v>
      </c>
      <c r="B114" s="10">
        <v>1.0900000000000001</v>
      </c>
      <c r="C114" s="10">
        <f t="shared" si="2"/>
        <v>0.19347500000000001</v>
      </c>
      <c r="E114" s="1">
        <v>1687.55</v>
      </c>
      <c r="F114" s="4">
        <v>0.17474307</v>
      </c>
      <c r="H114">
        <v>1686.55</v>
      </c>
      <c r="I114" s="7">
        <v>0.17504060369772201</v>
      </c>
      <c r="J114" s="4">
        <v>0.17526867363752299</v>
      </c>
      <c r="K114" s="16"/>
      <c r="L114">
        <v>1687.55</v>
      </c>
      <c r="M114">
        <v>0.18199699999999999</v>
      </c>
      <c r="N114">
        <v>0.17792520000000001</v>
      </c>
      <c r="P114">
        <v>1687.55</v>
      </c>
      <c r="Q114">
        <v>128403875.57880101</v>
      </c>
      <c r="R114">
        <f t="shared" si="3"/>
        <v>0.12840387557880101</v>
      </c>
      <c r="AG114" s="10"/>
    </row>
    <row r="115" spans="1:33" x14ac:dyDescent="0.25">
      <c r="A115">
        <v>1684.0233800000001</v>
      </c>
      <c r="B115" s="10">
        <v>1.083</v>
      </c>
      <c r="C115" s="10">
        <f t="shared" si="2"/>
        <v>0.19223249999999997</v>
      </c>
      <c r="E115" s="1">
        <v>1687.6</v>
      </c>
      <c r="F115" s="4">
        <v>0.17473959999999999</v>
      </c>
      <c r="H115">
        <v>1686.6</v>
      </c>
      <c r="I115" s="7">
        <v>0.17502558608544999</v>
      </c>
      <c r="J115" s="4">
        <v>0.17525783632324199</v>
      </c>
      <c r="K115" s="16"/>
      <c r="L115">
        <v>1687.6</v>
      </c>
      <c r="M115">
        <v>0.18193799999999999</v>
      </c>
      <c r="N115">
        <v>0.17799219999999999</v>
      </c>
      <c r="P115">
        <v>1687.6</v>
      </c>
      <c r="Q115">
        <v>127582010.699286</v>
      </c>
      <c r="R115">
        <f t="shared" si="3"/>
        <v>0.12758201069928599</v>
      </c>
      <c r="AG115" s="10"/>
    </row>
    <row r="116" spans="1:33" x14ac:dyDescent="0.25">
      <c r="A116">
        <v>1684.0701100000001</v>
      </c>
      <c r="B116" s="10">
        <v>1.0760000000000001</v>
      </c>
      <c r="C116" s="10">
        <f t="shared" si="2"/>
        <v>0.19098999999999999</v>
      </c>
      <c r="E116" s="1">
        <v>1687.65</v>
      </c>
      <c r="F116" s="4">
        <v>0.17472599</v>
      </c>
      <c r="H116">
        <v>1686.65</v>
      </c>
      <c r="I116" s="7">
        <v>0.17501227022417201</v>
      </c>
      <c r="J116" s="4">
        <v>0.17524778162907501</v>
      </c>
      <c r="K116" s="16"/>
      <c r="L116">
        <v>1687.65</v>
      </c>
      <c r="M116">
        <v>0.18259400000000001</v>
      </c>
      <c r="N116">
        <v>0.17801900000000001</v>
      </c>
      <c r="P116">
        <v>1687.65</v>
      </c>
      <c r="Q116">
        <v>127499279.093612</v>
      </c>
      <c r="R116">
        <f t="shared" si="3"/>
        <v>0.127499279093612</v>
      </c>
      <c r="AG116" s="10"/>
    </row>
    <row r="117" spans="1:33" x14ac:dyDescent="0.25">
      <c r="A117">
        <v>1684.1168500000001</v>
      </c>
      <c r="B117" s="10">
        <v>1.069</v>
      </c>
      <c r="C117" s="10">
        <f t="shared" si="2"/>
        <v>0.18974749999999999</v>
      </c>
      <c r="E117" s="1">
        <v>1687.7</v>
      </c>
      <c r="F117" s="4">
        <v>0.17471965</v>
      </c>
      <c r="H117">
        <v>1686.7</v>
      </c>
      <c r="I117" s="7">
        <v>0.17500053159512</v>
      </c>
      <c r="J117" s="4">
        <v>0.17523846485531999</v>
      </c>
      <c r="K117" s="16"/>
      <c r="L117">
        <v>1687.7</v>
      </c>
      <c r="M117">
        <v>0.18278</v>
      </c>
      <c r="N117">
        <v>0.17808599999999999</v>
      </c>
      <c r="P117">
        <v>1687.7</v>
      </c>
      <c r="Q117">
        <v>127984435.396111</v>
      </c>
      <c r="R117">
        <f t="shared" si="3"/>
        <v>0.12798443539611098</v>
      </c>
      <c r="AG117" s="10"/>
    </row>
    <row r="118" spans="1:33" x14ac:dyDescent="0.25">
      <c r="A118">
        <v>1684.1635799999999</v>
      </c>
      <c r="B118" s="10">
        <v>1.0640000000000001</v>
      </c>
      <c r="C118" s="10">
        <f t="shared" si="2"/>
        <v>0.18886</v>
      </c>
      <c r="E118" s="1">
        <v>1687.75</v>
      </c>
      <c r="F118" s="4">
        <v>0.17472199999999999</v>
      </c>
      <c r="H118">
        <v>1686.75</v>
      </c>
      <c r="I118" s="7">
        <v>0.17499024221349299</v>
      </c>
      <c r="J118" s="4">
        <v>0.175229846565053</v>
      </c>
      <c r="K118" s="16"/>
      <c r="L118">
        <v>1687.75</v>
      </c>
      <c r="M118">
        <v>0.181728</v>
      </c>
      <c r="N118">
        <v>0.17819320000000002</v>
      </c>
      <c r="P118">
        <v>1687.75</v>
      </c>
      <c r="Q118">
        <v>128527521.750177</v>
      </c>
      <c r="R118">
        <f t="shared" si="3"/>
        <v>0.12852752175017701</v>
      </c>
      <c r="AG118" s="10"/>
    </row>
    <row r="119" spans="1:33" x14ac:dyDescent="0.25">
      <c r="A119">
        <v>1684.2103199999999</v>
      </c>
      <c r="B119" s="10">
        <v>1.0580000000000001</v>
      </c>
      <c r="C119" s="10">
        <f t="shared" si="2"/>
        <v>0.18779499999999999</v>
      </c>
      <c r="E119" s="1">
        <v>1687.8</v>
      </c>
      <c r="F119" s="4">
        <v>0.1747351</v>
      </c>
      <c r="H119">
        <v>1686.8</v>
      </c>
      <c r="I119" s="7">
        <v>0.17498131412370499</v>
      </c>
      <c r="J119" s="4">
        <v>0.17522188615845999</v>
      </c>
      <c r="K119" s="16"/>
      <c r="L119">
        <v>1687.8</v>
      </c>
      <c r="M119">
        <v>0.18226100000000001</v>
      </c>
      <c r="N119">
        <v>0.1783004</v>
      </c>
      <c r="P119">
        <v>1687.8</v>
      </c>
      <c r="Q119">
        <v>127437095.86573701</v>
      </c>
      <c r="R119">
        <f t="shared" si="3"/>
        <v>0.12743709586573701</v>
      </c>
      <c r="AG119" s="10"/>
    </row>
    <row r="120" spans="1:33" x14ac:dyDescent="0.25">
      <c r="A120">
        <v>1684.2570499999999</v>
      </c>
      <c r="B120" s="10">
        <v>1.054</v>
      </c>
      <c r="C120" s="10">
        <f t="shared" si="2"/>
        <v>0.187085</v>
      </c>
      <c r="E120" s="1">
        <v>1687.85</v>
      </c>
      <c r="F120" s="4">
        <v>0.17472945000000001</v>
      </c>
      <c r="H120">
        <v>1686.85</v>
      </c>
      <c r="I120" s="7">
        <v>0.17497365421363201</v>
      </c>
      <c r="J120" s="4">
        <v>0.17521454904411601</v>
      </c>
      <c r="K120" s="16"/>
      <c r="L120">
        <v>1687.85</v>
      </c>
      <c r="M120">
        <v>0.182841</v>
      </c>
      <c r="N120">
        <v>0.17843439999999999</v>
      </c>
      <c r="P120">
        <v>1687.85</v>
      </c>
      <c r="Q120">
        <v>127835052.960063</v>
      </c>
      <c r="R120">
        <f t="shared" si="3"/>
        <v>0.12783505296006301</v>
      </c>
      <c r="AG120" s="10"/>
    </row>
    <row r="121" spans="1:33" x14ac:dyDescent="0.25">
      <c r="A121">
        <v>1684.3037899999999</v>
      </c>
      <c r="B121" s="10">
        <v>1.0489999999999999</v>
      </c>
      <c r="C121" s="10">
        <f t="shared" si="2"/>
        <v>0.18619749999999999</v>
      </c>
      <c r="E121" s="1">
        <v>1687.9</v>
      </c>
      <c r="F121" s="4">
        <v>0.17473274</v>
      </c>
      <c r="H121">
        <v>1686.9</v>
      </c>
      <c r="I121" s="7">
        <v>0.174967155171498</v>
      </c>
      <c r="J121" s="4">
        <v>0.17520779801554801</v>
      </c>
      <c r="K121" s="16"/>
      <c r="L121">
        <v>1687.9</v>
      </c>
      <c r="M121">
        <v>0.182037</v>
      </c>
      <c r="N121">
        <v>0.17855499999999999</v>
      </c>
      <c r="P121">
        <v>1687.9</v>
      </c>
      <c r="Q121">
        <v>112434307.052233</v>
      </c>
      <c r="R121">
        <f t="shared" si="3"/>
        <v>0.11243430705223299</v>
      </c>
      <c r="AG121" s="10"/>
    </row>
    <row r="122" spans="1:33" x14ac:dyDescent="0.25">
      <c r="A122">
        <v>1684.35052</v>
      </c>
      <c r="B122" s="10">
        <v>1.0449999999999999</v>
      </c>
      <c r="C122" s="10">
        <f t="shared" si="2"/>
        <v>0.18548749999999997</v>
      </c>
      <c r="E122" s="1">
        <v>1687.95</v>
      </c>
      <c r="F122" s="4">
        <v>0.17475889999999999</v>
      </c>
      <c r="H122">
        <v>1686.95</v>
      </c>
      <c r="I122" s="7">
        <v>0.17496173056018199</v>
      </c>
      <c r="J122" s="4">
        <v>0.17520160331998899</v>
      </c>
      <c r="K122" s="16"/>
      <c r="L122">
        <v>1687.95</v>
      </c>
      <c r="M122">
        <v>0.181784</v>
      </c>
      <c r="N122">
        <v>0.17867560000000002</v>
      </c>
      <c r="P122">
        <v>1687.95</v>
      </c>
      <c r="Q122">
        <v>16349584.378327399</v>
      </c>
      <c r="R122">
        <f t="shared" si="3"/>
        <v>1.6349584378327401E-2</v>
      </c>
      <c r="AG122" s="10"/>
    </row>
    <row r="123" spans="1:33" x14ac:dyDescent="0.25">
      <c r="A123">
        <v>1684.39726</v>
      </c>
      <c r="B123" s="10">
        <v>1.0409999999999999</v>
      </c>
      <c r="C123" s="10">
        <f t="shared" si="2"/>
        <v>0.18477749999999998</v>
      </c>
      <c r="E123" s="1">
        <v>1688</v>
      </c>
      <c r="F123" s="4">
        <v>0.17475057999999999</v>
      </c>
      <c r="H123">
        <v>1687</v>
      </c>
      <c r="I123" s="7">
        <v>0.17495729420879</v>
      </c>
      <c r="J123" s="4">
        <v>0.17519593308189299</v>
      </c>
      <c r="K123" s="16"/>
      <c r="L123">
        <v>1688</v>
      </c>
      <c r="M123">
        <v>0.18239900000000001</v>
      </c>
      <c r="N123">
        <v>0.17879620000000002</v>
      </c>
      <c r="AG123" s="10"/>
    </row>
    <row r="124" spans="1:33" x14ac:dyDescent="0.25">
      <c r="A124">
        <v>1684.44399</v>
      </c>
      <c r="B124" s="10">
        <v>1.038</v>
      </c>
      <c r="C124" s="10">
        <f t="shared" si="2"/>
        <v>0.18424499999999999</v>
      </c>
      <c r="H124">
        <v>1687.05</v>
      </c>
      <c r="I124" s="7">
        <v>0.174953772857561</v>
      </c>
      <c r="J124" s="4">
        <v>0.175190757234232</v>
      </c>
      <c r="K124" s="16"/>
      <c r="AG124" s="10"/>
    </row>
    <row r="125" spans="1:33" x14ac:dyDescent="0.25">
      <c r="A125">
        <v>1684.49073</v>
      </c>
      <c r="B125" s="10">
        <v>1.034</v>
      </c>
      <c r="C125" s="10">
        <f t="shared" si="2"/>
        <v>0.183535</v>
      </c>
      <c r="H125">
        <v>1687.1</v>
      </c>
      <c r="I125" s="7">
        <v>0.17495109090262601</v>
      </c>
      <c r="J125" s="4">
        <v>0.17518604612135799</v>
      </c>
      <c r="K125" s="16"/>
      <c r="AG125" s="10"/>
    </row>
    <row r="126" spans="1:33" x14ac:dyDescent="0.25">
      <c r="A126">
        <v>1684.53746</v>
      </c>
      <c r="B126" s="10">
        <v>1.0309999999999999</v>
      </c>
      <c r="C126" s="10">
        <f t="shared" si="2"/>
        <v>0.18300249999999998</v>
      </c>
      <c r="H126">
        <v>1687.15</v>
      </c>
      <c r="I126" s="7">
        <v>0.17494918086092301</v>
      </c>
      <c r="J126" s="4">
        <v>0.17518177165707299</v>
      </c>
      <c r="K126" s="16"/>
      <c r="AG126" s="10"/>
    </row>
    <row r="127" spans="1:33" x14ac:dyDescent="0.25">
      <c r="A127">
        <v>1684.5842</v>
      </c>
      <c r="B127" s="10">
        <v>1.028</v>
      </c>
      <c r="C127" s="10">
        <f t="shared" si="2"/>
        <v>0.18246999999999999</v>
      </c>
      <c r="H127">
        <v>1687.2</v>
      </c>
      <c r="I127" s="7">
        <v>0.17494799075293399</v>
      </c>
      <c r="J127" s="4">
        <v>0.175177908434303</v>
      </c>
      <c r="K127" s="16"/>
      <c r="AG127" s="10"/>
    </row>
    <row r="128" spans="1:33" x14ac:dyDescent="0.25">
      <c r="A128">
        <v>1684.63093</v>
      </c>
      <c r="B128" s="10">
        <v>1.0249999999999999</v>
      </c>
      <c r="C128" s="10">
        <f t="shared" si="2"/>
        <v>0.18193749999999997</v>
      </c>
      <c r="H128">
        <v>1687.25</v>
      </c>
      <c r="I128" s="7">
        <v>0.174947461535016</v>
      </c>
      <c r="J128" s="4">
        <v>0.17517442841491501</v>
      </c>
      <c r="K128" s="16"/>
      <c r="AG128" s="10"/>
    </row>
    <row r="129" spans="1:33" x14ac:dyDescent="0.25">
      <c r="A129">
        <v>1684.67767</v>
      </c>
      <c r="B129" s="10">
        <v>1.0229999999999999</v>
      </c>
      <c r="C129" s="10">
        <f t="shared" si="2"/>
        <v>0.18158249999999998</v>
      </c>
      <c r="H129">
        <v>1687.3</v>
      </c>
      <c r="I129" s="7">
        <v>0.174947536751591</v>
      </c>
      <c r="J129" s="4">
        <v>0.175171306345977</v>
      </c>
      <c r="K129" s="16"/>
      <c r="AG129" s="10"/>
    </row>
    <row r="130" spans="1:33" x14ac:dyDescent="0.25">
      <c r="A130">
        <v>1684.7244000000001</v>
      </c>
      <c r="B130" s="10">
        <v>1.0209999999999999</v>
      </c>
      <c r="C130" s="10">
        <f t="shared" si="2"/>
        <v>0.18122749999999999</v>
      </c>
      <c r="H130">
        <v>1687.35</v>
      </c>
      <c r="I130" s="7">
        <v>0.174948162654777</v>
      </c>
      <c r="J130" s="4">
        <v>0.17516851429143401</v>
      </c>
      <c r="K130" s="16"/>
      <c r="AG130" s="10"/>
    </row>
    <row r="131" spans="1:33" x14ac:dyDescent="0.25">
      <c r="A131">
        <v>1684.7711400000001</v>
      </c>
      <c r="B131" s="10">
        <v>1.0189999999999999</v>
      </c>
      <c r="C131" s="10">
        <f t="shared" si="2"/>
        <v>0.18087249999999996</v>
      </c>
      <c r="H131">
        <v>1687.4</v>
      </c>
      <c r="I131" s="7">
        <v>0.17494930001945999</v>
      </c>
      <c r="J131" s="4">
        <v>0.17516602430699801</v>
      </c>
      <c r="K131" s="16"/>
      <c r="AG131" s="10"/>
    </row>
    <row r="132" spans="1:33" x14ac:dyDescent="0.25">
      <c r="A132">
        <v>1684.8178800000001</v>
      </c>
      <c r="B132" s="10">
        <v>1.0169999999999999</v>
      </c>
      <c r="C132" s="10">
        <f t="shared" ref="C132:C195" si="4">B132*0.1775</f>
        <v>0.18051749999999997</v>
      </c>
      <c r="H132">
        <v>1687.45</v>
      </c>
      <c r="I132" s="7">
        <v>0.17495090932381799</v>
      </c>
      <c r="J132" s="4">
        <v>0.175163803786552</v>
      </c>
      <c r="K132" s="16"/>
      <c r="AG132" s="10"/>
    </row>
    <row r="133" spans="1:33" x14ac:dyDescent="0.25">
      <c r="A133">
        <v>1684.8646100000001</v>
      </c>
      <c r="B133" s="10">
        <v>1.0149999999999999</v>
      </c>
      <c r="C133" s="10">
        <f t="shared" si="4"/>
        <v>0.18016249999999998</v>
      </c>
      <c r="H133">
        <v>1687.5</v>
      </c>
      <c r="I133" s="7">
        <v>0.17495294585037399</v>
      </c>
      <c r="J133" s="4">
        <v>0.175161819897383</v>
      </c>
      <c r="K133" s="16"/>
      <c r="AG133" s="10"/>
    </row>
    <row r="134" spans="1:33" x14ac:dyDescent="0.25">
      <c r="A134">
        <v>1684.9113500000001</v>
      </c>
      <c r="B134" s="10">
        <v>1.0129999999999999</v>
      </c>
      <c r="C134" s="10">
        <f t="shared" si="4"/>
        <v>0.17980749999999998</v>
      </c>
      <c r="H134">
        <v>1687.55</v>
      </c>
      <c r="I134" s="7">
        <v>0.17495537056910099</v>
      </c>
      <c r="J134" s="4">
        <v>0.17516003685612899</v>
      </c>
      <c r="K134" s="16"/>
      <c r="AG134" s="10"/>
    </row>
    <row r="135" spans="1:33" x14ac:dyDescent="0.25">
      <c r="A135">
        <v>1684.9580800000001</v>
      </c>
      <c r="B135" s="10">
        <v>1.0109999999999999</v>
      </c>
      <c r="C135" s="10">
        <f t="shared" si="4"/>
        <v>0.17945249999999996</v>
      </c>
      <c r="H135">
        <v>1687.6</v>
      </c>
      <c r="I135" s="7">
        <v>0.17495814475124799</v>
      </c>
      <c r="J135" s="4">
        <v>0.17515841369124799</v>
      </c>
      <c r="K135" s="16"/>
      <c r="AG135" s="10"/>
    </row>
    <row r="136" spans="1:33" x14ac:dyDescent="0.25">
      <c r="A136">
        <v>1685.0048200000001</v>
      </c>
      <c r="B136" s="10">
        <v>1.01</v>
      </c>
      <c r="C136" s="10">
        <f t="shared" si="4"/>
        <v>0.17927499999999999</v>
      </c>
      <c r="H136">
        <v>1687.65</v>
      </c>
      <c r="I136" s="7">
        <v>0.174961233972802</v>
      </c>
      <c r="J136" s="4">
        <v>0.17515690323807601</v>
      </c>
      <c r="K136" s="16"/>
      <c r="AG136" s="10"/>
    </row>
    <row r="137" spans="1:33" x14ac:dyDescent="0.25">
      <c r="A137">
        <v>1685.0515499999999</v>
      </c>
      <c r="B137" s="10">
        <v>1.0089999999999999</v>
      </c>
      <c r="C137" s="10">
        <f t="shared" si="4"/>
        <v>0.17909749999999997</v>
      </c>
      <c r="H137">
        <v>1687.7</v>
      </c>
      <c r="I137" s="7">
        <v>0.17496460501567501</v>
      </c>
      <c r="J137" s="4">
        <v>0.175155456751307</v>
      </c>
      <c r="K137" s="16"/>
      <c r="AG137" s="10"/>
    </row>
    <row r="138" spans="1:33" x14ac:dyDescent="0.25">
      <c r="A138">
        <v>1685.0982899999999</v>
      </c>
      <c r="B138" s="10">
        <v>1.0069999999999999</v>
      </c>
      <c r="C138" s="10">
        <f t="shared" si="4"/>
        <v>0.17874249999999997</v>
      </c>
      <c r="H138">
        <v>1687.75</v>
      </c>
      <c r="I138" s="7">
        <v>0.174968246630856</v>
      </c>
      <c r="J138" s="4">
        <v>0.17515402359787499</v>
      </c>
      <c r="K138" s="16"/>
      <c r="AG138" s="10"/>
    </row>
    <row r="139" spans="1:33" x14ac:dyDescent="0.25">
      <c r="A139">
        <v>1685.1450199999999</v>
      </c>
      <c r="B139" s="10">
        <v>1.006</v>
      </c>
      <c r="C139" s="10">
        <f t="shared" si="4"/>
        <v>0.178565</v>
      </c>
      <c r="H139">
        <v>1687.8</v>
      </c>
      <c r="I139" s="7">
        <v>0.17497213158123101</v>
      </c>
      <c r="J139" s="4">
        <v>0.175152555669355</v>
      </c>
      <c r="K139" s="16"/>
      <c r="AG139" s="10"/>
    </row>
    <row r="140" spans="1:33" x14ac:dyDescent="0.25">
      <c r="A140">
        <v>1685.1917599999999</v>
      </c>
      <c r="B140" s="10">
        <v>1.0049999999999999</v>
      </c>
      <c r="C140" s="10">
        <f t="shared" si="4"/>
        <v>0.17838749999999998</v>
      </c>
      <c r="H140">
        <v>1687.85</v>
      </c>
      <c r="I140" s="7">
        <v>0.17497623317560901</v>
      </c>
      <c r="J140" s="4">
        <v>0.17515101131591301</v>
      </c>
      <c r="K140" s="16"/>
      <c r="AG140" s="10"/>
    </row>
    <row r="141" spans="1:33" x14ac:dyDescent="0.25">
      <c r="A141">
        <v>1685.23849</v>
      </c>
      <c r="B141" s="10">
        <v>1.004</v>
      </c>
      <c r="C141" s="10">
        <f t="shared" si="4"/>
        <v>0.17820999999999998</v>
      </c>
      <c r="H141">
        <v>1687.9</v>
      </c>
      <c r="I141" s="7">
        <v>0.174980526926025</v>
      </c>
      <c r="J141" s="4">
        <v>0.17514935892094899</v>
      </c>
      <c r="K141" s="16"/>
      <c r="AG141" s="10"/>
    </row>
    <row r="142" spans="1:33" x14ac:dyDescent="0.25">
      <c r="A142">
        <v>1685.28523</v>
      </c>
      <c r="B142" s="10">
        <v>1.0029999999999999</v>
      </c>
      <c r="C142" s="10">
        <f t="shared" si="4"/>
        <v>0.17803249999999998</v>
      </c>
      <c r="H142">
        <v>1687.95</v>
      </c>
      <c r="I142" s="7">
        <v>0.17498499103344001</v>
      </c>
      <c r="J142" s="4">
        <v>0.17514757292602701</v>
      </c>
      <c r="K142" s="16"/>
      <c r="AG142" s="10"/>
    </row>
    <row r="143" spans="1:33" x14ac:dyDescent="0.25">
      <c r="A143">
        <v>1685.33196</v>
      </c>
      <c r="B143" s="10">
        <v>1.002</v>
      </c>
      <c r="C143" s="10">
        <f t="shared" si="4"/>
        <v>0.17785499999999999</v>
      </c>
      <c r="H143">
        <v>1688</v>
      </c>
      <c r="I143" s="7">
        <v>0.174989601882728</v>
      </c>
      <c r="J143" s="4">
        <v>0.17514563984322401</v>
      </c>
      <c r="K143" s="16"/>
      <c r="AG143" s="10"/>
    </row>
    <row r="144" spans="1:33" x14ac:dyDescent="0.25">
      <c r="A144">
        <v>1685.3787</v>
      </c>
      <c r="B144" s="10">
        <v>1.0009999999999999</v>
      </c>
      <c r="C144" s="10">
        <f t="shared" si="4"/>
        <v>0.17767749999999996</v>
      </c>
      <c r="AG144" s="10"/>
    </row>
    <row r="145" spans="1:33" x14ac:dyDescent="0.25">
      <c r="A145">
        <v>1685.42543</v>
      </c>
      <c r="B145" s="10">
        <v>1</v>
      </c>
      <c r="C145" s="10">
        <f t="shared" si="4"/>
        <v>0.17749999999999999</v>
      </c>
      <c r="AG145" s="10"/>
    </row>
    <row r="146" spans="1:33" x14ac:dyDescent="0.25">
      <c r="A146">
        <v>1685.47217</v>
      </c>
      <c r="B146" s="10">
        <v>0.99929999999999997</v>
      </c>
      <c r="C146" s="10">
        <f t="shared" si="4"/>
        <v>0.17737575</v>
      </c>
      <c r="AG146" s="10"/>
    </row>
    <row r="147" spans="1:33" x14ac:dyDescent="0.25">
      <c r="A147">
        <v>1685.5189</v>
      </c>
      <c r="B147" s="10">
        <v>0.99860000000000004</v>
      </c>
      <c r="C147" s="10">
        <f t="shared" si="4"/>
        <v>0.17725150000000001</v>
      </c>
      <c r="AG147" s="10"/>
    </row>
    <row r="148" spans="1:33" x14ac:dyDescent="0.25">
      <c r="A148">
        <v>1685.56564</v>
      </c>
      <c r="B148" s="10">
        <v>0.998</v>
      </c>
      <c r="C148" s="10">
        <f t="shared" si="4"/>
        <v>0.177145</v>
      </c>
      <c r="AG148" s="10"/>
    </row>
    <row r="149" spans="1:33" x14ac:dyDescent="0.25">
      <c r="A149">
        <v>1685.6123700000001</v>
      </c>
      <c r="B149" s="10">
        <v>0.99739999999999995</v>
      </c>
      <c r="C149" s="10">
        <f t="shared" si="4"/>
        <v>0.17703849999999999</v>
      </c>
      <c r="AG149" s="10"/>
    </row>
    <row r="150" spans="1:33" x14ac:dyDescent="0.25">
      <c r="A150">
        <v>1685.6591100000001</v>
      </c>
      <c r="B150" s="10">
        <v>0.99690000000000001</v>
      </c>
      <c r="C150" s="10">
        <f t="shared" si="4"/>
        <v>0.17694974999999999</v>
      </c>
      <c r="AG150" s="10"/>
    </row>
    <row r="151" spans="1:33" x14ac:dyDescent="0.25">
      <c r="A151">
        <v>1685.7058400000001</v>
      </c>
      <c r="B151" s="10">
        <v>0.99650000000000005</v>
      </c>
      <c r="C151" s="10">
        <f t="shared" si="4"/>
        <v>0.17687875</v>
      </c>
      <c r="AG151" s="10"/>
    </row>
    <row r="152" spans="1:33" x14ac:dyDescent="0.25">
      <c r="A152">
        <v>1685.7525800000001</v>
      </c>
      <c r="B152" s="10">
        <v>0.99609999999999999</v>
      </c>
      <c r="C152" s="10">
        <f t="shared" si="4"/>
        <v>0.17680774999999999</v>
      </c>
      <c r="AG152" s="10"/>
    </row>
    <row r="153" spans="1:33" x14ac:dyDescent="0.25">
      <c r="A153">
        <v>1685.7993100000001</v>
      </c>
      <c r="B153" s="10">
        <v>0.99570000000000003</v>
      </c>
      <c r="C153" s="10">
        <f t="shared" si="4"/>
        <v>0.17673675</v>
      </c>
      <c r="AG153" s="10"/>
    </row>
    <row r="154" spans="1:33" x14ac:dyDescent="0.25">
      <c r="A154">
        <v>1685.8460500000001</v>
      </c>
      <c r="B154" s="10">
        <v>0.99539999999999995</v>
      </c>
      <c r="C154" s="10">
        <f t="shared" si="4"/>
        <v>0.17668349999999999</v>
      </c>
      <c r="AG154" s="10"/>
    </row>
    <row r="155" spans="1:33" x14ac:dyDescent="0.25">
      <c r="A155">
        <v>1685.8927799999999</v>
      </c>
      <c r="B155" s="10">
        <v>0.99519999999999997</v>
      </c>
      <c r="C155" s="10">
        <f t="shared" si="4"/>
        <v>0.176648</v>
      </c>
      <c r="AG155" s="10"/>
    </row>
    <row r="156" spans="1:33" x14ac:dyDescent="0.25">
      <c r="A156">
        <v>1685.9395199999999</v>
      </c>
      <c r="B156" s="10">
        <v>0.99490000000000001</v>
      </c>
      <c r="C156" s="10">
        <f t="shared" si="4"/>
        <v>0.17659474999999999</v>
      </c>
      <c r="AG156" s="10"/>
    </row>
    <row r="157" spans="1:33" x14ac:dyDescent="0.25">
      <c r="A157">
        <v>1685.9862499999999</v>
      </c>
      <c r="B157" s="10">
        <v>0.99470000000000003</v>
      </c>
      <c r="C157" s="10">
        <f t="shared" si="4"/>
        <v>0.17655925</v>
      </c>
      <c r="AG157" s="10"/>
    </row>
    <row r="158" spans="1:33" x14ac:dyDescent="0.25">
      <c r="A158">
        <v>1686.0329899999999</v>
      </c>
      <c r="B158" s="10">
        <v>0.99460000000000004</v>
      </c>
      <c r="C158" s="10">
        <f t="shared" si="4"/>
        <v>0.17654149999999999</v>
      </c>
      <c r="AG158" s="10"/>
    </row>
    <row r="159" spans="1:33" x14ac:dyDescent="0.25">
      <c r="A159">
        <v>1686.07972</v>
      </c>
      <c r="B159" s="10">
        <v>0.99450000000000005</v>
      </c>
      <c r="C159" s="10">
        <f t="shared" si="4"/>
        <v>0.17652375000000001</v>
      </c>
      <c r="AG159" s="10"/>
    </row>
    <row r="160" spans="1:33" x14ac:dyDescent="0.25">
      <c r="A160">
        <v>1686.12646</v>
      </c>
      <c r="B160" s="10">
        <v>0.99439999999999995</v>
      </c>
      <c r="C160" s="10">
        <f t="shared" si="4"/>
        <v>0.176506</v>
      </c>
      <c r="AG160" s="10"/>
    </row>
    <row r="161" spans="1:33" x14ac:dyDescent="0.25">
      <c r="A161">
        <v>1686.17319</v>
      </c>
      <c r="B161" s="10">
        <v>0.99429999999999996</v>
      </c>
      <c r="C161" s="10">
        <f t="shared" si="4"/>
        <v>0.17648824999999999</v>
      </c>
      <c r="AG161" s="10"/>
    </row>
    <row r="162" spans="1:33" x14ac:dyDescent="0.25">
      <c r="A162">
        <v>1686.21993</v>
      </c>
      <c r="B162" s="10">
        <v>0.99429999999999996</v>
      </c>
      <c r="C162" s="10">
        <f t="shared" si="4"/>
        <v>0.17648824999999999</v>
      </c>
      <c r="AG162" s="10"/>
    </row>
    <row r="163" spans="1:33" x14ac:dyDescent="0.25">
      <c r="A163">
        <v>1686.26666</v>
      </c>
      <c r="B163" s="10">
        <v>0.99429999999999996</v>
      </c>
      <c r="C163" s="10">
        <f t="shared" si="4"/>
        <v>0.17648824999999999</v>
      </c>
      <c r="AG163" s="10"/>
    </row>
    <row r="164" spans="1:33" x14ac:dyDescent="0.25">
      <c r="A164">
        <v>1686.3134</v>
      </c>
      <c r="B164" s="10">
        <v>0.99429999999999996</v>
      </c>
      <c r="C164" s="10">
        <f t="shared" si="4"/>
        <v>0.17648824999999999</v>
      </c>
      <c r="AG164" s="10"/>
    </row>
    <row r="165" spans="1:33" x14ac:dyDescent="0.25">
      <c r="A165">
        <v>1686.36013</v>
      </c>
      <c r="B165" s="10">
        <v>0.99439999999999995</v>
      </c>
      <c r="C165" s="10">
        <f t="shared" si="4"/>
        <v>0.176506</v>
      </c>
      <c r="AG165" s="10"/>
    </row>
    <row r="166" spans="1:33" x14ac:dyDescent="0.25">
      <c r="A166">
        <v>1686.40687</v>
      </c>
      <c r="B166" s="10">
        <v>0.99450000000000005</v>
      </c>
      <c r="C166" s="10">
        <f t="shared" si="4"/>
        <v>0.17652375000000001</v>
      </c>
      <c r="AG166" s="10"/>
    </row>
    <row r="167" spans="1:33" x14ac:dyDescent="0.25">
      <c r="A167">
        <v>1686.4536000000001</v>
      </c>
      <c r="B167" s="10">
        <v>0.99460000000000004</v>
      </c>
      <c r="C167" s="10">
        <f t="shared" si="4"/>
        <v>0.17654149999999999</v>
      </c>
      <c r="AG167" s="10"/>
    </row>
    <row r="168" spans="1:33" x14ac:dyDescent="0.25">
      <c r="A168">
        <v>1686.5003400000001</v>
      </c>
      <c r="B168" s="10">
        <v>0.99480000000000002</v>
      </c>
      <c r="C168" s="10">
        <f t="shared" si="4"/>
        <v>0.17657699999999998</v>
      </c>
      <c r="AG168" s="10"/>
    </row>
    <row r="169" spans="1:33" x14ac:dyDescent="0.25">
      <c r="A169">
        <v>1686.5470700000001</v>
      </c>
      <c r="B169" s="10">
        <v>0.99490000000000001</v>
      </c>
      <c r="C169" s="10">
        <f t="shared" si="4"/>
        <v>0.17659474999999999</v>
      </c>
    </row>
    <row r="170" spans="1:33" x14ac:dyDescent="0.25">
      <c r="A170">
        <v>1686.5938100000001</v>
      </c>
      <c r="B170" s="10">
        <v>0.99509999999999998</v>
      </c>
      <c r="C170" s="10">
        <f t="shared" si="4"/>
        <v>0.17663024999999999</v>
      </c>
    </row>
    <row r="171" spans="1:33" x14ac:dyDescent="0.25">
      <c r="A171">
        <v>1686.6405400000001</v>
      </c>
      <c r="B171" s="10">
        <v>0.99529999999999996</v>
      </c>
      <c r="C171" s="10">
        <f t="shared" si="4"/>
        <v>0.17666574999999998</v>
      </c>
    </row>
    <row r="172" spans="1:33" x14ac:dyDescent="0.25">
      <c r="A172">
        <v>1686.6872800000001</v>
      </c>
      <c r="B172" s="10">
        <v>0.99560000000000004</v>
      </c>
      <c r="C172" s="10">
        <f t="shared" si="4"/>
        <v>0.17671899999999999</v>
      </c>
    </row>
    <row r="173" spans="1:33" x14ac:dyDescent="0.25">
      <c r="A173">
        <v>1686.7340099999999</v>
      </c>
      <c r="B173" s="10">
        <v>0.99590000000000001</v>
      </c>
      <c r="C173" s="10">
        <f t="shared" si="4"/>
        <v>0.17677224999999999</v>
      </c>
    </row>
    <row r="174" spans="1:33" x14ac:dyDescent="0.25">
      <c r="A174">
        <v>1686.7807499999999</v>
      </c>
      <c r="B174" s="10">
        <v>0.99609999999999999</v>
      </c>
      <c r="C174" s="10">
        <f t="shared" si="4"/>
        <v>0.17680774999999999</v>
      </c>
    </row>
    <row r="175" spans="1:33" x14ac:dyDescent="0.25">
      <c r="A175">
        <v>1686.8274899999999</v>
      </c>
      <c r="B175" s="10">
        <v>0.99639999999999995</v>
      </c>
      <c r="C175" s="10">
        <f t="shared" si="4"/>
        <v>0.17686099999999999</v>
      </c>
    </row>
    <row r="176" spans="1:33" x14ac:dyDescent="0.25">
      <c r="A176">
        <v>1686.8742199999999</v>
      </c>
      <c r="B176" s="10">
        <v>0.99670000000000003</v>
      </c>
      <c r="C176" s="10">
        <f t="shared" si="4"/>
        <v>0.17691425</v>
      </c>
    </row>
    <row r="177" spans="1:3" x14ac:dyDescent="0.25">
      <c r="A177">
        <v>1686.9209599999999</v>
      </c>
      <c r="B177" s="10">
        <v>0.99709999999999999</v>
      </c>
      <c r="C177" s="10">
        <f t="shared" si="4"/>
        <v>0.17698524999999998</v>
      </c>
    </row>
    <row r="178" spans="1:3" x14ac:dyDescent="0.25">
      <c r="A178">
        <v>1686.9676899999999</v>
      </c>
      <c r="B178" s="10">
        <v>0.99729999999999996</v>
      </c>
      <c r="C178" s="10">
        <f t="shared" si="4"/>
        <v>0.17702074999999998</v>
      </c>
    </row>
    <row r="179" spans="1:3" x14ac:dyDescent="0.25">
      <c r="A179">
        <v>1687.0144299999999</v>
      </c>
      <c r="B179" s="10">
        <v>0.99760000000000004</v>
      </c>
      <c r="C179" s="10">
        <f t="shared" si="4"/>
        <v>0.17707400000000001</v>
      </c>
    </row>
    <row r="180" spans="1:3" x14ac:dyDescent="0.25">
      <c r="A180">
        <v>1687.06116</v>
      </c>
      <c r="B180" s="10">
        <v>0.99780000000000002</v>
      </c>
      <c r="C180" s="10">
        <f t="shared" si="4"/>
        <v>0.1771095</v>
      </c>
    </row>
    <row r="181" spans="1:3" x14ac:dyDescent="0.25">
      <c r="A181">
        <v>1687.1079</v>
      </c>
      <c r="B181" s="10">
        <v>0.998</v>
      </c>
      <c r="C181" s="10">
        <f t="shared" si="4"/>
        <v>0.177145</v>
      </c>
    </row>
    <row r="182" spans="1:3" x14ac:dyDescent="0.25">
      <c r="A182">
        <v>1687.15463</v>
      </c>
      <c r="B182" s="10">
        <v>0.99819999999999998</v>
      </c>
      <c r="C182" s="10">
        <f t="shared" si="4"/>
        <v>0.17718049999999999</v>
      </c>
    </row>
    <row r="183" spans="1:3" x14ac:dyDescent="0.25">
      <c r="A183">
        <v>1687.20137</v>
      </c>
      <c r="B183" s="10">
        <v>0.99829999999999997</v>
      </c>
      <c r="C183" s="10">
        <f t="shared" si="4"/>
        <v>0.17719824999999997</v>
      </c>
    </row>
    <row r="184" spans="1:3" x14ac:dyDescent="0.25">
      <c r="A184">
        <v>1687.2481</v>
      </c>
      <c r="B184" s="10">
        <v>0.99839999999999995</v>
      </c>
      <c r="C184" s="10">
        <f t="shared" si="4"/>
        <v>0.17721599999999998</v>
      </c>
    </row>
    <row r="185" spans="1:3" x14ac:dyDescent="0.25">
      <c r="A185">
        <v>1687.29484</v>
      </c>
      <c r="B185" s="10">
        <v>0.99860000000000004</v>
      </c>
      <c r="C185" s="10">
        <f t="shared" si="4"/>
        <v>0.17725150000000001</v>
      </c>
    </row>
    <row r="186" spans="1:3" x14ac:dyDescent="0.25">
      <c r="A186">
        <v>1687.34157</v>
      </c>
      <c r="B186" s="10">
        <v>0.99870000000000003</v>
      </c>
      <c r="C186" s="10">
        <f t="shared" si="4"/>
        <v>0.17726924999999999</v>
      </c>
    </row>
    <row r="187" spans="1:3" x14ac:dyDescent="0.25">
      <c r="A187">
        <v>1687.38831</v>
      </c>
      <c r="B187" s="10">
        <v>0.99880000000000002</v>
      </c>
      <c r="C187" s="10">
        <f t="shared" si="4"/>
        <v>0.177287</v>
      </c>
    </row>
    <row r="188" spans="1:3" x14ac:dyDescent="0.25">
      <c r="A188">
        <v>1687.4350400000001</v>
      </c>
      <c r="B188" s="10">
        <v>0.99890000000000001</v>
      </c>
      <c r="C188" s="10">
        <f t="shared" si="4"/>
        <v>0.17730474999999998</v>
      </c>
    </row>
    <row r="189" spans="1:3" x14ac:dyDescent="0.25">
      <c r="A189">
        <v>1687.4817800000001</v>
      </c>
      <c r="B189" s="10">
        <v>0.99890000000000001</v>
      </c>
      <c r="C189" s="10">
        <f t="shared" si="4"/>
        <v>0.17730474999999998</v>
      </c>
    </row>
    <row r="190" spans="1:3" x14ac:dyDescent="0.25">
      <c r="A190">
        <v>1687.5285100000001</v>
      </c>
      <c r="B190" s="10">
        <v>0.999</v>
      </c>
      <c r="C190" s="10">
        <f t="shared" si="4"/>
        <v>0.17732249999999999</v>
      </c>
    </row>
    <row r="191" spans="1:3" x14ac:dyDescent="0.25">
      <c r="A191">
        <v>1687.5752500000001</v>
      </c>
      <c r="B191" s="10">
        <v>0.99909999999999999</v>
      </c>
      <c r="C191" s="10">
        <f t="shared" si="4"/>
        <v>0.17734024999999998</v>
      </c>
    </row>
    <row r="192" spans="1:3" x14ac:dyDescent="0.25">
      <c r="A192">
        <v>1687.6219799999999</v>
      </c>
      <c r="B192" s="10">
        <v>0.99909999999999999</v>
      </c>
      <c r="C192" s="10">
        <f t="shared" si="4"/>
        <v>0.17734024999999998</v>
      </c>
    </row>
    <row r="193" spans="1:3" x14ac:dyDescent="0.25">
      <c r="A193">
        <v>1687.6687199999999</v>
      </c>
      <c r="B193" s="10">
        <v>0.99919999999999998</v>
      </c>
      <c r="C193" s="10">
        <f t="shared" si="4"/>
        <v>0.17735799999999999</v>
      </c>
    </row>
    <row r="194" spans="1:3" x14ac:dyDescent="0.25">
      <c r="A194">
        <v>1687.7154499999999</v>
      </c>
      <c r="B194" s="10">
        <v>0.99929999999999997</v>
      </c>
      <c r="C194" s="10">
        <f t="shared" si="4"/>
        <v>0.17737575</v>
      </c>
    </row>
    <row r="195" spans="1:3" x14ac:dyDescent="0.25">
      <c r="A195">
        <v>1687.7621899999999</v>
      </c>
      <c r="B195" s="10">
        <v>0.99929999999999997</v>
      </c>
      <c r="C195" s="10">
        <f t="shared" si="4"/>
        <v>0.17737575</v>
      </c>
    </row>
    <row r="196" spans="1:3" x14ac:dyDescent="0.25">
      <c r="A196">
        <v>1687.8089199999999</v>
      </c>
      <c r="B196" s="10">
        <v>0.99939999999999996</v>
      </c>
      <c r="C196" s="10">
        <f t="shared" ref="C196:C259" si="5">B196*0.1775</f>
        <v>0.17739349999999998</v>
      </c>
    </row>
    <row r="197" spans="1:3" x14ac:dyDescent="0.25">
      <c r="A197">
        <v>1687.8556599999999</v>
      </c>
      <c r="B197" s="10">
        <v>0.99939999999999996</v>
      </c>
      <c r="C197" s="10">
        <f t="shared" si="5"/>
        <v>0.17739349999999998</v>
      </c>
    </row>
    <row r="198" spans="1:3" x14ac:dyDescent="0.25">
      <c r="A198">
        <v>1687.90239</v>
      </c>
      <c r="B198" s="10">
        <v>0.99939999999999996</v>
      </c>
      <c r="C198" s="10">
        <f t="shared" si="5"/>
        <v>0.17739349999999998</v>
      </c>
    </row>
    <row r="199" spans="1:3" x14ac:dyDescent="0.25">
      <c r="A199">
        <v>1687.94913</v>
      </c>
      <c r="B199" s="10">
        <v>0.99929999999999997</v>
      </c>
      <c r="C199" s="10">
        <f t="shared" si="5"/>
        <v>0.17737575</v>
      </c>
    </row>
    <row r="200" spans="1:3" x14ac:dyDescent="0.25">
      <c r="A200">
        <v>1687.99586</v>
      </c>
      <c r="B200" s="10">
        <v>0.99929999999999997</v>
      </c>
      <c r="C200" s="10">
        <f t="shared" si="5"/>
        <v>0.17737575</v>
      </c>
    </row>
    <row r="201" spans="1:3" x14ac:dyDescent="0.25">
      <c r="A201">
        <v>1688.0426</v>
      </c>
      <c r="B201" s="10">
        <v>0.99929999999999997</v>
      </c>
      <c r="C201" s="10">
        <f t="shared" si="5"/>
        <v>0.17737575</v>
      </c>
    </row>
    <row r="202" spans="1:3" x14ac:dyDescent="0.25">
      <c r="A202">
        <v>1688.08933</v>
      </c>
      <c r="B202" s="10">
        <v>0.99929999999999997</v>
      </c>
      <c r="C202" s="10">
        <f t="shared" si="5"/>
        <v>0.17737575</v>
      </c>
    </row>
    <row r="203" spans="1:3" x14ac:dyDescent="0.25">
      <c r="A203">
        <v>1688.13607</v>
      </c>
      <c r="B203" s="10">
        <v>0.99929999999999997</v>
      </c>
      <c r="C203" s="10">
        <f t="shared" si="5"/>
        <v>0.17737575</v>
      </c>
    </row>
    <row r="204" spans="1:3" x14ac:dyDescent="0.25">
      <c r="A204">
        <v>1688.1828</v>
      </c>
      <c r="B204" s="10">
        <v>0.99929999999999997</v>
      </c>
      <c r="C204" s="10">
        <f t="shared" si="5"/>
        <v>0.17737575</v>
      </c>
    </row>
    <row r="205" spans="1:3" x14ac:dyDescent="0.25">
      <c r="A205">
        <v>1688.22954</v>
      </c>
      <c r="B205" s="10">
        <v>0.99929999999999997</v>
      </c>
      <c r="C205" s="10">
        <f t="shared" si="5"/>
        <v>0.17737575</v>
      </c>
    </row>
    <row r="206" spans="1:3" x14ac:dyDescent="0.25">
      <c r="A206">
        <v>1688.2762700000001</v>
      </c>
      <c r="B206" s="10">
        <v>0.99929999999999997</v>
      </c>
      <c r="C206" s="10">
        <f t="shared" si="5"/>
        <v>0.17737575</v>
      </c>
    </row>
    <row r="207" spans="1:3" x14ac:dyDescent="0.25">
      <c r="A207">
        <v>1688.3230100000001</v>
      </c>
      <c r="B207" s="10">
        <v>0.99929999999999997</v>
      </c>
      <c r="C207" s="10">
        <f t="shared" si="5"/>
        <v>0.17737575</v>
      </c>
    </row>
    <row r="208" spans="1:3" x14ac:dyDescent="0.25">
      <c r="A208">
        <v>1688.3697400000001</v>
      </c>
      <c r="B208" s="10">
        <v>0.99929999999999997</v>
      </c>
      <c r="C208" s="10">
        <f t="shared" si="5"/>
        <v>0.17737575</v>
      </c>
    </row>
    <row r="209" spans="1:3" x14ac:dyDescent="0.25">
      <c r="A209">
        <v>1688.4164800000001</v>
      </c>
      <c r="B209" s="10">
        <v>0.99929999999999997</v>
      </c>
      <c r="C209" s="10">
        <f t="shared" si="5"/>
        <v>0.17737575</v>
      </c>
    </row>
    <row r="210" spans="1:3" x14ac:dyDescent="0.25">
      <c r="A210">
        <v>1688.4632099999999</v>
      </c>
      <c r="B210" s="10">
        <v>0.99929999999999997</v>
      </c>
      <c r="C210" s="10">
        <f t="shared" si="5"/>
        <v>0.17737575</v>
      </c>
    </row>
    <row r="211" spans="1:3" x14ac:dyDescent="0.25">
      <c r="A211">
        <v>1688.5099499999999</v>
      </c>
      <c r="B211" s="10">
        <v>0.99929999999999997</v>
      </c>
      <c r="C211" s="10">
        <f t="shared" si="5"/>
        <v>0.17737575</v>
      </c>
    </row>
    <row r="212" spans="1:3" x14ac:dyDescent="0.25">
      <c r="A212">
        <v>1688.5566799999999</v>
      </c>
      <c r="B212" s="10">
        <v>0.99929999999999997</v>
      </c>
      <c r="C212" s="10">
        <f t="shared" si="5"/>
        <v>0.17737575</v>
      </c>
    </row>
    <row r="213" spans="1:3" x14ac:dyDescent="0.25">
      <c r="A213">
        <v>1688.6034199999999</v>
      </c>
      <c r="B213" s="10">
        <v>0.99929999999999997</v>
      </c>
      <c r="C213" s="10">
        <f t="shared" si="5"/>
        <v>0.17737575</v>
      </c>
    </row>
    <row r="214" spans="1:3" x14ac:dyDescent="0.25">
      <c r="A214">
        <v>1688.6501499999999</v>
      </c>
      <c r="B214" s="10">
        <v>0.99929999999999997</v>
      </c>
      <c r="C214" s="10">
        <f t="shared" si="5"/>
        <v>0.17737575</v>
      </c>
    </row>
    <row r="215" spans="1:3" x14ac:dyDescent="0.25">
      <c r="A215">
        <v>1688.6968899999999</v>
      </c>
      <c r="B215" s="10">
        <v>0.99929999999999997</v>
      </c>
      <c r="C215" s="10">
        <f t="shared" si="5"/>
        <v>0.17737575</v>
      </c>
    </row>
    <row r="216" spans="1:3" x14ac:dyDescent="0.25">
      <c r="A216">
        <v>1688.7436299999999</v>
      </c>
      <c r="B216" s="10">
        <v>0.99929999999999997</v>
      </c>
      <c r="C216" s="10">
        <f t="shared" si="5"/>
        <v>0.17737575</v>
      </c>
    </row>
    <row r="217" spans="1:3" x14ac:dyDescent="0.25">
      <c r="A217">
        <v>1688.79036</v>
      </c>
      <c r="B217" s="10">
        <v>0.99929999999999997</v>
      </c>
      <c r="C217" s="10">
        <f t="shared" si="5"/>
        <v>0.17737575</v>
      </c>
    </row>
    <row r="218" spans="1:3" x14ac:dyDescent="0.25">
      <c r="A218">
        <v>1688.8371</v>
      </c>
      <c r="B218" s="10">
        <v>0.99919999999999998</v>
      </c>
      <c r="C218" s="10">
        <f t="shared" si="5"/>
        <v>0.17735799999999999</v>
      </c>
    </row>
    <row r="219" spans="1:3" x14ac:dyDescent="0.25">
      <c r="A219">
        <v>1688.88383</v>
      </c>
      <c r="B219" s="10">
        <v>0.99919999999999998</v>
      </c>
      <c r="C219" s="10">
        <f t="shared" si="5"/>
        <v>0.17735799999999999</v>
      </c>
    </row>
    <row r="220" spans="1:3" x14ac:dyDescent="0.25">
      <c r="A220">
        <v>1688.93057</v>
      </c>
      <c r="B220" s="10">
        <v>0.99919999999999998</v>
      </c>
      <c r="C220" s="10">
        <f t="shared" si="5"/>
        <v>0.17735799999999999</v>
      </c>
    </row>
    <row r="221" spans="1:3" x14ac:dyDescent="0.25">
      <c r="A221">
        <v>1688.9773</v>
      </c>
      <c r="B221" s="10">
        <v>0.99919999999999998</v>
      </c>
      <c r="C221" s="10">
        <f t="shared" si="5"/>
        <v>0.17735799999999999</v>
      </c>
    </row>
    <row r="222" spans="1:3" x14ac:dyDescent="0.25">
      <c r="A222">
        <v>1689.02404</v>
      </c>
      <c r="B222" s="10">
        <v>0.99919999999999998</v>
      </c>
      <c r="C222" s="10">
        <f t="shared" si="5"/>
        <v>0.17735799999999999</v>
      </c>
    </row>
    <row r="223" spans="1:3" x14ac:dyDescent="0.25">
      <c r="A223">
        <v>1689.07077</v>
      </c>
      <c r="B223" s="10">
        <v>0.99919999999999998</v>
      </c>
      <c r="C223" s="10">
        <f t="shared" si="5"/>
        <v>0.17735799999999999</v>
      </c>
    </row>
    <row r="224" spans="1:3" x14ac:dyDescent="0.25">
      <c r="A224">
        <v>1689.11751</v>
      </c>
      <c r="B224" s="10">
        <v>0.99919999999999998</v>
      </c>
      <c r="C224" s="10">
        <f t="shared" si="5"/>
        <v>0.17735799999999999</v>
      </c>
    </row>
    <row r="225" spans="1:3" x14ac:dyDescent="0.25">
      <c r="A225">
        <v>1689.1642400000001</v>
      </c>
      <c r="B225" s="10">
        <v>0.99919999999999998</v>
      </c>
      <c r="C225" s="10">
        <f t="shared" si="5"/>
        <v>0.17735799999999999</v>
      </c>
    </row>
    <row r="226" spans="1:3" x14ac:dyDescent="0.25">
      <c r="A226">
        <v>1689.2109800000001</v>
      </c>
      <c r="B226" s="10">
        <v>0.99919999999999998</v>
      </c>
      <c r="C226" s="10">
        <f t="shared" si="5"/>
        <v>0.17735799999999999</v>
      </c>
    </row>
    <row r="227" spans="1:3" x14ac:dyDescent="0.25">
      <c r="A227">
        <v>1689.2577100000001</v>
      </c>
      <c r="B227" s="10">
        <v>0.99919999999999998</v>
      </c>
      <c r="C227" s="10">
        <f t="shared" si="5"/>
        <v>0.17735799999999999</v>
      </c>
    </row>
    <row r="228" spans="1:3" x14ac:dyDescent="0.25">
      <c r="A228">
        <v>1689.3044500000001</v>
      </c>
      <c r="B228" s="10">
        <v>0.99919999999999998</v>
      </c>
      <c r="C228" s="10">
        <f t="shared" si="5"/>
        <v>0.17735799999999999</v>
      </c>
    </row>
    <row r="229" spans="1:3" x14ac:dyDescent="0.25">
      <c r="A229">
        <v>1689.3511800000001</v>
      </c>
      <c r="B229" s="10">
        <v>0.99919999999999998</v>
      </c>
      <c r="C229" s="10">
        <f t="shared" si="5"/>
        <v>0.17735799999999999</v>
      </c>
    </row>
    <row r="230" spans="1:3" x14ac:dyDescent="0.25">
      <c r="A230">
        <v>1689.3979200000001</v>
      </c>
      <c r="B230" s="10">
        <v>0.99919999999999998</v>
      </c>
      <c r="C230" s="10">
        <f t="shared" si="5"/>
        <v>0.17735799999999999</v>
      </c>
    </row>
    <row r="231" spans="1:3" x14ac:dyDescent="0.25">
      <c r="A231">
        <v>1689.4446499999999</v>
      </c>
      <c r="B231" s="10">
        <v>0.99919999999999998</v>
      </c>
      <c r="C231" s="10">
        <f t="shared" si="5"/>
        <v>0.17735799999999999</v>
      </c>
    </row>
    <row r="232" spans="1:3" x14ac:dyDescent="0.25">
      <c r="A232">
        <v>1689.4913899999999</v>
      </c>
      <c r="B232" s="10">
        <v>0.99919999999999998</v>
      </c>
      <c r="C232" s="10">
        <f t="shared" si="5"/>
        <v>0.17735799999999999</v>
      </c>
    </row>
    <row r="233" spans="1:3" x14ac:dyDescent="0.25">
      <c r="A233">
        <v>1689.5381199999999</v>
      </c>
      <c r="B233" s="10">
        <v>0.99919999999999998</v>
      </c>
      <c r="C233" s="10">
        <f t="shared" si="5"/>
        <v>0.17735799999999999</v>
      </c>
    </row>
    <row r="234" spans="1:3" x14ac:dyDescent="0.25">
      <c r="A234">
        <v>1689.5848599999999</v>
      </c>
      <c r="B234" s="10">
        <v>0.99919999999999998</v>
      </c>
      <c r="C234" s="10">
        <f t="shared" si="5"/>
        <v>0.17735799999999999</v>
      </c>
    </row>
    <row r="235" spans="1:3" x14ac:dyDescent="0.25">
      <c r="A235">
        <v>1689.63159</v>
      </c>
      <c r="B235" s="10">
        <v>0.99919999999999998</v>
      </c>
      <c r="C235" s="10">
        <f t="shared" si="5"/>
        <v>0.17735799999999999</v>
      </c>
    </row>
    <row r="236" spans="1:3" x14ac:dyDescent="0.25">
      <c r="A236">
        <v>1689.67833</v>
      </c>
      <c r="B236" s="10">
        <v>0.99919999999999998</v>
      </c>
      <c r="C236" s="10">
        <f t="shared" si="5"/>
        <v>0.17735799999999999</v>
      </c>
    </row>
    <row r="237" spans="1:3" x14ac:dyDescent="0.25">
      <c r="A237">
        <v>1689.72506</v>
      </c>
      <c r="B237" s="10">
        <v>0.99919999999999998</v>
      </c>
      <c r="C237" s="10">
        <f t="shared" si="5"/>
        <v>0.17735799999999999</v>
      </c>
    </row>
    <row r="238" spans="1:3" x14ac:dyDescent="0.25">
      <c r="A238">
        <v>1689.7718</v>
      </c>
      <c r="B238" s="10">
        <v>0.99919999999999998</v>
      </c>
      <c r="C238" s="10">
        <f t="shared" si="5"/>
        <v>0.17735799999999999</v>
      </c>
    </row>
    <row r="239" spans="1:3" x14ac:dyDescent="0.25">
      <c r="A239">
        <v>1689.81853</v>
      </c>
      <c r="B239" s="10">
        <v>0.99919999999999998</v>
      </c>
      <c r="C239" s="10">
        <f t="shared" si="5"/>
        <v>0.17735799999999999</v>
      </c>
    </row>
    <row r="240" spans="1:3" x14ac:dyDescent="0.25">
      <c r="A240">
        <v>1689.86527</v>
      </c>
      <c r="B240" s="10">
        <v>0.99919999999999998</v>
      </c>
      <c r="C240" s="10">
        <f t="shared" si="5"/>
        <v>0.17735799999999999</v>
      </c>
    </row>
    <row r="241" spans="1:3" x14ac:dyDescent="0.25">
      <c r="A241">
        <v>1689.912</v>
      </c>
      <c r="B241" s="10">
        <v>0.99919999999999998</v>
      </c>
      <c r="C241" s="10">
        <f t="shared" si="5"/>
        <v>0.17735799999999999</v>
      </c>
    </row>
    <row r="242" spans="1:3" x14ac:dyDescent="0.25">
      <c r="A242">
        <v>1689.95874</v>
      </c>
      <c r="B242" s="10">
        <v>0.99919999999999998</v>
      </c>
      <c r="C242" s="10">
        <f t="shared" si="5"/>
        <v>0.17735799999999999</v>
      </c>
    </row>
    <row r="243" spans="1:3" x14ac:dyDescent="0.25">
      <c r="A243">
        <v>1690.0054700000001</v>
      </c>
      <c r="B243" s="10">
        <v>0.99919999999999998</v>
      </c>
      <c r="C243" s="10">
        <f t="shared" si="5"/>
        <v>0.17735799999999999</v>
      </c>
    </row>
    <row r="244" spans="1:3" x14ac:dyDescent="0.25">
      <c r="A244">
        <v>1690.0522100000001</v>
      </c>
      <c r="B244" s="10">
        <v>0.99919999999999998</v>
      </c>
      <c r="C244" s="10">
        <f t="shared" si="5"/>
        <v>0.17735799999999999</v>
      </c>
    </row>
    <row r="245" spans="1:3" x14ac:dyDescent="0.25">
      <c r="A245">
        <v>1690.0989400000001</v>
      </c>
      <c r="B245" s="10">
        <v>0.99919999999999998</v>
      </c>
      <c r="C245" s="10">
        <f t="shared" si="5"/>
        <v>0.17735799999999999</v>
      </c>
    </row>
    <row r="246" spans="1:3" x14ac:dyDescent="0.25">
      <c r="A246">
        <v>1690.1456800000001</v>
      </c>
      <c r="B246" s="10">
        <v>0.99919999999999998</v>
      </c>
      <c r="C246" s="10">
        <f t="shared" si="5"/>
        <v>0.17735799999999999</v>
      </c>
    </row>
    <row r="247" spans="1:3" x14ac:dyDescent="0.25">
      <c r="A247">
        <v>1690.1924100000001</v>
      </c>
      <c r="B247" s="10">
        <v>0.99919999999999998</v>
      </c>
      <c r="C247" s="10">
        <f t="shared" si="5"/>
        <v>0.17735799999999999</v>
      </c>
    </row>
    <row r="248" spans="1:3" x14ac:dyDescent="0.25">
      <c r="A248">
        <v>1690.2391500000001</v>
      </c>
      <c r="B248" s="10">
        <v>0.99919999999999998</v>
      </c>
      <c r="C248" s="10">
        <f t="shared" si="5"/>
        <v>0.17735799999999999</v>
      </c>
    </row>
    <row r="249" spans="1:3" x14ac:dyDescent="0.25">
      <c r="A249">
        <v>1690.2858799999999</v>
      </c>
      <c r="B249" s="10">
        <v>0.99919999999999998</v>
      </c>
      <c r="C249" s="10">
        <f t="shared" si="5"/>
        <v>0.17735799999999999</v>
      </c>
    </row>
    <row r="250" spans="1:3" x14ac:dyDescent="0.25">
      <c r="A250">
        <v>1690.3326199999999</v>
      </c>
      <c r="B250" s="10">
        <v>0.99919999999999998</v>
      </c>
      <c r="C250" s="10">
        <f t="shared" si="5"/>
        <v>0.17735799999999999</v>
      </c>
    </row>
    <row r="251" spans="1:3" x14ac:dyDescent="0.25">
      <c r="A251">
        <v>1690.3793499999999</v>
      </c>
      <c r="B251" s="10">
        <v>0.99919999999999998</v>
      </c>
      <c r="C251" s="10">
        <f t="shared" si="5"/>
        <v>0.17735799999999999</v>
      </c>
    </row>
    <row r="252" spans="1:3" x14ac:dyDescent="0.25">
      <c r="A252">
        <v>1690.4260899999999</v>
      </c>
      <c r="B252" s="10">
        <v>0.99919999999999998</v>
      </c>
      <c r="C252" s="10">
        <f t="shared" si="5"/>
        <v>0.17735799999999999</v>
      </c>
    </row>
    <row r="253" spans="1:3" x14ac:dyDescent="0.25">
      <c r="A253">
        <v>1690.47282</v>
      </c>
      <c r="B253" s="10">
        <v>0.99919999999999998</v>
      </c>
      <c r="C253" s="10">
        <f t="shared" si="5"/>
        <v>0.17735799999999999</v>
      </c>
    </row>
    <row r="254" spans="1:3" x14ac:dyDescent="0.25">
      <c r="A254">
        <v>1690.51956</v>
      </c>
      <c r="B254" s="10">
        <v>0.99919999999999998</v>
      </c>
      <c r="C254" s="10">
        <f t="shared" si="5"/>
        <v>0.17735799999999999</v>
      </c>
    </row>
    <row r="255" spans="1:3" x14ac:dyDescent="0.25">
      <c r="A255">
        <v>1690.56629</v>
      </c>
      <c r="B255" s="10">
        <v>0.99919999999999998</v>
      </c>
      <c r="C255" s="10">
        <f t="shared" si="5"/>
        <v>0.17735799999999999</v>
      </c>
    </row>
    <row r="256" spans="1:3" x14ac:dyDescent="0.25">
      <c r="A256">
        <v>1690.61303</v>
      </c>
      <c r="B256" s="10">
        <v>0.99919999999999998</v>
      </c>
      <c r="C256" s="10">
        <f t="shared" si="5"/>
        <v>0.17735799999999999</v>
      </c>
    </row>
    <row r="257" spans="1:3" x14ac:dyDescent="0.25">
      <c r="A257">
        <v>1690.65976</v>
      </c>
      <c r="B257" s="10">
        <v>0.99919999999999998</v>
      </c>
      <c r="C257" s="10">
        <f t="shared" si="5"/>
        <v>0.17735799999999999</v>
      </c>
    </row>
    <row r="258" spans="1:3" x14ac:dyDescent="0.25">
      <c r="A258">
        <v>1690.7065</v>
      </c>
      <c r="B258" s="10">
        <v>0.99919999999999998</v>
      </c>
      <c r="C258" s="10">
        <f t="shared" si="5"/>
        <v>0.17735799999999999</v>
      </c>
    </row>
    <row r="259" spans="1:3" x14ac:dyDescent="0.25">
      <c r="A259">
        <v>1690.75324</v>
      </c>
      <c r="B259" s="10">
        <v>0.99919999999999998</v>
      </c>
      <c r="C259" s="10">
        <f t="shared" si="5"/>
        <v>0.17735799999999999</v>
      </c>
    </row>
    <row r="260" spans="1:3" x14ac:dyDescent="0.25">
      <c r="A260">
        <v>1690.79997</v>
      </c>
      <c r="B260" s="10">
        <v>0.99919999999999998</v>
      </c>
      <c r="C260" s="10">
        <f t="shared" ref="C260:C323" si="6">B260*0.1775</f>
        <v>0.17735799999999999</v>
      </c>
    </row>
    <row r="261" spans="1:3" x14ac:dyDescent="0.25">
      <c r="A261">
        <v>1690.84671</v>
      </c>
      <c r="B261" s="10">
        <v>0.99919999999999998</v>
      </c>
      <c r="C261" s="10">
        <f t="shared" si="6"/>
        <v>0.17735799999999999</v>
      </c>
    </row>
    <row r="262" spans="1:3" x14ac:dyDescent="0.25">
      <c r="A262">
        <v>1690.8934400000001</v>
      </c>
      <c r="B262" s="10">
        <v>0.99919999999999998</v>
      </c>
      <c r="C262" s="10">
        <f t="shared" si="6"/>
        <v>0.17735799999999999</v>
      </c>
    </row>
    <row r="263" spans="1:3" x14ac:dyDescent="0.25">
      <c r="A263">
        <v>1690.9401800000001</v>
      </c>
      <c r="B263" s="10">
        <v>0.99919999999999998</v>
      </c>
      <c r="C263" s="10">
        <f t="shared" si="6"/>
        <v>0.17735799999999999</v>
      </c>
    </row>
    <row r="264" spans="1:3" x14ac:dyDescent="0.25">
      <c r="A264">
        <v>1690.9869100000001</v>
      </c>
      <c r="B264" s="10">
        <v>0.99919999999999998</v>
      </c>
      <c r="C264" s="10">
        <f t="shared" si="6"/>
        <v>0.17735799999999999</v>
      </c>
    </row>
    <row r="265" spans="1:3" x14ac:dyDescent="0.25">
      <c r="A265">
        <v>1691.0336500000001</v>
      </c>
      <c r="B265" s="10">
        <v>0.99919999999999998</v>
      </c>
      <c r="C265" s="10">
        <f t="shared" si="6"/>
        <v>0.17735799999999999</v>
      </c>
    </row>
    <row r="266" spans="1:3" x14ac:dyDescent="0.25">
      <c r="A266">
        <v>1691.0803800000001</v>
      </c>
      <c r="B266" s="10">
        <v>0.99919999999999998</v>
      </c>
      <c r="C266" s="10">
        <f t="shared" si="6"/>
        <v>0.17735799999999999</v>
      </c>
    </row>
    <row r="267" spans="1:3" x14ac:dyDescent="0.25">
      <c r="A267">
        <v>1691.1271200000001</v>
      </c>
      <c r="B267" s="10">
        <v>0.99919999999999998</v>
      </c>
      <c r="C267" s="10">
        <f t="shared" si="6"/>
        <v>0.17735799999999999</v>
      </c>
    </row>
    <row r="268" spans="1:3" x14ac:dyDescent="0.25">
      <c r="A268">
        <v>1691.1738499999999</v>
      </c>
      <c r="B268" s="10">
        <v>0.99919999999999998</v>
      </c>
      <c r="C268" s="10">
        <f t="shared" si="6"/>
        <v>0.17735799999999999</v>
      </c>
    </row>
    <row r="269" spans="1:3" x14ac:dyDescent="0.25">
      <c r="A269">
        <v>1691.2205899999999</v>
      </c>
      <c r="B269" s="10">
        <v>0.99919999999999998</v>
      </c>
      <c r="C269" s="10">
        <f t="shared" si="6"/>
        <v>0.17735799999999999</v>
      </c>
    </row>
    <row r="270" spans="1:3" x14ac:dyDescent="0.25">
      <c r="A270">
        <v>1691.2673199999999</v>
      </c>
      <c r="B270" s="10">
        <v>0.99919999999999998</v>
      </c>
      <c r="C270" s="10">
        <f t="shared" si="6"/>
        <v>0.17735799999999999</v>
      </c>
    </row>
    <row r="271" spans="1:3" x14ac:dyDescent="0.25">
      <c r="A271">
        <v>1691.3140599999999</v>
      </c>
      <c r="B271" s="10">
        <v>0.99919999999999998</v>
      </c>
      <c r="C271" s="10">
        <f t="shared" si="6"/>
        <v>0.17735799999999999</v>
      </c>
    </row>
    <row r="272" spans="1:3" x14ac:dyDescent="0.25">
      <c r="A272">
        <v>1691.36079</v>
      </c>
      <c r="B272" s="10">
        <v>0.99919999999999998</v>
      </c>
      <c r="C272" s="10">
        <f t="shared" si="6"/>
        <v>0.17735799999999999</v>
      </c>
    </row>
    <row r="273" spans="1:3" x14ac:dyDescent="0.25">
      <c r="A273">
        <v>1691.40753</v>
      </c>
      <c r="B273" s="10">
        <v>0.99919999999999998</v>
      </c>
      <c r="C273" s="10">
        <f t="shared" si="6"/>
        <v>0.17735799999999999</v>
      </c>
    </row>
    <row r="274" spans="1:3" x14ac:dyDescent="0.25">
      <c r="A274">
        <v>1691.45426</v>
      </c>
      <c r="B274" s="10">
        <v>0.99919999999999998</v>
      </c>
      <c r="C274" s="10">
        <f t="shared" si="6"/>
        <v>0.17735799999999999</v>
      </c>
    </row>
    <row r="275" spans="1:3" x14ac:dyDescent="0.25">
      <c r="A275">
        <v>1691.501</v>
      </c>
      <c r="B275" s="10">
        <v>0.99919999999999998</v>
      </c>
      <c r="C275" s="10">
        <f t="shared" si="6"/>
        <v>0.17735799999999999</v>
      </c>
    </row>
    <row r="276" spans="1:3" x14ac:dyDescent="0.25">
      <c r="A276">
        <v>1691.54773</v>
      </c>
      <c r="B276" s="10">
        <v>0.99919999999999998</v>
      </c>
      <c r="C276" s="10">
        <f t="shared" si="6"/>
        <v>0.17735799999999999</v>
      </c>
    </row>
    <row r="277" spans="1:3" x14ac:dyDescent="0.25">
      <c r="A277">
        <v>1691.59447</v>
      </c>
      <c r="B277" s="10">
        <v>0.99919999999999998</v>
      </c>
      <c r="C277" s="10">
        <f t="shared" si="6"/>
        <v>0.17735799999999999</v>
      </c>
    </row>
    <row r="278" spans="1:3" x14ac:dyDescent="0.25">
      <c r="A278">
        <v>1691.6412</v>
      </c>
      <c r="B278" s="10">
        <v>0.99919999999999998</v>
      </c>
      <c r="C278" s="10">
        <f t="shared" si="6"/>
        <v>0.17735799999999999</v>
      </c>
    </row>
    <row r="279" spans="1:3" x14ac:dyDescent="0.25">
      <c r="A279">
        <v>1691.68794</v>
      </c>
      <c r="B279" s="10">
        <v>0.99919999999999998</v>
      </c>
      <c r="C279" s="10">
        <f t="shared" si="6"/>
        <v>0.17735799999999999</v>
      </c>
    </row>
    <row r="280" spans="1:3" x14ac:dyDescent="0.25">
      <c r="A280">
        <v>1691.7346700000001</v>
      </c>
      <c r="B280" s="10">
        <v>0.99919999999999998</v>
      </c>
      <c r="C280" s="10">
        <f t="shared" si="6"/>
        <v>0.17735799999999999</v>
      </c>
    </row>
    <row r="281" spans="1:3" x14ac:dyDescent="0.25">
      <c r="A281">
        <v>1691.7814100000001</v>
      </c>
      <c r="B281" s="10">
        <v>0.99919999999999998</v>
      </c>
      <c r="C281" s="10">
        <f t="shared" si="6"/>
        <v>0.17735799999999999</v>
      </c>
    </row>
    <row r="282" spans="1:3" x14ac:dyDescent="0.25">
      <c r="A282">
        <v>1691.8281400000001</v>
      </c>
      <c r="B282" s="10">
        <v>0.99919999999999998</v>
      </c>
      <c r="C282" s="10">
        <f t="shared" si="6"/>
        <v>0.17735799999999999</v>
      </c>
    </row>
    <row r="283" spans="1:3" x14ac:dyDescent="0.25">
      <c r="A283">
        <v>1691.8748800000001</v>
      </c>
      <c r="B283" s="10">
        <v>0.99919999999999998</v>
      </c>
      <c r="C283" s="10">
        <f t="shared" si="6"/>
        <v>0.17735799999999999</v>
      </c>
    </row>
    <row r="284" spans="1:3" x14ac:dyDescent="0.25">
      <c r="A284">
        <v>1691.9216100000001</v>
      </c>
      <c r="B284" s="10">
        <v>0.99919999999999998</v>
      </c>
      <c r="C284" s="10">
        <f t="shared" si="6"/>
        <v>0.17735799999999999</v>
      </c>
    </row>
    <row r="285" spans="1:3" x14ac:dyDescent="0.25">
      <c r="A285">
        <v>1691.9683500000001</v>
      </c>
      <c r="B285" s="10">
        <v>0.99919999999999998</v>
      </c>
      <c r="C285" s="10">
        <f t="shared" si="6"/>
        <v>0.17735799999999999</v>
      </c>
    </row>
    <row r="286" spans="1:3" x14ac:dyDescent="0.25">
      <c r="A286">
        <v>1692.0150799999999</v>
      </c>
      <c r="B286" s="10">
        <v>0.99919999999999998</v>
      </c>
      <c r="C286" s="10">
        <f t="shared" si="6"/>
        <v>0.17735799999999999</v>
      </c>
    </row>
    <row r="287" spans="1:3" x14ac:dyDescent="0.25">
      <c r="A287">
        <v>1692.0618199999999</v>
      </c>
      <c r="B287" s="10">
        <v>0.99919999999999998</v>
      </c>
      <c r="C287" s="10">
        <f t="shared" si="6"/>
        <v>0.17735799999999999</v>
      </c>
    </row>
    <row r="288" spans="1:3" x14ac:dyDescent="0.25">
      <c r="A288">
        <v>1692.1085499999999</v>
      </c>
      <c r="B288" s="10">
        <v>0.99929999999999997</v>
      </c>
      <c r="C288" s="10">
        <f t="shared" si="6"/>
        <v>0.17737575</v>
      </c>
    </row>
    <row r="289" spans="1:3" x14ac:dyDescent="0.25">
      <c r="A289">
        <v>1692.1552899999999</v>
      </c>
      <c r="B289" s="10">
        <v>0.99929999999999997</v>
      </c>
      <c r="C289" s="10">
        <f t="shared" si="6"/>
        <v>0.17737575</v>
      </c>
    </row>
    <row r="290" spans="1:3" x14ac:dyDescent="0.25">
      <c r="A290">
        <v>1692.2020199999999</v>
      </c>
      <c r="B290" s="10">
        <v>0.99929999999999997</v>
      </c>
      <c r="C290" s="10">
        <f t="shared" si="6"/>
        <v>0.17737575</v>
      </c>
    </row>
    <row r="291" spans="1:3" x14ac:dyDescent="0.25">
      <c r="A291">
        <v>1692.2487599999999</v>
      </c>
      <c r="B291" s="10">
        <v>0.99929999999999997</v>
      </c>
      <c r="C291" s="10">
        <f t="shared" si="6"/>
        <v>0.17737575</v>
      </c>
    </row>
    <row r="292" spans="1:3" x14ac:dyDescent="0.25">
      <c r="A292">
        <v>1692.29549</v>
      </c>
      <c r="B292" s="10">
        <v>0.99929999999999997</v>
      </c>
      <c r="C292" s="10">
        <f t="shared" si="6"/>
        <v>0.17737575</v>
      </c>
    </row>
    <row r="293" spans="1:3" x14ac:dyDescent="0.25">
      <c r="A293">
        <v>1692.34223</v>
      </c>
      <c r="B293" s="10">
        <v>0.99929999999999997</v>
      </c>
      <c r="C293" s="10">
        <f t="shared" si="6"/>
        <v>0.17737575</v>
      </c>
    </row>
    <row r="294" spans="1:3" x14ac:dyDescent="0.25">
      <c r="A294">
        <v>1692.38896</v>
      </c>
      <c r="B294" s="10">
        <v>0.99929999999999997</v>
      </c>
      <c r="C294" s="10">
        <f t="shared" si="6"/>
        <v>0.17737575</v>
      </c>
    </row>
    <row r="295" spans="1:3" x14ac:dyDescent="0.25">
      <c r="A295">
        <v>1692.4357</v>
      </c>
      <c r="B295" s="10">
        <v>0.99929999999999997</v>
      </c>
      <c r="C295" s="10">
        <f t="shared" si="6"/>
        <v>0.17737575</v>
      </c>
    </row>
    <row r="296" spans="1:3" x14ac:dyDescent="0.25">
      <c r="A296">
        <v>1692.48243</v>
      </c>
      <c r="B296" s="10">
        <v>0.99929999999999997</v>
      </c>
      <c r="C296" s="10">
        <f t="shared" si="6"/>
        <v>0.17737575</v>
      </c>
    </row>
    <row r="297" spans="1:3" x14ac:dyDescent="0.25">
      <c r="A297">
        <v>1692.52917</v>
      </c>
      <c r="B297" s="10">
        <v>0.99929999999999997</v>
      </c>
      <c r="C297" s="10">
        <f t="shared" si="6"/>
        <v>0.17737575</v>
      </c>
    </row>
    <row r="298" spans="1:3" x14ac:dyDescent="0.25">
      <c r="A298">
        <v>1692.5759</v>
      </c>
      <c r="B298" s="10">
        <v>0.99929999999999997</v>
      </c>
      <c r="C298" s="10">
        <f t="shared" si="6"/>
        <v>0.17737575</v>
      </c>
    </row>
    <row r="299" spans="1:3" x14ac:dyDescent="0.25">
      <c r="A299">
        <v>1692.62264</v>
      </c>
      <c r="B299" s="10">
        <v>0.99929999999999997</v>
      </c>
      <c r="C299" s="10">
        <f t="shared" si="6"/>
        <v>0.17737575</v>
      </c>
    </row>
    <row r="300" spans="1:3" x14ac:dyDescent="0.25">
      <c r="A300">
        <v>1692.66938</v>
      </c>
      <c r="B300" s="10">
        <v>0.99929999999999997</v>
      </c>
      <c r="C300" s="10">
        <f t="shared" si="6"/>
        <v>0.17737575</v>
      </c>
    </row>
    <row r="301" spans="1:3" x14ac:dyDescent="0.25">
      <c r="A301">
        <v>1692.7161100000001</v>
      </c>
      <c r="B301" s="10">
        <v>0.99929999999999997</v>
      </c>
      <c r="C301" s="10">
        <f t="shared" si="6"/>
        <v>0.17737575</v>
      </c>
    </row>
    <row r="302" spans="1:3" x14ac:dyDescent="0.25">
      <c r="A302">
        <v>1692.7628500000001</v>
      </c>
      <c r="B302" s="10">
        <v>0.99929999999999997</v>
      </c>
      <c r="C302" s="10">
        <f t="shared" si="6"/>
        <v>0.17737575</v>
      </c>
    </row>
    <row r="303" spans="1:3" x14ac:dyDescent="0.25">
      <c r="A303">
        <v>1692.8095800000001</v>
      </c>
      <c r="B303" s="10">
        <v>0.99929999999999997</v>
      </c>
      <c r="C303" s="10">
        <f t="shared" si="6"/>
        <v>0.17737575</v>
      </c>
    </row>
    <row r="304" spans="1:3" x14ac:dyDescent="0.25">
      <c r="A304">
        <v>1692.8563200000001</v>
      </c>
      <c r="B304" s="10">
        <v>0.99929999999999997</v>
      </c>
      <c r="C304" s="10">
        <f t="shared" si="6"/>
        <v>0.17737575</v>
      </c>
    </row>
    <row r="305" spans="1:3" x14ac:dyDescent="0.25">
      <c r="A305">
        <v>1692.9030499999999</v>
      </c>
      <c r="B305" s="10">
        <v>0.99929999999999997</v>
      </c>
      <c r="C305" s="10">
        <f t="shared" si="6"/>
        <v>0.17737575</v>
      </c>
    </row>
    <row r="306" spans="1:3" x14ac:dyDescent="0.25">
      <c r="A306">
        <v>1692.9497899999999</v>
      </c>
      <c r="B306" s="10">
        <v>0.99929999999999997</v>
      </c>
      <c r="C306" s="10">
        <f t="shared" si="6"/>
        <v>0.17737575</v>
      </c>
    </row>
    <row r="307" spans="1:3" x14ac:dyDescent="0.25">
      <c r="A307">
        <v>1692.9965199999999</v>
      </c>
      <c r="B307" s="10">
        <v>0.99929999999999997</v>
      </c>
      <c r="C307" s="10">
        <f t="shared" si="6"/>
        <v>0.17737575</v>
      </c>
    </row>
    <row r="308" spans="1:3" x14ac:dyDescent="0.25">
      <c r="A308">
        <v>1693.0432599999999</v>
      </c>
      <c r="B308" s="10">
        <v>0.99929999999999997</v>
      </c>
      <c r="C308" s="10">
        <f t="shared" si="6"/>
        <v>0.17737575</v>
      </c>
    </row>
    <row r="309" spans="1:3" x14ac:dyDescent="0.25">
      <c r="A309">
        <v>1693.0899899999999</v>
      </c>
      <c r="B309" s="10">
        <v>0.99929999999999997</v>
      </c>
      <c r="C309" s="10">
        <f t="shared" si="6"/>
        <v>0.17737575</v>
      </c>
    </row>
    <row r="310" spans="1:3" x14ac:dyDescent="0.25">
      <c r="A310">
        <v>1693.1367299999999</v>
      </c>
      <c r="B310" s="10">
        <v>0.99929999999999997</v>
      </c>
      <c r="C310" s="10">
        <f t="shared" si="6"/>
        <v>0.17737575</v>
      </c>
    </row>
    <row r="311" spans="1:3" x14ac:dyDescent="0.25">
      <c r="A311">
        <v>1693.18346</v>
      </c>
      <c r="B311" s="10">
        <v>0.99929999999999997</v>
      </c>
      <c r="C311" s="10">
        <f t="shared" si="6"/>
        <v>0.17737575</v>
      </c>
    </row>
    <row r="312" spans="1:3" x14ac:dyDescent="0.25">
      <c r="A312">
        <v>1693.2302</v>
      </c>
      <c r="B312" s="10">
        <v>0.99929999999999997</v>
      </c>
      <c r="C312" s="10">
        <f t="shared" si="6"/>
        <v>0.17737575</v>
      </c>
    </row>
    <row r="313" spans="1:3" x14ac:dyDescent="0.25">
      <c r="A313">
        <v>1693.27693</v>
      </c>
      <c r="B313" s="10">
        <v>0.99929999999999997</v>
      </c>
      <c r="C313" s="10">
        <f t="shared" si="6"/>
        <v>0.17737575</v>
      </c>
    </row>
    <row r="314" spans="1:3" x14ac:dyDescent="0.25">
      <c r="A314">
        <v>1693.32367</v>
      </c>
      <c r="B314" s="10">
        <v>0.99929999999999997</v>
      </c>
      <c r="C314" s="10">
        <f t="shared" si="6"/>
        <v>0.17737575</v>
      </c>
    </row>
    <row r="315" spans="1:3" x14ac:dyDescent="0.25">
      <c r="A315">
        <v>1693.3704</v>
      </c>
      <c r="B315" s="10">
        <v>0.99929999999999997</v>
      </c>
      <c r="C315" s="10">
        <f t="shared" si="6"/>
        <v>0.17737575</v>
      </c>
    </row>
    <row r="316" spans="1:3" x14ac:dyDescent="0.25">
      <c r="A316">
        <v>1693.41714</v>
      </c>
      <c r="B316" s="10">
        <v>0.99929999999999997</v>
      </c>
      <c r="C316" s="10">
        <f t="shared" si="6"/>
        <v>0.17737575</v>
      </c>
    </row>
    <row r="317" spans="1:3" x14ac:dyDescent="0.25">
      <c r="A317">
        <v>1693.46387</v>
      </c>
      <c r="B317" s="10">
        <v>0.99929999999999997</v>
      </c>
      <c r="C317" s="10">
        <f t="shared" si="6"/>
        <v>0.17737575</v>
      </c>
    </row>
    <row r="318" spans="1:3" x14ac:dyDescent="0.25">
      <c r="A318">
        <v>1693.51061</v>
      </c>
      <c r="B318" s="10">
        <v>0.99929999999999997</v>
      </c>
      <c r="C318" s="10">
        <f t="shared" si="6"/>
        <v>0.17737575</v>
      </c>
    </row>
    <row r="319" spans="1:3" x14ac:dyDescent="0.25">
      <c r="A319">
        <v>1693.5573400000001</v>
      </c>
      <c r="B319" s="10">
        <v>0.99929999999999997</v>
      </c>
      <c r="C319" s="10">
        <f t="shared" si="6"/>
        <v>0.17737575</v>
      </c>
    </row>
    <row r="320" spans="1:3" x14ac:dyDescent="0.25">
      <c r="A320">
        <v>1693.6040800000001</v>
      </c>
      <c r="B320" s="10">
        <v>0.99929999999999997</v>
      </c>
      <c r="C320" s="10">
        <f t="shared" si="6"/>
        <v>0.17737575</v>
      </c>
    </row>
    <row r="321" spans="1:3" x14ac:dyDescent="0.25">
      <c r="A321">
        <v>1693.6508100000001</v>
      </c>
      <c r="B321" s="10">
        <v>0.99929999999999997</v>
      </c>
      <c r="C321" s="10">
        <f t="shared" si="6"/>
        <v>0.17737575</v>
      </c>
    </row>
    <row r="322" spans="1:3" x14ac:dyDescent="0.25">
      <c r="A322">
        <v>1693.6975500000001</v>
      </c>
      <c r="B322" s="10">
        <v>0.99929999999999997</v>
      </c>
      <c r="C322" s="10">
        <f t="shared" si="6"/>
        <v>0.17737575</v>
      </c>
    </row>
    <row r="323" spans="1:3" x14ac:dyDescent="0.25">
      <c r="A323">
        <v>1693.7442799999999</v>
      </c>
      <c r="B323" s="10">
        <v>0.99929999999999997</v>
      </c>
      <c r="C323" s="10">
        <f t="shared" si="6"/>
        <v>0.17737575</v>
      </c>
    </row>
    <row r="324" spans="1:3" x14ac:dyDescent="0.25">
      <c r="A324">
        <v>1693.7910199999999</v>
      </c>
      <c r="B324" s="10">
        <v>0.99929999999999997</v>
      </c>
      <c r="C324" s="10">
        <f t="shared" ref="C324:C387" si="7">B324*0.1775</f>
        <v>0.17737575</v>
      </c>
    </row>
    <row r="325" spans="1:3" x14ac:dyDescent="0.25">
      <c r="A325">
        <v>1693.8377499999999</v>
      </c>
      <c r="B325" s="10">
        <v>0.99929999999999997</v>
      </c>
      <c r="C325" s="10">
        <f t="shared" si="7"/>
        <v>0.17737575</v>
      </c>
    </row>
    <row r="326" spans="1:3" x14ac:dyDescent="0.25">
      <c r="A326">
        <v>1693.8844899999999</v>
      </c>
      <c r="B326" s="10">
        <v>0.99929999999999997</v>
      </c>
      <c r="C326" s="10">
        <f t="shared" si="7"/>
        <v>0.17737575</v>
      </c>
    </row>
    <row r="327" spans="1:3" x14ac:dyDescent="0.25">
      <c r="A327">
        <v>1693.9312199999999</v>
      </c>
      <c r="B327" s="10">
        <v>0.99929999999999997</v>
      </c>
      <c r="C327" s="10">
        <f t="shared" si="7"/>
        <v>0.17737575</v>
      </c>
    </row>
    <row r="328" spans="1:3" x14ac:dyDescent="0.25">
      <c r="A328">
        <v>1693.9779599999999</v>
      </c>
      <c r="B328" s="10">
        <v>0.99929999999999997</v>
      </c>
      <c r="C328" s="10">
        <f t="shared" si="7"/>
        <v>0.17737575</v>
      </c>
    </row>
    <row r="329" spans="1:3" x14ac:dyDescent="0.25">
      <c r="A329">
        <v>1694.02469</v>
      </c>
      <c r="B329" s="10">
        <v>0.99929999999999997</v>
      </c>
      <c r="C329" s="10">
        <f t="shared" si="7"/>
        <v>0.17737575</v>
      </c>
    </row>
    <row r="330" spans="1:3" x14ac:dyDescent="0.25">
      <c r="A330">
        <v>1694.07143</v>
      </c>
      <c r="B330" s="10">
        <v>0.99929999999999997</v>
      </c>
      <c r="C330" s="10">
        <f t="shared" si="7"/>
        <v>0.17737575</v>
      </c>
    </row>
    <row r="331" spans="1:3" x14ac:dyDescent="0.25">
      <c r="A331">
        <v>1694.11816</v>
      </c>
      <c r="B331" s="10">
        <v>0.99929999999999997</v>
      </c>
      <c r="C331" s="10">
        <f t="shared" si="7"/>
        <v>0.17737575</v>
      </c>
    </row>
    <row r="332" spans="1:3" x14ac:dyDescent="0.25">
      <c r="A332">
        <v>1694.1649</v>
      </c>
      <c r="B332" s="10">
        <v>0.99929999999999997</v>
      </c>
      <c r="C332" s="10">
        <f t="shared" si="7"/>
        <v>0.17737575</v>
      </c>
    </row>
    <row r="333" spans="1:3" x14ac:dyDescent="0.25">
      <c r="A333">
        <v>1694.21163</v>
      </c>
      <c r="B333" s="10">
        <v>0.99929999999999997</v>
      </c>
      <c r="C333" s="10">
        <f t="shared" si="7"/>
        <v>0.17737575</v>
      </c>
    </row>
    <row r="334" spans="1:3" x14ac:dyDescent="0.25">
      <c r="A334">
        <v>1694.25837</v>
      </c>
      <c r="B334" s="10">
        <v>0.99929999999999997</v>
      </c>
      <c r="C334" s="10">
        <f t="shared" si="7"/>
        <v>0.17737575</v>
      </c>
    </row>
    <row r="335" spans="1:3" x14ac:dyDescent="0.25">
      <c r="A335">
        <v>1694.3051</v>
      </c>
      <c r="B335" s="10">
        <v>0.99929999999999997</v>
      </c>
      <c r="C335" s="10">
        <f t="shared" si="7"/>
        <v>0.17737575</v>
      </c>
    </row>
    <row r="336" spans="1:3" x14ac:dyDescent="0.25">
      <c r="A336">
        <v>1694.35184</v>
      </c>
      <c r="B336" s="10">
        <v>0.99929999999999997</v>
      </c>
      <c r="C336" s="10">
        <f t="shared" si="7"/>
        <v>0.17737575</v>
      </c>
    </row>
    <row r="337" spans="1:3" x14ac:dyDescent="0.25">
      <c r="A337">
        <v>1694.3985700000001</v>
      </c>
      <c r="B337" s="10">
        <v>0.99929999999999997</v>
      </c>
      <c r="C337" s="10">
        <f t="shared" si="7"/>
        <v>0.17737575</v>
      </c>
    </row>
    <row r="338" spans="1:3" x14ac:dyDescent="0.25">
      <c r="A338">
        <v>1694.4453100000001</v>
      </c>
      <c r="B338" s="10">
        <v>0.99929999999999997</v>
      </c>
      <c r="C338" s="10">
        <f t="shared" si="7"/>
        <v>0.17737575</v>
      </c>
    </row>
    <row r="339" spans="1:3" x14ac:dyDescent="0.25">
      <c r="A339">
        <v>1694.4920400000001</v>
      </c>
      <c r="B339" s="10">
        <v>0.99929999999999997</v>
      </c>
      <c r="C339" s="10">
        <f t="shared" si="7"/>
        <v>0.17737575</v>
      </c>
    </row>
    <row r="340" spans="1:3" x14ac:dyDescent="0.25">
      <c r="A340">
        <v>1694.5387800000001</v>
      </c>
      <c r="B340" s="10">
        <v>0.99929999999999997</v>
      </c>
      <c r="C340" s="10">
        <f t="shared" si="7"/>
        <v>0.17737575</v>
      </c>
    </row>
    <row r="341" spans="1:3" x14ac:dyDescent="0.25">
      <c r="A341">
        <v>1694.5855100000001</v>
      </c>
      <c r="B341" s="10">
        <v>0.99929999999999997</v>
      </c>
      <c r="C341" s="10">
        <f t="shared" si="7"/>
        <v>0.17737575</v>
      </c>
    </row>
    <row r="342" spans="1:3" x14ac:dyDescent="0.25">
      <c r="A342">
        <v>1694.6322500000001</v>
      </c>
      <c r="B342" s="10">
        <v>0.99929999999999997</v>
      </c>
      <c r="C342" s="10">
        <f t="shared" si="7"/>
        <v>0.17737575</v>
      </c>
    </row>
    <row r="343" spans="1:3" x14ac:dyDescent="0.25">
      <c r="A343">
        <v>1694.6789900000001</v>
      </c>
      <c r="B343" s="10">
        <v>0.99929999999999997</v>
      </c>
      <c r="C343" s="10">
        <f t="shared" si="7"/>
        <v>0.17737575</v>
      </c>
    </row>
    <row r="344" spans="1:3" x14ac:dyDescent="0.25">
      <c r="A344">
        <v>1694.7257199999999</v>
      </c>
      <c r="B344" s="10">
        <v>0.99929999999999997</v>
      </c>
      <c r="C344" s="10">
        <f t="shared" si="7"/>
        <v>0.17737575</v>
      </c>
    </row>
    <row r="345" spans="1:3" x14ac:dyDescent="0.25">
      <c r="A345">
        <v>1694.7724599999999</v>
      </c>
      <c r="B345" s="10">
        <v>0.99929999999999997</v>
      </c>
      <c r="C345" s="10">
        <f t="shared" si="7"/>
        <v>0.17737575</v>
      </c>
    </row>
    <row r="346" spans="1:3" x14ac:dyDescent="0.25">
      <c r="A346">
        <v>1694.8191899999999</v>
      </c>
      <c r="B346" s="10">
        <v>0.99929999999999997</v>
      </c>
      <c r="C346" s="10">
        <f t="shared" si="7"/>
        <v>0.17737575</v>
      </c>
    </row>
    <row r="347" spans="1:3" x14ac:dyDescent="0.25">
      <c r="A347">
        <v>1694.8659299999999</v>
      </c>
      <c r="B347" s="10">
        <v>0.99929999999999997</v>
      </c>
      <c r="C347" s="10">
        <f t="shared" si="7"/>
        <v>0.17737575</v>
      </c>
    </row>
    <row r="348" spans="1:3" x14ac:dyDescent="0.25">
      <c r="A348">
        <v>1694.91266</v>
      </c>
      <c r="B348" s="10">
        <v>0.99929999999999997</v>
      </c>
      <c r="C348" s="10">
        <f t="shared" si="7"/>
        <v>0.17737575</v>
      </c>
    </row>
    <row r="349" spans="1:3" x14ac:dyDescent="0.25">
      <c r="A349">
        <v>1694.9594</v>
      </c>
      <c r="B349" s="10">
        <v>0.99929999999999997</v>
      </c>
      <c r="C349" s="10">
        <f t="shared" si="7"/>
        <v>0.17737575</v>
      </c>
    </row>
    <row r="350" spans="1:3" x14ac:dyDescent="0.25">
      <c r="A350">
        <v>1695.00613</v>
      </c>
      <c r="B350" s="10">
        <v>0.99929999999999997</v>
      </c>
      <c r="C350" s="10">
        <f t="shared" si="7"/>
        <v>0.17737575</v>
      </c>
    </row>
    <row r="351" spans="1:3" x14ac:dyDescent="0.25">
      <c r="A351">
        <v>1695.05287</v>
      </c>
      <c r="B351" s="10">
        <v>0.99929999999999997</v>
      </c>
      <c r="C351" s="10">
        <f t="shared" si="7"/>
        <v>0.17737575</v>
      </c>
    </row>
    <row r="352" spans="1:3" x14ac:dyDescent="0.25">
      <c r="A352">
        <v>1695.0996</v>
      </c>
      <c r="B352" s="10">
        <v>0.99929999999999997</v>
      </c>
      <c r="C352" s="10">
        <f t="shared" si="7"/>
        <v>0.17737575</v>
      </c>
    </row>
    <row r="353" spans="1:3" x14ac:dyDescent="0.25">
      <c r="A353">
        <v>1695.14634</v>
      </c>
      <c r="B353" s="10">
        <v>0.99929999999999997</v>
      </c>
      <c r="C353" s="10">
        <f t="shared" si="7"/>
        <v>0.17737575</v>
      </c>
    </row>
    <row r="354" spans="1:3" x14ac:dyDescent="0.25">
      <c r="A354">
        <v>1695.19307</v>
      </c>
      <c r="B354" s="10">
        <v>0.99929999999999997</v>
      </c>
      <c r="C354" s="10">
        <f t="shared" si="7"/>
        <v>0.17737575</v>
      </c>
    </row>
    <row r="355" spans="1:3" x14ac:dyDescent="0.25">
      <c r="A355">
        <v>1695.23981</v>
      </c>
      <c r="B355" s="10">
        <v>0.99929999999999997</v>
      </c>
      <c r="C355" s="10">
        <f t="shared" si="7"/>
        <v>0.17737575</v>
      </c>
    </row>
    <row r="356" spans="1:3" x14ac:dyDescent="0.25">
      <c r="A356">
        <v>1695.2865400000001</v>
      </c>
      <c r="B356" s="10">
        <v>0.99929999999999997</v>
      </c>
      <c r="C356" s="10">
        <f t="shared" si="7"/>
        <v>0.17737575</v>
      </c>
    </row>
    <row r="357" spans="1:3" x14ac:dyDescent="0.25">
      <c r="A357">
        <v>1695.3332800000001</v>
      </c>
      <c r="B357" s="10">
        <v>0.99929999999999997</v>
      </c>
      <c r="C357" s="10">
        <f t="shared" si="7"/>
        <v>0.17737575</v>
      </c>
    </row>
    <row r="358" spans="1:3" x14ac:dyDescent="0.25">
      <c r="A358">
        <v>1695.3800100000001</v>
      </c>
      <c r="B358" s="10">
        <v>0.99929999999999997</v>
      </c>
      <c r="C358" s="10">
        <f t="shared" si="7"/>
        <v>0.17737575</v>
      </c>
    </row>
    <row r="359" spans="1:3" x14ac:dyDescent="0.25">
      <c r="A359">
        <v>1695.4267500000001</v>
      </c>
      <c r="B359" s="10">
        <v>0.99929999999999997</v>
      </c>
      <c r="C359" s="10">
        <f t="shared" si="7"/>
        <v>0.17737575</v>
      </c>
    </row>
    <row r="360" spans="1:3" x14ac:dyDescent="0.25">
      <c r="A360">
        <v>1695.4734800000001</v>
      </c>
      <c r="B360" s="10">
        <v>0.99929999999999997</v>
      </c>
      <c r="C360" s="10">
        <f t="shared" si="7"/>
        <v>0.17737575</v>
      </c>
    </row>
    <row r="361" spans="1:3" x14ac:dyDescent="0.25">
      <c r="A361">
        <v>1695.5202200000001</v>
      </c>
      <c r="B361" s="10">
        <v>0.99929999999999997</v>
      </c>
      <c r="C361" s="10">
        <f t="shared" si="7"/>
        <v>0.17737575</v>
      </c>
    </row>
    <row r="362" spans="1:3" x14ac:dyDescent="0.25">
      <c r="A362">
        <v>1695.5669499999999</v>
      </c>
      <c r="B362" s="10">
        <v>0.99929999999999997</v>
      </c>
      <c r="C362" s="10">
        <f t="shared" si="7"/>
        <v>0.17737575</v>
      </c>
    </row>
    <row r="363" spans="1:3" x14ac:dyDescent="0.25">
      <c r="A363">
        <v>1695.6136899999999</v>
      </c>
      <c r="B363" s="10">
        <v>0.99929999999999997</v>
      </c>
      <c r="C363" s="10">
        <f t="shared" si="7"/>
        <v>0.17737575</v>
      </c>
    </row>
    <row r="364" spans="1:3" x14ac:dyDescent="0.25">
      <c r="A364">
        <v>1695.6604199999999</v>
      </c>
      <c r="B364" s="10">
        <v>0.99929999999999997</v>
      </c>
      <c r="C364" s="10">
        <f t="shared" si="7"/>
        <v>0.17737575</v>
      </c>
    </row>
    <row r="365" spans="1:3" x14ac:dyDescent="0.25">
      <c r="A365">
        <v>1695.7071599999999</v>
      </c>
      <c r="B365" s="10">
        <v>0.99929999999999997</v>
      </c>
      <c r="C365" s="10">
        <f t="shared" si="7"/>
        <v>0.17737575</v>
      </c>
    </row>
    <row r="366" spans="1:3" x14ac:dyDescent="0.25">
      <c r="A366">
        <v>1695.75389</v>
      </c>
      <c r="B366" s="10">
        <v>0.99929999999999997</v>
      </c>
      <c r="C366" s="10">
        <f t="shared" si="7"/>
        <v>0.17737575</v>
      </c>
    </row>
    <row r="367" spans="1:3" x14ac:dyDescent="0.25">
      <c r="A367">
        <v>1695.80063</v>
      </c>
      <c r="B367" s="10">
        <v>0.99929999999999997</v>
      </c>
      <c r="C367" s="10">
        <f t="shared" si="7"/>
        <v>0.17737575</v>
      </c>
    </row>
    <row r="368" spans="1:3" x14ac:dyDescent="0.25">
      <c r="A368">
        <v>1695.84736</v>
      </c>
      <c r="B368" s="10">
        <v>0.99929999999999997</v>
      </c>
      <c r="C368" s="10">
        <f t="shared" si="7"/>
        <v>0.17737575</v>
      </c>
    </row>
    <row r="369" spans="1:3" x14ac:dyDescent="0.25">
      <c r="A369">
        <v>1695.8941</v>
      </c>
      <c r="B369" s="10">
        <v>0.99929999999999997</v>
      </c>
      <c r="C369" s="10">
        <f t="shared" si="7"/>
        <v>0.17737575</v>
      </c>
    </row>
    <row r="370" spans="1:3" x14ac:dyDescent="0.25">
      <c r="A370">
        <v>1695.94083</v>
      </c>
      <c r="B370" s="10">
        <v>0.99929999999999997</v>
      </c>
      <c r="C370" s="10">
        <f t="shared" si="7"/>
        <v>0.17737575</v>
      </c>
    </row>
    <row r="371" spans="1:3" x14ac:dyDescent="0.25">
      <c r="A371">
        <v>1695.98757</v>
      </c>
      <c r="B371" s="10">
        <v>0.99929999999999997</v>
      </c>
      <c r="C371" s="10">
        <f t="shared" si="7"/>
        <v>0.17737575</v>
      </c>
    </row>
    <row r="372" spans="1:3" x14ac:dyDescent="0.25">
      <c r="A372">
        <v>1696.0343</v>
      </c>
      <c r="B372" s="10">
        <v>0.99929999999999997</v>
      </c>
      <c r="C372" s="10">
        <f t="shared" si="7"/>
        <v>0.17737575</v>
      </c>
    </row>
    <row r="373" spans="1:3" x14ac:dyDescent="0.25">
      <c r="A373">
        <v>1696.08104</v>
      </c>
      <c r="B373" s="10">
        <v>0.99929999999999997</v>
      </c>
      <c r="C373" s="10">
        <f t="shared" si="7"/>
        <v>0.17737575</v>
      </c>
    </row>
    <row r="374" spans="1:3" x14ac:dyDescent="0.25">
      <c r="A374">
        <v>1696.1277700000001</v>
      </c>
      <c r="B374" s="10">
        <v>0.99929999999999997</v>
      </c>
      <c r="C374" s="10">
        <f t="shared" si="7"/>
        <v>0.17737575</v>
      </c>
    </row>
    <row r="375" spans="1:3" x14ac:dyDescent="0.25">
      <c r="A375">
        <v>1696.1745100000001</v>
      </c>
      <c r="B375" s="10">
        <v>0.99929999999999997</v>
      </c>
      <c r="C375" s="10">
        <f t="shared" si="7"/>
        <v>0.17737575</v>
      </c>
    </row>
    <row r="376" spans="1:3" x14ac:dyDescent="0.25">
      <c r="A376">
        <v>1696.2212400000001</v>
      </c>
      <c r="B376" s="10">
        <v>0.99929999999999997</v>
      </c>
      <c r="C376" s="10">
        <f t="shared" si="7"/>
        <v>0.17737575</v>
      </c>
    </row>
    <row r="377" spans="1:3" x14ac:dyDescent="0.25">
      <c r="A377">
        <v>1696.2679800000001</v>
      </c>
      <c r="B377" s="10">
        <v>0.99929999999999997</v>
      </c>
      <c r="C377" s="10">
        <f t="shared" si="7"/>
        <v>0.17737575</v>
      </c>
    </row>
    <row r="378" spans="1:3" x14ac:dyDescent="0.25">
      <c r="A378">
        <v>1696.3147100000001</v>
      </c>
      <c r="B378" s="10">
        <v>0.99929999999999997</v>
      </c>
      <c r="C378" s="10">
        <f t="shared" si="7"/>
        <v>0.17737575</v>
      </c>
    </row>
    <row r="379" spans="1:3" x14ac:dyDescent="0.25">
      <c r="A379">
        <v>1696.3614500000001</v>
      </c>
      <c r="B379" s="10">
        <v>0.99929999999999997</v>
      </c>
      <c r="C379" s="10">
        <f t="shared" si="7"/>
        <v>0.17737575</v>
      </c>
    </row>
    <row r="380" spans="1:3" x14ac:dyDescent="0.25">
      <c r="A380">
        <v>1696.4081799999999</v>
      </c>
      <c r="B380" s="10">
        <v>0.99929999999999997</v>
      </c>
      <c r="C380" s="10">
        <f t="shared" si="7"/>
        <v>0.17737575</v>
      </c>
    </row>
    <row r="381" spans="1:3" x14ac:dyDescent="0.25">
      <c r="A381">
        <v>1696.4549199999999</v>
      </c>
      <c r="B381" s="10">
        <v>0.99929999999999997</v>
      </c>
      <c r="C381" s="10">
        <f t="shared" si="7"/>
        <v>0.17737575</v>
      </c>
    </row>
    <row r="382" spans="1:3" x14ac:dyDescent="0.25">
      <c r="A382">
        <v>1696.5016499999999</v>
      </c>
      <c r="B382" s="10">
        <v>0.99929999999999997</v>
      </c>
      <c r="C382" s="10">
        <f t="shared" si="7"/>
        <v>0.17737575</v>
      </c>
    </row>
    <row r="383" spans="1:3" x14ac:dyDescent="0.25">
      <c r="A383">
        <v>1696.5483899999999</v>
      </c>
      <c r="B383" s="10">
        <v>0.99929999999999997</v>
      </c>
      <c r="C383" s="10">
        <f t="shared" si="7"/>
        <v>0.17737575</v>
      </c>
    </row>
    <row r="384" spans="1:3" x14ac:dyDescent="0.25">
      <c r="A384">
        <v>1696.5951299999999</v>
      </c>
      <c r="B384" s="10">
        <v>0.99929999999999997</v>
      </c>
      <c r="C384" s="10">
        <f t="shared" si="7"/>
        <v>0.17737575</v>
      </c>
    </row>
    <row r="385" spans="1:3" x14ac:dyDescent="0.25">
      <c r="A385">
        <v>1696.64186</v>
      </c>
      <c r="B385" s="10">
        <v>0.99929999999999997</v>
      </c>
      <c r="C385" s="10">
        <f t="shared" si="7"/>
        <v>0.17737575</v>
      </c>
    </row>
    <row r="386" spans="1:3" x14ac:dyDescent="0.25">
      <c r="A386">
        <v>1696.6886</v>
      </c>
      <c r="B386" s="10">
        <v>0.99929999999999997</v>
      </c>
      <c r="C386" s="10">
        <f t="shared" si="7"/>
        <v>0.17737575</v>
      </c>
    </row>
    <row r="387" spans="1:3" x14ac:dyDescent="0.25">
      <c r="A387">
        <v>1696.73533</v>
      </c>
      <c r="B387" s="10">
        <v>0.99929999999999997</v>
      </c>
      <c r="C387" s="10">
        <f t="shared" si="7"/>
        <v>0.17737575</v>
      </c>
    </row>
    <row r="388" spans="1:3" x14ac:dyDescent="0.25">
      <c r="A388">
        <v>1696.78207</v>
      </c>
      <c r="B388" s="10">
        <v>0.99929999999999997</v>
      </c>
      <c r="C388" s="10">
        <f t="shared" ref="C388:C451" si="8">B388*0.1775</f>
        <v>0.17737575</v>
      </c>
    </row>
    <row r="389" spans="1:3" x14ac:dyDescent="0.25">
      <c r="A389">
        <v>1696.8288</v>
      </c>
      <c r="B389" s="10">
        <v>0.99929999999999997</v>
      </c>
      <c r="C389" s="10">
        <f t="shared" si="8"/>
        <v>0.17737575</v>
      </c>
    </row>
    <row r="390" spans="1:3" x14ac:dyDescent="0.25">
      <c r="A390">
        <v>1696.87554</v>
      </c>
      <c r="B390" s="10">
        <v>0.99929999999999997</v>
      </c>
      <c r="C390" s="10">
        <f t="shared" si="8"/>
        <v>0.17737575</v>
      </c>
    </row>
    <row r="391" spans="1:3" x14ac:dyDescent="0.25">
      <c r="A391">
        <v>1696.92227</v>
      </c>
      <c r="B391" s="10">
        <v>0.99929999999999997</v>
      </c>
      <c r="C391" s="10">
        <f t="shared" si="8"/>
        <v>0.17737575</v>
      </c>
    </row>
    <row r="392" spans="1:3" x14ac:dyDescent="0.25">
      <c r="A392">
        <v>1696.96901</v>
      </c>
      <c r="B392" s="10">
        <v>0.99929999999999997</v>
      </c>
      <c r="C392" s="10">
        <f t="shared" si="8"/>
        <v>0.17737575</v>
      </c>
    </row>
    <row r="393" spans="1:3" x14ac:dyDescent="0.25">
      <c r="A393">
        <v>1697.0157400000001</v>
      </c>
      <c r="B393" s="10">
        <v>0.99929999999999997</v>
      </c>
      <c r="C393" s="10">
        <f t="shared" si="8"/>
        <v>0.17737575</v>
      </c>
    </row>
    <row r="394" spans="1:3" x14ac:dyDescent="0.25">
      <c r="A394">
        <v>1697.0624800000001</v>
      </c>
      <c r="B394" s="10">
        <v>0.99929999999999997</v>
      </c>
      <c r="C394" s="10">
        <f t="shared" si="8"/>
        <v>0.17737575</v>
      </c>
    </row>
    <row r="395" spans="1:3" x14ac:dyDescent="0.25">
      <c r="A395">
        <v>1697.1092100000001</v>
      </c>
      <c r="B395" s="10">
        <v>0.99929999999999997</v>
      </c>
      <c r="C395" s="10">
        <f t="shared" si="8"/>
        <v>0.17737575</v>
      </c>
    </row>
    <row r="396" spans="1:3" x14ac:dyDescent="0.25">
      <c r="A396">
        <v>1697.1559500000001</v>
      </c>
      <c r="B396" s="10">
        <v>0.99929999999999997</v>
      </c>
      <c r="C396" s="10">
        <f t="shared" si="8"/>
        <v>0.17737575</v>
      </c>
    </row>
    <row r="397" spans="1:3" x14ac:dyDescent="0.25">
      <c r="A397">
        <v>1697.2026800000001</v>
      </c>
      <c r="B397" s="10">
        <v>0.99929999999999997</v>
      </c>
      <c r="C397" s="10">
        <f t="shared" si="8"/>
        <v>0.17737575</v>
      </c>
    </row>
    <row r="398" spans="1:3" x14ac:dyDescent="0.25">
      <c r="A398">
        <v>1697.2494200000001</v>
      </c>
      <c r="B398" s="10">
        <v>0.99929999999999997</v>
      </c>
      <c r="C398" s="10">
        <f t="shared" si="8"/>
        <v>0.17737575</v>
      </c>
    </row>
    <row r="399" spans="1:3" x14ac:dyDescent="0.25">
      <c r="A399">
        <v>1697.2961499999999</v>
      </c>
      <c r="B399" s="10">
        <v>0.99929999999999997</v>
      </c>
      <c r="C399" s="10">
        <f t="shared" si="8"/>
        <v>0.17737575</v>
      </c>
    </row>
    <row r="400" spans="1:3" x14ac:dyDescent="0.25">
      <c r="A400">
        <v>1697.3428899999999</v>
      </c>
      <c r="B400" s="10">
        <v>0.99929999999999997</v>
      </c>
      <c r="C400" s="10">
        <f t="shared" si="8"/>
        <v>0.17737575</v>
      </c>
    </row>
    <row r="401" spans="1:3" x14ac:dyDescent="0.25">
      <c r="A401">
        <v>1697.3896199999999</v>
      </c>
      <c r="B401" s="10">
        <v>0.99929999999999997</v>
      </c>
      <c r="C401" s="10">
        <f t="shared" si="8"/>
        <v>0.17737575</v>
      </c>
    </row>
    <row r="402" spans="1:3" x14ac:dyDescent="0.25">
      <c r="A402">
        <v>1697.4363599999999</v>
      </c>
      <c r="B402" s="10">
        <v>0.99929999999999997</v>
      </c>
      <c r="C402" s="10">
        <f t="shared" si="8"/>
        <v>0.17737575</v>
      </c>
    </row>
    <row r="403" spans="1:3" x14ac:dyDescent="0.25">
      <c r="A403">
        <v>1697.4830899999999</v>
      </c>
      <c r="B403" s="10">
        <v>0.99929999999999997</v>
      </c>
      <c r="C403" s="10">
        <f t="shared" si="8"/>
        <v>0.17737575</v>
      </c>
    </row>
    <row r="404" spans="1:3" x14ac:dyDescent="0.25">
      <c r="A404">
        <v>1697.5298299999999</v>
      </c>
      <c r="B404" s="10">
        <v>0.99929999999999997</v>
      </c>
      <c r="C404" s="10">
        <f t="shared" si="8"/>
        <v>0.17737575</v>
      </c>
    </row>
    <row r="405" spans="1:3" x14ac:dyDescent="0.25">
      <c r="A405">
        <v>1697.57656</v>
      </c>
      <c r="B405" s="10">
        <v>0.99929999999999997</v>
      </c>
      <c r="C405" s="10">
        <f t="shared" si="8"/>
        <v>0.17737575</v>
      </c>
    </row>
    <row r="406" spans="1:3" x14ac:dyDescent="0.25">
      <c r="A406">
        <v>1697.6233</v>
      </c>
      <c r="B406" s="10">
        <v>0.99929999999999997</v>
      </c>
      <c r="C406" s="10">
        <f t="shared" si="8"/>
        <v>0.17737575</v>
      </c>
    </row>
    <row r="407" spans="1:3" x14ac:dyDescent="0.25">
      <c r="A407">
        <v>1697.67003</v>
      </c>
      <c r="B407" s="10">
        <v>0.99929999999999997</v>
      </c>
      <c r="C407" s="10">
        <f t="shared" si="8"/>
        <v>0.17737575</v>
      </c>
    </row>
    <row r="408" spans="1:3" x14ac:dyDescent="0.25">
      <c r="A408">
        <v>1697.71677</v>
      </c>
      <c r="B408" s="10">
        <v>0.99929999999999997</v>
      </c>
      <c r="C408" s="10">
        <f t="shared" si="8"/>
        <v>0.17737575</v>
      </c>
    </row>
    <row r="409" spans="1:3" x14ac:dyDescent="0.25">
      <c r="A409">
        <v>1697.7635</v>
      </c>
      <c r="B409" s="10">
        <v>0.99929999999999997</v>
      </c>
      <c r="C409" s="10">
        <f t="shared" si="8"/>
        <v>0.17737575</v>
      </c>
    </row>
    <row r="410" spans="1:3" x14ac:dyDescent="0.25">
      <c r="A410">
        <v>1697.81024</v>
      </c>
      <c r="B410" s="10">
        <v>0.99929999999999997</v>
      </c>
      <c r="C410" s="10">
        <f t="shared" si="8"/>
        <v>0.17737575</v>
      </c>
    </row>
    <row r="411" spans="1:3" x14ac:dyDescent="0.25">
      <c r="A411">
        <v>1697.85697</v>
      </c>
      <c r="B411" s="10">
        <v>0.99929999999999997</v>
      </c>
      <c r="C411" s="10">
        <f t="shared" si="8"/>
        <v>0.17737575</v>
      </c>
    </row>
    <row r="412" spans="1:3" x14ac:dyDescent="0.25">
      <c r="A412">
        <v>1697.90371</v>
      </c>
      <c r="B412" s="10">
        <v>0.99929999999999997</v>
      </c>
      <c r="C412" s="10">
        <f t="shared" si="8"/>
        <v>0.17737575</v>
      </c>
    </row>
    <row r="413" spans="1:3" x14ac:dyDescent="0.25">
      <c r="A413">
        <v>1697.9504400000001</v>
      </c>
      <c r="B413" s="10">
        <v>0.99929999999999997</v>
      </c>
      <c r="C413" s="10">
        <f t="shared" si="8"/>
        <v>0.17737575</v>
      </c>
    </row>
    <row r="414" spans="1:3" x14ac:dyDescent="0.25">
      <c r="A414">
        <v>1697.9971800000001</v>
      </c>
      <c r="B414" s="10">
        <v>0.99929999999999997</v>
      </c>
      <c r="C414" s="10">
        <f t="shared" si="8"/>
        <v>0.17737575</v>
      </c>
    </row>
    <row r="415" spans="1:3" x14ac:dyDescent="0.25">
      <c r="A415">
        <v>1698.0439100000001</v>
      </c>
      <c r="B415" s="10">
        <v>0.99929999999999997</v>
      </c>
      <c r="C415" s="10">
        <f t="shared" si="8"/>
        <v>0.17737575</v>
      </c>
    </row>
    <row r="416" spans="1:3" x14ac:dyDescent="0.25">
      <c r="A416">
        <v>1698.0906500000001</v>
      </c>
      <c r="B416" s="10">
        <v>0.99929999999999997</v>
      </c>
      <c r="C416" s="10">
        <f t="shared" si="8"/>
        <v>0.17737575</v>
      </c>
    </row>
    <row r="417" spans="1:3" x14ac:dyDescent="0.25">
      <c r="A417">
        <v>1698.1373799999999</v>
      </c>
      <c r="B417" s="10">
        <v>0.99929999999999997</v>
      </c>
      <c r="C417" s="10">
        <f t="shared" si="8"/>
        <v>0.17737575</v>
      </c>
    </row>
    <row r="418" spans="1:3" x14ac:dyDescent="0.25">
      <c r="A418">
        <v>1698.1841199999999</v>
      </c>
      <c r="B418" s="10">
        <v>0.99929999999999997</v>
      </c>
      <c r="C418" s="10">
        <f t="shared" si="8"/>
        <v>0.17737575</v>
      </c>
    </row>
    <row r="419" spans="1:3" x14ac:dyDescent="0.25">
      <c r="A419">
        <v>1698.2308499999999</v>
      </c>
      <c r="B419" s="10">
        <v>0.99929999999999997</v>
      </c>
      <c r="C419" s="10">
        <f t="shared" si="8"/>
        <v>0.17737575</v>
      </c>
    </row>
    <row r="420" spans="1:3" x14ac:dyDescent="0.25">
      <c r="A420">
        <v>1698.2775899999999</v>
      </c>
      <c r="B420" s="10">
        <v>0.99929999999999997</v>
      </c>
      <c r="C420" s="10">
        <f t="shared" si="8"/>
        <v>0.17737575</v>
      </c>
    </row>
    <row r="421" spans="1:3" x14ac:dyDescent="0.25">
      <c r="A421">
        <v>1698.3243199999999</v>
      </c>
      <c r="B421" s="10">
        <v>0.99929999999999997</v>
      </c>
      <c r="C421" s="10">
        <f t="shared" si="8"/>
        <v>0.17737575</v>
      </c>
    </row>
    <row r="422" spans="1:3" x14ac:dyDescent="0.25">
      <c r="A422">
        <v>1698.3710599999999</v>
      </c>
      <c r="B422" s="10">
        <v>0.99929999999999997</v>
      </c>
      <c r="C422" s="10">
        <f t="shared" si="8"/>
        <v>0.17737575</v>
      </c>
    </row>
    <row r="423" spans="1:3" x14ac:dyDescent="0.25">
      <c r="A423">
        <v>1698.41779</v>
      </c>
      <c r="B423" s="10">
        <v>0.99929999999999997</v>
      </c>
      <c r="C423" s="10">
        <f t="shared" si="8"/>
        <v>0.17737575</v>
      </c>
    </row>
    <row r="424" spans="1:3" x14ac:dyDescent="0.25">
      <c r="A424">
        <v>1698.46453</v>
      </c>
      <c r="B424" s="10">
        <v>0.99929999999999997</v>
      </c>
      <c r="C424" s="10">
        <f t="shared" si="8"/>
        <v>0.17737575</v>
      </c>
    </row>
    <row r="425" spans="1:3" x14ac:dyDescent="0.25">
      <c r="A425">
        <v>1698.51126</v>
      </c>
      <c r="B425" s="10">
        <v>0.99929999999999997</v>
      </c>
      <c r="C425" s="10">
        <f t="shared" si="8"/>
        <v>0.17737575</v>
      </c>
    </row>
    <row r="426" spans="1:3" x14ac:dyDescent="0.25">
      <c r="A426">
        <v>1698.558</v>
      </c>
      <c r="B426" s="10">
        <v>0.99929999999999997</v>
      </c>
      <c r="C426" s="10">
        <f t="shared" si="8"/>
        <v>0.17737575</v>
      </c>
    </row>
    <row r="427" spans="1:3" x14ac:dyDescent="0.25">
      <c r="A427">
        <v>1698.60474</v>
      </c>
      <c r="B427" s="10">
        <v>0.99929999999999997</v>
      </c>
      <c r="C427" s="10">
        <f t="shared" si="8"/>
        <v>0.17737575</v>
      </c>
    </row>
    <row r="428" spans="1:3" x14ac:dyDescent="0.25">
      <c r="A428">
        <v>1698.65147</v>
      </c>
      <c r="B428" s="10">
        <v>0.99929999999999997</v>
      </c>
      <c r="C428" s="10">
        <f t="shared" si="8"/>
        <v>0.17737575</v>
      </c>
    </row>
    <row r="429" spans="1:3" x14ac:dyDescent="0.25">
      <c r="A429">
        <v>1698.69821</v>
      </c>
      <c r="B429" s="10">
        <v>0.99929999999999997</v>
      </c>
      <c r="C429" s="10">
        <f t="shared" si="8"/>
        <v>0.17737575</v>
      </c>
    </row>
    <row r="430" spans="1:3" x14ac:dyDescent="0.25">
      <c r="A430">
        <v>1698.74494</v>
      </c>
      <c r="B430" s="10">
        <v>0.99929999999999997</v>
      </c>
      <c r="C430" s="10">
        <f t="shared" si="8"/>
        <v>0.17737575</v>
      </c>
    </row>
    <row r="431" spans="1:3" x14ac:dyDescent="0.25">
      <c r="A431">
        <v>1698.79168</v>
      </c>
      <c r="B431" s="10">
        <v>0.99929999999999997</v>
      </c>
      <c r="C431" s="10">
        <f t="shared" si="8"/>
        <v>0.17737575</v>
      </c>
    </row>
    <row r="432" spans="1:3" x14ac:dyDescent="0.25">
      <c r="A432">
        <v>1698.8384100000001</v>
      </c>
      <c r="B432" s="10">
        <v>0.99929999999999997</v>
      </c>
      <c r="C432" s="10">
        <f t="shared" si="8"/>
        <v>0.17737575</v>
      </c>
    </row>
    <row r="433" spans="1:3" x14ac:dyDescent="0.25">
      <c r="A433">
        <v>1698.8851500000001</v>
      </c>
      <c r="B433" s="10">
        <v>0.99929999999999997</v>
      </c>
      <c r="C433" s="10">
        <f t="shared" si="8"/>
        <v>0.17737575</v>
      </c>
    </row>
    <row r="434" spans="1:3" x14ac:dyDescent="0.25">
      <c r="A434">
        <v>1698.9318800000001</v>
      </c>
      <c r="B434" s="10">
        <v>0.99929999999999997</v>
      </c>
      <c r="C434" s="10">
        <f t="shared" si="8"/>
        <v>0.17737575</v>
      </c>
    </row>
    <row r="435" spans="1:3" x14ac:dyDescent="0.25">
      <c r="A435">
        <v>1698.9786200000001</v>
      </c>
      <c r="B435" s="10">
        <v>0.99929999999999997</v>
      </c>
      <c r="C435" s="10">
        <f t="shared" si="8"/>
        <v>0.17737575</v>
      </c>
    </row>
    <row r="436" spans="1:3" x14ac:dyDescent="0.25">
      <c r="A436">
        <v>1699.0253499999999</v>
      </c>
      <c r="B436" s="10">
        <v>0.99929999999999997</v>
      </c>
      <c r="C436" s="10">
        <f t="shared" si="8"/>
        <v>0.17737575</v>
      </c>
    </row>
    <row r="437" spans="1:3" x14ac:dyDescent="0.25">
      <c r="A437">
        <v>1699.0720899999999</v>
      </c>
      <c r="B437" s="10">
        <v>0.99929999999999997</v>
      </c>
      <c r="C437" s="10">
        <f t="shared" si="8"/>
        <v>0.17737575</v>
      </c>
    </row>
    <row r="438" spans="1:3" x14ac:dyDescent="0.25">
      <c r="A438">
        <v>1699.1188199999999</v>
      </c>
      <c r="B438" s="10">
        <v>0.99929999999999997</v>
      </c>
      <c r="C438" s="10">
        <f t="shared" si="8"/>
        <v>0.17737575</v>
      </c>
    </row>
    <row r="439" spans="1:3" x14ac:dyDescent="0.25">
      <c r="A439">
        <v>1699.1655599999999</v>
      </c>
      <c r="B439" s="10">
        <v>0.99929999999999997</v>
      </c>
      <c r="C439" s="10">
        <f t="shared" si="8"/>
        <v>0.17737575</v>
      </c>
    </row>
    <row r="440" spans="1:3" x14ac:dyDescent="0.25">
      <c r="A440">
        <v>1699.2122899999999</v>
      </c>
      <c r="B440" s="10">
        <v>0.99929999999999997</v>
      </c>
      <c r="C440" s="10">
        <f t="shared" si="8"/>
        <v>0.17737575</v>
      </c>
    </row>
    <row r="441" spans="1:3" x14ac:dyDescent="0.25">
      <c r="A441">
        <v>1699.2590299999999</v>
      </c>
      <c r="B441" s="10">
        <v>0.99929999999999997</v>
      </c>
      <c r="C441" s="10">
        <f t="shared" si="8"/>
        <v>0.17737575</v>
      </c>
    </row>
    <row r="442" spans="1:3" x14ac:dyDescent="0.25">
      <c r="A442">
        <v>1699.30576</v>
      </c>
      <c r="B442" s="10">
        <v>0.99929999999999997</v>
      </c>
      <c r="C442" s="10">
        <f t="shared" si="8"/>
        <v>0.17737575</v>
      </c>
    </row>
    <row r="443" spans="1:3" x14ac:dyDescent="0.25">
      <c r="A443">
        <v>1699.3525</v>
      </c>
      <c r="B443" s="10">
        <v>0.99929999999999997</v>
      </c>
      <c r="C443" s="10">
        <f t="shared" si="8"/>
        <v>0.17737575</v>
      </c>
    </row>
    <row r="444" spans="1:3" x14ac:dyDescent="0.25">
      <c r="A444">
        <v>1699.39923</v>
      </c>
      <c r="B444" s="10">
        <v>0.99929999999999997</v>
      </c>
      <c r="C444" s="10">
        <f t="shared" si="8"/>
        <v>0.17737575</v>
      </c>
    </row>
    <row r="445" spans="1:3" x14ac:dyDescent="0.25">
      <c r="A445">
        <v>1699.44597</v>
      </c>
      <c r="B445" s="10">
        <v>0.99929999999999997</v>
      </c>
      <c r="C445" s="10">
        <f t="shared" si="8"/>
        <v>0.17737575</v>
      </c>
    </row>
    <row r="446" spans="1:3" x14ac:dyDescent="0.25">
      <c r="A446">
        <v>1699.4927</v>
      </c>
      <c r="B446" s="10">
        <v>0.99929999999999997</v>
      </c>
      <c r="C446" s="10">
        <f t="shared" si="8"/>
        <v>0.17737575</v>
      </c>
    </row>
    <row r="447" spans="1:3" x14ac:dyDescent="0.25">
      <c r="A447">
        <v>1699.53944</v>
      </c>
      <c r="B447" s="10">
        <v>0.99929999999999997</v>
      </c>
      <c r="C447" s="10">
        <f t="shared" si="8"/>
        <v>0.17737575</v>
      </c>
    </row>
    <row r="448" spans="1:3" x14ac:dyDescent="0.25">
      <c r="A448">
        <v>1699.58617</v>
      </c>
      <c r="B448" s="10">
        <v>0.99929999999999997</v>
      </c>
      <c r="C448" s="10">
        <f t="shared" si="8"/>
        <v>0.17737575</v>
      </c>
    </row>
    <row r="449" spans="1:3" x14ac:dyDescent="0.25">
      <c r="A449">
        <v>1699.63291</v>
      </c>
      <c r="B449" s="10">
        <v>0.99929999999999997</v>
      </c>
      <c r="C449" s="10">
        <f t="shared" si="8"/>
        <v>0.17737575</v>
      </c>
    </row>
    <row r="450" spans="1:3" x14ac:dyDescent="0.25">
      <c r="A450">
        <v>1699.6796400000001</v>
      </c>
      <c r="B450" s="10">
        <v>0.99929999999999997</v>
      </c>
      <c r="C450" s="10">
        <f t="shared" si="8"/>
        <v>0.17737575</v>
      </c>
    </row>
    <row r="451" spans="1:3" x14ac:dyDescent="0.25">
      <c r="A451">
        <v>1699.7263800000001</v>
      </c>
      <c r="B451" s="10">
        <v>0.99929999999999997</v>
      </c>
      <c r="C451" s="10">
        <f t="shared" si="8"/>
        <v>0.17737575</v>
      </c>
    </row>
    <row r="452" spans="1:3" x14ac:dyDescent="0.25">
      <c r="A452">
        <v>1699.7731100000001</v>
      </c>
      <c r="B452" s="10">
        <v>0.99929999999999997</v>
      </c>
      <c r="C452" s="10">
        <f t="shared" ref="C452:C515" si="9">B452*0.1775</f>
        <v>0.17737575</v>
      </c>
    </row>
    <row r="453" spans="1:3" x14ac:dyDescent="0.25">
      <c r="A453">
        <v>1699.8198500000001</v>
      </c>
      <c r="B453" s="10">
        <v>0.99929999999999997</v>
      </c>
      <c r="C453" s="10">
        <f t="shared" si="9"/>
        <v>0.17737575</v>
      </c>
    </row>
    <row r="454" spans="1:3" x14ac:dyDescent="0.25">
      <c r="A454">
        <v>1699.8665800000001</v>
      </c>
      <c r="B454" s="10">
        <v>0.99929999999999997</v>
      </c>
      <c r="C454" s="10">
        <f t="shared" si="9"/>
        <v>0.17737575</v>
      </c>
    </row>
    <row r="455" spans="1:3" x14ac:dyDescent="0.25">
      <c r="A455">
        <v>1699.9133200000001</v>
      </c>
      <c r="B455" s="10">
        <v>0.99929999999999997</v>
      </c>
      <c r="C455" s="10">
        <f t="shared" si="9"/>
        <v>0.17737575</v>
      </c>
    </row>
    <row r="456" spans="1:3" x14ac:dyDescent="0.25">
      <c r="A456">
        <v>1699.9600499999999</v>
      </c>
      <c r="B456" s="10">
        <v>0.99929999999999997</v>
      </c>
      <c r="C456" s="10">
        <f t="shared" si="9"/>
        <v>0.17737575</v>
      </c>
    </row>
    <row r="457" spans="1:3" x14ac:dyDescent="0.25">
      <c r="A457">
        <v>1700.0067899999999</v>
      </c>
      <c r="B457" s="10">
        <v>0.99929999999999997</v>
      </c>
      <c r="C457" s="10">
        <f t="shared" si="9"/>
        <v>0.17737575</v>
      </c>
    </row>
    <row r="458" spans="1:3" x14ac:dyDescent="0.25">
      <c r="A458">
        <v>1700.0535199999999</v>
      </c>
      <c r="B458" s="10">
        <v>0.99929999999999997</v>
      </c>
      <c r="C458" s="10">
        <f t="shared" si="9"/>
        <v>0.17737575</v>
      </c>
    </row>
    <row r="459" spans="1:3" x14ac:dyDescent="0.25">
      <c r="A459">
        <v>1700.1002599999999</v>
      </c>
      <c r="B459" s="10">
        <v>0.99929999999999997</v>
      </c>
      <c r="C459" s="10">
        <f t="shared" si="9"/>
        <v>0.17737575</v>
      </c>
    </row>
    <row r="460" spans="1:3" x14ac:dyDescent="0.25">
      <c r="A460">
        <v>1700.14699</v>
      </c>
      <c r="B460" s="10">
        <v>0.99929999999999997</v>
      </c>
      <c r="C460" s="10">
        <f t="shared" si="9"/>
        <v>0.17737575</v>
      </c>
    </row>
    <row r="461" spans="1:3" x14ac:dyDescent="0.25">
      <c r="A461">
        <v>1700.19373</v>
      </c>
      <c r="B461" s="10">
        <v>0.99929999999999997</v>
      </c>
      <c r="C461" s="10">
        <f t="shared" si="9"/>
        <v>0.17737575</v>
      </c>
    </row>
    <row r="462" spans="1:3" x14ac:dyDescent="0.25">
      <c r="A462">
        <v>1700.24046</v>
      </c>
      <c r="B462" s="10">
        <v>0.99929999999999997</v>
      </c>
      <c r="C462" s="10">
        <f t="shared" si="9"/>
        <v>0.17737575</v>
      </c>
    </row>
    <row r="463" spans="1:3" x14ac:dyDescent="0.25">
      <c r="A463">
        <v>1700.2872</v>
      </c>
      <c r="B463" s="10">
        <v>0.99929999999999997</v>
      </c>
      <c r="C463" s="10">
        <f t="shared" si="9"/>
        <v>0.17737575</v>
      </c>
    </row>
    <row r="464" spans="1:3" x14ac:dyDescent="0.25">
      <c r="A464">
        <v>1700.33393</v>
      </c>
      <c r="B464" s="10">
        <v>0.99929999999999997</v>
      </c>
      <c r="C464" s="10">
        <f t="shared" si="9"/>
        <v>0.17737575</v>
      </c>
    </row>
    <row r="465" spans="1:3" x14ac:dyDescent="0.25">
      <c r="A465">
        <v>1700.38067</v>
      </c>
      <c r="B465" s="10">
        <v>0.99929999999999997</v>
      </c>
      <c r="C465" s="10">
        <f t="shared" si="9"/>
        <v>0.17737575</v>
      </c>
    </row>
    <row r="466" spans="1:3" x14ac:dyDescent="0.25">
      <c r="A466">
        <v>1700.4274</v>
      </c>
      <c r="B466" s="10">
        <v>0.99929999999999997</v>
      </c>
      <c r="C466" s="10">
        <f t="shared" si="9"/>
        <v>0.17737575</v>
      </c>
    </row>
    <row r="467" spans="1:3" x14ac:dyDescent="0.25">
      <c r="A467">
        <v>1700.47414</v>
      </c>
      <c r="B467" s="10">
        <v>0.99929999999999997</v>
      </c>
      <c r="C467" s="10">
        <f t="shared" si="9"/>
        <v>0.17737575</v>
      </c>
    </row>
    <row r="468" spans="1:3" x14ac:dyDescent="0.25">
      <c r="A468">
        <v>1700.52088</v>
      </c>
      <c r="B468" s="10">
        <v>0.99929999999999997</v>
      </c>
      <c r="C468" s="10">
        <f t="shared" si="9"/>
        <v>0.17737575</v>
      </c>
    </row>
    <row r="469" spans="1:3" x14ac:dyDescent="0.25">
      <c r="A469">
        <v>1700.5676100000001</v>
      </c>
      <c r="B469" s="10">
        <v>0.99929999999999997</v>
      </c>
      <c r="C469" s="10">
        <f t="shared" si="9"/>
        <v>0.17737575</v>
      </c>
    </row>
    <row r="470" spans="1:3" x14ac:dyDescent="0.25">
      <c r="A470">
        <v>1700.6143500000001</v>
      </c>
      <c r="B470" s="10">
        <v>0.99929999999999997</v>
      </c>
      <c r="C470" s="10">
        <f t="shared" si="9"/>
        <v>0.17737575</v>
      </c>
    </row>
    <row r="471" spans="1:3" x14ac:dyDescent="0.25">
      <c r="A471">
        <v>1700.6610800000001</v>
      </c>
      <c r="B471" s="10">
        <v>0.99929999999999997</v>
      </c>
      <c r="C471" s="10">
        <f t="shared" si="9"/>
        <v>0.17737575</v>
      </c>
    </row>
    <row r="472" spans="1:3" x14ac:dyDescent="0.25">
      <c r="A472">
        <v>1700.7078200000001</v>
      </c>
      <c r="B472" s="10">
        <v>0.99929999999999997</v>
      </c>
      <c r="C472" s="10">
        <f t="shared" si="9"/>
        <v>0.17737575</v>
      </c>
    </row>
    <row r="473" spans="1:3" x14ac:dyDescent="0.25">
      <c r="A473">
        <v>1700.7545500000001</v>
      </c>
      <c r="B473" s="10">
        <v>0.99929999999999997</v>
      </c>
      <c r="C473" s="10">
        <f t="shared" si="9"/>
        <v>0.17737575</v>
      </c>
    </row>
    <row r="474" spans="1:3" x14ac:dyDescent="0.25">
      <c r="A474">
        <v>1700.8012900000001</v>
      </c>
      <c r="B474" s="10">
        <v>0.99929999999999997</v>
      </c>
      <c r="C474" s="10">
        <f t="shared" si="9"/>
        <v>0.17737575</v>
      </c>
    </row>
    <row r="475" spans="1:3" x14ac:dyDescent="0.25">
      <c r="A475">
        <v>1700.8480199999999</v>
      </c>
      <c r="B475" s="10">
        <v>0.99929999999999997</v>
      </c>
      <c r="C475" s="10">
        <f t="shared" si="9"/>
        <v>0.17737575</v>
      </c>
    </row>
    <row r="476" spans="1:3" x14ac:dyDescent="0.25">
      <c r="A476">
        <v>1700.8947599999999</v>
      </c>
      <c r="B476" s="10">
        <v>0.99929999999999997</v>
      </c>
      <c r="C476" s="10">
        <f t="shared" si="9"/>
        <v>0.17737575</v>
      </c>
    </row>
    <row r="477" spans="1:3" x14ac:dyDescent="0.25">
      <c r="A477">
        <v>1700.9414899999999</v>
      </c>
      <c r="B477" s="10">
        <v>0.99929999999999997</v>
      </c>
      <c r="C477" s="10">
        <f t="shared" si="9"/>
        <v>0.17737575</v>
      </c>
    </row>
    <row r="478" spans="1:3" x14ac:dyDescent="0.25">
      <c r="A478">
        <v>1700.9882299999999</v>
      </c>
      <c r="B478" s="10">
        <v>0.99929999999999997</v>
      </c>
      <c r="C478" s="10">
        <f t="shared" si="9"/>
        <v>0.17737575</v>
      </c>
    </row>
    <row r="479" spans="1:3" x14ac:dyDescent="0.25">
      <c r="A479">
        <v>1701.03496</v>
      </c>
      <c r="B479" s="10">
        <v>0.99929999999999997</v>
      </c>
      <c r="C479" s="10">
        <f t="shared" si="9"/>
        <v>0.17737575</v>
      </c>
    </row>
    <row r="480" spans="1:3" x14ac:dyDescent="0.25">
      <c r="A480">
        <v>1701.0817</v>
      </c>
      <c r="B480" s="10">
        <v>0.99929999999999997</v>
      </c>
      <c r="C480" s="10">
        <f t="shared" si="9"/>
        <v>0.17737575</v>
      </c>
    </row>
    <row r="481" spans="1:3" x14ac:dyDescent="0.25">
      <c r="A481">
        <v>1701.12843</v>
      </c>
      <c r="B481" s="10">
        <v>0.99929999999999997</v>
      </c>
      <c r="C481" s="10">
        <f t="shared" si="9"/>
        <v>0.17737575</v>
      </c>
    </row>
    <row r="482" spans="1:3" x14ac:dyDescent="0.25">
      <c r="A482">
        <v>1701.17517</v>
      </c>
      <c r="B482" s="10">
        <v>0.99929999999999997</v>
      </c>
      <c r="C482" s="10">
        <f t="shared" si="9"/>
        <v>0.17737575</v>
      </c>
    </row>
    <row r="483" spans="1:3" x14ac:dyDescent="0.25">
      <c r="A483">
        <v>1701.2219</v>
      </c>
      <c r="B483" s="10">
        <v>0.99929999999999997</v>
      </c>
      <c r="C483" s="10">
        <f t="shared" si="9"/>
        <v>0.17737575</v>
      </c>
    </row>
    <row r="484" spans="1:3" x14ac:dyDescent="0.25">
      <c r="A484">
        <v>1701.26864</v>
      </c>
      <c r="B484" s="10">
        <v>0.99929999999999997</v>
      </c>
      <c r="C484" s="10">
        <f t="shared" si="9"/>
        <v>0.17737575</v>
      </c>
    </row>
    <row r="485" spans="1:3" x14ac:dyDescent="0.25">
      <c r="A485">
        <v>1701.31537</v>
      </c>
      <c r="B485" s="10">
        <v>0.99929999999999997</v>
      </c>
      <c r="C485" s="10">
        <f t="shared" si="9"/>
        <v>0.17737575</v>
      </c>
    </row>
    <row r="486" spans="1:3" x14ac:dyDescent="0.25">
      <c r="A486">
        <v>1701.36211</v>
      </c>
      <c r="B486" s="10">
        <v>0.99929999999999997</v>
      </c>
      <c r="C486" s="10">
        <f t="shared" si="9"/>
        <v>0.17737575</v>
      </c>
    </row>
    <row r="487" spans="1:3" x14ac:dyDescent="0.25">
      <c r="A487">
        <v>1701.4088400000001</v>
      </c>
      <c r="B487" s="10">
        <v>0.99929999999999997</v>
      </c>
      <c r="C487" s="10">
        <f t="shared" si="9"/>
        <v>0.17737575</v>
      </c>
    </row>
    <row r="488" spans="1:3" x14ac:dyDescent="0.25">
      <c r="A488">
        <v>1701.4555800000001</v>
      </c>
      <c r="B488" s="10">
        <v>0.99929999999999997</v>
      </c>
      <c r="C488" s="10">
        <f t="shared" si="9"/>
        <v>0.17737575</v>
      </c>
    </row>
    <row r="489" spans="1:3" x14ac:dyDescent="0.25">
      <c r="A489">
        <v>1701.5023100000001</v>
      </c>
      <c r="B489" s="10">
        <v>0.99929999999999997</v>
      </c>
      <c r="C489" s="10">
        <f t="shared" si="9"/>
        <v>0.17737575</v>
      </c>
    </row>
    <row r="490" spans="1:3" x14ac:dyDescent="0.25">
      <c r="A490">
        <v>1701.5490500000001</v>
      </c>
      <c r="B490" s="10">
        <v>0.99929999999999997</v>
      </c>
      <c r="C490" s="10">
        <f t="shared" si="9"/>
        <v>0.17737575</v>
      </c>
    </row>
    <row r="491" spans="1:3" x14ac:dyDescent="0.25">
      <c r="A491">
        <v>1701.5957800000001</v>
      </c>
      <c r="B491" s="10">
        <v>0.99929999999999997</v>
      </c>
      <c r="C491" s="10">
        <f t="shared" si="9"/>
        <v>0.17737575</v>
      </c>
    </row>
    <row r="492" spans="1:3" x14ac:dyDescent="0.25">
      <c r="A492">
        <v>1701.6425200000001</v>
      </c>
      <c r="B492" s="10">
        <v>0.99929999999999997</v>
      </c>
      <c r="C492" s="10">
        <f t="shared" si="9"/>
        <v>0.17737575</v>
      </c>
    </row>
    <row r="493" spans="1:3" x14ac:dyDescent="0.25">
      <c r="A493">
        <v>1701.6892499999999</v>
      </c>
      <c r="B493" s="10">
        <v>0.99929999999999997</v>
      </c>
      <c r="C493" s="10">
        <f t="shared" si="9"/>
        <v>0.17737575</v>
      </c>
    </row>
    <row r="494" spans="1:3" x14ac:dyDescent="0.25">
      <c r="A494">
        <v>1701.7359899999999</v>
      </c>
      <c r="B494" s="10">
        <v>0.99929999999999997</v>
      </c>
      <c r="C494" s="10">
        <f t="shared" si="9"/>
        <v>0.17737575</v>
      </c>
    </row>
    <row r="495" spans="1:3" x14ac:dyDescent="0.25">
      <c r="A495">
        <v>1701.7827199999999</v>
      </c>
      <c r="B495" s="10">
        <v>0.99929999999999997</v>
      </c>
      <c r="C495" s="10">
        <f t="shared" si="9"/>
        <v>0.17737575</v>
      </c>
    </row>
    <row r="496" spans="1:3" x14ac:dyDescent="0.25">
      <c r="A496">
        <v>1701.8294599999999</v>
      </c>
      <c r="B496" s="10">
        <v>0.99929999999999997</v>
      </c>
      <c r="C496" s="10">
        <f t="shared" si="9"/>
        <v>0.17737575</v>
      </c>
    </row>
    <row r="497" spans="1:3" x14ac:dyDescent="0.25">
      <c r="A497">
        <v>1701.87619</v>
      </c>
      <c r="B497" s="10">
        <v>0.99929999999999997</v>
      </c>
      <c r="C497" s="10">
        <f t="shared" si="9"/>
        <v>0.17737575</v>
      </c>
    </row>
    <row r="498" spans="1:3" x14ac:dyDescent="0.25">
      <c r="A498">
        <v>1701.92293</v>
      </c>
      <c r="B498" s="10">
        <v>0.99929999999999997</v>
      </c>
      <c r="C498" s="10">
        <f t="shared" si="9"/>
        <v>0.17737575</v>
      </c>
    </row>
    <row r="499" spans="1:3" x14ac:dyDescent="0.25">
      <c r="A499">
        <v>1701.96966</v>
      </c>
      <c r="B499" s="10">
        <v>0.99929999999999997</v>
      </c>
      <c r="C499" s="10">
        <f t="shared" si="9"/>
        <v>0.17737575</v>
      </c>
    </row>
    <row r="500" spans="1:3" x14ac:dyDescent="0.25">
      <c r="A500">
        <v>1702.0164</v>
      </c>
      <c r="B500" s="10">
        <v>0.99929999999999997</v>
      </c>
      <c r="C500" s="10">
        <f t="shared" si="9"/>
        <v>0.17737575</v>
      </c>
    </row>
    <row r="501" spans="1:3" x14ac:dyDescent="0.25">
      <c r="A501">
        <v>1702.06313</v>
      </c>
      <c r="B501" s="10">
        <v>0.99929999999999997</v>
      </c>
      <c r="C501" s="10">
        <f t="shared" si="9"/>
        <v>0.17737575</v>
      </c>
    </row>
    <row r="502" spans="1:3" x14ac:dyDescent="0.25">
      <c r="A502">
        <v>1702.10987</v>
      </c>
      <c r="B502" s="10">
        <v>0.99929999999999997</v>
      </c>
      <c r="C502" s="10">
        <f t="shared" si="9"/>
        <v>0.17737575</v>
      </c>
    </row>
    <row r="503" spans="1:3" x14ac:dyDescent="0.25">
      <c r="A503">
        <v>1702.1566</v>
      </c>
      <c r="B503" s="10">
        <v>0.99929999999999997</v>
      </c>
      <c r="C503" s="10">
        <f t="shared" si="9"/>
        <v>0.17737575</v>
      </c>
    </row>
    <row r="504" spans="1:3" x14ac:dyDescent="0.25">
      <c r="A504">
        <v>1702.20334</v>
      </c>
      <c r="B504" s="10">
        <v>0.99929999999999997</v>
      </c>
      <c r="C504" s="10">
        <f t="shared" si="9"/>
        <v>0.17737575</v>
      </c>
    </row>
    <row r="505" spans="1:3" x14ac:dyDescent="0.25">
      <c r="A505">
        <v>1702.2500700000001</v>
      </c>
      <c r="B505" s="10">
        <v>0.99929999999999997</v>
      </c>
      <c r="C505" s="10">
        <f t="shared" si="9"/>
        <v>0.17737575</v>
      </c>
    </row>
    <row r="506" spans="1:3" x14ac:dyDescent="0.25">
      <c r="A506">
        <v>1702.2968100000001</v>
      </c>
      <c r="B506" s="10">
        <v>0.99929999999999997</v>
      </c>
      <c r="C506" s="10">
        <f t="shared" si="9"/>
        <v>0.17737575</v>
      </c>
    </row>
    <row r="507" spans="1:3" x14ac:dyDescent="0.25">
      <c r="A507">
        <v>1702.3435400000001</v>
      </c>
      <c r="B507" s="10">
        <v>0.99929999999999997</v>
      </c>
      <c r="C507" s="10">
        <f t="shared" si="9"/>
        <v>0.17737575</v>
      </c>
    </row>
    <row r="508" spans="1:3" x14ac:dyDescent="0.25">
      <c r="A508">
        <v>1702.3902800000001</v>
      </c>
      <c r="B508" s="10">
        <v>0.99929999999999997</v>
      </c>
      <c r="C508" s="10">
        <f t="shared" si="9"/>
        <v>0.17737575</v>
      </c>
    </row>
    <row r="509" spans="1:3" x14ac:dyDescent="0.25">
      <c r="A509">
        <v>1702.4370100000001</v>
      </c>
      <c r="B509" s="10">
        <v>0.99929999999999997</v>
      </c>
      <c r="C509" s="10">
        <f t="shared" si="9"/>
        <v>0.17737575</v>
      </c>
    </row>
    <row r="510" spans="1:3" x14ac:dyDescent="0.25">
      <c r="A510">
        <v>1702.4837500000001</v>
      </c>
      <c r="B510" s="10">
        <v>0.99929999999999997</v>
      </c>
      <c r="C510" s="10">
        <f t="shared" si="9"/>
        <v>0.17737575</v>
      </c>
    </row>
    <row r="511" spans="1:3" x14ac:dyDescent="0.25">
      <c r="A511">
        <v>1702.5304900000001</v>
      </c>
      <c r="B511" s="10">
        <v>0.99929999999999997</v>
      </c>
      <c r="C511" s="10">
        <f t="shared" si="9"/>
        <v>0.17737575</v>
      </c>
    </row>
    <row r="512" spans="1:3" x14ac:dyDescent="0.25">
      <c r="A512">
        <v>1702.5772199999999</v>
      </c>
      <c r="B512" s="10">
        <v>0.99929999999999997</v>
      </c>
      <c r="C512" s="10">
        <f t="shared" si="9"/>
        <v>0.17737575</v>
      </c>
    </row>
    <row r="513" spans="1:3" x14ac:dyDescent="0.25">
      <c r="A513">
        <v>1702.6239599999999</v>
      </c>
      <c r="B513" s="10">
        <v>0.99929999999999997</v>
      </c>
      <c r="C513" s="10">
        <f t="shared" si="9"/>
        <v>0.17737575</v>
      </c>
    </row>
    <row r="514" spans="1:3" x14ac:dyDescent="0.25">
      <c r="A514">
        <v>1702.6706899999999</v>
      </c>
      <c r="B514" s="10">
        <v>0.99929999999999997</v>
      </c>
      <c r="C514" s="10">
        <f t="shared" si="9"/>
        <v>0.17737575</v>
      </c>
    </row>
    <row r="515" spans="1:3" x14ac:dyDescent="0.25">
      <c r="A515">
        <v>1702.7174299999999</v>
      </c>
      <c r="B515" s="10">
        <v>0.99929999999999997</v>
      </c>
      <c r="C515" s="10">
        <f t="shared" si="9"/>
        <v>0.17737575</v>
      </c>
    </row>
    <row r="516" spans="1:3" x14ac:dyDescent="0.25">
      <c r="A516">
        <v>1702.7641599999999</v>
      </c>
      <c r="B516" s="10">
        <v>0.99929999999999997</v>
      </c>
      <c r="C516" s="10">
        <f t="shared" ref="C516:C579" si="10">B516*0.1775</f>
        <v>0.17737575</v>
      </c>
    </row>
    <row r="517" spans="1:3" x14ac:dyDescent="0.25">
      <c r="A517">
        <v>1702.8108999999999</v>
      </c>
      <c r="B517" s="10">
        <v>0.99929999999999997</v>
      </c>
      <c r="C517" s="10">
        <f t="shared" si="10"/>
        <v>0.17737575</v>
      </c>
    </row>
    <row r="518" spans="1:3" x14ac:dyDescent="0.25">
      <c r="A518">
        <v>1702.85763</v>
      </c>
      <c r="B518" s="10">
        <v>0.99929999999999997</v>
      </c>
      <c r="C518" s="10">
        <f t="shared" si="10"/>
        <v>0.17737575</v>
      </c>
    </row>
    <row r="519" spans="1:3" x14ac:dyDescent="0.25">
      <c r="A519">
        <v>1702.90437</v>
      </c>
      <c r="B519" s="10">
        <v>0.99929999999999997</v>
      </c>
      <c r="C519" s="10">
        <f t="shared" si="10"/>
        <v>0.17737575</v>
      </c>
    </row>
    <row r="520" spans="1:3" x14ac:dyDescent="0.25">
      <c r="A520">
        <v>1702.9511</v>
      </c>
      <c r="B520" s="10">
        <v>0.99929999999999997</v>
      </c>
      <c r="C520" s="10">
        <f t="shared" si="10"/>
        <v>0.17737575</v>
      </c>
    </row>
    <row r="521" spans="1:3" x14ac:dyDescent="0.25">
      <c r="A521">
        <v>1702.99784</v>
      </c>
      <c r="B521" s="10">
        <v>0.99929999999999997</v>
      </c>
      <c r="C521" s="10">
        <f t="shared" si="10"/>
        <v>0.17737575</v>
      </c>
    </row>
    <row r="522" spans="1:3" x14ac:dyDescent="0.25">
      <c r="A522">
        <v>1703.04457</v>
      </c>
      <c r="B522" s="10">
        <v>0.99929999999999997</v>
      </c>
      <c r="C522" s="10">
        <f t="shared" si="10"/>
        <v>0.17737575</v>
      </c>
    </row>
    <row r="523" spans="1:3" x14ac:dyDescent="0.25">
      <c r="A523">
        <v>1703.09131</v>
      </c>
      <c r="B523" s="10">
        <v>0.99919999999999998</v>
      </c>
      <c r="C523" s="10">
        <f t="shared" si="10"/>
        <v>0.17735799999999999</v>
      </c>
    </row>
    <row r="524" spans="1:3" x14ac:dyDescent="0.25">
      <c r="A524">
        <v>1703.13804</v>
      </c>
      <c r="B524" s="10">
        <v>0.99919999999999998</v>
      </c>
      <c r="C524" s="10">
        <f t="shared" si="10"/>
        <v>0.17735799999999999</v>
      </c>
    </row>
    <row r="525" spans="1:3" x14ac:dyDescent="0.25">
      <c r="A525">
        <v>1703.18478</v>
      </c>
      <c r="B525" s="10">
        <v>0.99919999999999998</v>
      </c>
      <c r="C525" s="10">
        <f t="shared" si="10"/>
        <v>0.17735799999999999</v>
      </c>
    </row>
    <row r="526" spans="1:3" x14ac:dyDescent="0.25">
      <c r="A526">
        <v>1703.2315100000001</v>
      </c>
      <c r="B526" s="10">
        <v>0.99919999999999998</v>
      </c>
      <c r="C526" s="10">
        <f t="shared" si="10"/>
        <v>0.17735799999999999</v>
      </c>
    </row>
    <row r="527" spans="1:3" x14ac:dyDescent="0.25">
      <c r="A527">
        <v>1703.2782500000001</v>
      </c>
      <c r="B527" s="10">
        <v>0.99919999999999998</v>
      </c>
      <c r="C527" s="10">
        <f t="shared" si="10"/>
        <v>0.17735799999999999</v>
      </c>
    </row>
    <row r="528" spans="1:3" x14ac:dyDescent="0.25">
      <c r="A528">
        <v>1703.3249800000001</v>
      </c>
      <c r="B528" s="10">
        <v>0.99919999999999998</v>
      </c>
      <c r="C528" s="10">
        <f t="shared" si="10"/>
        <v>0.17735799999999999</v>
      </c>
    </row>
    <row r="529" spans="1:3" x14ac:dyDescent="0.25">
      <c r="A529">
        <v>1703.3717200000001</v>
      </c>
      <c r="B529" s="10">
        <v>0.99919999999999998</v>
      </c>
      <c r="C529" s="10">
        <f t="shared" si="10"/>
        <v>0.17735799999999999</v>
      </c>
    </row>
    <row r="530" spans="1:3" x14ac:dyDescent="0.25">
      <c r="A530">
        <v>1703.4184499999999</v>
      </c>
      <c r="B530" s="10">
        <v>0.99919999999999998</v>
      </c>
      <c r="C530" s="10">
        <f t="shared" si="10"/>
        <v>0.17735799999999999</v>
      </c>
    </row>
    <row r="531" spans="1:3" x14ac:dyDescent="0.25">
      <c r="A531">
        <v>1703.4651899999999</v>
      </c>
      <c r="B531" s="10">
        <v>0.99919999999999998</v>
      </c>
      <c r="C531" s="10">
        <f t="shared" si="10"/>
        <v>0.17735799999999999</v>
      </c>
    </row>
    <row r="532" spans="1:3" x14ac:dyDescent="0.25">
      <c r="A532">
        <v>1703.5119199999999</v>
      </c>
      <c r="B532" s="10">
        <v>0.99919999999999998</v>
      </c>
      <c r="C532" s="10">
        <f t="shared" si="10"/>
        <v>0.17735799999999999</v>
      </c>
    </row>
    <row r="533" spans="1:3" x14ac:dyDescent="0.25">
      <c r="A533">
        <v>1703.5586599999999</v>
      </c>
      <c r="B533" s="10">
        <v>0.99919999999999998</v>
      </c>
      <c r="C533" s="10">
        <f t="shared" si="10"/>
        <v>0.17735799999999999</v>
      </c>
    </row>
    <row r="534" spans="1:3" x14ac:dyDescent="0.25">
      <c r="A534">
        <v>1703.6053899999999</v>
      </c>
      <c r="B534" s="10">
        <v>0.99919999999999998</v>
      </c>
      <c r="C534" s="10">
        <f t="shared" si="10"/>
        <v>0.17735799999999999</v>
      </c>
    </row>
    <row r="535" spans="1:3" x14ac:dyDescent="0.25">
      <c r="A535">
        <v>1703.6521299999999</v>
      </c>
      <c r="B535" s="10">
        <v>0.99919999999999998</v>
      </c>
      <c r="C535" s="10">
        <f t="shared" si="10"/>
        <v>0.17735799999999999</v>
      </c>
    </row>
    <row r="536" spans="1:3" x14ac:dyDescent="0.25">
      <c r="A536">
        <v>1703.69886</v>
      </c>
      <c r="B536" s="10">
        <v>0.99919999999999998</v>
      </c>
      <c r="C536" s="10">
        <f t="shared" si="10"/>
        <v>0.17735799999999999</v>
      </c>
    </row>
    <row r="537" spans="1:3" x14ac:dyDescent="0.25">
      <c r="A537">
        <v>1703.7456</v>
      </c>
      <c r="B537" s="10">
        <v>0.99919999999999998</v>
      </c>
      <c r="C537" s="10">
        <f t="shared" si="10"/>
        <v>0.17735799999999999</v>
      </c>
    </row>
    <row r="538" spans="1:3" x14ac:dyDescent="0.25">
      <c r="A538">
        <v>1703.79233</v>
      </c>
      <c r="B538" s="10">
        <v>0.99919999999999998</v>
      </c>
      <c r="C538" s="10">
        <f t="shared" si="10"/>
        <v>0.17735799999999999</v>
      </c>
    </row>
    <row r="539" spans="1:3" x14ac:dyDescent="0.25">
      <c r="A539">
        <v>1703.83907</v>
      </c>
      <c r="B539" s="10">
        <v>0.99919999999999998</v>
      </c>
      <c r="C539" s="10">
        <f t="shared" si="10"/>
        <v>0.17735799999999999</v>
      </c>
    </row>
    <row r="540" spans="1:3" x14ac:dyDescent="0.25">
      <c r="A540">
        <v>1703.8858</v>
      </c>
      <c r="B540" s="10">
        <v>0.99919999999999998</v>
      </c>
      <c r="C540" s="10">
        <f t="shared" si="10"/>
        <v>0.17735799999999999</v>
      </c>
    </row>
    <row r="541" spans="1:3" x14ac:dyDescent="0.25">
      <c r="A541">
        <v>1703.93254</v>
      </c>
      <c r="B541" s="10">
        <v>0.99919999999999998</v>
      </c>
      <c r="C541" s="10">
        <f t="shared" si="10"/>
        <v>0.17735799999999999</v>
      </c>
    </row>
    <row r="542" spans="1:3" x14ac:dyDescent="0.25">
      <c r="A542">
        <v>1703.97927</v>
      </c>
      <c r="B542" s="10">
        <v>0.99919999999999998</v>
      </c>
      <c r="C542" s="10">
        <f t="shared" si="10"/>
        <v>0.17735799999999999</v>
      </c>
    </row>
    <row r="543" spans="1:3" x14ac:dyDescent="0.25">
      <c r="A543">
        <v>1704.02601</v>
      </c>
      <c r="B543" s="10">
        <v>0.99919999999999998</v>
      </c>
      <c r="C543" s="10">
        <f t="shared" si="10"/>
        <v>0.17735799999999999</v>
      </c>
    </row>
    <row r="544" spans="1:3" x14ac:dyDescent="0.25">
      <c r="A544">
        <v>1704.0727400000001</v>
      </c>
      <c r="B544" s="10">
        <v>0.99919999999999998</v>
      </c>
      <c r="C544" s="10">
        <f t="shared" si="10"/>
        <v>0.17735799999999999</v>
      </c>
    </row>
    <row r="545" spans="1:3" x14ac:dyDescent="0.25">
      <c r="A545">
        <v>1704.1194800000001</v>
      </c>
      <c r="B545" s="10">
        <v>0.99919999999999998</v>
      </c>
      <c r="C545" s="10">
        <f t="shared" si="10"/>
        <v>0.17735799999999999</v>
      </c>
    </row>
    <row r="546" spans="1:3" x14ac:dyDescent="0.25">
      <c r="A546">
        <v>1704.1662100000001</v>
      </c>
      <c r="B546" s="10">
        <v>0.99919999999999998</v>
      </c>
      <c r="C546" s="10">
        <f t="shared" si="10"/>
        <v>0.17735799999999999</v>
      </c>
    </row>
    <row r="547" spans="1:3" x14ac:dyDescent="0.25">
      <c r="A547">
        <v>1704.2129500000001</v>
      </c>
      <c r="B547" s="10">
        <v>0.99919999999999998</v>
      </c>
      <c r="C547" s="10">
        <f t="shared" si="10"/>
        <v>0.17735799999999999</v>
      </c>
    </row>
    <row r="548" spans="1:3" x14ac:dyDescent="0.25">
      <c r="A548">
        <v>1704.2596799999999</v>
      </c>
      <c r="B548" s="10">
        <v>0.99919999999999998</v>
      </c>
      <c r="C548" s="10">
        <f t="shared" si="10"/>
        <v>0.17735799999999999</v>
      </c>
    </row>
    <row r="549" spans="1:3" x14ac:dyDescent="0.25">
      <c r="A549">
        <v>1704.3064199999999</v>
      </c>
      <c r="B549" s="10">
        <v>0.99919999999999998</v>
      </c>
      <c r="C549" s="10">
        <f t="shared" si="10"/>
        <v>0.17735799999999999</v>
      </c>
    </row>
    <row r="550" spans="1:3" x14ac:dyDescent="0.25">
      <c r="A550">
        <v>1704.3531499999999</v>
      </c>
      <c r="B550" s="10">
        <v>0.99919999999999998</v>
      </c>
      <c r="C550" s="10">
        <f t="shared" si="10"/>
        <v>0.17735799999999999</v>
      </c>
    </row>
    <row r="551" spans="1:3" x14ac:dyDescent="0.25">
      <c r="A551">
        <v>1704.3998899999999</v>
      </c>
      <c r="B551" s="10">
        <v>0.99919999999999998</v>
      </c>
      <c r="C551" s="10">
        <f t="shared" si="10"/>
        <v>0.17735799999999999</v>
      </c>
    </row>
    <row r="552" spans="1:3" x14ac:dyDescent="0.25">
      <c r="A552">
        <v>1704.4466299999999</v>
      </c>
      <c r="B552" s="10">
        <v>0.99919999999999998</v>
      </c>
      <c r="C552" s="10">
        <f t="shared" si="10"/>
        <v>0.17735799999999999</v>
      </c>
    </row>
    <row r="553" spans="1:3" x14ac:dyDescent="0.25">
      <c r="A553">
        <v>1704.4933599999999</v>
      </c>
      <c r="B553" s="10">
        <v>0.99919999999999998</v>
      </c>
      <c r="C553" s="10">
        <f t="shared" si="10"/>
        <v>0.17735799999999999</v>
      </c>
    </row>
    <row r="554" spans="1:3" x14ac:dyDescent="0.25">
      <c r="A554">
        <v>1704.5400999999999</v>
      </c>
      <c r="B554" s="10">
        <v>0.99919999999999998</v>
      </c>
      <c r="C554" s="10">
        <f t="shared" si="10"/>
        <v>0.17735799999999999</v>
      </c>
    </row>
    <row r="555" spans="1:3" x14ac:dyDescent="0.25">
      <c r="A555">
        <v>1704.58683</v>
      </c>
      <c r="B555" s="10">
        <v>0.99919999999999998</v>
      </c>
      <c r="C555" s="10">
        <f t="shared" si="10"/>
        <v>0.17735799999999999</v>
      </c>
    </row>
    <row r="556" spans="1:3" x14ac:dyDescent="0.25">
      <c r="A556">
        <v>1704.63357</v>
      </c>
      <c r="B556" s="10">
        <v>0.99919999999999998</v>
      </c>
      <c r="C556" s="10">
        <f t="shared" si="10"/>
        <v>0.17735799999999999</v>
      </c>
    </row>
    <row r="557" spans="1:3" x14ac:dyDescent="0.25">
      <c r="A557">
        <v>1704.6803</v>
      </c>
      <c r="B557" s="10">
        <v>0.99919999999999998</v>
      </c>
      <c r="C557" s="10">
        <f t="shared" si="10"/>
        <v>0.17735799999999999</v>
      </c>
    </row>
    <row r="558" spans="1:3" x14ac:dyDescent="0.25">
      <c r="A558">
        <v>1704.72704</v>
      </c>
      <c r="B558" s="10">
        <v>0.99919999999999998</v>
      </c>
      <c r="C558" s="10">
        <f t="shared" si="10"/>
        <v>0.17735799999999999</v>
      </c>
    </row>
    <row r="559" spans="1:3" x14ac:dyDescent="0.25">
      <c r="A559">
        <v>1704.77377</v>
      </c>
      <c r="B559" s="10">
        <v>0.99919999999999998</v>
      </c>
      <c r="C559" s="10">
        <f t="shared" si="10"/>
        <v>0.17735799999999999</v>
      </c>
    </row>
    <row r="560" spans="1:3" x14ac:dyDescent="0.25">
      <c r="A560">
        <v>1704.82051</v>
      </c>
      <c r="B560" s="10">
        <v>0.99919999999999998</v>
      </c>
      <c r="C560" s="10">
        <f t="shared" si="10"/>
        <v>0.17735799999999999</v>
      </c>
    </row>
    <row r="561" spans="1:3" x14ac:dyDescent="0.25">
      <c r="A561">
        <v>1704.86724</v>
      </c>
      <c r="B561" s="10">
        <v>0.99919999999999998</v>
      </c>
      <c r="C561" s="10">
        <f t="shared" si="10"/>
        <v>0.17735799999999999</v>
      </c>
    </row>
    <row r="562" spans="1:3" x14ac:dyDescent="0.25">
      <c r="A562">
        <v>1704.91398</v>
      </c>
      <c r="B562" s="10">
        <v>0.99919999999999998</v>
      </c>
      <c r="C562" s="10">
        <f t="shared" si="10"/>
        <v>0.17735799999999999</v>
      </c>
    </row>
    <row r="563" spans="1:3" x14ac:dyDescent="0.25">
      <c r="A563">
        <v>1704.9607100000001</v>
      </c>
      <c r="B563" s="10">
        <v>0.99919999999999998</v>
      </c>
      <c r="C563" s="10">
        <f t="shared" si="10"/>
        <v>0.17735799999999999</v>
      </c>
    </row>
    <row r="564" spans="1:3" x14ac:dyDescent="0.25">
      <c r="A564">
        <v>1705.0074500000001</v>
      </c>
      <c r="B564" s="10">
        <v>0.99919999999999998</v>
      </c>
      <c r="C564" s="10">
        <f t="shared" si="10"/>
        <v>0.17735799999999999</v>
      </c>
    </row>
    <row r="565" spans="1:3" x14ac:dyDescent="0.25">
      <c r="A565">
        <v>1705.0541800000001</v>
      </c>
      <c r="B565" s="10">
        <v>0.99919999999999998</v>
      </c>
      <c r="C565" s="10">
        <f t="shared" si="10"/>
        <v>0.17735799999999999</v>
      </c>
    </row>
    <row r="566" spans="1:3" x14ac:dyDescent="0.25">
      <c r="A566">
        <v>1705.1009200000001</v>
      </c>
      <c r="B566" s="10">
        <v>0.99919999999999998</v>
      </c>
      <c r="C566" s="10">
        <f t="shared" si="10"/>
        <v>0.17735799999999999</v>
      </c>
    </row>
    <row r="567" spans="1:3" x14ac:dyDescent="0.25">
      <c r="A567">
        <v>1705.1476500000001</v>
      </c>
      <c r="B567" s="10">
        <v>0.99919999999999998</v>
      </c>
      <c r="C567" s="10">
        <f t="shared" si="10"/>
        <v>0.17735799999999999</v>
      </c>
    </row>
    <row r="568" spans="1:3" x14ac:dyDescent="0.25">
      <c r="A568">
        <v>1705.1943900000001</v>
      </c>
      <c r="B568" s="10">
        <v>0.99929999999999997</v>
      </c>
      <c r="C568" s="10">
        <f t="shared" si="10"/>
        <v>0.17737575</v>
      </c>
    </row>
    <row r="569" spans="1:3" x14ac:dyDescent="0.25">
      <c r="A569">
        <v>1705.2411199999999</v>
      </c>
      <c r="B569" s="10">
        <v>0.99929999999999997</v>
      </c>
      <c r="C569" s="10">
        <f t="shared" si="10"/>
        <v>0.17737575</v>
      </c>
    </row>
    <row r="570" spans="1:3" x14ac:dyDescent="0.25">
      <c r="A570">
        <v>1705.2878599999999</v>
      </c>
      <c r="B570" s="10">
        <v>0.99929999999999997</v>
      </c>
      <c r="C570" s="10">
        <f t="shared" si="10"/>
        <v>0.17737575</v>
      </c>
    </row>
    <row r="571" spans="1:3" x14ac:dyDescent="0.25">
      <c r="A571">
        <v>1705.3345899999999</v>
      </c>
      <c r="B571" s="10">
        <v>0.99929999999999997</v>
      </c>
      <c r="C571" s="10">
        <f t="shared" si="10"/>
        <v>0.17737575</v>
      </c>
    </row>
    <row r="572" spans="1:3" x14ac:dyDescent="0.25">
      <c r="A572">
        <v>1705.3813299999999</v>
      </c>
      <c r="B572" s="10">
        <v>0.99929999999999997</v>
      </c>
      <c r="C572" s="10">
        <f t="shared" si="10"/>
        <v>0.17737575</v>
      </c>
    </row>
    <row r="573" spans="1:3" x14ac:dyDescent="0.25">
      <c r="A573">
        <v>1705.42806</v>
      </c>
      <c r="B573" s="10">
        <v>0.99929999999999997</v>
      </c>
      <c r="C573" s="10">
        <f t="shared" si="10"/>
        <v>0.17737575</v>
      </c>
    </row>
    <row r="574" spans="1:3" x14ac:dyDescent="0.25">
      <c r="A574">
        <v>1705.4748</v>
      </c>
      <c r="B574" s="10">
        <v>0.99929999999999997</v>
      </c>
      <c r="C574" s="10">
        <f t="shared" si="10"/>
        <v>0.17737575</v>
      </c>
    </row>
    <row r="575" spans="1:3" x14ac:dyDescent="0.25">
      <c r="A575">
        <v>1705.52153</v>
      </c>
      <c r="B575" s="10">
        <v>0.99929999999999997</v>
      </c>
      <c r="C575" s="10">
        <f t="shared" si="10"/>
        <v>0.17737575</v>
      </c>
    </row>
    <row r="576" spans="1:3" x14ac:dyDescent="0.25">
      <c r="A576">
        <v>1705.56827</v>
      </c>
      <c r="B576" s="10">
        <v>0.99929999999999997</v>
      </c>
      <c r="C576" s="10">
        <f t="shared" si="10"/>
        <v>0.17737575</v>
      </c>
    </row>
    <row r="577" spans="1:3" x14ac:dyDescent="0.25">
      <c r="A577">
        <v>1705.615</v>
      </c>
      <c r="B577" s="10">
        <v>0.99929999999999997</v>
      </c>
      <c r="C577" s="10">
        <f t="shared" si="10"/>
        <v>0.17737575</v>
      </c>
    </row>
    <row r="578" spans="1:3" x14ac:dyDescent="0.25">
      <c r="A578">
        <v>1705.66174</v>
      </c>
      <c r="B578" s="10">
        <v>0.99929999999999997</v>
      </c>
      <c r="C578" s="10">
        <f t="shared" si="10"/>
        <v>0.17737575</v>
      </c>
    </row>
    <row r="579" spans="1:3" x14ac:dyDescent="0.25">
      <c r="A579">
        <v>1705.70847</v>
      </c>
      <c r="B579" s="10">
        <v>0.99929999999999997</v>
      </c>
      <c r="C579" s="10">
        <f t="shared" si="10"/>
        <v>0.17737575</v>
      </c>
    </row>
    <row r="580" spans="1:3" x14ac:dyDescent="0.25">
      <c r="A580">
        <v>1705.75521</v>
      </c>
      <c r="B580" s="10">
        <v>0.99929999999999997</v>
      </c>
      <c r="C580" s="10">
        <f t="shared" ref="C580:C643" si="11">B580*0.1775</f>
        <v>0.17737575</v>
      </c>
    </row>
    <row r="581" spans="1:3" x14ac:dyDescent="0.25">
      <c r="A581">
        <v>1705.8019400000001</v>
      </c>
      <c r="B581" s="10">
        <v>0.99929999999999997</v>
      </c>
      <c r="C581" s="10">
        <f t="shared" si="11"/>
        <v>0.17737575</v>
      </c>
    </row>
    <row r="582" spans="1:3" x14ac:dyDescent="0.25">
      <c r="A582">
        <v>1705.8486800000001</v>
      </c>
      <c r="B582" s="10">
        <v>0.99929999999999997</v>
      </c>
      <c r="C582" s="10">
        <f t="shared" si="11"/>
        <v>0.17737575</v>
      </c>
    </row>
    <row r="583" spans="1:3" x14ac:dyDescent="0.25">
      <c r="A583">
        <v>1705.8954100000001</v>
      </c>
      <c r="B583" s="10">
        <v>0.99929999999999997</v>
      </c>
      <c r="C583" s="10">
        <f t="shared" si="11"/>
        <v>0.17737575</v>
      </c>
    </row>
    <row r="584" spans="1:3" x14ac:dyDescent="0.25">
      <c r="A584">
        <v>1705.9421500000001</v>
      </c>
      <c r="B584" s="10">
        <v>0.99929999999999997</v>
      </c>
      <c r="C584" s="10">
        <f t="shared" si="11"/>
        <v>0.17737575</v>
      </c>
    </row>
    <row r="585" spans="1:3" x14ac:dyDescent="0.25">
      <c r="A585">
        <v>1705.9888800000001</v>
      </c>
      <c r="B585" s="10">
        <v>0.99929999999999997</v>
      </c>
      <c r="C585" s="10">
        <f t="shared" si="11"/>
        <v>0.17737575</v>
      </c>
    </row>
    <row r="586" spans="1:3" x14ac:dyDescent="0.25">
      <c r="A586">
        <v>1706.0356200000001</v>
      </c>
      <c r="B586" s="10">
        <v>0.99929999999999997</v>
      </c>
      <c r="C586" s="10">
        <f t="shared" si="11"/>
        <v>0.17737575</v>
      </c>
    </row>
    <row r="587" spans="1:3" x14ac:dyDescent="0.25">
      <c r="A587">
        <v>1706.0823499999999</v>
      </c>
      <c r="B587" s="10">
        <v>0.99929999999999997</v>
      </c>
      <c r="C587" s="10">
        <f t="shared" si="11"/>
        <v>0.17737575</v>
      </c>
    </row>
    <row r="588" spans="1:3" x14ac:dyDescent="0.25">
      <c r="A588">
        <v>1706.1290899999999</v>
      </c>
      <c r="B588" s="10">
        <v>0.99929999999999997</v>
      </c>
      <c r="C588" s="10">
        <f t="shared" si="11"/>
        <v>0.17737575</v>
      </c>
    </row>
    <row r="589" spans="1:3" x14ac:dyDescent="0.25">
      <c r="A589">
        <v>1706.1758199999999</v>
      </c>
      <c r="B589" s="10">
        <v>0.99929999999999997</v>
      </c>
      <c r="C589" s="10">
        <f t="shared" si="11"/>
        <v>0.17737575</v>
      </c>
    </row>
    <row r="590" spans="1:3" x14ac:dyDescent="0.25">
      <c r="A590">
        <v>1706.2225599999999</v>
      </c>
      <c r="B590" s="10">
        <v>0.99929999999999997</v>
      </c>
      <c r="C590" s="10">
        <f t="shared" si="11"/>
        <v>0.17737575</v>
      </c>
    </row>
    <row r="591" spans="1:3" x14ac:dyDescent="0.25">
      <c r="A591">
        <v>1706.26929</v>
      </c>
      <c r="B591" s="10">
        <v>0.99929999999999997</v>
      </c>
      <c r="C591" s="10">
        <f t="shared" si="11"/>
        <v>0.17737575</v>
      </c>
    </row>
    <row r="592" spans="1:3" x14ac:dyDescent="0.25">
      <c r="A592">
        <v>1706.31603</v>
      </c>
      <c r="B592" s="10">
        <v>0.99929999999999997</v>
      </c>
      <c r="C592" s="10">
        <f t="shared" si="11"/>
        <v>0.17737575</v>
      </c>
    </row>
    <row r="593" spans="1:3" x14ac:dyDescent="0.25">
      <c r="A593">
        <v>1706.36276</v>
      </c>
      <c r="B593" s="10">
        <v>0.99929999999999997</v>
      </c>
      <c r="C593" s="10">
        <f t="shared" si="11"/>
        <v>0.17737575</v>
      </c>
    </row>
    <row r="594" spans="1:3" x14ac:dyDescent="0.25">
      <c r="A594">
        <v>1706.4095</v>
      </c>
      <c r="B594" s="10">
        <v>0.99929999999999997</v>
      </c>
      <c r="C594" s="10">
        <f t="shared" si="11"/>
        <v>0.17737575</v>
      </c>
    </row>
    <row r="595" spans="1:3" x14ac:dyDescent="0.25">
      <c r="A595">
        <v>1706.45624</v>
      </c>
      <c r="B595" s="10">
        <v>0.99929999999999997</v>
      </c>
      <c r="C595" s="10">
        <f t="shared" si="11"/>
        <v>0.17737575</v>
      </c>
    </row>
    <row r="596" spans="1:3" x14ac:dyDescent="0.25">
      <c r="A596">
        <v>1706.50297</v>
      </c>
      <c r="B596" s="10">
        <v>0.99929999999999997</v>
      </c>
      <c r="C596" s="10">
        <f t="shared" si="11"/>
        <v>0.17737575</v>
      </c>
    </row>
    <row r="597" spans="1:3" x14ac:dyDescent="0.25">
      <c r="A597">
        <v>1706.54971</v>
      </c>
      <c r="B597" s="10">
        <v>0.99929999999999997</v>
      </c>
      <c r="C597" s="10">
        <f t="shared" si="11"/>
        <v>0.17737575</v>
      </c>
    </row>
    <row r="598" spans="1:3" x14ac:dyDescent="0.25">
      <c r="A598">
        <v>1706.59644</v>
      </c>
      <c r="B598" s="10">
        <v>0.99929999999999997</v>
      </c>
      <c r="C598" s="10">
        <f t="shared" si="11"/>
        <v>0.17737575</v>
      </c>
    </row>
    <row r="599" spans="1:3" x14ac:dyDescent="0.25">
      <c r="A599">
        <v>1706.64318</v>
      </c>
      <c r="B599" s="10">
        <v>0.99929999999999997</v>
      </c>
      <c r="C599" s="10">
        <f t="shared" si="11"/>
        <v>0.17737575</v>
      </c>
    </row>
    <row r="600" spans="1:3" x14ac:dyDescent="0.25">
      <c r="A600">
        <v>1706.6899100000001</v>
      </c>
      <c r="B600" s="10">
        <v>0.99929999999999997</v>
      </c>
      <c r="C600" s="10">
        <f t="shared" si="11"/>
        <v>0.17737575</v>
      </c>
    </row>
    <row r="601" spans="1:3" x14ac:dyDescent="0.25">
      <c r="A601">
        <v>1706.7366500000001</v>
      </c>
      <c r="B601" s="10">
        <v>0.99929999999999997</v>
      </c>
      <c r="C601" s="10">
        <f t="shared" si="11"/>
        <v>0.17737575</v>
      </c>
    </row>
    <row r="602" spans="1:3" x14ac:dyDescent="0.25">
      <c r="A602">
        <v>1706.7833800000001</v>
      </c>
      <c r="B602" s="10">
        <v>0.99929999999999997</v>
      </c>
      <c r="C602" s="10">
        <f t="shared" si="11"/>
        <v>0.17737575</v>
      </c>
    </row>
    <row r="603" spans="1:3" x14ac:dyDescent="0.25">
      <c r="A603">
        <v>1706.8301200000001</v>
      </c>
      <c r="B603" s="10">
        <v>0.99929999999999997</v>
      </c>
      <c r="C603" s="10">
        <f t="shared" si="11"/>
        <v>0.17737575</v>
      </c>
    </row>
    <row r="604" spans="1:3" x14ac:dyDescent="0.25">
      <c r="A604">
        <v>1706.8768500000001</v>
      </c>
      <c r="B604" s="10">
        <v>0.99929999999999997</v>
      </c>
      <c r="C604" s="10">
        <f t="shared" si="11"/>
        <v>0.17737575</v>
      </c>
    </row>
    <row r="605" spans="1:3" x14ac:dyDescent="0.25">
      <c r="A605">
        <v>1706.9235900000001</v>
      </c>
      <c r="B605" s="10">
        <v>0.99929999999999997</v>
      </c>
      <c r="C605" s="10">
        <f t="shared" si="11"/>
        <v>0.17737575</v>
      </c>
    </row>
    <row r="606" spans="1:3" x14ac:dyDescent="0.25">
      <c r="A606">
        <v>1706.9703199999999</v>
      </c>
      <c r="B606" s="10">
        <v>0.99929999999999997</v>
      </c>
      <c r="C606" s="10">
        <f t="shared" si="11"/>
        <v>0.17737575</v>
      </c>
    </row>
    <row r="607" spans="1:3" x14ac:dyDescent="0.25">
      <c r="A607">
        <v>1707.0170599999999</v>
      </c>
      <c r="B607" s="10">
        <v>0.99929999999999997</v>
      </c>
      <c r="C607" s="10">
        <f t="shared" si="11"/>
        <v>0.17737575</v>
      </c>
    </row>
    <row r="608" spans="1:3" x14ac:dyDescent="0.25">
      <c r="A608">
        <v>1707.0637899999999</v>
      </c>
      <c r="B608" s="10">
        <v>0.99929999999999997</v>
      </c>
      <c r="C608" s="10">
        <f t="shared" si="11"/>
        <v>0.17737575</v>
      </c>
    </row>
    <row r="609" spans="1:3" x14ac:dyDescent="0.25">
      <c r="A609">
        <v>1707.1105299999999</v>
      </c>
      <c r="B609" s="10">
        <v>0.99929999999999997</v>
      </c>
      <c r="C609" s="10">
        <f t="shared" si="11"/>
        <v>0.17737575</v>
      </c>
    </row>
    <row r="610" spans="1:3" x14ac:dyDescent="0.25">
      <c r="A610">
        <v>1707.15726</v>
      </c>
      <c r="B610" s="10">
        <v>0.99929999999999997</v>
      </c>
      <c r="C610" s="10">
        <f t="shared" si="11"/>
        <v>0.17737575</v>
      </c>
    </row>
    <row r="611" spans="1:3" x14ac:dyDescent="0.25">
      <c r="A611">
        <v>1707.204</v>
      </c>
      <c r="B611" s="10">
        <v>0.99929999999999997</v>
      </c>
      <c r="C611" s="10">
        <f t="shared" si="11"/>
        <v>0.17737575</v>
      </c>
    </row>
    <row r="612" spans="1:3" x14ac:dyDescent="0.25">
      <c r="A612">
        <v>1707.25073</v>
      </c>
      <c r="B612" s="10">
        <v>0.99929999999999997</v>
      </c>
      <c r="C612" s="10">
        <f t="shared" si="11"/>
        <v>0.17737575</v>
      </c>
    </row>
    <row r="613" spans="1:3" x14ac:dyDescent="0.25">
      <c r="A613">
        <v>1707.29747</v>
      </c>
      <c r="B613" s="10">
        <v>0.99929999999999997</v>
      </c>
      <c r="C613" s="10">
        <f t="shared" si="11"/>
        <v>0.17737575</v>
      </c>
    </row>
    <row r="614" spans="1:3" x14ac:dyDescent="0.25">
      <c r="A614">
        <v>1707.3442</v>
      </c>
      <c r="B614" s="10">
        <v>0.99929999999999997</v>
      </c>
      <c r="C614" s="10">
        <f t="shared" si="11"/>
        <v>0.17737575</v>
      </c>
    </row>
    <row r="615" spans="1:3" x14ac:dyDescent="0.25">
      <c r="A615">
        <v>1707.39094</v>
      </c>
      <c r="B615" s="10">
        <v>0.99929999999999997</v>
      </c>
      <c r="C615" s="10">
        <f t="shared" si="11"/>
        <v>0.17737575</v>
      </c>
    </row>
    <row r="616" spans="1:3" x14ac:dyDescent="0.25">
      <c r="A616">
        <v>1707.43767</v>
      </c>
      <c r="B616" s="10">
        <v>0.99929999999999997</v>
      </c>
      <c r="C616" s="10">
        <f t="shared" si="11"/>
        <v>0.17737575</v>
      </c>
    </row>
    <row r="617" spans="1:3" x14ac:dyDescent="0.25">
      <c r="A617">
        <v>1707.48441</v>
      </c>
      <c r="B617" s="10">
        <v>0.99929999999999997</v>
      </c>
      <c r="C617" s="10">
        <f t="shared" si="11"/>
        <v>0.17737575</v>
      </c>
    </row>
    <row r="618" spans="1:3" x14ac:dyDescent="0.25">
      <c r="A618">
        <v>1707.5311400000001</v>
      </c>
      <c r="B618" s="10">
        <v>0.99929999999999997</v>
      </c>
      <c r="C618" s="10">
        <f t="shared" si="11"/>
        <v>0.17737575</v>
      </c>
    </row>
    <row r="619" spans="1:3" x14ac:dyDescent="0.25">
      <c r="A619">
        <v>1707.5778800000001</v>
      </c>
      <c r="B619" s="10">
        <v>0.99929999999999997</v>
      </c>
      <c r="C619" s="10">
        <f t="shared" si="11"/>
        <v>0.17737575</v>
      </c>
    </row>
    <row r="620" spans="1:3" x14ac:dyDescent="0.25">
      <c r="A620">
        <v>1707.6246100000001</v>
      </c>
      <c r="B620" s="10">
        <v>0.99929999999999997</v>
      </c>
      <c r="C620" s="10">
        <f t="shared" si="11"/>
        <v>0.17737575</v>
      </c>
    </row>
    <row r="621" spans="1:3" x14ac:dyDescent="0.25">
      <c r="A621">
        <v>1707.6713500000001</v>
      </c>
      <c r="B621" s="10">
        <v>0.99929999999999997</v>
      </c>
      <c r="C621" s="10">
        <f t="shared" si="11"/>
        <v>0.17737575</v>
      </c>
    </row>
    <row r="622" spans="1:3" x14ac:dyDescent="0.25">
      <c r="A622">
        <v>1707.7180800000001</v>
      </c>
      <c r="B622" s="10">
        <v>0.99929999999999997</v>
      </c>
      <c r="C622" s="10">
        <f t="shared" si="11"/>
        <v>0.17737575</v>
      </c>
    </row>
    <row r="623" spans="1:3" x14ac:dyDescent="0.25">
      <c r="A623">
        <v>1707.7648200000001</v>
      </c>
      <c r="B623" s="10">
        <v>0.99929999999999997</v>
      </c>
      <c r="C623" s="10">
        <f t="shared" si="11"/>
        <v>0.17737575</v>
      </c>
    </row>
    <row r="624" spans="1:3" x14ac:dyDescent="0.25">
      <c r="A624">
        <v>1707.8115499999999</v>
      </c>
      <c r="B624" s="10">
        <v>0.99929999999999997</v>
      </c>
      <c r="C624" s="10">
        <f t="shared" si="11"/>
        <v>0.17737575</v>
      </c>
    </row>
    <row r="625" spans="1:3" x14ac:dyDescent="0.25">
      <c r="A625">
        <v>1707.8582899999999</v>
      </c>
      <c r="B625" s="10">
        <v>0.99929999999999997</v>
      </c>
      <c r="C625" s="10">
        <f t="shared" si="11"/>
        <v>0.17737575</v>
      </c>
    </row>
    <row r="626" spans="1:3" x14ac:dyDescent="0.25">
      <c r="A626">
        <v>1707.9050199999999</v>
      </c>
      <c r="B626" s="10">
        <v>0.99929999999999997</v>
      </c>
      <c r="C626" s="10">
        <f t="shared" si="11"/>
        <v>0.17737575</v>
      </c>
    </row>
    <row r="627" spans="1:3" x14ac:dyDescent="0.25">
      <c r="A627">
        <v>1707.9517599999999</v>
      </c>
      <c r="B627" s="10">
        <v>0.99929999999999997</v>
      </c>
      <c r="C627" s="10">
        <f t="shared" si="11"/>
        <v>0.17737575</v>
      </c>
    </row>
    <row r="628" spans="1:3" x14ac:dyDescent="0.25">
      <c r="A628">
        <v>1707.9984899999999</v>
      </c>
      <c r="B628" s="10">
        <v>0.99929999999999997</v>
      </c>
      <c r="C628" s="10">
        <f t="shared" si="11"/>
        <v>0.17737575</v>
      </c>
    </row>
    <row r="629" spans="1:3" x14ac:dyDescent="0.25">
      <c r="A629">
        <v>1708.0452299999999</v>
      </c>
      <c r="B629" s="10">
        <v>0.99929999999999997</v>
      </c>
      <c r="C629" s="10">
        <f t="shared" si="11"/>
        <v>0.17737575</v>
      </c>
    </row>
    <row r="630" spans="1:3" x14ac:dyDescent="0.25">
      <c r="A630">
        <v>1708.09196</v>
      </c>
      <c r="B630" s="10">
        <v>0.99929999999999997</v>
      </c>
      <c r="C630" s="10">
        <f t="shared" si="11"/>
        <v>0.17737575</v>
      </c>
    </row>
    <row r="631" spans="1:3" x14ac:dyDescent="0.25">
      <c r="A631">
        <v>1708.1387</v>
      </c>
      <c r="B631" s="10">
        <v>0.99929999999999997</v>
      </c>
      <c r="C631" s="10">
        <f t="shared" si="11"/>
        <v>0.17737575</v>
      </c>
    </row>
    <row r="632" spans="1:3" x14ac:dyDescent="0.25">
      <c r="A632">
        <v>1708.18543</v>
      </c>
      <c r="B632" s="10">
        <v>0.99929999999999997</v>
      </c>
      <c r="C632" s="10">
        <f t="shared" si="11"/>
        <v>0.17737575</v>
      </c>
    </row>
    <row r="633" spans="1:3" x14ac:dyDescent="0.25">
      <c r="A633">
        <v>1708.23217</v>
      </c>
      <c r="B633" s="10">
        <v>0.99929999999999997</v>
      </c>
      <c r="C633" s="10">
        <f t="shared" si="11"/>
        <v>0.17737575</v>
      </c>
    </row>
    <row r="634" spans="1:3" x14ac:dyDescent="0.25">
      <c r="A634">
        <v>1708.2789</v>
      </c>
      <c r="B634" s="10">
        <v>0.99929999999999997</v>
      </c>
      <c r="C634" s="10">
        <f t="shared" si="11"/>
        <v>0.17737575</v>
      </c>
    </row>
    <row r="635" spans="1:3" x14ac:dyDescent="0.25">
      <c r="A635">
        <v>1708.32564</v>
      </c>
      <c r="B635" s="10">
        <v>0.99929999999999997</v>
      </c>
      <c r="C635" s="10">
        <f t="shared" si="11"/>
        <v>0.17737575</v>
      </c>
    </row>
    <row r="636" spans="1:3" x14ac:dyDescent="0.25">
      <c r="A636">
        <v>1708.37238</v>
      </c>
      <c r="B636" s="10">
        <v>0.99929999999999997</v>
      </c>
      <c r="C636" s="10">
        <f t="shared" si="11"/>
        <v>0.17737575</v>
      </c>
    </row>
    <row r="637" spans="1:3" x14ac:dyDescent="0.25">
      <c r="A637">
        <v>1708.41911</v>
      </c>
      <c r="B637" s="10">
        <v>0.99929999999999997</v>
      </c>
      <c r="C637" s="10">
        <f t="shared" si="11"/>
        <v>0.17737575</v>
      </c>
    </row>
    <row r="638" spans="1:3" x14ac:dyDescent="0.25">
      <c r="A638">
        <v>1708.46585</v>
      </c>
      <c r="B638" s="10">
        <v>0.99929999999999997</v>
      </c>
      <c r="C638" s="10">
        <f t="shared" si="11"/>
        <v>0.17737575</v>
      </c>
    </row>
    <row r="639" spans="1:3" x14ac:dyDescent="0.25">
      <c r="A639">
        <v>1708.5125800000001</v>
      </c>
      <c r="B639" s="10">
        <v>0.99929999999999997</v>
      </c>
      <c r="C639" s="10">
        <f t="shared" si="11"/>
        <v>0.17737575</v>
      </c>
    </row>
    <row r="640" spans="1:3" x14ac:dyDescent="0.25">
      <c r="A640">
        <v>1708.5593200000001</v>
      </c>
      <c r="B640" s="10">
        <v>0.99929999999999997</v>
      </c>
      <c r="C640" s="10">
        <f t="shared" si="11"/>
        <v>0.17737575</v>
      </c>
    </row>
    <row r="641" spans="1:3" x14ac:dyDescent="0.25">
      <c r="A641">
        <v>1708.6060500000001</v>
      </c>
      <c r="B641" s="10">
        <v>0.99929999999999997</v>
      </c>
      <c r="C641" s="10">
        <f t="shared" si="11"/>
        <v>0.17737575</v>
      </c>
    </row>
    <row r="642" spans="1:3" x14ac:dyDescent="0.25">
      <c r="A642">
        <v>1708.6527900000001</v>
      </c>
      <c r="B642" s="10">
        <v>0.99929999999999997</v>
      </c>
      <c r="C642" s="10">
        <f t="shared" si="11"/>
        <v>0.17737575</v>
      </c>
    </row>
    <row r="643" spans="1:3" x14ac:dyDescent="0.25">
      <c r="A643">
        <v>1708.6995199999999</v>
      </c>
      <c r="B643" s="10">
        <v>0.99929999999999997</v>
      </c>
      <c r="C643" s="10">
        <f t="shared" si="11"/>
        <v>0.17737575</v>
      </c>
    </row>
    <row r="644" spans="1:3" x14ac:dyDescent="0.25">
      <c r="A644">
        <v>1708.7462599999999</v>
      </c>
      <c r="B644" s="10">
        <v>0.99929999999999997</v>
      </c>
      <c r="C644" s="10">
        <f t="shared" ref="C644:C685" si="12">B644*0.1775</f>
        <v>0.17737575</v>
      </c>
    </row>
    <row r="645" spans="1:3" x14ac:dyDescent="0.25">
      <c r="A645">
        <v>1708.7929899999999</v>
      </c>
      <c r="B645" s="10">
        <v>0.99929999999999997</v>
      </c>
      <c r="C645" s="10">
        <f t="shared" si="12"/>
        <v>0.17737575</v>
      </c>
    </row>
    <row r="646" spans="1:3" x14ac:dyDescent="0.25">
      <c r="A646">
        <v>1708.8397299999999</v>
      </c>
      <c r="B646" s="10">
        <v>0.99929999999999997</v>
      </c>
      <c r="C646" s="10">
        <f t="shared" si="12"/>
        <v>0.17737575</v>
      </c>
    </row>
    <row r="647" spans="1:3" x14ac:dyDescent="0.25">
      <c r="A647">
        <v>1708.8864599999999</v>
      </c>
      <c r="B647" s="10">
        <v>0.99929999999999997</v>
      </c>
      <c r="C647" s="10">
        <f t="shared" si="12"/>
        <v>0.17737575</v>
      </c>
    </row>
    <row r="648" spans="1:3" x14ac:dyDescent="0.25">
      <c r="A648">
        <v>1708.9331999999999</v>
      </c>
      <c r="B648" s="10">
        <v>0.99929999999999997</v>
      </c>
      <c r="C648" s="10">
        <f t="shared" si="12"/>
        <v>0.17737575</v>
      </c>
    </row>
    <row r="649" spans="1:3" x14ac:dyDescent="0.25">
      <c r="A649">
        <v>1708.97993</v>
      </c>
      <c r="B649" s="10">
        <v>0.99929999999999997</v>
      </c>
      <c r="C649" s="10">
        <f t="shared" si="12"/>
        <v>0.17737575</v>
      </c>
    </row>
    <row r="650" spans="1:3" x14ac:dyDescent="0.25">
      <c r="A650">
        <v>1709.02667</v>
      </c>
      <c r="B650" s="10">
        <v>0.99929999999999997</v>
      </c>
      <c r="C650" s="10">
        <f t="shared" si="12"/>
        <v>0.17737575</v>
      </c>
    </row>
    <row r="651" spans="1:3" x14ac:dyDescent="0.25">
      <c r="A651">
        <v>1709.0734</v>
      </c>
      <c r="B651" s="10">
        <v>0.99929999999999997</v>
      </c>
      <c r="C651" s="10">
        <f t="shared" si="12"/>
        <v>0.17737575</v>
      </c>
    </row>
    <row r="652" spans="1:3" x14ac:dyDescent="0.25">
      <c r="A652">
        <v>1709.12014</v>
      </c>
      <c r="B652" s="10">
        <v>0.99929999999999997</v>
      </c>
      <c r="C652" s="10">
        <f t="shared" si="12"/>
        <v>0.17737575</v>
      </c>
    </row>
    <row r="653" spans="1:3" x14ac:dyDescent="0.25">
      <c r="A653">
        <v>1709.16687</v>
      </c>
      <c r="B653" s="10">
        <v>0.99929999999999997</v>
      </c>
      <c r="C653" s="10">
        <f t="shared" si="12"/>
        <v>0.17737575</v>
      </c>
    </row>
    <row r="654" spans="1:3" x14ac:dyDescent="0.25">
      <c r="A654">
        <v>1709.21361</v>
      </c>
      <c r="B654" s="10">
        <v>0.99929999999999997</v>
      </c>
      <c r="C654" s="10">
        <f t="shared" si="12"/>
        <v>0.17737575</v>
      </c>
    </row>
    <row r="655" spans="1:3" x14ac:dyDescent="0.25">
      <c r="A655">
        <v>1709.26034</v>
      </c>
      <c r="B655" s="10">
        <v>0.99929999999999997</v>
      </c>
      <c r="C655" s="10">
        <f t="shared" si="12"/>
        <v>0.17737575</v>
      </c>
    </row>
    <row r="656" spans="1:3" x14ac:dyDescent="0.25">
      <c r="A656">
        <v>1709.30708</v>
      </c>
      <c r="B656" s="10">
        <v>0.99929999999999997</v>
      </c>
      <c r="C656" s="10">
        <f t="shared" si="12"/>
        <v>0.17737575</v>
      </c>
    </row>
    <row r="657" spans="1:3" x14ac:dyDescent="0.25">
      <c r="A657">
        <v>1709.3538100000001</v>
      </c>
      <c r="B657" s="10">
        <v>0.99929999999999997</v>
      </c>
      <c r="C657" s="10">
        <f t="shared" si="12"/>
        <v>0.17737575</v>
      </c>
    </row>
    <row r="658" spans="1:3" x14ac:dyDescent="0.25">
      <c r="A658">
        <v>1709.4005500000001</v>
      </c>
      <c r="B658" s="10">
        <v>0.99929999999999997</v>
      </c>
      <c r="C658" s="10">
        <f t="shared" si="12"/>
        <v>0.17737575</v>
      </c>
    </row>
    <row r="659" spans="1:3" x14ac:dyDescent="0.25">
      <c r="A659">
        <v>1709.4472800000001</v>
      </c>
      <c r="B659" s="10">
        <v>0.99929999999999997</v>
      </c>
      <c r="C659" s="10">
        <f t="shared" si="12"/>
        <v>0.17737575</v>
      </c>
    </row>
    <row r="660" spans="1:3" x14ac:dyDescent="0.25">
      <c r="A660">
        <v>1709.4940200000001</v>
      </c>
      <c r="B660" s="10">
        <v>0.99929999999999997</v>
      </c>
      <c r="C660" s="10">
        <f t="shared" si="12"/>
        <v>0.17737575</v>
      </c>
    </row>
    <row r="661" spans="1:3" x14ac:dyDescent="0.25">
      <c r="A661">
        <v>1709.5407499999999</v>
      </c>
      <c r="B661" s="10">
        <v>0.99929999999999997</v>
      </c>
      <c r="C661" s="10">
        <f t="shared" si="12"/>
        <v>0.17737575</v>
      </c>
    </row>
    <row r="662" spans="1:3" x14ac:dyDescent="0.25">
      <c r="A662">
        <v>1709.5874899999999</v>
      </c>
      <c r="B662" s="10">
        <v>0.99929999999999997</v>
      </c>
      <c r="C662" s="10">
        <f t="shared" si="12"/>
        <v>0.17737575</v>
      </c>
    </row>
    <row r="663" spans="1:3" x14ac:dyDescent="0.25">
      <c r="A663">
        <v>1709.6342199999999</v>
      </c>
      <c r="B663" s="10">
        <v>0.99929999999999997</v>
      </c>
      <c r="C663" s="10">
        <f t="shared" si="12"/>
        <v>0.17737575</v>
      </c>
    </row>
    <row r="664" spans="1:3" x14ac:dyDescent="0.25">
      <c r="A664">
        <v>1709.6809599999999</v>
      </c>
      <c r="B664" s="10">
        <v>0.99929999999999997</v>
      </c>
      <c r="C664" s="10">
        <f t="shared" si="12"/>
        <v>0.17737575</v>
      </c>
    </row>
    <row r="665" spans="1:3" x14ac:dyDescent="0.25">
      <c r="A665">
        <v>1709.7276899999999</v>
      </c>
      <c r="B665" s="10">
        <v>0.99939999999999996</v>
      </c>
      <c r="C665" s="10">
        <f t="shared" si="12"/>
        <v>0.17739349999999998</v>
      </c>
    </row>
    <row r="666" spans="1:3" x14ac:dyDescent="0.25">
      <c r="A666">
        <v>1709.7744299999999</v>
      </c>
      <c r="B666" s="10">
        <v>0.99939999999999996</v>
      </c>
      <c r="C666" s="10">
        <f t="shared" si="12"/>
        <v>0.17739349999999998</v>
      </c>
    </row>
    <row r="667" spans="1:3" x14ac:dyDescent="0.25">
      <c r="A667">
        <v>1709.82116</v>
      </c>
      <c r="B667" s="10">
        <v>0.99939999999999996</v>
      </c>
      <c r="C667" s="10">
        <f t="shared" si="12"/>
        <v>0.17739349999999998</v>
      </c>
    </row>
    <row r="668" spans="1:3" x14ac:dyDescent="0.25">
      <c r="A668">
        <v>1709.8679</v>
      </c>
      <c r="B668" s="10">
        <v>0.99939999999999996</v>
      </c>
      <c r="C668" s="10">
        <f t="shared" si="12"/>
        <v>0.17739349999999998</v>
      </c>
    </row>
    <row r="669" spans="1:3" x14ac:dyDescent="0.25">
      <c r="A669">
        <v>1709.91463</v>
      </c>
      <c r="B669" s="10">
        <v>0.99939999999999996</v>
      </c>
      <c r="C669" s="10">
        <f t="shared" si="12"/>
        <v>0.17739349999999998</v>
      </c>
    </row>
    <row r="670" spans="1:3" x14ac:dyDescent="0.25">
      <c r="A670">
        <v>1709.96137</v>
      </c>
      <c r="B670" s="10">
        <v>0.99939999999999996</v>
      </c>
      <c r="C670" s="10">
        <f t="shared" si="12"/>
        <v>0.17739349999999998</v>
      </c>
    </row>
    <row r="671" spans="1:3" x14ac:dyDescent="0.25">
      <c r="A671">
        <v>1710.0081</v>
      </c>
      <c r="B671" s="10">
        <v>0.99939999999999996</v>
      </c>
      <c r="C671" s="10">
        <f t="shared" si="12"/>
        <v>0.17739349999999998</v>
      </c>
    </row>
    <row r="672" spans="1:3" x14ac:dyDescent="0.25">
      <c r="A672">
        <v>1710.05484</v>
      </c>
      <c r="B672" s="10">
        <v>0.99939999999999996</v>
      </c>
      <c r="C672" s="10">
        <f t="shared" si="12"/>
        <v>0.17739349999999998</v>
      </c>
    </row>
    <row r="673" spans="1:3" x14ac:dyDescent="0.25">
      <c r="A673">
        <v>1710.10157</v>
      </c>
      <c r="B673" s="10">
        <v>0.99939999999999996</v>
      </c>
      <c r="C673" s="10">
        <f t="shared" si="12"/>
        <v>0.17739349999999998</v>
      </c>
    </row>
    <row r="674" spans="1:3" x14ac:dyDescent="0.25">
      <c r="A674">
        <v>1710.14831</v>
      </c>
      <c r="B674" s="10">
        <v>0.99939999999999996</v>
      </c>
      <c r="C674" s="10">
        <f t="shared" si="12"/>
        <v>0.17739349999999998</v>
      </c>
    </row>
    <row r="675" spans="1:3" x14ac:dyDescent="0.25">
      <c r="A675">
        <v>1710.1950400000001</v>
      </c>
      <c r="B675" s="10">
        <v>0.99939999999999996</v>
      </c>
      <c r="C675" s="10">
        <f t="shared" si="12"/>
        <v>0.17739349999999998</v>
      </c>
    </row>
    <row r="676" spans="1:3" x14ac:dyDescent="0.25">
      <c r="A676">
        <v>1710.2417800000001</v>
      </c>
      <c r="B676" s="10">
        <v>0.99939999999999996</v>
      </c>
      <c r="C676" s="10">
        <f t="shared" si="12"/>
        <v>0.17739349999999998</v>
      </c>
    </row>
    <row r="677" spans="1:3" x14ac:dyDescent="0.25">
      <c r="A677">
        <v>1710.2885100000001</v>
      </c>
      <c r="B677" s="10">
        <v>0.99939999999999996</v>
      </c>
      <c r="C677" s="10">
        <f t="shared" si="12"/>
        <v>0.17739349999999998</v>
      </c>
    </row>
    <row r="678" spans="1:3" x14ac:dyDescent="0.25">
      <c r="A678">
        <v>1710.3352500000001</v>
      </c>
      <c r="B678" s="10">
        <v>0.99939999999999996</v>
      </c>
      <c r="C678" s="10">
        <f t="shared" si="12"/>
        <v>0.17739349999999998</v>
      </c>
    </row>
    <row r="679" spans="1:3" x14ac:dyDescent="0.25">
      <c r="A679">
        <v>1710.3819900000001</v>
      </c>
      <c r="B679" s="10">
        <v>0.99939999999999996</v>
      </c>
      <c r="C679" s="10">
        <f t="shared" si="12"/>
        <v>0.17739349999999998</v>
      </c>
    </row>
    <row r="680" spans="1:3" x14ac:dyDescent="0.25">
      <c r="A680">
        <v>1710.4287200000001</v>
      </c>
      <c r="B680" s="10">
        <v>0.99939999999999996</v>
      </c>
      <c r="C680" s="10">
        <f t="shared" si="12"/>
        <v>0.17739349999999998</v>
      </c>
    </row>
    <row r="681" spans="1:3" x14ac:dyDescent="0.25">
      <c r="A681">
        <v>1710.4754600000001</v>
      </c>
      <c r="B681" s="10">
        <v>0.99939999999999996</v>
      </c>
      <c r="C681" s="10">
        <f t="shared" si="12"/>
        <v>0.17739349999999998</v>
      </c>
    </row>
    <row r="682" spans="1:3" x14ac:dyDescent="0.25">
      <c r="A682">
        <v>1710.5221899999999</v>
      </c>
      <c r="B682" s="10">
        <v>0.99939999999999996</v>
      </c>
      <c r="C682" s="10">
        <f t="shared" si="12"/>
        <v>0.17739349999999998</v>
      </c>
    </row>
    <row r="683" spans="1:3" x14ac:dyDescent="0.25">
      <c r="A683">
        <v>1710.5689299999999</v>
      </c>
      <c r="B683" s="10">
        <v>0.99939999999999996</v>
      </c>
      <c r="C683" s="10">
        <f t="shared" si="12"/>
        <v>0.17739349999999998</v>
      </c>
    </row>
    <row r="684" spans="1:3" x14ac:dyDescent="0.25">
      <c r="A684">
        <v>1710.6156599999999</v>
      </c>
      <c r="B684" s="10">
        <v>0.99939999999999996</v>
      </c>
      <c r="C684" s="10">
        <f t="shared" si="12"/>
        <v>0.17739349999999998</v>
      </c>
    </row>
    <row r="685" spans="1:3" x14ac:dyDescent="0.25">
      <c r="A685">
        <v>1710.6623999999999</v>
      </c>
      <c r="B685" s="10">
        <v>0.49969999999999998</v>
      </c>
      <c r="C685" s="10">
        <f t="shared" si="12"/>
        <v>8.8696749999999991E-2</v>
      </c>
    </row>
    <row r="686" spans="1:3" x14ac:dyDescent="0.25">
      <c r="B686" s="10"/>
    </row>
    <row r="687" spans="1:3" x14ac:dyDescent="0.25">
      <c r="B687" s="10"/>
    </row>
    <row r="688" spans="1:3" x14ac:dyDescent="0.25">
      <c r="B688" s="10"/>
    </row>
    <row r="689" spans="2:2" x14ac:dyDescent="0.25">
      <c r="B689" s="10"/>
    </row>
    <row r="690" spans="2:2" x14ac:dyDescent="0.25">
      <c r="B690" s="10"/>
    </row>
    <row r="691" spans="2:2" x14ac:dyDescent="0.25">
      <c r="B691" s="10"/>
    </row>
    <row r="692" spans="2:2" x14ac:dyDescent="0.25">
      <c r="B692" s="10"/>
    </row>
    <row r="693" spans="2:2" x14ac:dyDescent="0.25">
      <c r="B693" s="10"/>
    </row>
    <row r="694" spans="2:2" x14ac:dyDescent="0.25">
      <c r="B694" s="10"/>
    </row>
    <row r="695" spans="2:2" x14ac:dyDescent="0.25">
      <c r="B695" s="10"/>
    </row>
    <row r="696" spans="2:2" x14ac:dyDescent="0.25">
      <c r="B696" s="10"/>
    </row>
    <row r="697" spans="2:2" x14ac:dyDescent="0.25">
      <c r="B697" s="10"/>
    </row>
    <row r="698" spans="2:2" x14ac:dyDescent="0.25">
      <c r="B698" s="10"/>
    </row>
    <row r="699" spans="2:2" x14ac:dyDescent="0.25">
      <c r="B699" s="10"/>
    </row>
    <row r="700" spans="2:2" x14ac:dyDescent="0.25">
      <c r="B700" s="10"/>
    </row>
    <row r="701" spans="2:2" x14ac:dyDescent="0.25">
      <c r="B701" s="10"/>
    </row>
    <row r="702" spans="2:2" x14ac:dyDescent="0.25">
      <c r="B702" s="10"/>
    </row>
    <row r="703" spans="2:2" x14ac:dyDescent="0.25">
      <c r="B703" s="10"/>
    </row>
    <row r="704" spans="2:2" x14ac:dyDescent="0.25">
      <c r="B704" s="10"/>
    </row>
    <row r="705" spans="2:2" x14ac:dyDescent="0.25">
      <c r="B705" s="10"/>
    </row>
    <row r="706" spans="2:2" x14ac:dyDescent="0.25">
      <c r="B706" s="10"/>
    </row>
    <row r="707" spans="2:2" x14ac:dyDescent="0.25">
      <c r="B707" s="10"/>
    </row>
    <row r="708" spans="2:2" x14ac:dyDescent="0.25">
      <c r="B708" s="10"/>
    </row>
    <row r="709" spans="2:2" x14ac:dyDescent="0.25">
      <c r="B709" s="10"/>
    </row>
    <row r="710" spans="2:2" x14ac:dyDescent="0.25">
      <c r="B710" s="10"/>
    </row>
    <row r="711" spans="2:2" x14ac:dyDescent="0.25">
      <c r="B711" s="10"/>
    </row>
    <row r="712" spans="2:2" x14ac:dyDescent="0.25">
      <c r="B712" s="10"/>
    </row>
    <row r="713" spans="2:2" x14ac:dyDescent="0.25">
      <c r="B713" s="10"/>
    </row>
    <row r="714" spans="2:2" x14ac:dyDescent="0.25">
      <c r="B714" s="10"/>
    </row>
    <row r="715" spans="2:2" x14ac:dyDescent="0.25">
      <c r="B715" s="10"/>
    </row>
    <row r="716" spans="2:2" x14ac:dyDescent="0.25">
      <c r="B716" s="10"/>
    </row>
    <row r="717" spans="2:2" x14ac:dyDescent="0.25">
      <c r="B717" s="10"/>
    </row>
    <row r="718" spans="2:2" x14ac:dyDescent="0.25">
      <c r="B718" s="10"/>
    </row>
    <row r="719" spans="2:2" x14ac:dyDescent="0.25">
      <c r="B719" s="10"/>
    </row>
    <row r="720" spans="2:2" x14ac:dyDescent="0.25">
      <c r="B720" s="10"/>
    </row>
    <row r="721" spans="2:2" x14ac:dyDescent="0.25">
      <c r="B721" s="10"/>
    </row>
    <row r="722" spans="2:2" x14ac:dyDescent="0.25">
      <c r="B722" s="10"/>
    </row>
    <row r="723" spans="2:2" x14ac:dyDescent="0.25">
      <c r="B723" s="10"/>
    </row>
    <row r="724" spans="2:2" x14ac:dyDescent="0.25">
      <c r="B724" s="10"/>
    </row>
    <row r="725" spans="2:2" x14ac:dyDescent="0.25">
      <c r="B725" s="10"/>
    </row>
    <row r="726" spans="2:2" x14ac:dyDescent="0.25">
      <c r="B726" s="10"/>
    </row>
    <row r="727" spans="2:2" x14ac:dyDescent="0.25">
      <c r="B727" s="10"/>
    </row>
    <row r="728" spans="2:2" x14ac:dyDescent="0.25">
      <c r="B728" s="10"/>
    </row>
    <row r="729" spans="2:2" x14ac:dyDescent="0.25">
      <c r="B729" s="10"/>
    </row>
    <row r="730" spans="2:2" x14ac:dyDescent="0.25">
      <c r="B730" s="10"/>
    </row>
    <row r="731" spans="2:2" x14ac:dyDescent="0.25">
      <c r="B731" s="10"/>
    </row>
    <row r="732" spans="2:2" x14ac:dyDescent="0.25">
      <c r="B732" s="10"/>
    </row>
    <row r="733" spans="2:2" x14ac:dyDescent="0.25">
      <c r="B733" s="10"/>
    </row>
    <row r="734" spans="2:2" x14ac:dyDescent="0.25">
      <c r="B734" s="10"/>
    </row>
    <row r="735" spans="2:2" x14ac:dyDescent="0.25">
      <c r="B735" s="10"/>
    </row>
    <row r="736" spans="2:2" x14ac:dyDescent="0.25">
      <c r="B736" s="10"/>
    </row>
    <row r="737" spans="2:2" x14ac:dyDescent="0.25">
      <c r="B737" s="10"/>
    </row>
    <row r="738" spans="2:2" x14ac:dyDescent="0.25">
      <c r="B738" s="10"/>
    </row>
    <row r="739" spans="2:2" x14ac:dyDescent="0.25">
      <c r="B739" s="10"/>
    </row>
    <row r="740" spans="2:2" x14ac:dyDescent="0.25">
      <c r="B740" s="10"/>
    </row>
    <row r="741" spans="2:2" x14ac:dyDescent="0.25">
      <c r="B741" s="10"/>
    </row>
    <row r="742" spans="2:2" x14ac:dyDescent="0.25">
      <c r="B742" s="10"/>
    </row>
    <row r="743" spans="2:2" x14ac:dyDescent="0.25">
      <c r="B743" s="10"/>
    </row>
    <row r="744" spans="2:2" x14ac:dyDescent="0.25">
      <c r="B744" s="10"/>
    </row>
    <row r="745" spans="2:2" x14ac:dyDescent="0.25">
      <c r="B745" s="10"/>
    </row>
    <row r="746" spans="2:2" x14ac:dyDescent="0.25">
      <c r="B746" s="10"/>
    </row>
    <row r="747" spans="2:2" x14ac:dyDescent="0.25">
      <c r="B747" s="10"/>
    </row>
    <row r="748" spans="2:2" x14ac:dyDescent="0.25">
      <c r="B748" s="10"/>
    </row>
    <row r="749" spans="2:2" x14ac:dyDescent="0.25">
      <c r="B749" s="10"/>
    </row>
    <row r="750" spans="2:2" x14ac:dyDescent="0.25">
      <c r="B750" s="10"/>
    </row>
    <row r="751" spans="2:2" x14ac:dyDescent="0.25">
      <c r="B751" s="10"/>
    </row>
    <row r="752" spans="2:2" x14ac:dyDescent="0.25">
      <c r="B752" s="10"/>
    </row>
    <row r="753" spans="2:2" x14ac:dyDescent="0.25">
      <c r="B753" s="10"/>
    </row>
    <row r="754" spans="2:2" x14ac:dyDescent="0.25">
      <c r="B754" s="10"/>
    </row>
    <row r="755" spans="2:2" x14ac:dyDescent="0.25">
      <c r="B755" s="10"/>
    </row>
    <row r="756" spans="2:2" x14ac:dyDescent="0.25">
      <c r="B756" s="10"/>
    </row>
    <row r="757" spans="2:2" x14ac:dyDescent="0.25">
      <c r="B757" s="10"/>
    </row>
    <row r="758" spans="2:2" x14ac:dyDescent="0.25">
      <c r="B758" s="10"/>
    </row>
    <row r="759" spans="2:2" x14ac:dyDescent="0.25">
      <c r="B759" s="10"/>
    </row>
    <row r="760" spans="2:2" x14ac:dyDescent="0.25">
      <c r="B760" s="10"/>
    </row>
    <row r="761" spans="2:2" x14ac:dyDescent="0.25">
      <c r="B761" s="10"/>
    </row>
    <row r="762" spans="2:2" x14ac:dyDescent="0.25">
      <c r="B762" s="10"/>
    </row>
    <row r="763" spans="2:2" x14ac:dyDescent="0.25">
      <c r="B763" s="10"/>
    </row>
    <row r="764" spans="2:2" x14ac:dyDescent="0.25">
      <c r="B764" s="10"/>
    </row>
    <row r="765" spans="2:2" x14ac:dyDescent="0.25">
      <c r="B765" s="10"/>
    </row>
    <row r="766" spans="2:2" x14ac:dyDescent="0.25">
      <c r="B766" s="10"/>
    </row>
    <row r="767" spans="2:2" x14ac:dyDescent="0.25">
      <c r="B767" s="10"/>
    </row>
    <row r="768" spans="2:2" x14ac:dyDescent="0.25">
      <c r="B768" s="10"/>
    </row>
    <row r="769" spans="2:2" x14ac:dyDescent="0.25">
      <c r="B769" s="10"/>
    </row>
    <row r="770" spans="2:2" x14ac:dyDescent="0.25">
      <c r="B770" s="10"/>
    </row>
    <row r="771" spans="2:2" x14ac:dyDescent="0.25">
      <c r="B771" s="10"/>
    </row>
    <row r="772" spans="2:2" x14ac:dyDescent="0.25">
      <c r="B772" s="10"/>
    </row>
    <row r="773" spans="2:2" x14ac:dyDescent="0.25">
      <c r="B773" s="10"/>
    </row>
    <row r="774" spans="2:2" x14ac:dyDescent="0.25">
      <c r="B774" s="10"/>
    </row>
    <row r="775" spans="2:2" x14ac:dyDescent="0.25">
      <c r="B775" s="10"/>
    </row>
    <row r="776" spans="2:2" x14ac:dyDescent="0.25">
      <c r="B776" s="10"/>
    </row>
    <row r="777" spans="2:2" x14ac:dyDescent="0.25">
      <c r="B777" s="10"/>
    </row>
    <row r="778" spans="2:2" x14ac:dyDescent="0.25">
      <c r="B778" s="10"/>
    </row>
    <row r="779" spans="2:2" x14ac:dyDescent="0.25">
      <c r="B779" s="10"/>
    </row>
    <row r="780" spans="2:2" x14ac:dyDescent="0.25">
      <c r="B780" s="10"/>
    </row>
    <row r="781" spans="2:2" x14ac:dyDescent="0.25">
      <c r="B781" s="10"/>
    </row>
    <row r="782" spans="2:2" x14ac:dyDescent="0.25">
      <c r="B782" s="10"/>
    </row>
    <row r="783" spans="2:2" x14ac:dyDescent="0.25">
      <c r="B783" s="10"/>
    </row>
    <row r="784" spans="2:2" x14ac:dyDescent="0.25">
      <c r="B784" s="10"/>
    </row>
    <row r="785" spans="2:2" x14ac:dyDescent="0.25">
      <c r="B785" s="10"/>
    </row>
    <row r="786" spans="2:2" x14ac:dyDescent="0.25">
      <c r="B786" s="10"/>
    </row>
    <row r="787" spans="2:2" x14ac:dyDescent="0.25">
      <c r="B787" s="10"/>
    </row>
    <row r="788" spans="2:2" x14ac:dyDescent="0.25">
      <c r="B788" s="10"/>
    </row>
    <row r="789" spans="2:2" x14ac:dyDescent="0.25">
      <c r="B789" s="10"/>
    </row>
    <row r="790" spans="2:2" x14ac:dyDescent="0.25">
      <c r="B790" s="10"/>
    </row>
    <row r="791" spans="2:2" x14ac:dyDescent="0.25">
      <c r="B791" s="10"/>
    </row>
    <row r="792" spans="2:2" x14ac:dyDescent="0.25">
      <c r="B792" s="10"/>
    </row>
    <row r="793" spans="2:2" x14ac:dyDescent="0.25">
      <c r="B793" s="10"/>
    </row>
    <row r="794" spans="2:2" x14ac:dyDescent="0.25">
      <c r="B794" s="10"/>
    </row>
    <row r="795" spans="2:2" x14ac:dyDescent="0.25">
      <c r="B795" s="10"/>
    </row>
    <row r="796" spans="2:2" x14ac:dyDescent="0.25">
      <c r="B796" s="10"/>
    </row>
    <row r="797" spans="2:2" x14ac:dyDescent="0.25">
      <c r="B797" s="10"/>
    </row>
    <row r="798" spans="2:2" x14ac:dyDescent="0.25">
      <c r="B798" s="10"/>
    </row>
    <row r="799" spans="2:2" x14ac:dyDescent="0.25">
      <c r="B799" s="10"/>
    </row>
    <row r="800" spans="2:2" x14ac:dyDescent="0.25">
      <c r="B800" s="10"/>
    </row>
    <row r="801" spans="2:2" x14ac:dyDescent="0.25">
      <c r="B801" s="10"/>
    </row>
    <row r="802" spans="2:2" x14ac:dyDescent="0.25">
      <c r="B802" s="10"/>
    </row>
    <row r="803" spans="2:2" x14ac:dyDescent="0.25">
      <c r="B803" s="10"/>
    </row>
    <row r="804" spans="2:2" x14ac:dyDescent="0.25">
      <c r="B804" s="10"/>
    </row>
    <row r="805" spans="2:2" x14ac:dyDescent="0.25">
      <c r="B805" s="10"/>
    </row>
    <row r="806" spans="2:2" x14ac:dyDescent="0.25">
      <c r="B806" s="10"/>
    </row>
    <row r="807" spans="2:2" x14ac:dyDescent="0.25">
      <c r="B807" s="10"/>
    </row>
    <row r="808" spans="2:2" x14ac:dyDescent="0.25">
      <c r="B808" s="10"/>
    </row>
    <row r="809" spans="2:2" x14ac:dyDescent="0.25">
      <c r="B809" s="10"/>
    </row>
    <row r="810" spans="2:2" x14ac:dyDescent="0.25">
      <c r="B810" s="10"/>
    </row>
    <row r="811" spans="2:2" x14ac:dyDescent="0.25">
      <c r="B811" s="10"/>
    </row>
    <row r="812" spans="2:2" x14ac:dyDescent="0.25">
      <c r="B812" s="10"/>
    </row>
    <row r="813" spans="2:2" x14ac:dyDescent="0.25">
      <c r="B813" s="10"/>
    </row>
    <row r="814" spans="2:2" x14ac:dyDescent="0.25">
      <c r="B814" s="10"/>
    </row>
    <row r="815" spans="2:2" x14ac:dyDescent="0.25">
      <c r="B815" s="10"/>
    </row>
    <row r="816" spans="2:2" x14ac:dyDescent="0.25">
      <c r="B816" s="10"/>
    </row>
    <row r="817" spans="2:2" x14ac:dyDescent="0.25">
      <c r="B817" s="10"/>
    </row>
    <row r="818" spans="2:2" x14ac:dyDescent="0.25">
      <c r="B818" s="10"/>
    </row>
    <row r="819" spans="2:2" x14ac:dyDescent="0.25">
      <c r="B819" s="10"/>
    </row>
    <row r="820" spans="2:2" x14ac:dyDescent="0.25">
      <c r="B820" s="10"/>
    </row>
    <row r="821" spans="2:2" x14ac:dyDescent="0.25">
      <c r="B821" s="10"/>
    </row>
    <row r="822" spans="2:2" x14ac:dyDescent="0.25">
      <c r="B822" s="10"/>
    </row>
    <row r="823" spans="2:2" x14ac:dyDescent="0.25">
      <c r="B823" s="10"/>
    </row>
    <row r="824" spans="2:2" x14ac:dyDescent="0.25">
      <c r="B824" s="10"/>
    </row>
    <row r="825" spans="2:2" x14ac:dyDescent="0.25">
      <c r="B825" s="10"/>
    </row>
    <row r="826" spans="2:2" x14ac:dyDescent="0.25">
      <c r="B826" s="10"/>
    </row>
    <row r="827" spans="2:2" x14ac:dyDescent="0.25">
      <c r="B827" s="10"/>
    </row>
    <row r="828" spans="2:2" x14ac:dyDescent="0.25">
      <c r="B828" s="10"/>
    </row>
    <row r="829" spans="2:2" x14ac:dyDescent="0.25">
      <c r="B829" s="10"/>
    </row>
    <row r="830" spans="2:2" x14ac:dyDescent="0.25">
      <c r="B830" s="10"/>
    </row>
    <row r="831" spans="2:2" x14ac:dyDescent="0.25">
      <c r="B831" s="10"/>
    </row>
    <row r="832" spans="2:2" x14ac:dyDescent="0.25">
      <c r="B832" s="10"/>
    </row>
    <row r="833" spans="2:2" x14ac:dyDescent="0.25">
      <c r="B833" s="10"/>
    </row>
    <row r="834" spans="2:2" x14ac:dyDescent="0.25">
      <c r="B834" s="10"/>
    </row>
    <row r="835" spans="2:2" x14ac:dyDescent="0.25">
      <c r="B835" s="10"/>
    </row>
    <row r="836" spans="2:2" x14ac:dyDescent="0.25">
      <c r="B836" s="10"/>
    </row>
    <row r="837" spans="2:2" x14ac:dyDescent="0.25">
      <c r="B837" s="10"/>
    </row>
    <row r="838" spans="2:2" x14ac:dyDescent="0.25">
      <c r="B838" s="10"/>
    </row>
    <row r="839" spans="2:2" x14ac:dyDescent="0.25">
      <c r="B839" s="10"/>
    </row>
    <row r="840" spans="2:2" x14ac:dyDescent="0.25">
      <c r="B840" s="10"/>
    </row>
    <row r="841" spans="2:2" x14ac:dyDescent="0.25">
      <c r="B841" s="10"/>
    </row>
    <row r="842" spans="2:2" x14ac:dyDescent="0.25">
      <c r="B842" s="10"/>
    </row>
    <row r="843" spans="2:2" x14ac:dyDescent="0.25">
      <c r="B843" s="10"/>
    </row>
    <row r="844" spans="2:2" x14ac:dyDescent="0.25">
      <c r="B844" s="10"/>
    </row>
    <row r="845" spans="2:2" x14ac:dyDescent="0.25">
      <c r="B845" s="10"/>
    </row>
    <row r="846" spans="2:2" x14ac:dyDescent="0.25">
      <c r="B846" s="10"/>
    </row>
    <row r="847" spans="2:2" x14ac:dyDescent="0.25">
      <c r="B847" s="10"/>
    </row>
    <row r="848" spans="2:2" x14ac:dyDescent="0.25">
      <c r="B848" s="10"/>
    </row>
    <row r="849" spans="2:2" x14ac:dyDescent="0.25">
      <c r="B849" s="10"/>
    </row>
    <row r="850" spans="2:2" x14ac:dyDescent="0.25">
      <c r="B850" s="10"/>
    </row>
    <row r="851" spans="2:2" x14ac:dyDescent="0.25">
      <c r="B851" s="10"/>
    </row>
    <row r="852" spans="2:2" x14ac:dyDescent="0.25">
      <c r="B852" s="10"/>
    </row>
    <row r="853" spans="2:2" x14ac:dyDescent="0.25">
      <c r="B853" s="10"/>
    </row>
    <row r="854" spans="2:2" x14ac:dyDescent="0.25">
      <c r="B854" s="10"/>
    </row>
    <row r="855" spans="2:2" x14ac:dyDescent="0.25">
      <c r="B855" s="10"/>
    </row>
    <row r="856" spans="2:2" x14ac:dyDescent="0.25">
      <c r="B856" s="10"/>
    </row>
    <row r="857" spans="2:2" x14ac:dyDescent="0.25">
      <c r="B857" s="10"/>
    </row>
    <row r="858" spans="2:2" x14ac:dyDescent="0.25">
      <c r="B858" s="10"/>
    </row>
    <row r="859" spans="2:2" x14ac:dyDescent="0.25">
      <c r="B859" s="10"/>
    </row>
    <row r="860" spans="2:2" x14ac:dyDescent="0.25">
      <c r="B860" s="10"/>
    </row>
    <row r="861" spans="2:2" x14ac:dyDescent="0.25">
      <c r="B861" s="10"/>
    </row>
    <row r="862" spans="2:2" x14ac:dyDescent="0.25">
      <c r="B862" s="10"/>
    </row>
    <row r="863" spans="2:2" x14ac:dyDescent="0.25">
      <c r="B863" s="10"/>
    </row>
    <row r="864" spans="2:2" x14ac:dyDescent="0.25">
      <c r="B864" s="10"/>
    </row>
    <row r="865" spans="2:2" x14ac:dyDescent="0.25">
      <c r="B865" s="10"/>
    </row>
    <row r="866" spans="2:2" x14ac:dyDescent="0.25">
      <c r="B866" s="10"/>
    </row>
    <row r="867" spans="2:2" x14ac:dyDescent="0.25">
      <c r="B867" s="10"/>
    </row>
    <row r="868" spans="2:2" x14ac:dyDescent="0.25">
      <c r="B868" s="10"/>
    </row>
    <row r="869" spans="2:2" x14ac:dyDescent="0.25">
      <c r="B869" s="10"/>
    </row>
    <row r="870" spans="2:2" x14ac:dyDescent="0.25">
      <c r="B870" s="10"/>
    </row>
    <row r="871" spans="2:2" x14ac:dyDescent="0.25">
      <c r="B871" s="10"/>
    </row>
    <row r="872" spans="2:2" x14ac:dyDescent="0.25">
      <c r="B872" s="10"/>
    </row>
    <row r="873" spans="2:2" x14ac:dyDescent="0.25">
      <c r="B873" s="10"/>
    </row>
    <row r="874" spans="2:2" x14ac:dyDescent="0.25">
      <c r="B874" s="10"/>
    </row>
    <row r="875" spans="2:2" x14ac:dyDescent="0.25">
      <c r="B875" s="10"/>
    </row>
    <row r="876" spans="2:2" x14ac:dyDescent="0.25">
      <c r="B876" s="10"/>
    </row>
    <row r="877" spans="2:2" x14ac:dyDescent="0.25">
      <c r="B877" s="10"/>
    </row>
    <row r="878" spans="2:2" x14ac:dyDescent="0.25">
      <c r="B878" s="10"/>
    </row>
    <row r="879" spans="2:2" x14ac:dyDescent="0.25">
      <c r="B879" s="10"/>
    </row>
    <row r="880" spans="2:2" x14ac:dyDescent="0.25">
      <c r="B880" s="10"/>
    </row>
    <row r="881" spans="2:2" x14ac:dyDescent="0.25">
      <c r="B881" s="10"/>
    </row>
    <row r="882" spans="2:2" x14ac:dyDescent="0.25">
      <c r="B882" s="10"/>
    </row>
    <row r="883" spans="2:2" x14ac:dyDescent="0.25">
      <c r="B883" s="10"/>
    </row>
    <row r="884" spans="2:2" x14ac:dyDescent="0.25">
      <c r="B884" s="10"/>
    </row>
    <row r="885" spans="2:2" x14ac:dyDescent="0.25">
      <c r="B885" s="10"/>
    </row>
    <row r="886" spans="2:2" x14ac:dyDescent="0.25">
      <c r="B886" s="10"/>
    </row>
    <row r="887" spans="2:2" x14ac:dyDescent="0.25">
      <c r="B887" s="10"/>
    </row>
    <row r="888" spans="2:2" x14ac:dyDescent="0.25">
      <c r="B888" s="10"/>
    </row>
    <row r="889" spans="2:2" x14ac:dyDescent="0.25">
      <c r="B889" s="10"/>
    </row>
    <row r="890" spans="2:2" x14ac:dyDescent="0.25">
      <c r="B890" s="10"/>
    </row>
    <row r="891" spans="2:2" x14ac:dyDescent="0.25">
      <c r="B891" s="10"/>
    </row>
    <row r="892" spans="2:2" x14ac:dyDescent="0.25">
      <c r="B892" s="10"/>
    </row>
    <row r="893" spans="2:2" x14ac:dyDescent="0.25">
      <c r="B893" s="10"/>
    </row>
    <row r="894" spans="2:2" x14ac:dyDescent="0.25">
      <c r="B894" s="10"/>
    </row>
    <row r="895" spans="2:2" x14ac:dyDescent="0.25">
      <c r="B895" s="10"/>
    </row>
    <row r="896" spans="2:2" x14ac:dyDescent="0.25">
      <c r="B896" s="10"/>
    </row>
    <row r="897" spans="2:2" x14ac:dyDescent="0.25">
      <c r="B897" s="10"/>
    </row>
    <row r="898" spans="2:2" x14ac:dyDescent="0.25">
      <c r="B898" s="10"/>
    </row>
    <row r="899" spans="2:2" x14ac:dyDescent="0.25">
      <c r="B899" s="10"/>
    </row>
    <row r="900" spans="2:2" x14ac:dyDescent="0.25">
      <c r="B900" s="10"/>
    </row>
    <row r="901" spans="2:2" x14ac:dyDescent="0.25">
      <c r="B901" s="10"/>
    </row>
    <row r="902" spans="2:2" x14ac:dyDescent="0.25">
      <c r="B902" s="10"/>
    </row>
    <row r="903" spans="2:2" x14ac:dyDescent="0.25">
      <c r="B903" s="10"/>
    </row>
    <row r="904" spans="2:2" x14ac:dyDescent="0.25">
      <c r="B904" s="10"/>
    </row>
    <row r="905" spans="2:2" x14ac:dyDescent="0.25">
      <c r="B905" s="10"/>
    </row>
    <row r="906" spans="2:2" x14ac:dyDescent="0.25">
      <c r="B906" s="10"/>
    </row>
    <row r="907" spans="2:2" x14ac:dyDescent="0.25">
      <c r="B907" s="10"/>
    </row>
    <row r="908" spans="2:2" x14ac:dyDescent="0.25">
      <c r="B908" s="10"/>
    </row>
    <row r="909" spans="2:2" x14ac:dyDescent="0.25">
      <c r="B909" s="10"/>
    </row>
    <row r="910" spans="2:2" x14ac:dyDescent="0.25">
      <c r="B910" s="10"/>
    </row>
    <row r="911" spans="2:2" x14ac:dyDescent="0.25">
      <c r="B911" s="10"/>
    </row>
    <row r="912" spans="2:2" x14ac:dyDescent="0.25">
      <c r="B912" s="10"/>
    </row>
    <row r="913" spans="2:2" x14ac:dyDescent="0.25">
      <c r="B913" s="10"/>
    </row>
    <row r="914" spans="2:2" x14ac:dyDescent="0.25">
      <c r="B914" s="10"/>
    </row>
    <row r="915" spans="2:2" x14ac:dyDescent="0.25">
      <c r="B915" s="10"/>
    </row>
    <row r="916" spans="2:2" x14ac:dyDescent="0.25">
      <c r="B916" s="10"/>
    </row>
    <row r="917" spans="2:2" x14ac:dyDescent="0.25">
      <c r="B917" s="10"/>
    </row>
    <row r="918" spans="2:2" x14ac:dyDescent="0.25">
      <c r="B918" s="10"/>
    </row>
    <row r="919" spans="2:2" x14ac:dyDescent="0.25">
      <c r="B919" s="10"/>
    </row>
    <row r="920" spans="2:2" x14ac:dyDescent="0.25">
      <c r="B920" s="10"/>
    </row>
    <row r="921" spans="2:2" x14ac:dyDescent="0.25">
      <c r="B921" s="10"/>
    </row>
    <row r="922" spans="2:2" x14ac:dyDescent="0.25">
      <c r="B922" s="10"/>
    </row>
    <row r="923" spans="2:2" x14ac:dyDescent="0.25">
      <c r="B923" s="10"/>
    </row>
    <row r="924" spans="2:2" x14ac:dyDescent="0.25">
      <c r="B924" s="10"/>
    </row>
    <row r="925" spans="2:2" x14ac:dyDescent="0.25">
      <c r="B925" s="10"/>
    </row>
    <row r="926" spans="2:2" x14ac:dyDescent="0.25">
      <c r="B926" s="10"/>
    </row>
    <row r="927" spans="2:2" x14ac:dyDescent="0.25">
      <c r="B927" s="10"/>
    </row>
    <row r="928" spans="2:2" x14ac:dyDescent="0.25">
      <c r="B928" s="10"/>
    </row>
    <row r="929" spans="2:2" x14ac:dyDescent="0.25">
      <c r="B929" s="10"/>
    </row>
    <row r="930" spans="2:2" x14ac:dyDescent="0.25">
      <c r="B930" s="10"/>
    </row>
    <row r="931" spans="2:2" x14ac:dyDescent="0.25">
      <c r="B931" s="10"/>
    </row>
    <row r="932" spans="2:2" x14ac:dyDescent="0.25">
      <c r="B932" s="10"/>
    </row>
    <row r="933" spans="2:2" x14ac:dyDescent="0.25">
      <c r="B933" s="10"/>
    </row>
    <row r="934" spans="2:2" x14ac:dyDescent="0.25">
      <c r="B934" s="10"/>
    </row>
    <row r="935" spans="2:2" x14ac:dyDescent="0.25">
      <c r="B935" s="10"/>
    </row>
    <row r="936" spans="2:2" x14ac:dyDescent="0.25">
      <c r="B936" s="10"/>
    </row>
    <row r="937" spans="2:2" x14ac:dyDescent="0.25">
      <c r="B937" s="10"/>
    </row>
    <row r="938" spans="2:2" x14ac:dyDescent="0.25">
      <c r="B938" s="10"/>
    </row>
    <row r="939" spans="2:2" x14ac:dyDescent="0.25">
      <c r="B939" s="10"/>
    </row>
    <row r="940" spans="2:2" x14ac:dyDescent="0.25">
      <c r="B940" s="10"/>
    </row>
    <row r="941" spans="2:2" x14ac:dyDescent="0.25">
      <c r="B941" s="10"/>
    </row>
    <row r="942" spans="2:2" x14ac:dyDescent="0.25">
      <c r="B942" s="10"/>
    </row>
    <row r="943" spans="2:2" x14ac:dyDescent="0.25">
      <c r="B943" s="10"/>
    </row>
    <row r="944" spans="2:2" x14ac:dyDescent="0.25">
      <c r="B944" s="10"/>
    </row>
    <row r="945" spans="2:2" x14ac:dyDescent="0.25">
      <c r="B945" s="10"/>
    </row>
    <row r="946" spans="2:2" x14ac:dyDescent="0.25">
      <c r="B946" s="10"/>
    </row>
    <row r="947" spans="2:2" x14ac:dyDescent="0.25">
      <c r="B947" s="10"/>
    </row>
    <row r="948" spans="2:2" x14ac:dyDescent="0.25">
      <c r="B948" s="10"/>
    </row>
    <row r="949" spans="2:2" x14ac:dyDescent="0.25">
      <c r="B949" s="10"/>
    </row>
    <row r="950" spans="2:2" x14ac:dyDescent="0.25">
      <c r="B950" s="10"/>
    </row>
    <row r="951" spans="2:2" x14ac:dyDescent="0.25">
      <c r="B951" s="10"/>
    </row>
    <row r="952" spans="2:2" x14ac:dyDescent="0.25">
      <c r="B952" s="10"/>
    </row>
    <row r="953" spans="2:2" x14ac:dyDescent="0.25">
      <c r="B953" s="10"/>
    </row>
    <row r="954" spans="2:2" x14ac:dyDescent="0.25">
      <c r="B954" s="10"/>
    </row>
    <row r="955" spans="2:2" x14ac:dyDescent="0.25">
      <c r="B955" s="10"/>
    </row>
    <row r="956" spans="2:2" x14ac:dyDescent="0.25">
      <c r="B956" s="10"/>
    </row>
    <row r="957" spans="2:2" x14ac:dyDescent="0.25">
      <c r="B957" s="10"/>
    </row>
    <row r="958" spans="2:2" x14ac:dyDescent="0.25">
      <c r="B958" s="10"/>
    </row>
    <row r="959" spans="2:2" x14ac:dyDescent="0.25">
      <c r="B959" s="10"/>
    </row>
    <row r="960" spans="2:2" x14ac:dyDescent="0.25">
      <c r="B960" s="10"/>
    </row>
    <row r="961" spans="2:2" x14ac:dyDescent="0.25">
      <c r="B961" s="10"/>
    </row>
    <row r="962" spans="2:2" x14ac:dyDescent="0.25">
      <c r="B962" s="10"/>
    </row>
    <row r="963" spans="2:2" x14ac:dyDescent="0.25">
      <c r="B963" s="10"/>
    </row>
    <row r="964" spans="2:2" x14ac:dyDescent="0.25">
      <c r="B964" s="10"/>
    </row>
    <row r="965" spans="2:2" x14ac:dyDescent="0.25">
      <c r="B965" s="10"/>
    </row>
    <row r="966" spans="2:2" x14ac:dyDescent="0.25">
      <c r="B966" s="10"/>
    </row>
    <row r="967" spans="2:2" x14ac:dyDescent="0.25">
      <c r="B967" s="10"/>
    </row>
    <row r="968" spans="2:2" x14ac:dyDescent="0.25">
      <c r="B968" s="10"/>
    </row>
    <row r="969" spans="2:2" x14ac:dyDescent="0.25">
      <c r="B969" s="10"/>
    </row>
    <row r="970" spans="2:2" x14ac:dyDescent="0.25">
      <c r="B970" s="10"/>
    </row>
    <row r="971" spans="2:2" x14ac:dyDescent="0.25">
      <c r="B971" s="10"/>
    </row>
    <row r="972" spans="2:2" x14ac:dyDescent="0.25">
      <c r="B972" s="10"/>
    </row>
    <row r="973" spans="2:2" x14ac:dyDescent="0.25">
      <c r="B973" s="10"/>
    </row>
    <row r="974" spans="2:2" x14ac:dyDescent="0.25">
      <c r="B974" s="10"/>
    </row>
    <row r="975" spans="2:2" x14ac:dyDescent="0.25">
      <c r="B975" s="10"/>
    </row>
    <row r="976" spans="2:2" x14ac:dyDescent="0.25">
      <c r="B976" s="10"/>
    </row>
    <row r="977" spans="2:2" x14ac:dyDescent="0.25">
      <c r="B977" s="10"/>
    </row>
    <row r="978" spans="2:2" x14ac:dyDescent="0.25">
      <c r="B978" s="10"/>
    </row>
    <row r="979" spans="2:2" x14ac:dyDescent="0.25">
      <c r="B979" s="10"/>
    </row>
    <row r="980" spans="2:2" x14ac:dyDescent="0.25">
      <c r="B980" s="10"/>
    </row>
    <row r="981" spans="2:2" x14ac:dyDescent="0.25">
      <c r="B981" s="10"/>
    </row>
    <row r="982" spans="2:2" x14ac:dyDescent="0.25">
      <c r="B982" s="10"/>
    </row>
    <row r="983" spans="2:2" x14ac:dyDescent="0.25">
      <c r="B983" s="10"/>
    </row>
    <row r="984" spans="2:2" x14ac:dyDescent="0.25">
      <c r="B984" s="10"/>
    </row>
    <row r="985" spans="2:2" x14ac:dyDescent="0.25">
      <c r="B985" s="10"/>
    </row>
    <row r="986" spans="2:2" x14ac:dyDescent="0.25">
      <c r="B986" s="10"/>
    </row>
    <row r="987" spans="2:2" x14ac:dyDescent="0.25">
      <c r="B987" s="10"/>
    </row>
    <row r="988" spans="2:2" x14ac:dyDescent="0.25">
      <c r="B988" s="10"/>
    </row>
    <row r="989" spans="2:2" x14ac:dyDescent="0.25">
      <c r="B989" s="10"/>
    </row>
    <row r="990" spans="2:2" x14ac:dyDescent="0.25">
      <c r="B990" s="10"/>
    </row>
    <row r="991" spans="2:2" x14ac:dyDescent="0.25">
      <c r="B991" s="10"/>
    </row>
    <row r="992" spans="2:2" x14ac:dyDescent="0.25">
      <c r="B992" s="10"/>
    </row>
    <row r="993" spans="2:2" x14ac:dyDescent="0.25">
      <c r="B993" s="10"/>
    </row>
    <row r="994" spans="2:2" x14ac:dyDescent="0.25">
      <c r="B994" s="10"/>
    </row>
    <row r="995" spans="2:2" x14ac:dyDescent="0.25">
      <c r="B995" s="10"/>
    </row>
    <row r="996" spans="2:2" x14ac:dyDescent="0.25">
      <c r="B996" s="10"/>
    </row>
    <row r="997" spans="2:2" x14ac:dyDescent="0.25">
      <c r="B997" s="10"/>
    </row>
    <row r="998" spans="2:2" x14ac:dyDescent="0.25">
      <c r="B998" s="10"/>
    </row>
    <row r="999" spans="2:2" x14ac:dyDescent="0.25">
      <c r="B999" s="10"/>
    </row>
    <row r="1000" spans="2:2" x14ac:dyDescent="0.25">
      <c r="B1000" s="10"/>
    </row>
    <row r="1001" spans="2:2" x14ac:dyDescent="0.25">
      <c r="B1001" s="10"/>
    </row>
    <row r="1002" spans="2:2" x14ac:dyDescent="0.25">
      <c r="B1002" s="10"/>
    </row>
    <row r="1003" spans="2:2" x14ac:dyDescent="0.25">
      <c r="B1003" s="10"/>
    </row>
    <row r="1004" spans="2:2" x14ac:dyDescent="0.25">
      <c r="B1004" s="10"/>
    </row>
    <row r="1005" spans="2:2" x14ac:dyDescent="0.25">
      <c r="B1005" s="10"/>
    </row>
    <row r="1006" spans="2:2" x14ac:dyDescent="0.25">
      <c r="B1006" s="10"/>
    </row>
    <row r="1007" spans="2:2" x14ac:dyDescent="0.25">
      <c r="B1007" s="10"/>
    </row>
    <row r="1008" spans="2:2" x14ac:dyDescent="0.25">
      <c r="B1008" s="10"/>
    </row>
    <row r="1009" spans="2:2" x14ac:dyDescent="0.25">
      <c r="B1009" s="10"/>
    </row>
    <row r="1010" spans="2:2" x14ac:dyDescent="0.25">
      <c r="B1010" s="10"/>
    </row>
    <row r="1011" spans="2:2" x14ac:dyDescent="0.25">
      <c r="B1011" s="10"/>
    </row>
    <row r="1012" spans="2:2" x14ac:dyDescent="0.25">
      <c r="B1012" s="10"/>
    </row>
    <row r="1013" spans="2:2" x14ac:dyDescent="0.25">
      <c r="B1013" s="10"/>
    </row>
    <row r="1014" spans="2:2" x14ac:dyDescent="0.25">
      <c r="B1014" s="10"/>
    </row>
    <row r="1015" spans="2:2" x14ac:dyDescent="0.25">
      <c r="B1015" s="10"/>
    </row>
    <row r="1016" spans="2:2" x14ac:dyDescent="0.25">
      <c r="B1016" s="10"/>
    </row>
    <row r="1017" spans="2:2" x14ac:dyDescent="0.25">
      <c r="B1017" s="10"/>
    </row>
    <row r="1018" spans="2:2" x14ac:dyDescent="0.25">
      <c r="B1018" s="10"/>
    </row>
    <row r="1019" spans="2:2" x14ac:dyDescent="0.25">
      <c r="B1019" s="10"/>
    </row>
    <row r="1020" spans="2:2" x14ac:dyDescent="0.25">
      <c r="B1020" s="10"/>
    </row>
    <row r="1021" spans="2:2" x14ac:dyDescent="0.25">
      <c r="B1021" s="10"/>
    </row>
    <row r="1022" spans="2:2" x14ac:dyDescent="0.25">
      <c r="B1022" s="10"/>
    </row>
    <row r="1023" spans="2:2" x14ac:dyDescent="0.25">
      <c r="B1023" s="10"/>
    </row>
    <row r="1024" spans="2:2" x14ac:dyDescent="0.25">
      <c r="B1024" s="10"/>
    </row>
    <row r="1025" spans="2:2" x14ac:dyDescent="0.25">
      <c r="B1025" s="10"/>
    </row>
    <row r="1026" spans="2:2" x14ac:dyDescent="0.25">
      <c r="B1026" s="10"/>
    </row>
    <row r="1027" spans="2:2" x14ac:dyDescent="0.25">
      <c r="B1027" s="10"/>
    </row>
    <row r="1028" spans="2:2" x14ac:dyDescent="0.25">
      <c r="B1028" s="10"/>
    </row>
    <row r="1029" spans="2:2" x14ac:dyDescent="0.25">
      <c r="B1029" s="10"/>
    </row>
    <row r="1030" spans="2:2" x14ac:dyDescent="0.25">
      <c r="B1030" s="10"/>
    </row>
    <row r="1031" spans="2:2" x14ac:dyDescent="0.25">
      <c r="B1031" s="10"/>
    </row>
    <row r="1032" spans="2:2" x14ac:dyDescent="0.25">
      <c r="B1032" s="10"/>
    </row>
    <row r="1033" spans="2:2" x14ac:dyDescent="0.25">
      <c r="B1033" s="10"/>
    </row>
    <row r="1034" spans="2:2" x14ac:dyDescent="0.25">
      <c r="B1034" s="10"/>
    </row>
    <row r="1035" spans="2:2" x14ac:dyDescent="0.25">
      <c r="B1035" s="10"/>
    </row>
    <row r="1036" spans="2:2" x14ac:dyDescent="0.25">
      <c r="B1036" s="10"/>
    </row>
    <row r="1037" spans="2:2" x14ac:dyDescent="0.25">
      <c r="B1037" s="10"/>
    </row>
    <row r="1038" spans="2:2" x14ac:dyDescent="0.25">
      <c r="B1038" s="10"/>
    </row>
    <row r="1039" spans="2:2" x14ac:dyDescent="0.25">
      <c r="B1039" s="10"/>
    </row>
    <row r="1040" spans="2:2" x14ac:dyDescent="0.25">
      <c r="B1040" s="10"/>
    </row>
    <row r="1041" spans="2:2" x14ac:dyDescent="0.25">
      <c r="B1041" s="10"/>
    </row>
    <row r="1042" spans="2:2" x14ac:dyDescent="0.25">
      <c r="B1042" s="10"/>
    </row>
    <row r="1043" spans="2:2" x14ac:dyDescent="0.25">
      <c r="B1043" s="10"/>
    </row>
    <row r="1044" spans="2:2" x14ac:dyDescent="0.25">
      <c r="B1044" s="10"/>
    </row>
    <row r="1045" spans="2:2" x14ac:dyDescent="0.25">
      <c r="B1045" s="10"/>
    </row>
    <row r="1046" spans="2:2" x14ac:dyDescent="0.25">
      <c r="B1046" s="10"/>
    </row>
    <row r="1047" spans="2:2" x14ac:dyDescent="0.25">
      <c r="B1047" s="10"/>
    </row>
    <row r="1048" spans="2:2" x14ac:dyDescent="0.25">
      <c r="B1048" s="10"/>
    </row>
    <row r="1049" spans="2:2" x14ac:dyDescent="0.25">
      <c r="B1049" s="10"/>
    </row>
    <row r="1050" spans="2:2" x14ac:dyDescent="0.25">
      <c r="B1050" s="10"/>
    </row>
    <row r="1051" spans="2:2" x14ac:dyDescent="0.25">
      <c r="B1051" s="10"/>
    </row>
    <row r="1052" spans="2:2" x14ac:dyDescent="0.25">
      <c r="B1052" s="10"/>
    </row>
    <row r="1053" spans="2:2" x14ac:dyDescent="0.25">
      <c r="B1053" s="10"/>
    </row>
    <row r="1054" spans="2:2" x14ac:dyDescent="0.25">
      <c r="B1054" s="10"/>
    </row>
    <row r="1055" spans="2:2" x14ac:dyDescent="0.25">
      <c r="B1055" s="10"/>
    </row>
    <row r="1056" spans="2:2" x14ac:dyDescent="0.25">
      <c r="B1056" s="10"/>
    </row>
    <row r="1057" spans="2:2" x14ac:dyDescent="0.25">
      <c r="B1057" s="10"/>
    </row>
    <row r="1058" spans="2:2" x14ac:dyDescent="0.25">
      <c r="B1058" s="10"/>
    </row>
    <row r="1059" spans="2:2" x14ac:dyDescent="0.25">
      <c r="B1059" s="10"/>
    </row>
    <row r="1060" spans="2:2" x14ac:dyDescent="0.25">
      <c r="B1060" s="10"/>
    </row>
    <row r="1061" spans="2:2" x14ac:dyDescent="0.25">
      <c r="B1061" s="10"/>
    </row>
    <row r="1062" spans="2:2" x14ac:dyDescent="0.25">
      <c r="B1062" s="10"/>
    </row>
    <row r="1063" spans="2:2" x14ac:dyDescent="0.25">
      <c r="B1063" s="10"/>
    </row>
    <row r="1064" spans="2:2" x14ac:dyDescent="0.25">
      <c r="B1064" s="10"/>
    </row>
    <row r="1065" spans="2:2" x14ac:dyDescent="0.25">
      <c r="B1065" s="10"/>
    </row>
    <row r="1066" spans="2:2" x14ac:dyDescent="0.25">
      <c r="B1066" s="10"/>
    </row>
    <row r="1067" spans="2:2" x14ac:dyDescent="0.25">
      <c r="B1067" s="10"/>
    </row>
    <row r="1068" spans="2:2" x14ac:dyDescent="0.25">
      <c r="B1068" s="10"/>
    </row>
    <row r="1069" spans="2:2" x14ac:dyDescent="0.25">
      <c r="B1069" s="10"/>
    </row>
    <row r="1070" spans="2:2" x14ac:dyDescent="0.25">
      <c r="B1070" s="10"/>
    </row>
    <row r="1071" spans="2:2" x14ac:dyDescent="0.25">
      <c r="B1071" s="10"/>
    </row>
    <row r="1072" spans="2:2" x14ac:dyDescent="0.25">
      <c r="B1072" s="10"/>
    </row>
    <row r="1073" spans="2:2" x14ac:dyDescent="0.25">
      <c r="B1073" s="10"/>
    </row>
    <row r="1074" spans="2:2" x14ac:dyDescent="0.25">
      <c r="B1074" s="10"/>
    </row>
    <row r="1075" spans="2:2" x14ac:dyDescent="0.25">
      <c r="B1075" s="10"/>
    </row>
    <row r="1076" spans="2:2" x14ac:dyDescent="0.25">
      <c r="B1076" s="10"/>
    </row>
    <row r="1077" spans="2:2" x14ac:dyDescent="0.25">
      <c r="B1077" s="10"/>
    </row>
    <row r="1078" spans="2:2" x14ac:dyDescent="0.25">
      <c r="B1078" s="10"/>
    </row>
    <row r="1079" spans="2:2" x14ac:dyDescent="0.25">
      <c r="B1079" s="10"/>
    </row>
    <row r="1080" spans="2:2" x14ac:dyDescent="0.25">
      <c r="B1080" s="10"/>
    </row>
    <row r="1081" spans="2:2" x14ac:dyDescent="0.25">
      <c r="B1081" s="10"/>
    </row>
    <row r="1082" spans="2:2" x14ac:dyDescent="0.25">
      <c r="B1082" s="10"/>
    </row>
    <row r="1083" spans="2:2" x14ac:dyDescent="0.25">
      <c r="B1083" s="10"/>
    </row>
    <row r="1084" spans="2:2" x14ac:dyDescent="0.25">
      <c r="B1084" s="10"/>
    </row>
    <row r="1085" spans="2:2" x14ac:dyDescent="0.25">
      <c r="B1085" s="10"/>
    </row>
    <row r="1086" spans="2:2" x14ac:dyDescent="0.25">
      <c r="B1086" s="10"/>
    </row>
    <row r="1087" spans="2:2" x14ac:dyDescent="0.25">
      <c r="B1087" s="10"/>
    </row>
    <row r="1088" spans="2:2" x14ac:dyDescent="0.25">
      <c r="B1088" s="10"/>
    </row>
    <row r="1089" spans="2:2" x14ac:dyDescent="0.25">
      <c r="B1089" s="10"/>
    </row>
    <row r="1090" spans="2:2" x14ac:dyDescent="0.25">
      <c r="B1090" s="10"/>
    </row>
    <row r="1091" spans="2:2" x14ac:dyDescent="0.25">
      <c r="B1091" s="10"/>
    </row>
    <row r="1092" spans="2:2" x14ac:dyDescent="0.25">
      <c r="B1092" s="10"/>
    </row>
    <row r="1093" spans="2:2" x14ac:dyDescent="0.25">
      <c r="B1093" s="10"/>
    </row>
    <row r="1094" spans="2:2" x14ac:dyDescent="0.25">
      <c r="B1094" s="10"/>
    </row>
    <row r="1095" spans="2:2" x14ac:dyDescent="0.25">
      <c r="B1095" s="10"/>
    </row>
    <row r="1096" spans="2:2" x14ac:dyDescent="0.25">
      <c r="B1096" s="10"/>
    </row>
    <row r="1097" spans="2:2" x14ac:dyDescent="0.25">
      <c r="B1097" s="10"/>
    </row>
    <row r="1098" spans="2:2" x14ac:dyDescent="0.25">
      <c r="B1098" s="10"/>
    </row>
    <row r="1099" spans="2:2" x14ac:dyDescent="0.25">
      <c r="B1099" s="10"/>
    </row>
    <row r="1100" spans="2:2" x14ac:dyDescent="0.25">
      <c r="B1100" s="10"/>
    </row>
    <row r="1101" spans="2:2" x14ac:dyDescent="0.25">
      <c r="B1101" s="10"/>
    </row>
    <row r="1102" spans="2:2" x14ac:dyDescent="0.25">
      <c r="B1102" s="10"/>
    </row>
    <row r="1103" spans="2:2" x14ac:dyDescent="0.25">
      <c r="B1103" s="10"/>
    </row>
    <row r="1104" spans="2:2" x14ac:dyDescent="0.25">
      <c r="B1104" s="10"/>
    </row>
    <row r="1105" spans="2:2" x14ac:dyDescent="0.25">
      <c r="B1105" s="10"/>
    </row>
    <row r="1106" spans="2:2" x14ac:dyDescent="0.25">
      <c r="B1106" s="10"/>
    </row>
    <row r="1107" spans="2:2" x14ac:dyDescent="0.25">
      <c r="B1107" s="10"/>
    </row>
    <row r="1108" spans="2:2" x14ac:dyDescent="0.25">
      <c r="B1108" s="10"/>
    </row>
    <row r="1109" spans="2:2" x14ac:dyDescent="0.25">
      <c r="B1109" s="10"/>
    </row>
    <row r="1110" spans="2:2" x14ac:dyDescent="0.25">
      <c r="B1110" s="10"/>
    </row>
    <row r="1111" spans="2:2" x14ac:dyDescent="0.25">
      <c r="B1111" s="10"/>
    </row>
    <row r="1112" spans="2:2" x14ac:dyDescent="0.25">
      <c r="B1112" s="10"/>
    </row>
    <row r="1113" spans="2:2" x14ac:dyDescent="0.25">
      <c r="B1113" s="10"/>
    </row>
    <row r="1114" spans="2:2" x14ac:dyDescent="0.25">
      <c r="B1114" s="10"/>
    </row>
    <row r="1115" spans="2:2" x14ac:dyDescent="0.25">
      <c r="B1115" s="10"/>
    </row>
    <row r="1116" spans="2:2" x14ac:dyDescent="0.25">
      <c r="B1116" s="10"/>
    </row>
    <row r="1117" spans="2:2" x14ac:dyDescent="0.25">
      <c r="B1117" s="10"/>
    </row>
    <row r="1118" spans="2:2" x14ac:dyDescent="0.25">
      <c r="B1118" s="10"/>
    </row>
    <row r="1119" spans="2:2" x14ac:dyDescent="0.25">
      <c r="B1119" s="10"/>
    </row>
    <row r="1120" spans="2:2" x14ac:dyDescent="0.25">
      <c r="B1120" s="10"/>
    </row>
    <row r="1121" spans="2:2" x14ac:dyDescent="0.25">
      <c r="B1121" s="10"/>
    </row>
    <row r="1122" spans="2:2" x14ac:dyDescent="0.25">
      <c r="B1122" s="10"/>
    </row>
    <row r="1123" spans="2:2" x14ac:dyDescent="0.25">
      <c r="B1123" s="10"/>
    </row>
    <row r="1124" spans="2:2" x14ac:dyDescent="0.25">
      <c r="B1124" s="10"/>
    </row>
    <row r="1125" spans="2:2" x14ac:dyDescent="0.25">
      <c r="B1125" s="10"/>
    </row>
    <row r="1126" spans="2:2" x14ac:dyDescent="0.25">
      <c r="B1126" s="10"/>
    </row>
    <row r="1127" spans="2:2" x14ac:dyDescent="0.25">
      <c r="B1127" s="10"/>
    </row>
    <row r="1128" spans="2:2" x14ac:dyDescent="0.25">
      <c r="B1128" s="10"/>
    </row>
    <row r="1129" spans="2:2" x14ac:dyDescent="0.25">
      <c r="B1129" s="10"/>
    </row>
    <row r="1130" spans="2:2" x14ac:dyDescent="0.25">
      <c r="B1130" s="10"/>
    </row>
    <row r="1131" spans="2:2" x14ac:dyDescent="0.25">
      <c r="B1131" s="10"/>
    </row>
    <row r="1132" spans="2:2" x14ac:dyDescent="0.25">
      <c r="B1132" s="10"/>
    </row>
    <row r="1133" spans="2:2" x14ac:dyDescent="0.25">
      <c r="B1133" s="10"/>
    </row>
    <row r="1134" spans="2:2" x14ac:dyDescent="0.25">
      <c r="B1134" s="10"/>
    </row>
    <row r="1135" spans="2:2" x14ac:dyDescent="0.25">
      <c r="B1135" s="10"/>
    </row>
    <row r="1136" spans="2:2" x14ac:dyDescent="0.25">
      <c r="B1136" s="10"/>
    </row>
    <row r="1137" spans="2:2" x14ac:dyDescent="0.25">
      <c r="B1137" s="10"/>
    </row>
    <row r="1138" spans="2:2" x14ac:dyDescent="0.25">
      <c r="B1138" s="10"/>
    </row>
    <row r="1139" spans="2:2" x14ac:dyDescent="0.25">
      <c r="B1139" s="10"/>
    </row>
    <row r="1140" spans="2:2" x14ac:dyDescent="0.25">
      <c r="B1140" s="10"/>
    </row>
    <row r="1141" spans="2:2" x14ac:dyDescent="0.25">
      <c r="B1141" s="10"/>
    </row>
    <row r="1142" spans="2:2" x14ac:dyDescent="0.25">
      <c r="B1142" s="10"/>
    </row>
    <row r="1143" spans="2:2" x14ac:dyDescent="0.25">
      <c r="B1143" s="10"/>
    </row>
    <row r="1144" spans="2:2" x14ac:dyDescent="0.25">
      <c r="B1144" s="10"/>
    </row>
    <row r="1145" spans="2:2" x14ac:dyDescent="0.25">
      <c r="B1145" s="10"/>
    </row>
    <row r="1146" spans="2:2" x14ac:dyDescent="0.25">
      <c r="B1146" s="10"/>
    </row>
    <row r="1147" spans="2:2" x14ac:dyDescent="0.25">
      <c r="B1147" s="10"/>
    </row>
    <row r="1148" spans="2:2" x14ac:dyDescent="0.25">
      <c r="B1148" s="10"/>
    </row>
    <row r="1149" spans="2:2" x14ac:dyDescent="0.25">
      <c r="B1149" s="10"/>
    </row>
    <row r="1150" spans="2:2" x14ac:dyDescent="0.25">
      <c r="B1150" s="10"/>
    </row>
    <row r="1151" spans="2:2" x14ac:dyDescent="0.25">
      <c r="B1151" s="10"/>
    </row>
    <row r="1152" spans="2:2" x14ac:dyDescent="0.25">
      <c r="B1152" s="10"/>
    </row>
    <row r="1153" spans="2:2" x14ac:dyDescent="0.25">
      <c r="B1153" s="10"/>
    </row>
    <row r="1154" spans="2:2" x14ac:dyDescent="0.25">
      <c r="B1154" s="10"/>
    </row>
    <row r="1155" spans="2:2" x14ac:dyDescent="0.25">
      <c r="B1155" s="10"/>
    </row>
    <row r="1156" spans="2:2" x14ac:dyDescent="0.25">
      <c r="B1156" s="10"/>
    </row>
    <row r="1157" spans="2:2" x14ac:dyDescent="0.25">
      <c r="B1157" s="10"/>
    </row>
    <row r="1158" spans="2:2" x14ac:dyDescent="0.25">
      <c r="B1158" s="10"/>
    </row>
    <row r="1159" spans="2:2" x14ac:dyDescent="0.25">
      <c r="B1159" s="10"/>
    </row>
    <row r="1160" spans="2:2" x14ac:dyDescent="0.25">
      <c r="B1160" s="10"/>
    </row>
    <row r="1161" spans="2:2" x14ac:dyDescent="0.25">
      <c r="B1161" s="10"/>
    </row>
    <row r="1162" spans="2:2" x14ac:dyDescent="0.25">
      <c r="B1162" s="10"/>
    </row>
    <row r="1163" spans="2:2" x14ac:dyDescent="0.25">
      <c r="B1163" s="10"/>
    </row>
    <row r="1164" spans="2:2" x14ac:dyDescent="0.25">
      <c r="B1164" s="10"/>
    </row>
    <row r="1165" spans="2:2" x14ac:dyDescent="0.25">
      <c r="B1165" s="10"/>
    </row>
    <row r="1166" spans="2:2" x14ac:dyDescent="0.25">
      <c r="B1166" s="10"/>
    </row>
    <row r="1167" spans="2:2" x14ac:dyDescent="0.25">
      <c r="B1167" s="10"/>
    </row>
    <row r="1168" spans="2:2" x14ac:dyDescent="0.25">
      <c r="B1168" s="10"/>
    </row>
    <row r="1169" spans="2:2" x14ac:dyDescent="0.25">
      <c r="B1169" s="10"/>
    </row>
    <row r="1170" spans="2:2" x14ac:dyDescent="0.25">
      <c r="B1170" s="10"/>
    </row>
    <row r="1171" spans="2:2" x14ac:dyDescent="0.25">
      <c r="B1171" s="10"/>
    </row>
    <row r="1172" spans="2:2" x14ac:dyDescent="0.25">
      <c r="B1172" s="10"/>
    </row>
    <row r="1173" spans="2:2" x14ac:dyDescent="0.25">
      <c r="B1173" s="10"/>
    </row>
    <row r="1174" spans="2:2" x14ac:dyDescent="0.25">
      <c r="B1174" s="10"/>
    </row>
    <row r="1175" spans="2:2" x14ac:dyDescent="0.25">
      <c r="B1175" s="10"/>
    </row>
    <row r="1176" spans="2:2" x14ac:dyDescent="0.25">
      <c r="B1176" s="10"/>
    </row>
    <row r="1177" spans="2:2" x14ac:dyDescent="0.25">
      <c r="B1177" s="10"/>
    </row>
    <row r="1178" spans="2:2" x14ac:dyDescent="0.25">
      <c r="B1178" s="10"/>
    </row>
    <row r="1179" spans="2:2" x14ac:dyDescent="0.25">
      <c r="B1179" s="10"/>
    </row>
    <row r="1180" spans="2:2" x14ac:dyDescent="0.25">
      <c r="B1180" s="10"/>
    </row>
    <row r="1181" spans="2:2" x14ac:dyDescent="0.25">
      <c r="B1181" s="10"/>
    </row>
    <row r="1182" spans="2:2" x14ac:dyDescent="0.25">
      <c r="B1182" s="10"/>
    </row>
    <row r="1183" spans="2:2" x14ac:dyDescent="0.25">
      <c r="B1183" s="10"/>
    </row>
    <row r="1184" spans="2:2" x14ac:dyDescent="0.25">
      <c r="B1184" s="10"/>
    </row>
    <row r="1185" spans="2:2" x14ac:dyDescent="0.25">
      <c r="B1185" s="10"/>
    </row>
    <row r="1186" spans="2:2" x14ac:dyDescent="0.25">
      <c r="B1186" s="10"/>
    </row>
    <row r="1187" spans="2:2" x14ac:dyDescent="0.25">
      <c r="B1187" s="10"/>
    </row>
    <row r="1188" spans="2:2" x14ac:dyDescent="0.25">
      <c r="B1188" s="10"/>
    </row>
    <row r="1189" spans="2:2" x14ac:dyDescent="0.25">
      <c r="B1189" s="10"/>
    </row>
    <row r="1190" spans="2:2" x14ac:dyDescent="0.25">
      <c r="B1190" s="10"/>
    </row>
    <row r="1191" spans="2:2" x14ac:dyDescent="0.25">
      <c r="B1191" s="10"/>
    </row>
    <row r="1192" spans="2:2" x14ac:dyDescent="0.25">
      <c r="B1192" s="10"/>
    </row>
    <row r="1193" spans="2:2" x14ac:dyDescent="0.25">
      <c r="B1193" s="10"/>
    </row>
    <row r="1194" spans="2:2" x14ac:dyDescent="0.25">
      <c r="B1194" s="10"/>
    </row>
    <row r="1195" spans="2:2" x14ac:dyDescent="0.25">
      <c r="B1195" s="10"/>
    </row>
    <row r="1196" spans="2:2" x14ac:dyDescent="0.25">
      <c r="B1196" s="10"/>
    </row>
    <row r="1197" spans="2:2" x14ac:dyDescent="0.25">
      <c r="B1197" s="10"/>
    </row>
    <row r="1198" spans="2:2" x14ac:dyDescent="0.25">
      <c r="B1198" s="10"/>
    </row>
    <row r="1199" spans="2:2" x14ac:dyDescent="0.25">
      <c r="B1199" s="10"/>
    </row>
    <row r="1200" spans="2:2" x14ac:dyDescent="0.25">
      <c r="B1200" s="10"/>
    </row>
    <row r="1201" spans="2:2" x14ac:dyDescent="0.25">
      <c r="B1201" s="10"/>
    </row>
    <row r="1202" spans="2:2" x14ac:dyDescent="0.25">
      <c r="B1202" s="10"/>
    </row>
    <row r="1203" spans="2:2" x14ac:dyDescent="0.25">
      <c r="B1203" s="10"/>
    </row>
    <row r="1204" spans="2:2" x14ac:dyDescent="0.25">
      <c r="B1204" s="10"/>
    </row>
    <row r="1205" spans="2:2" x14ac:dyDescent="0.25">
      <c r="B1205" s="10"/>
    </row>
    <row r="1206" spans="2:2" x14ac:dyDescent="0.25">
      <c r="B1206" s="10"/>
    </row>
    <row r="1207" spans="2:2" x14ac:dyDescent="0.25">
      <c r="B1207" s="10"/>
    </row>
    <row r="1208" spans="2:2" x14ac:dyDescent="0.25">
      <c r="B1208" s="10"/>
    </row>
    <row r="1209" spans="2:2" x14ac:dyDescent="0.25">
      <c r="B1209" s="10"/>
    </row>
    <row r="1210" spans="2:2" x14ac:dyDescent="0.25">
      <c r="B1210" s="10"/>
    </row>
    <row r="1211" spans="2:2" x14ac:dyDescent="0.25">
      <c r="B1211" s="10"/>
    </row>
    <row r="1212" spans="2:2" x14ac:dyDescent="0.25">
      <c r="B1212" s="10"/>
    </row>
    <row r="1213" spans="2:2" x14ac:dyDescent="0.25">
      <c r="B1213" s="10"/>
    </row>
    <row r="1214" spans="2:2" x14ac:dyDescent="0.25">
      <c r="B1214" s="10"/>
    </row>
    <row r="1215" spans="2:2" x14ac:dyDescent="0.25">
      <c r="B1215" s="10"/>
    </row>
    <row r="1216" spans="2:2" x14ac:dyDescent="0.25">
      <c r="B1216" s="10"/>
    </row>
    <row r="1217" spans="2:2" x14ac:dyDescent="0.25">
      <c r="B1217" s="10"/>
    </row>
    <row r="1218" spans="2:2" x14ac:dyDescent="0.25">
      <c r="B1218" s="10"/>
    </row>
    <row r="1219" spans="2:2" x14ac:dyDescent="0.25">
      <c r="B1219" s="10"/>
    </row>
    <row r="1220" spans="2:2" x14ac:dyDescent="0.25">
      <c r="B1220" s="10"/>
    </row>
    <row r="1221" spans="2:2" x14ac:dyDescent="0.25">
      <c r="B1221" s="10"/>
    </row>
    <row r="1222" spans="2:2" x14ac:dyDescent="0.25">
      <c r="B1222" s="10"/>
    </row>
    <row r="1223" spans="2:2" x14ac:dyDescent="0.25">
      <c r="B1223" s="10"/>
    </row>
    <row r="1224" spans="2:2" x14ac:dyDescent="0.25">
      <c r="B1224" s="10"/>
    </row>
    <row r="1225" spans="2:2" x14ac:dyDescent="0.25">
      <c r="B1225" s="10"/>
    </row>
    <row r="1226" spans="2:2" x14ac:dyDescent="0.25">
      <c r="B1226" s="10"/>
    </row>
    <row r="1227" spans="2:2" x14ac:dyDescent="0.25">
      <c r="B1227" s="10"/>
    </row>
    <row r="1228" spans="2:2" x14ac:dyDescent="0.25">
      <c r="B1228" s="10"/>
    </row>
    <row r="1229" spans="2:2" x14ac:dyDescent="0.25">
      <c r="B1229" s="10"/>
    </row>
    <row r="1230" spans="2:2" x14ac:dyDescent="0.25">
      <c r="B1230" s="10"/>
    </row>
    <row r="1231" spans="2:2" x14ac:dyDescent="0.25">
      <c r="B1231" s="10"/>
    </row>
    <row r="1232" spans="2:2" x14ac:dyDescent="0.25">
      <c r="B1232" s="10"/>
    </row>
    <row r="1233" spans="2:2" x14ac:dyDescent="0.25">
      <c r="B1233" s="10"/>
    </row>
    <row r="1234" spans="2:2" x14ac:dyDescent="0.25">
      <c r="B1234" s="10"/>
    </row>
    <row r="1235" spans="2:2" x14ac:dyDescent="0.25">
      <c r="B1235" s="10"/>
    </row>
    <row r="1236" spans="2:2" x14ac:dyDescent="0.25">
      <c r="B1236" s="10"/>
    </row>
    <row r="1237" spans="2:2" x14ac:dyDescent="0.25">
      <c r="B1237" s="10"/>
    </row>
    <row r="1238" spans="2:2" x14ac:dyDescent="0.25">
      <c r="B1238" s="10"/>
    </row>
    <row r="1239" spans="2:2" x14ac:dyDescent="0.25">
      <c r="B1239" s="10"/>
    </row>
    <row r="1240" spans="2:2" x14ac:dyDescent="0.25">
      <c r="B1240" s="10"/>
    </row>
    <row r="1241" spans="2:2" x14ac:dyDescent="0.25">
      <c r="B1241" s="10"/>
    </row>
    <row r="1242" spans="2:2" x14ac:dyDescent="0.25">
      <c r="B1242" s="10"/>
    </row>
    <row r="1243" spans="2:2" x14ac:dyDescent="0.25">
      <c r="B1243" s="10"/>
    </row>
    <row r="1244" spans="2:2" x14ac:dyDescent="0.25">
      <c r="B1244" s="10"/>
    </row>
    <row r="1245" spans="2:2" x14ac:dyDescent="0.25">
      <c r="B1245" s="10"/>
    </row>
    <row r="1246" spans="2:2" x14ac:dyDescent="0.25">
      <c r="B1246" s="10"/>
    </row>
    <row r="1247" spans="2:2" x14ac:dyDescent="0.25">
      <c r="B1247" s="10"/>
    </row>
    <row r="1248" spans="2:2" x14ac:dyDescent="0.25">
      <c r="B1248" s="10"/>
    </row>
    <row r="1249" spans="2:2" x14ac:dyDescent="0.25">
      <c r="B1249" s="10"/>
    </row>
    <row r="1250" spans="2:2" x14ac:dyDescent="0.25">
      <c r="B1250" s="10"/>
    </row>
    <row r="1251" spans="2:2" x14ac:dyDescent="0.25">
      <c r="B1251" s="10"/>
    </row>
    <row r="1252" spans="2:2" x14ac:dyDescent="0.25">
      <c r="B1252" s="10"/>
    </row>
    <row r="1253" spans="2:2" x14ac:dyDescent="0.25">
      <c r="B1253" s="10"/>
    </row>
    <row r="1254" spans="2:2" x14ac:dyDescent="0.25">
      <c r="B1254" s="10"/>
    </row>
    <row r="1255" spans="2:2" x14ac:dyDescent="0.25">
      <c r="B1255" s="10"/>
    </row>
    <row r="1256" spans="2:2" x14ac:dyDescent="0.25">
      <c r="B1256" s="10"/>
    </row>
    <row r="1257" spans="2:2" x14ac:dyDescent="0.25">
      <c r="B1257" s="10"/>
    </row>
    <row r="1258" spans="2:2" x14ac:dyDescent="0.25">
      <c r="B1258" s="10"/>
    </row>
    <row r="1259" spans="2:2" x14ac:dyDescent="0.25">
      <c r="B1259" s="10"/>
    </row>
    <row r="1260" spans="2:2" x14ac:dyDescent="0.25">
      <c r="B1260" s="10"/>
    </row>
    <row r="1261" spans="2:2" x14ac:dyDescent="0.25">
      <c r="B1261" s="10"/>
    </row>
    <row r="1262" spans="2:2" x14ac:dyDescent="0.25">
      <c r="B1262" s="10"/>
    </row>
    <row r="1263" spans="2:2" x14ac:dyDescent="0.25">
      <c r="B1263" s="10"/>
    </row>
    <row r="1264" spans="2:2" x14ac:dyDescent="0.25">
      <c r="B1264" s="10"/>
    </row>
    <row r="1265" spans="2:2" x14ac:dyDescent="0.25">
      <c r="B1265" s="10"/>
    </row>
    <row r="1266" spans="2:2" x14ac:dyDescent="0.25">
      <c r="B1266" s="10"/>
    </row>
    <row r="1267" spans="2:2" x14ac:dyDescent="0.25">
      <c r="B1267" s="10"/>
    </row>
    <row r="1268" spans="2:2" x14ac:dyDescent="0.25">
      <c r="B1268" s="10"/>
    </row>
    <row r="1269" spans="2:2" x14ac:dyDescent="0.25">
      <c r="B1269" s="10"/>
    </row>
    <row r="1270" spans="2:2" x14ac:dyDescent="0.25">
      <c r="B1270" s="10"/>
    </row>
    <row r="1271" spans="2:2" x14ac:dyDescent="0.25">
      <c r="B1271" s="10"/>
    </row>
    <row r="1272" spans="2:2" x14ac:dyDescent="0.25">
      <c r="B1272" s="10"/>
    </row>
    <row r="1273" spans="2:2" x14ac:dyDescent="0.25">
      <c r="B1273" s="10"/>
    </row>
    <row r="1274" spans="2:2" x14ac:dyDescent="0.25">
      <c r="B1274" s="10"/>
    </row>
    <row r="1275" spans="2:2" x14ac:dyDescent="0.25">
      <c r="B1275" s="10"/>
    </row>
    <row r="1276" spans="2:2" x14ac:dyDescent="0.25">
      <c r="B1276" s="10"/>
    </row>
    <row r="1277" spans="2:2" x14ac:dyDescent="0.25">
      <c r="B1277" s="10"/>
    </row>
    <row r="1278" spans="2:2" x14ac:dyDescent="0.25">
      <c r="B1278" s="10"/>
    </row>
    <row r="1279" spans="2:2" x14ac:dyDescent="0.25">
      <c r="B1279" s="10"/>
    </row>
    <row r="1280" spans="2:2" x14ac:dyDescent="0.25">
      <c r="B1280" s="10"/>
    </row>
    <row r="1281" spans="2:2" x14ac:dyDescent="0.25">
      <c r="B1281" s="10"/>
    </row>
    <row r="1282" spans="2:2" x14ac:dyDescent="0.25">
      <c r="B1282" s="10"/>
    </row>
    <row r="1283" spans="2:2" x14ac:dyDescent="0.25">
      <c r="B1283" s="10"/>
    </row>
    <row r="1284" spans="2:2" x14ac:dyDescent="0.25">
      <c r="B1284" s="10"/>
    </row>
    <row r="1285" spans="2:2" x14ac:dyDescent="0.25">
      <c r="B1285" s="10"/>
    </row>
    <row r="1286" spans="2:2" x14ac:dyDescent="0.25">
      <c r="B1286" s="10"/>
    </row>
    <row r="1287" spans="2:2" x14ac:dyDescent="0.25">
      <c r="B1287" s="10"/>
    </row>
    <row r="1288" spans="2:2" x14ac:dyDescent="0.25">
      <c r="B1288" s="10"/>
    </row>
    <row r="1289" spans="2:2" x14ac:dyDescent="0.25">
      <c r="B1289" s="10"/>
    </row>
    <row r="1290" spans="2:2" x14ac:dyDescent="0.25">
      <c r="B1290" s="10"/>
    </row>
    <row r="1291" spans="2:2" x14ac:dyDescent="0.25">
      <c r="B1291" s="10"/>
    </row>
    <row r="1292" spans="2:2" x14ac:dyDescent="0.25">
      <c r="B1292" s="10"/>
    </row>
    <row r="1293" spans="2:2" x14ac:dyDescent="0.25">
      <c r="B1293" s="10"/>
    </row>
    <row r="1294" spans="2:2" x14ac:dyDescent="0.25">
      <c r="B1294" s="10"/>
    </row>
    <row r="1295" spans="2:2" x14ac:dyDescent="0.25">
      <c r="B1295" s="10"/>
    </row>
    <row r="1296" spans="2:2" x14ac:dyDescent="0.25">
      <c r="B1296" s="10"/>
    </row>
    <row r="1297" spans="2:2" x14ac:dyDescent="0.25">
      <c r="B1297" s="10"/>
    </row>
    <row r="1298" spans="2:2" x14ac:dyDescent="0.25">
      <c r="B1298" s="10"/>
    </row>
    <row r="1299" spans="2:2" x14ac:dyDescent="0.25">
      <c r="B1299" s="10"/>
    </row>
    <row r="1300" spans="2:2" x14ac:dyDescent="0.25">
      <c r="B1300" s="10"/>
    </row>
    <row r="1301" spans="2:2" x14ac:dyDescent="0.25">
      <c r="B1301" s="10"/>
    </row>
    <row r="1302" spans="2:2" x14ac:dyDescent="0.25">
      <c r="B1302" s="10"/>
    </row>
    <row r="1303" spans="2:2" x14ac:dyDescent="0.25">
      <c r="B1303" s="10"/>
    </row>
    <row r="1304" spans="2:2" x14ac:dyDescent="0.25">
      <c r="B1304" s="10"/>
    </row>
    <row r="1305" spans="2:2" x14ac:dyDescent="0.25">
      <c r="B1305" s="10"/>
    </row>
    <row r="1306" spans="2:2" x14ac:dyDescent="0.25">
      <c r="B1306" s="10"/>
    </row>
    <row r="1307" spans="2:2" x14ac:dyDescent="0.25">
      <c r="B1307" s="10"/>
    </row>
    <row r="1308" spans="2:2" x14ac:dyDescent="0.25">
      <c r="B1308" s="10"/>
    </row>
    <row r="1309" spans="2:2" x14ac:dyDescent="0.25">
      <c r="B1309" s="10"/>
    </row>
    <row r="1310" spans="2:2" x14ac:dyDescent="0.25">
      <c r="B1310" s="10"/>
    </row>
    <row r="1311" spans="2:2" x14ac:dyDescent="0.25">
      <c r="B1311" s="10"/>
    </row>
    <row r="1312" spans="2:2" x14ac:dyDescent="0.25">
      <c r="B1312" s="10"/>
    </row>
    <row r="1313" spans="2:2" x14ac:dyDescent="0.25">
      <c r="B1313" s="10"/>
    </row>
    <row r="1314" spans="2:2" x14ac:dyDescent="0.25">
      <c r="B1314" s="10"/>
    </row>
    <row r="1315" spans="2:2" x14ac:dyDescent="0.25">
      <c r="B1315" s="10"/>
    </row>
    <row r="1316" spans="2:2" x14ac:dyDescent="0.25">
      <c r="B1316" s="10"/>
    </row>
    <row r="1317" spans="2:2" x14ac:dyDescent="0.25">
      <c r="B1317" s="10"/>
    </row>
    <row r="1318" spans="2:2" x14ac:dyDescent="0.25">
      <c r="B1318" s="10"/>
    </row>
    <row r="1319" spans="2:2" x14ac:dyDescent="0.25">
      <c r="B1319" s="10"/>
    </row>
    <row r="1320" spans="2:2" x14ac:dyDescent="0.25">
      <c r="B1320" s="10"/>
    </row>
    <row r="1321" spans="2:2" x14ac:dyDescent="0.25">
      <c r="B1321" s="10"/>
    </row>
    <row r="1322" spans="2:2" x14ac:dyDescent="0.25">
      <c r="B1322" s="10"/>
    </row>
    <row r="1323" spans="2:2" x14ac:dyDescent="0.25">
      <c r="B1323" s="10"/>
    </row>
    <row r="1324" spans="2:2" x14ac:dyDescent="0.25">
      <c r="B1324" s="10"/>
    </row>
    <row r="1325" spans="2:2" x14ac:dyDescent="0.25">
      <c r="B1325" s="10"/>
    </row>
    <row r="1326" spans="2:2" x14ac:dyDescent="0.25">
      <c r="B1326" s="10"/>
    </row>
    <row r="1327" spans="2:2" x14ac:dyDescent="0.25">
      <c r="B1327" s="10"/>
    </row>
    <row r="1328" spans="2:2" x14ac:dyDescent="0.25">
      <c r="B1328" s="10"/>
    </row>
    <row r="1329" spans="2:2" x14ac:dyDescent="0.25">
      <c r="B1329" s="10"/>
    </row>
    <row r="1330" spans="2:2" x14ac:dyDescent="0.25">
      <c r="B1330" s="10"/>
    </row>
    <row r="1331" spans="2:2" x14ac:dyDescent="0.25">
      <c r="B1331" s="10"/>
    </row>
    <row r="1332" spans="2:2" x14ac:dyDescent="0.25">
      <c r="B1332" s="10"/>
    </row>
    <row r="1333" spans="2:2" x14ac:dyDescent="0.25">
      <c r="B1333" s="10"/>
    </row>
    <row r="1334" spans="2:2" x14ac:dyDescent="0.25">
      <c r="B1334" s="10"/>
    </row>
    <row r="1335" spans="2:2" x14ac:dyDescent="0.25">
      <c r="B1335" s="10"/>
    </row>
    <row r="1336" spans="2:2" x14ac:dyDescent="0.25">
      <c r="B1336" s="10"/>
    </row>
    <row r="1337" spans="2:2" x14ac:dyDescent="0.25">
      <c r="B1337" s="10"/>
    </row>
    <row r="1338" spans="2:2" x14ac:dyDescent="0.25">
      <c r="B1338" s="10"/>
    </row>
    <row r="1339" spans="2:2" x14ac:dyDescent="0.25">
      <c r="B1339" s="10"/>
    </row>
    <row r="1340" spans="2:2" x14ac:dyDescent="0.25">
      <c r="B1340" s="10"/>
    </row>
    <row r="1341" spans="2:2" x14ac:dyDescent="0.25">
      <c r="B1341" s="10"/>
    </row>
    <row r="1342" spans="2:2" x14ac:dyDescent="0.25">
      <c r="B1342" s="10"/>
    </row>
    <row r="1343" spans="2:2" x14ac:dyDescent="0.25">
      <c r="B1343" s="10"/>
    </row>
    <row r="1344" spans="2:2" x14ac:dyDescent="0.25">
      <c r="B1344" s="10"/>
    </row>
    <row r="1345" spans="2:2" x14ac:dyDescent="0.25">
      <c r="B1345" s="10"/>
    </row>
    <row r="1346" spans="2:2" x14ac:dyDescent="0.25">
      <c r="B1346" s="10"/>
    </row>
    <row r="1347" spans="2:2" x14ac:dyDescent="0.25">
      <c r="B1347" s="10"/>
    </row>
    <row r="1348" spans="2:2" x14ac:dyDescent="0.25">
      <c r="B1348" s="10"/>
    </row>
    <row r="1349" spans="2:2" x14ac:dyDescent="0.25">
      <c r="B1349" s="10"/>
    </row>
    <row r="1350" spans="2:2" x14ac:dyDescent="0.25">
      <c r="B1350" s="10"/>
    </row>
    <row r="1351" spans="2:2" x14ac:dyDescent="0.25">
      <c r="B1351" s="10"/>
    </row>
    <row r="1352" spans="2:2" x14ac:dyDescent="0.25">
      <c r="B1352" s="10"/>
    </row>
    <row r="1353" spans="2:2" x14ac:dyDescent="0.25">
      <c r="B1353" s="10"/>
    </row>
    <row r="1354" spans="2:2" x14ac:dyDescent="0.25">
      <c r="B1354" s="10"/>
    </row>
    <row r="1355" spans="2:2" x14ac:dyDescent="0.25">
      <c r="B1355" s="10"/>
    </row>
    <row r="1356" spans="2:2" x14ac:dyDescent="0.25">
      <c r="B1356" s="10"/>
    </row>
    <row r="1357" spans="2:2" x14ac:dyDescent="0.25">
      <c r="B1357" s="10"/>
    </row>
    <row r="1358" spans="2:2" x14ac:dyDescent="0.25">
      <c r="B1358" s="10"/>
    </row>
    <row r="1359" spans="2:2" x14ac:dyDescent="0.25">
      <c r="B1359" s="10"/>
    </row>
    <row r="1360" spans="2:2" x14ac:dyDescent="0.25">
      <c r="B1360" s="10"/>
    </row>
    <row r="1361" spans="2:2" x14ac:dyDescent="0.25">
      <c r="B1361" s="10"/>
    </row>
    <row r="1362" spans="2:2" x14ac:dyDescent="0.25">
      <c r="B1362" s="10"/>
    </row>
    <row r="1363" spans="2:2" x14ac:dyDescent="0.25">
      <c r="B1363" s="10"/>
    </row>
    <row r="1364" spans="2:2" x14ac:dyDescent="0.25">
      <c r="B1364" s="10"/>
    </row>
    <row r="1365" spans="2:2" x14ac:dyDescent="0.25">
      <c r="B1365" s="10"/>
    </row>
    <row r="1366" spans="2:2" x14ac:dyDescent="0.25">
      <c r="B1366" s="10"/>
    </row>
    <row r="1367" spans="2:2" x14ac:dyDescent="0.25">
      <c r="B1367" s="10"/>
    </row>
    <row r="1368" spans="2:2" x14ac:dyDescent="0.25">
      <c r="B1368" s="10"/>
    </row>
    <row r="1369" spans="2:2" x14ac:dyDescent="0.25">
      <c r="B1369" s="10"/>
    </row>
    <row r="1370" spans="2:2" x14ac:dyDescent="0.25">
      <c r="B1370" s="10"/>
    </row>
    <row r="1371" spans="2:2" x14ac:dyDescent="0.25">
      <c r="B1371" s="10"/>
    </row>
    <row r="1372" spans="2:2" x14ac:dyDescent="0.25">
      <c r="B1372" s="10"/>
    </row>
    <row r="1373" spans="2:2" x14ac:dyDescent="0.25">
      <c r="B1373" s="10"/>
    </row>
    <row r="1374" spans="2:2" x14ac:dyDescent="0.25">
      <c r="B1374" s="10"/>
    </row>
    <row r="1375" spans="2:2" x14ac:dyDescent="0.25">
      <c r="B1375" s="10"/>
    </row>
    <row r="1376" spans="2:2" x14ac:dyDescent="0.25">
      <c r="B1376" s="10"/>
    </row>
    <row r="1377" spans="2:2" x14ac:dyDescent="0.25">
      <c r="B1377" s="10"/>
    </row>
    <row r="1378" spans="2:2" x14ac:dyDescent="0.25">
      <c r="B1378" s="10"/>
    </row>
    <row r="1379" spans="2:2" x14ac:dyDescent="0.25">
      <c r="B1379" s="10"/>
    </row>
    <row r="1380" spans="2:2" x14ac:dyDescent="0.25">
      <c r="B1380" s="10"/>
    </row>
    <row r="1381" spans="2:2" x14ac:dyDescent="0.25">
      <c r="B1381" s="10"/>
    </row>
    <row r="1382" spans="2:2" x14ac:dyDescent="0.25">
      <c r="B1382" s="10"/>
    </row>
    <row r="1383" spans="2:2" x14ac:dyDescent="0.25">
      <c r="B1383" s="10"/>
    </row>
    <row r="1384" spans="2:2" x14ac:dyDescent="0.25">
      <c r="B1384" s="10"/>
    </row>
    <row r="1385" spans="2:2" x14ac:dyDescent="0.25">
      <c r="B1385" s="10"/>
    </row>
    <row r="1386" spans="2:2" x14ac:dyDescent="0.25">
      <c r="B1386" s="10"/>
    </row>
    <row r="1387" spans="2:2" x14ac:dyDescent="0.25">
      <c r="B1387" s="10"/>
    </row>
    <row r="1388" spans="2:2" x14ac:dyDescent="0.25">
      <c r="B1388" s="10"/>
    </row>
    <row r="1389" spans="2:2" x14ac:dyDescent="0.25">
      <c r="B1389" s="10"/>
    </row>
    <row r="1390" spans="2:2" x14ac:dyDescent="0.25">
      <c r="B1390" s="10"/>
    </row>
    <row r="1391" spans="2:2" x14ac:dyDescent="0.25">
      <c r="B1391" s="10"/>
    </row>
    <row r="1392" spans="2:2" x14ac:dyDescent="0.25">
      <c r="B1392" s="10"/>
    </row>
    <row r="1393" spans="2:2" x14ac:dyDescent="0.25">
      <c r="B1393" s="10"/>
    </row>
    <row r="1394" spans="2:2" x14ac:dyDescent="0.25">
      <c r="B1394" s="10"/>
    </row>
    <row r="1395" spans="2:2" x14ac:dyDescent="0.25">
      <c r="B1395" s="10"/>
    </row>
    <row r="1396" spans="2:2" x14ac:dyDescent="0.25">
      <c r="B1396" s="10"/>
    </row>
    <row r="1397" spans="2:2" x14ac:dyDescent="0.25">
      <c r="B1397" s="10"/>
    </row>
    <row r="1398" spans="2:2" x14ac:dyDescent="0.25">
      <c r="B1398" s="10"/>
    </row>
    <row r="1399" spans="2:2" x14ac:dyDescent="0.25">
      <c r="B1399" s="10"/>
    </row>
    <row r="1400" spans="2:2" x14ac:dyDescent="0.25">
      <c r="B1400" s="10"/>
    </row>
    <row r="1401" spans="2:2" x14ac:dyDescent="0.25">
      <c r="B1401" s="10"/>
    </row>
    <row r="1402" spans="2:2" x14ac:dyDescent="0.25">
      <c r="B1402" s="10"/>
    </row>
    <row r="1403" spans="2:2" x14ac:dyDescent="0.25">
      <c r="B1403" s="10"/>
    </row>
    <row r="1404" spans="2:2" x14ac:dyDescent="0.25">
      <c r="B1404" s="10"/>
    </row>
    <row r="1405" spans="2:2" x14ac:dyDescent="0.25">
      <c r="B1405" s="10"/>
    </row>
    <row r="1406" spans="2:2" x14ac:dyDescent="0.25">
      <c r="B1406" s="10"/>
    </row>
    <row r="1407" spans="2:2" x14ac:dyDescent="0.25">
      <c r="B1407" s="10"/>
    </row>
    <row r="1408" spans="2:2" x14ac:dyDescent="0.25">
      <c r="B1408" s="10"/>
    </row>
    <row r="1409" spans="2:2" x14ac:dyDescent="0.25">
      <c r="B1409" s="10"/>
    </row>
    <row r="1410" spans="2:2" x14ac:dyDescent="0.25">
      <c r="B1410" s="10"/>
    </row>
    <row r="1411" spans="2:2" x14ac:dyDescent="0.25">
      <c r="B1411" s="10"/>
    </row>
    <row r="1412" spans="2:2" x14ac:dyDescent="0.25">
      <c r="B1412" s="10"/>
    </row>
    <row r="1413" spans="2:2" x14ac:dyDescent="0.25">
      <c r="B1413" s="10"/>
    </row>
    <row r="1414" spans="2:2" x14ac:dyDescent="0.25">
      <c r="B1414" s="10"/>
    </row>
    <row r="1415" spans="2:2" x14ac:dyDescent="0.25">
      <c r="B1415" s="10"/>
    </row>
    <row r="1416" spans="2:2" x14ac:dyDescent="0.25">
      <c r="B1416" s="10"/>
    </row>
    <row r="1417" spans="2:2" x14ac:dyDescent="0.25">
      <c r="B1417" s="10"/>
    </row>
    <row r="1418" spans="2:2" x14ac:dyDescent="0.25">
      <c r="B1418" s="10"/>
    </row>
    <row r="1419" spans="2:2" x14ac:dyDescent="0.25">
      <c r="B1419" s="10"/>
    </row>
    <row r="1420" spans="2:2" x14ac:dyDescent="0.25">
      <c r="B1420" s="10"/>
    </row>
    <row r="1421" spans="2:2" x14ac:dyDescent="0.25">
      <c r="B1421" s="10"/>
    </row>
    <row r="1422" spans="2:2" x14ac:dyDescent="0.25">
      <c r="B1422" s="10"/>
    </row>
    <row r="1423" spans="2:2" x14ac:dyDescent="0.25">
      <c r="B1423" s="10"/>
    </row>
    <row r="1424" spans="2:2" x14ac:dyDescent="0.25">
      <c r="B1424" s="10"/>
    </row>
    <row r="1425" spans="2:2" x14ac:dyDescent="0.25">
      <c r="B1425" s="10"/>
    </row>
    <row r="1426" spans="2:2" x14ac:dyDescent="0.25">
      <c r="B1426" s="10"/>
    </row>
    <row r="1427" spans="2:2" x14ac:dyDescent="0.25">
      <c r="B1427" s="10"/>
    </row>
    <row r="1428" spans="2:2" x14ac:dyDescent="0.25">
      <c r="B1428" s="10"/>
    </row>
    <row r="1429" spans="2:2" x14ac:dyDescent="0.25">
      <c r="B1429" s="10"/>
    </row>
    <row r="1430" spans="2:2" x14ac:dyDescent="0.25">
      <c r="B1430" s="10"/>
    </row>
    <row r="1431" spans="2:2" x14ac:dyDescent="0.25">
      <c r="B1431" s="10"/>
    </row>
    <row r="1432" spans="2:2" x14ac:dyDescent="0.25">
      <c r="B1432" s="10"/>
    </row>
    <row r="1433" spans="2:2" x14ac:dyDescent="0.25">
      <c r="B1433" s="10"/>
    </row>
    <row r="1434" spans="2:2" x14ac:dyDescent="0.25">
      <c r="B1434" s="10"/>
    </row>
    <row r="1435" spans="2:2" x14ac:dyDescent="0.25">
      <c r="B1435" s="10"/>
    </row>
    <row r="1436" spans="2:2" x14ac:dyDescent="0.25">
      <c r="B1436" s="10"/>
    </row>
    <row r="1437" spans="2:2" x14ac:dyDescent="0.25">
      <c r="B1437" s="10"/>
    </row>
    <row r="1438" spans="2:2" x14ac:dyDescent="0.25">
      <c r="B1438" s="10"/>
    </row>
    <row r="1439" spans="2:2" x14ac:dyDescent="0.25">
      <c r="B1439" s="10"/>
    </row>
    <row r="1440" spans="2:2" x14ac:dyDescent="0.25">
      <c r="B1440" s="10"/>
    </row>
    <row r="1441" spans="2:2" x14ac:dyDescent="0.25">
      <c r="B1441" s="10"/>
    </row>
    <row r="1442" spans="2:2" x14ac:dyDescent="0.25">
      <c r="B1442" s="10"/>
    </row>
    <row r="1443" spans="2:2" x14ac:dyDescent="0.25">
      <c r="B1443" s="10"/>
    </row>
    <row r="1444" spans="2:2" x14ac:dyDescent="0.25">
      <c r="B1444" s="10"/>
    </row>
    <row r="1445" spans="2:2" x14ac:dyDescent="0.25">
      <c r="B1445" s="10"/>
    </row>
    <row r="1446" spans="2:2" x14ac:dyDescent="0.25">
      <c r="B1446" s="10"/>
    </row>
    <row r="1447" spans="2:2" x14ac:dyDescent="0.25">
      <c r="B1447" s="10"/>
    </row>
    <row r="1448" spans="2:2" x14ac:dyDescent="0.25">
      <c r="B1448" s="10"/>
    </row>
    <row r="1449" spans="2:2" x14ac:dyDescent="0.25">
      <c r="B1449" s="10"/>
    </row>
    <row r="1450" spans="2:2" x14ac:dyDescent="0.25">
      <c r="B1450" s="10"/>
    </row>
    <row r="1451" spans="2:2" x14ac:dyDescent="0.25">
      <c r="B1451" s="10"/>
    </row>
    <row r="1452" spans="2:2" x14ac:dyDescent="0.25">
      <c r="B1452" s="10"/>
    </row>
    <row r="1453" spans="2:2" x14ac:dyDescent="0.25">
      <c r="B1453" s="10"/>
    </row>
    <row r="1454" spans="2:2" x14ac:dyDescent="0.25">
      <c r="B1454" s="10"/>
    </row>
    <row r="1455" spans="2:2" x14ac:dyDescent="0.25">
      <c r="B1455" s="10"/>
    </row>
    <row r="1456" spans="2:2" x14ac:dyDescent="0.25">
      <c r="B1456" s="10"/>
    </row>
    <row r="1457" spans="2:2" x14ac:dyDescent="0.25">
      <c r="B1457" s="10"/>
    </row>
    <row r="1458" spans="2:2" x14ac:dyDescent="0.25">
      <c r="B1458" s="10"/>
    </row>
    <row r="1459" spans="2:2" x14ac:dyDescent="0.25">
      <c r="B1459" s="10"/>
    </row>
    <row r="1460" spans="2:2" x14ac:dyDescent="0.25">
      <c r="B1460" s="10"/>
    </row>
    <row r="1461" spans="2:2" x14ac:dyDescent="0.25">
      <c r="B1461" s="10"/>
    </row>
    <row r="1462" spans="2:2" x14ac:dyDescent="0.25">
      <c r="B1462" s="10"/>
    </row>
    <row r="1463" spans="2:2" x14ac:dyDescent="0.25">
      <c r="B1463" s="10"/>
    </row>
    <row r="1464" spans="2:2" x14ac:dyDescent="0.25">
      <c r="B1464" s="10"/>
    </row>
    <row r="1465" spans="2:2" x14ac:dyDescent="0.25">
      <c r="B1465" s="10"/>
    </row>
    <row r="1466" spans="2:2" x14ac:dyDescent="0.25">
      <c r="B1466" s="10"/>
    </row>
    <row r="1467" spans="2:2" x14ac:dyDescent="0.25">
      <c r="B1467" s="10"/>
    </row>
    <row r="1468" spans="2:2" x14ac:dyDescent="0.25">
      <c r="B1468" s="10"/>
    </row>
    <row r="1469" spans="2:2" x14ac:dyDescent="0.25">
      <c r="B1469" s="10"/>
    </row>
    <row r="1470" spans="2:2" x14ac:dyDescent="0.25">
      <c r="B1470" s="10"/>
    </row>
    <row r="1471" spans="2:2" x14ac:dyDescent="0.25">
      <c r="B1471" s="10"/>
    </row>
    <row r="1472" spans="2:2" x14ac:dyDescent="0.25">
      <c r="B1472" s="10"/>
    </row>
    <row r="1473" spans="2:2" x14ac:dyDescent="0.25">
      <c r="B1473" s="10"/>
    </row>
    <row r="1474" spans="2:2" x14ac:dyDescent="0.25">
      <c r="B1474" s="10"/>
    </row>
    <row r="1475" spans="2:2" x14ac:dyDescent="0.25">
      <c r="B1475" s="10"/>
    </row>
    <row r="1476" spans="2:2" x14ac:dyDescent="0.25">
      <c r="B1476" s="10"/>
    </row>
    <row r="1477" spans="2:2" x14ac:dyDescent="0.25">
      <c r="B1477" s="10"/>
    </row>
    <row r="1478" spans="2:2" x14ac:dyDescent="0.25">
      <c r="B1478" s="10"/>
    </row>
    <row r="1479" spans="2:2" x14ac:dyDescent="0.25">
      <c r="B1479" s="10"/>
    </row>
    <row r="1480" spans="2:2" x14ac:dyDescent="0.25">
      <c r="B1480" s="10"/>
    </row>
    <row r="1481" spans="2:2" x14ac:dyDescent="0.25">
      <c r="B1481" s="10"/>
    </row>
    <row r="1482" spans="2:2" x14ac:dyDescent="0.25">
      <c r="B1482" s="10"/>
    </row>
    <row r="1483" spans="2:2" x14ac:dyDescent="0.25">
      <c r="B1483" s="10"/>
    </row>
    <row r="1484" spans="2:2" x14ac:dyDescent="0.25">
      <c r="B1484" s="10"/>
    </row>
    <row r="1485" spans="2:2" x14ac:dyDescent="0.25">
      <c r="B1485" s="10"/>
    </row>
    <row r="1486" spans="2:2" x14ac:dyDescent="0.25">
      <c r="B1486" s="10"/>
    </row>
    <row r="1487" spans="2:2" x14ac:dyDescent="0.25">
      <c r="B1487" s="10"/>
    </row>
    <row r="1488" spans="2:2" x14ac:dyDescent="0.25">
      <c r="B1488" s="10"/>
    </row>
    <row r="1489" spans="2:2" x14ac:dyDescent="0.25">
      <c r="B1489" s="10"/>
    </row>
    <row r="1490" spans="2:2" x14ac:dyDescent="0.25">
      <c r="B1490" s="10"/>
    </row>
    <row r="1491" spans="2:2" x14ac:dyDescent="0.25">
      <c r="B1491" s="10"/>
    </row>
    <row r="1492" spans="2:2" x14ac:dyDescent="0.25">
      <c r="B1492" s="10"/>
    </row>
    <row r="1493" spans="2:2" x14ac:dyDescent="0.25">
      <c r="B1493" s="10"/>
    </row>
    <row r="1494" spans="2:2" x14ac:dyDescent="0.25">
      <c r="B1494" s="10"/>
    </row>
    <row r="1495" spans="2:2" x14ac:dyDescent="0.25">
      <c r="B1495" s="10"/>
    </row>
    <row r="1496" spans="2:2" x14ac:dyDescent="0.25">
      <c r="B1496" s="10"/>
    </row>
    <row r="1497" spans="2:2" x14ac:dyDescent="0.25">
      <c r="B1497" s="10"/>
    </row>
    <row r="1498" spans="2:2" x14ac:dyDescent="0.25">
      <c r="B1498" s="10"/>
    </row>
    <row r="1499" spans="2:2" x14ac:dyDescent="0.25">
      <c r="B1499" s="10"/>
    </row>
    <row r="1500" spans="2:2" x14ac:dyDescent="0.25">
      <c r="B1500" s="10"/>
    </row>
    <row r="1501" spans="2:2" x14ac:dyDescent="0.25">
      <c r="B1501" s="10"/>
    </row>
    <row r="1502" spans="2:2" x14ac:dyDescent="0.25">
      <c r="B1502" s="10"/>
    </row>
    <row r="1503" spans="2:2" x14ac:dyDescent="0.25">
      <c r="B1503" s="10"/>
    </row>
    <row r="1504" spans="2:2" x14ac:dyDescent="0.25">
      <c r="B1504" s="10"/>
    </row>
    <row r="1505" spans="2:2" x14ac:dyDescent="0.25">
      <c r="B1505" s="10"/>
    </row>
    <row r="1506" spans="2:2" x14ac:dyDescent="0.25">
      <c r="B1506" s="10"/>
    </row>
    <row r="1507" spans="2:2" x14ac:dyDescent="0.25">
      <c r="B1507" s="10"/>
    </row>
    <row r="1508" spans="2:2" x14ac:dyDescent="0.25">
      <c r="B1508" s="10"/>
    </row>
    <row r="1509" spans="2:2" x14ac:dyDescent="0.25">
      <c r="B1509" s="10"/>
    </row>
    <row r="1510" spans="2:2" x14ac:dyDescent="0.25">
      <c r="B1510" s="10"/>
    </row>
    <row r="1511" spans="2:2" x14ac:dyDescent="0.25">
      <c r="B1511" s="10"/>
    </row>
    <row r="1512" spans="2:2" x14ac:dyDescent="0.25">
      <c r="B1512" s="10"/>
    </row>
    <row r="1513" spans="2:2" x14ac:dyDescent="0.25">
      <c r="B1513" s="10"/>
    </row>
    <row r="1514" spans="2:2" x14ac:dyDescent="0.25">
      <c r="B1514" s="10"/>
    </row>
    <row r="1515" spans="2:2" x14ac:dyDescent="0.25">
      <c r="B1515" s="10"/>
    </row>
    <row r="1516" spans="2:2" x14ac:dyDescent="0.25">
      <c r="B1516" s="10"/>
    </row>
    <row r="1517" spans="2:2" x14ac:dyDescent="0.25">
      <c r="B1517" s="10"/>
    </row>
    <row r="1518" spans="2:2" x14ac:dyDescent="0.25">
      <c r="B1518" s="10"/>
    </row>
    <row r="1519" spans="2:2" x14ac:dyDescent="0.25">
      <c r="B1519" s="10"/>
    </row>
    <row r="1520" spans="2:2" x14ac:dyDescent="0.25">
      <c r="B1520" s="10"/>
    </row>
    <row r="1521" spans="2:2" x14ac:dyDescent="0.25">
      <c r="B1521" s="10"/>
    </row>
    <row r="1522" spans="2:2" x14ac:dyDescent="0.25">
      <c r="B1522" s="10"/>
    </row>
    <row r="1523" spans="2:2" x14ac:dyDescent="0.25">
      <c r="B1523" s="10"/>
    </row>
    <row r="1524" spans="2:2" x14ac:dyDescent="0.25">
      <c r="B1524" s="10"/>
    </row>
    <row r="1525" spans="2:2" x14ac:dyDescent="0.25">
      <c r="B1525" s="10"/>
    </row>
    <row r="1526" spans="2:2" x14ac:dyDescent="0.25">
      <c r="B1526" s="10"/>
    </row>
    <row r="1527" spans="2:2" x14ac:dyDescent="0.25">
      <c r="B1527" s="10"/>
    </row>
    <row r="1528" spans="2:2" x14ac:dyDescent="0.25">
      <c r="B1528" s="10"/>
    </row>
    <row r="1529" spans="2:2" x14ac:dyDescent="0.25">
      <c r="B1529" s="10"/>
    </row>
    <row r="1530" spans="2:2" x14ac:dyDescent="0.25">
      <c r="B1530" s="10"/>
    </row>
    <row r="1531" spans="2:2" x14ac:dyDescent="0.25">
      <c r="B1531" s="10"/>
    </row>
    <row r="1532" spans="2:2" x14ac:dyDescent="0.25">
      <c r="B1532" s="10"/>
    </row>
    <row r="1533" spans="2:2" x14ac:dyDescent="0.25">
      <c r="B1533" s="10"/>
    </row>
    <row r="1534" spans="2:2" x14ac:dyDescent="0.25">
      <c r="B1534" s="10"/>
    </row>
    <row r="1535" spans="2:2" x14ac:dyDescent="0.25">
      <c r="B1535" s="10"/>
    </row>
    <row r="1536" spans="2:2" x14ac:dyDescent="0.25">
      <c r="B1536" s="10"/>
    </row>
    <row r="1537" spans="2:2" x14ac:dyDescent="0.25">
      <c r="B1537" s="10"/>
    </row>
    <row r="1538" spans="2:2" x14ac:dyDescent="0.25">
      <c r="B1538" s="10"/>
    </row>
    <row r="1539" spans="2:2" x14ac:dyDescent="0.25">
      <c r="B1539" s="10"/>
    </row>
    <row r="1540" spans="2:2" x14ac:dyDescent="0.25">
      <c r="B1540" s="10"/>
    </row>
    <row r="1541" spans="2:2" x14ac:dyDescent="0.25">
      <c r="B1541" s="10"/>
    </row>
    <row r="1542" spans="2:2" x14ac:dyDescent="0.25">
      <c r="B1542" s="10"/>
    </row>
    <row r="1543" spans="2:2" x14ac:dyDescent="0.25">
      <c r="B1543" s="10"/>
    </row>
    <row r="1544" spans="2:2" x14ac:dyDescent="0.25">
      <c r="B1544" s="10"/>
    </row>
    <row r="1545" spans="2:2" x14ac:dyDescent="0.25">
      <c r="B1545" s="10"/>
    </row>
    <row r="1546" spans="2:2" x14ac:dyDescent="0.25">
      <c r="B1546" s="10"/>
    </row>
    <row r="1547" spans="2:2" x14ac:dyDescent="0.25">
      <c r="B1547" s="10"/>
    </row>
    <row r="1548" spans="2:2" x14ac:dyDescent="0.25">
      <c r="B1548" s="10"/>
    </row>
    <row r="1549" spans="2:2" x14ac:dyDescent="0.25">
      <c r="B1549" s="10"/>
    </row>
    <row r="1550" spans="2:2" x14ac:dyDescent="0.25">
      <c r="B1550" s="10"/>
    </row>
    <row r="1551" spans="2:2" x14ac:dyDescent="0.25">
      <c r="B1551" s="10"/>
    </row>
    <row r="1552" spans="2:2" x14ac:dyDescent="0.25">
      <c r="B1552" s="10"/>
    </row>
    <row r="1553" spans="2:2" x14ac:dyDescent="0.25">
      <c r="B1553" s="10"/>
    </row>
    <row r="1554" spans="2:2" x14ac:dyDescent="0.25">
      <c r="B1554" s="10"/>
    </row>
    <row r="1555" spans="2:2" x14ac:dyDescent="0.25">
      <c r="B1555" s="10"/>
    </row>
    <row r="1556" spans="2:2" x14ac:dyDescent="0.25">
      <c r="B1556" s="10"/>
    </row>
    <row r="1557" spans="2:2" x14ac:dyDescent="0.25">
      <c r="B1557" s="10"/>
    </row>
    <row r="1558" spans="2:2" x14ac:dyDescent="0.25">
      <c r="B1558" s="10"/>
    </row>
    <row r="1559" spans="2:2" x14ac:dyDescent="0.25">
      <c r="B1559" s="10"/>
    </row>
    <row r="1560" spans="2:2" x14ac:dyDescent="0.25">
      <c r="B1560" s="10"/>
    </row>
    <row r="1561" spans="2:2" x14ac:dyDescent="0.25">
      <c r="B1561" s="10"/>
    </row>
    <row r="1562" spans="2:2" x14ac:dyDescent="0.25">
      <c r="B1562" s="10"/>
    </row>
    <row r="1563" spans="2:2" x14ac:dyDescent="0.25">
      <c r="B1563" s="10"/>
    </row>
    <row r="1564" spans="2:2" x14ac:dyDescent="0.25">
      <c r="B1564" s="10"/>
    </row>
    <row r="1565" spans="2:2" x14ac:dyDescent="0.25">
      <c r="B1565" s="10"/>
    </row>
    <row r="1566" spans="2:2" x14ac:dyDescent="0.25">
      <c r="B1566" s="10"/>
    </row>
    <row r="1567" spans="2:2" x14ac:dyDescent="0.25">
      <c r="B1567" s="10"/>
    </row>
    <row r="1568" spans="2:2" x14ac:dyDescent="0.25">
      <c r="B1568" s="10"/>
    </row>
    <row r="1569" spans="2:2" x14ac:dyDescent="0.25">
      <c r="B1569" s="10"/>
    </row>
    <row r="1570" spans="2:2" x14ac:dyDescent="0.25">
      <c r="B1570" s="10"/>
    </row>
    <row r="1571" spans="2:2" x14ac:dyDescent="0.25">
      <c r="B1571" s="10"/>
    </row>
    <row r="1572" spans="2:2" x14ac:dyDescent="0.25">
      <c r="B1572" s="10"/>
    </row>
    <row r="1573" spans="2:2" x14ac:dyDescent="0.25">
      <c r="B1573" s="10"/>
    </row>
    <row r="1574" spans="2:2" x14ac:dyDescent="0.25">
      <c r="B1574" s="10"/>
    </row>
    <row r="1575" spans="2:2" x14ac:dyDescent="0.25">
      <c r="B1575" s="10"/>
    </row>
    <row r="1576" spans="2:2" x14ac:dyDescent="0.25">
      <c r="B1576" s="10"/>
    </row>
    <row r="1577" spans="2:2" x14ac:dyDescent="0.25">
      <c r="B1577" s="10"/>
    </row>
    <row r="1578" spans="2:2" x14ac:dyDescent="0.25">
      <c r="B1578" s="10"/>
    </row>
    <row r="1579" spans="2:2" x14ac:dyDescent="0.25">
      <c r="B1579" s="10"/>
    </row>
    <row r="1580" spans="2:2" x14ac:dyDescent="0.25">
      <c r="B1580" s="10"/>
    </row>
    <row r="1581" spans="2:2" x14ac:dyDescent="0.25">
      <c r="B1581" s="10"/>
    </row>
    <row r="1582" spans="2:2" x14ac:dyDescent="0.25">
      <c r="B1582" s="10"/>
    </row>
    <row r="1583" spans="2:2" x14ac:dyDescent="0.25">
      <c r="B1583" s="10"/>
    </row>
    <row r="1584" spans="2:2" x14ac:dyDescent="0.25">
      <c r="B1584" s="10"/>
    </row>
    <row r="1585" spans="2:2" x14ac:dyDescent="0.25">
      <c r="B1585" s="10"/>
    </row>
    <row r="1586" spans="2:2" x14ac:dyDescent="0.25">
      <c r="B1586" s="10"/>
    </row>
    <row r="1587" spans="2:2" x14ac:dyDescent="0.25">
      <c r="B1587" s="10"/>
    </row>
    <row r="1588" spans="2:2" x14ac:dyDescent="0.25">
      <c r="B1588" s="10"/>
    </row>
    <row r="1589" spans="2:2" x14ac:dyDescent="0.25">
      <c r="B1589" s="10"/>
    </row>
    <row r="1590" spans="2:2" x14ac:dyDescent="0.25">
      <c r="B1590" s="10"/>
    </row>
    <row r="1591" spans="2:2" x14ac:dyDescent="0.25">
      <c r="B1591" s="10"/>
    </row>
    <row r="1592" spans="2:2" x14ac:dyDescent="0.25">
      <c r="B1592" s="10"/>
    </row>
    <row r="1593" spans="2:2" x14ac:dyDescent="0.25">
      <c r="B1593" s="10"/>
    </row>
    <row r="1594" spans="2:2" x14ac:dyDescent="0.25">
      <c r="B1594" s="10"/>
    </row>
    <row r="1595" spans="2:2" x14ac:dyDescent="0.25">
      <c r="B1595" s="10"/>
    </row>
    <row r="1596" spans="2:2" x14ac:dyDescent="0.25">
      <c r="B1596" s="10"/>
    </row>
    <row r="1597" spans="2:2" x14ac:dyDescent="0.25">
      <c r="B1597" s="10"/>
    </row>
    <row r="1598" spans="2:2" x14ac:dyDescent="0.25">
      <c r="B1598" s="10"/>
    </row>
    <row r="1599" spans="2:2" x14ac:dyDescent="0.25">
      <c r="B1599" s="10"/>
    </row>
    <row r="1600" spans="2:2" x14ac:dyDescent="0.25">
      <c r="B1600" s="10"/>
    </row>
    <row r="1601" spans="2:2" x14ac:dyDescent="0.25">
      <c r="B1601" s="10"/>
    </row>
    <row r="1602" spans="2:2" x14ac:dyDescent="0.25">
      <c r="B1602" s="10"/>
    </row>
    <row r="1603" spans="2:2" x14ac:dyDescent="0.25">
      <c r="B1603" s="10"/>
    </row>
    <row r="1604" spans="2:2" x14ac:dyDescent="0.25">
      <c r="B1604" s="10"/>
    </row>
    <row r="1605" spans="2:2" x14ac:dyDescent="0.25">
      <c r="B1605" s="10"/>
    </row>
    <row r="1606" spans="2:2" x14ac:dyDescent="0.25">
      <c r="B1606" s="10"/>
    </row>
    <row r="1607" spans="2:2" x14ac:dyDescent="0.25">
      <c r="B1607" s="10"/>
    </row>
    <row r="1608" spans="2:2" x14ac:dyDescent="0.25">
      <c r="B1608" s="10"/>
    </row>
    <row r="1609" spans="2:2" x14ac:dyDescent="0.25">
      <c r="B1609" s="10"/>
    </row>
    <row r="1610" spans="2:2" x14ac:dyDescent="0.25">
      <c r="B1610" s="10"/>
    </row>
    <row r="1611" spans="2:2" x14ac:dyDescent="0.25">
      <c r="B1611" s="10"/>
    </row>
    <row r="1612" spans="2:2" x14ac:dyDescent="0.25">
      <c r="B1612" s="10"/>
    </row>
    <row r="1613" spans="2:2" x14ac:dyDescent="0.25">
      <c r="B1613" s="10"/>
    </row>
    <row r="1614" spans="2:2" x14ac:dyDescent="0.25">
      <c r="B1614" s="10"/>
    </row>
    <row r="1615" spans="2:2" x14ac:dyDescent="0.25">
      <c r="B1615" s="10"/>
    </row>
    <row r="1616" spans="2:2" x14ac:dyDescent="0.25">
      <c r="B1616" s="10"/>
    </row>
    <row r="1617" spans="2:2" x14ac:dyDescent="0.25">
      <c r="B1617" s="10"/>
    </row>
    <row r="1618" spans="2:2" x14ac:dyDescent="0.25">
      <c r="B1618" s="10"/>
    </row>
    <row r="1619" spans="2:2" x14ac:dyDescent="0.25">
      <c r="B1619" s="10"/>
    </row>
    <row r="1620" spans="2:2" x14ac:dyDescent="0.25">
      <c r="B1620" s="10"/>
    </row>
    <row r="1621" spans="2:2" x14ac:dyDescent="0.25">
      <c r="B1621" s="10"/>
    </row>
    <row r="1622" spans="2:2" x14ac:dyDescent="0.25">
      <c r="B1622" s="10"/>
    </row>
    <row r="1623" spans="2:2" x14ac:dyDescent="0.25">
      <c r="B1623" s="10"/>
    </row>
    <row r="1624" spans="2:2" x14ac:dyDescent="0.25">
      <c r="B1624" s="10"/>
    </row>
    <row r="1625" spans="2:2" x14ac:dyDescent="0.25">
      <c r="B1625" s="10"/>
    </row>
    <row r="1626" spans="2:2" x14ac:dyDescent="0.25">
      <c r="B1626" s="10"/>
    </row>
    <row r="1627" spans="2:2" x14ac:dyDescent="0.25">
      <c r="B1627" s="10"/>
    </row>
    <row r="1628" spans="2:2" x14ac:dyDescent="0.25">
      <c r="B1628" s="10"/>
    </row>
    <row r="1629" spans="2:2" x14ac:dyDescent="0.25">
      <c r="B1629" s="10"/>
    </row>
    <row r="1630" spans="2:2" x14ac:dyDescent="0.25">
      <c r="B1630" s="10"/>
    </row>
    <row r="1631" spans="2:2" x14ac:dyDescent="0.25">
      <c r="B1631" s="10"/>
    </row>
    <row r="1632" spans="2:2" x14ac:dyDescent="0.25">
      <c r="B1632" s="10"/>
    </row>
    <row r="1633" spans="2:2" x14ac:dyDescent="0.25">
      <c r="B1633" s="10"/>
    </row>
    <row r="1634" spans="2:2" x14ac:dyDescent="0.25">
      <c r="B1634" s="10"/>
    </row>
    <row r="1635" spans="2:2" x14ac:dyDescent="0.25">
      <c r="B1635" s="10"/>
    </row>
    <row r="1636" spans="2:2" x14ac:dyDescent="0.25">
      <c r="B1636" s="10"/>
    </row>
    <row r="1637" spans="2:2" x14ac:dyDescent="0.25">
      <c r="B1637" s="10"/>
    </row>
    <row r="1638" spans="2:2" x14ac:dyDescent="0.25">
      <c r="B1638" s="10"/>
    </row>
    <row r="1639" spans="2:2" x14ac:dyDescent="0.25">
      <c r="B1639" s="10"/>
    </row>
    <row r="1640" spans="2:2" x14ac:dyDescent="0.25">
      <c r="B1640" s="10"/>
    </row>
    <row r="1641" spans="2:2" x14ac:dyDescent="0.25">
      <c r="B1641" s="10"/>
    </row>
    <row r="1642" spans="2:2" x14ac:dyDescent="0.25">
      <c r="B1642" s="10"/>
    </row>
    <row r="1643" spans="2:2" x14ac:dyDescent="0.25">
      <c r="B1643" s="10"/>
    </row>
    <row r="1644" spans="2:2" x14ac:dyDescent="0.25">
      <c r="B1644" s="10"/>
    </row>
    <row r="1645" spans="2:2" x14ac:dyDescent="0.25">
      <c r="B1645" s="10"/>
    </row>
    <row r="1646" spans="2:2" x14ac:dyDescent="0.25">
      <c r="B1646" s="10"/>
    </row>
    <row r="1647" spans="2:2" x14ac:dyDescent="0.25">
      <c r="B1647" s="10"/>
    </row>
    <row r="1648" spans="2:2" x14ac:dyDescent="0.25">
      <c r="B1648" s="10"/>
    </row>
    <row r="1649" spans="2:2" x14ac:dyDescent="0.25">
      <c r="B1649" s="10"/>
    </row>
    <row r="1650" spans="2:2" x14ac:dyDescent="0.25">
      <c r="B1650" s="10"/>
    </row>
    <row r="1651" spans="2:2" x14ac:dyDescent="0.25">
      <c r="B1651" s="10"/>
    </row>
    <row r="1652" spans="2:2" x14ac:dyDescent="0.25">
      <c r="B1652" s="10"/>
    </row>
    <row r="1653" spans="2:2" x14ac:dyDescent="0.25">
      <c r="B1653" s="10"/>
    </row>
    <row r="1654" spans="2:2" x14ac:dyDescent="0.25">
      <c r="B1654" s="10"/>
    </row>
    <row r="1655" spans="2:2" x14ac:dyDescent="0.25">
      <c r="B1655" s="10"/>
    </row>
    <row r="1656" spans="2:2" x14ac:dyDescent="0.25">
      <c r="B1656" s="10"/>
    </row>
    <row r="1657" spans="2:2" x14ac:dyDescent="0.25">
      <c r="B1657" s="10"/>
    </row>
    <row r="1658" spans="2:2" x14ac:dyDescent="0.25">
      <c r="B1658" s="10"/>
    </row>
    <row r="1659" spans="2:2" x14ac:dyDescent="0.25">
      <c r="B1659" s="10"/>
    </row>
    <row r="1660" spans="2:2" x14ac:dyDescent="0.25">
      <c r="B1660" s="10"/>
    </row>
    <row r="1661" spans="2:2" x14ac:dyDescent="0.25">
      <c r="B1661" s="10"/>
    </row>
    <row r="1662" spans="2:2" x14ac:dyDescent="0.25">
      <c r="B1662" s="10"/>
    </row>
    <row r="1663" spans="2:2" x14ac:dyDescent="0.25">
      <c r="B1663" s="10"/>
    </row>
    <row r="1664" spans="2:2" x14ac:dyDescent="0.25">
      <c r="B1664" s="10"/>
    </row>
    <row r="1665" spans="2:2" x14ac:dyDescent="0.25">
      <c r="B1665" s="10"/>
    </row>
    <row r="1666" spans="2:2" x14ac:dyDescent="0.25">
      <c r="B1666" s="10"/>
    </row>
    <row r="1667" spans="2:2" x14ac:dyDescent="0.25">
      <c r="B1667" s="10"/>
    </row>
    <row r="1668" spans="2:2" x14ac:dyDescent="0.25">
      <c r="B1668" s="10"/>
    </row>
    <row r="1669" spans="2:2" x14ac:dyDescent="0.25">
      <c r="B1669" s="10"/>
    </row>
    <row r="1670" spans="2:2" x14ac:dyDescent="0.25">
      <c r="B1670" s="10"/>
    </row>
    <row r="1671" spans="2:2" x14ac:dyDescent="0.25">
      <c r="B1671" s="10"/>
    </row>
    <row r="1672" spans="2:2" x14ac:dyDescent="0.25">
      <c r="B1672" s="10"/>
    </row>
    <row r="1673" spans="2:2" x14ac:dyDescent="0.25">
      <c r="B1673" s="10"/>
    </row>
    <row r="1674" spans="2:2" x14ac:dyDescent="0.25">
      <c r="B1674" s="10"/>
    </row>
    <row r="1675" spans="2:2" x14ac:dyDescent="0.25">
      <c r="B1675" s="10"/>
    </row>
    <row r="1676" spans="2:2" x14ac:dyDescent="0.25">
      <c r="B1676" s="10"/>
    </row>
    <row r="1677" spans="2:2" x14ac:dyDescent="0.25">
      <c r="B1677" s="10"/>
    </row>
    <row r="1678" spans="2:2" x14ac:dyDescent="0.25">
      <c r="B1678" s="10"/>
    </row>
    <row r="1679" spans="2:2" x14ac:dyDescent="0.25">
      <c r="B1679" s="10"/>
    </row>
    <row r="1680" spans="2:2" x14ac:dyDescent="0.25">
      <c r="B1680" s="10"/>
    </row>
    <row r="1681" spans="2:2" x14ac:dyDescent="0.25">
      <c r="B1681" s="10"/>
    </row>
    <row r="1682" spans="2:2" x14ac:dyDescent="0.25">
      <c r="B1682" s="10"/>
    </row>
    <row r="1683" spans="2:2" x14ac:dyDescent="0.25">
      <c r="B1683" s="10"/>
    </row>
    <row r="1684" spans="2:2" x14ac:dyDescent="0.25">
      <c r="B1684" s="10"/>
    </row>
    <row r="1685" spans="2:2" x14ac:dyDescent="0.25">
      <c r="B1685" s="10"/>
    </row>
    <row r="1686" spans="2:2" x14ac:dyDescent="0.25">
      <c r="B1686" s="10"/>
    </row>
    <row r="1687" spans="2:2" x14ac:dyDescent="0.25">
      <c r="B1687" s="10"/>
    </row>
    <row r="1688" spans="2:2" x14ac:dyDescent="0.25">
      <c r="B1688" s="10"/>
    </row>
    <row r="1689" spans="2:2" x14ac:dyDescent="0.25">
      <c r="B1689" s="10"/>
    </row>
    <row r="1690" spans="2:2" x14ac:dyDescent="0.25">
      <c r="B1690" s="10"/>
    </row>
    <row r="1691" spans="2:2" x14ac:dyDescent="0.25">
      <c r="B1691" s="10"/>
    </row>
    <row r="1692" spans="2:2" x14ac:dyDescent="0.25">
      <c r="B1692" s="10"/>
    </row>
    <row r="1693" spans="2:2" x14ac:dyDescent="0.25">
      <c r="B1693" s="10"/>
    </row>
    <row r="1694" spans="2:2" x14ac:dyDescent="0.25">
      <c r="B1694" s="10"/>
    </row>
    <row r="1695" spans="2:2" x14ac:dyDescent="0.25">
      <c r="B1695" s="10"/>
    </row>
    <row r="1696" spans="2:2" x14ac:dyDescent="0.25">
      <c r="B1696" s="10"/>
    </row>
    <row r="1697" spans="2:2" x14ac:dyDescent="0.25">
      <c r="B1697" s="10"/>
    </row>
    <row r="1698" spans="2:2" x14ac:dyDescent="0.25">
      <c r="B1698" s="10"/>
    </row>
    <row r="1699" spans="2:2" x14ac:dyDescent="0.25">
      <c r="B1699" s="10"/>
    </row>
    <row r="1700" spans="2:2" x14ac:dyDescent="0.25">
      <c r="B1700" s="10"/>
    </row>
    <row r="1701" spans="2:2" x14ac:dyDescent="0.25">
      <c r="B1701" s="10"/>
    </row>
    <row r="1702" spans="2:2" x14ac:dyDescent="0.25">
      <c r="B1702" s="10"/>
    </row>
    <row r="1703" spans="2:2" x14ac:dyDescent="0.25">
      <c r="B1703" s="10"/>
    </row>
    <row r="1704" spans="2:2" x14ac:dyDescent="0.25">
      <c r="B1704" s="10"/>
    </row>
    <row r="1705" spans="2:2" x14ac:dyDescent="0.25">
      <c r="B1705" s="10"/>
    </row>
    <row r="1706" spans="2:2" x14ac:dyDescent="0.25">
      <c r="B1706" s="10"/>
    </row>
    <row r="1707" spans="2:2" x14ac:dyDescent="0.25">
      <c r="B1707" s="10"/>
    </row>
    <row r="1708" spans="2:2" x14ac:dyDescent="0.25">
      <c r="B1708" s="10"/>
    </row>
    <row r="1709" spans="2:2" x14ac:dyDescent="0.25">
      <c r="B1709" s="10"/>
    </row>
    <row r="1710" spans="2:2" x14ac:dyDescent="0.25">
      <c r="B1710" s="10"/>
    </row>
    <row r="1711" spans="2:2" x14ac:dyDescent="0.25">
      <c r="B1711" s="10"/>
    </row>
    <row r="1712" spans="2:2" x14ac:dyDescent="0.25">
      <c r="B1712" s="10"/>
    </row>
    <row r="1713" spans="2:2" x14ac:dyDescent="0.25">
      <c r="B1713" s="10"/>
    </row>
    <row r="1714" spans="2:2" x14ac:dyDescent="0.25">
      <c r="B1714" s="10"/>
    </row>
    <row r="1715" spans="2:2" x14ac:dyDescent="0.25">
      <c r="B1715" s="10"/>
    </row>
    <row r="1716" spans="2:2" x14ac:dyDescent="0.25">
      <c r="B1716" s="10"/>
    </row>
    <row r="1717" spans="2:2" x14ac:dyDescent="0.25">
      <c r="B1717" s="10"/>
    </row>
    <row r="1718" spans="2:2" x14ac:dyDescent="0.25">
      <c r="B1718" s="10"/>
    </row>
    <row r="1719" spans="2:2" x14ac:dyDescent="0.25">
      <c r="B1719" s="10"/>
    </row>
    <row r="1720" spans="2:2" x14ac:dyDescent="0.25">
      <c r="B1720" s="10"/>
    </row>
    <row r="1721" spans="2:2" x14ac:dyDescent="0.25">
      <c r="B1721" s="10"/>
    </row>
    <row r="1722" spans="2:2" x14ac:dyDescent="0.25">
      <c r="B1722" s="10"/>
    </row>
    <row r="1723" spans="2:2" x14ac:dyDescent="0.25">
      <c r="B1723" s="10"/>
    </row>
    <row r="1724" spans="2:2" x14ac:dyDescent="0.25">
      <c r="B1724" s="10"/>
    </row>
    <row r="1725" spans="2:2" x14ac:dyDescent="0.25">
      <c r="B1725" s="10"/>
    </row>
    <row r="1726" spans="2:2" x14ac:dyDescent="0.25">
      <c r="B1726" s="10"/>
    </row>
    <row r="1727" spans="2:2" x14ac:dyDescent="0.25">
      <c r="B1727" s="10"/>
    </row>
    <row r="1728" spans="2:2" x14ac:dyDescent="0.25">
      <c r="B1728" s="10"/>
    </row>
    <row r="1729" spans="2:2" x14ac:dyDescent="0.25">
      <c r="B1729" s="10"/>
    </row>
    <row r="1730" spans="2:2" x14ac:dyDescent="0.25">
      <c r="B1730" s="10"/>
    </row>
    <row r="1731" spans="2:2" x14ac:dyDescent="0.25">
      <c r="B1731" s="10"/>
    </row>
    <row r="1732" spans="2:2" x14ac:dyDescent="0.25">
      <c r="B1732" s="10"/>
    </row>
    <row r="1733" spans="2:2" x14ac:dyDescent="0.25">
      <c r="B1733" s="10"/>
    </row>
    <row r="1734" spans="2:2" x14ac:dyDescent="0.25">
      <c r="B1734" s="10"/>
    </row>
    <row r="1735" spans="2:2" x14ac:dyDescent="0.25">
      <c r="B1735" s="10"/>
    </row>
    <row r="1736" spans="2:2" x14ac:dyDescent="0.25">
      <c r="B1736" s="10"/>
    </row>
    <row r="1737" spans="2:2" x14ac:dyDescent="0.25">
      <c r="B1737" s="10"/>
    </row>
    <row r="1738" spans="2:2" x14ac:dyDescent="0.25">
      <c r="B1738" s="10"/>
    </row>
    <row r="1739" spans="2:2" x14ac:dyDescent="0.25">
      <c r="B1739" s="10"/>
    </row>
    <row r="1740" spans="2:2" x14ac:dyDescent="0.25">
      <c r="B1740" s="10"/>
    </row>
    <row r="1741" spans="2:2" x14ac:dyDescent="0.25">
      <c r="B1741" s="10"/>
    </row>
    <row r="1742" spans="2:2" x14ac:dyDescent="0.25">
      <c r="B1742" s="10"/>
    </row>
    <row r="1743" spans="2:2" x14ac:dyDescent="0.25">
      <c r="B1743" s="10"/>
    </row>
    <row r="1744" spans="2:2" x14ac:dyDescent="0.25">
      <c r="B1744" s="10"/>
    </row>
    <row r="1745" spans="2:2" x14ac:dyDescent="0.25">
      <c r="B1745" s="10"/>
    </row>
    <row r="1746" spans="2:2" x14ac:dyDescent="0.25">
      <c r="B1746" s="10"/>
    </row>
    <row r="1747" spans="2:2" x14ac:dyDescent="0.25">
      <c r="B1747" s="10"/>
    </row>
    <row r="1748" spans="2:2" x14ac:dyDescent="0.25">
      <c r="B1748" s="10"/>
    </row>
    <row r="1749" spans="2:2" x14ac:dyDescent="0.25">
      <c r="B1749" s="10"/>
    </row>
    <row r="1750" spans="2:2" x14ac:dyDescent="0.25">
      <c r="B1750" s="10"/>
    </row>
    <row r="1751" spans="2:2" x14ac:dyDescent="0.25">
      <c r="B1751" s="10"/>
    </row>
    <row r="1752" spans="2:2" x14ac:dyDescent="0.25">
      <c r="B1752" s="10"/>
    </row>
    <row r="1753" spans="2:2" x14ac:dyDescent="0.25">
      <c r="B1753" s="10"/>
    </row>
    <row r="1754" spans="2:2" x14ac:dyDescent="0.25">
      <c r="B1754" s="10"/>
    </row>
    <row r="1755" spans="2:2" x14ac:dyDescent="0.25">
      <c r="B1755" s="10"/>
    </row>
    <row r="1756" spans="2:2" x14ac:dyDescent="0.25">
      <c r="B1756" s="10"/>
    </row>
    <row r="1757" spans="2:2" x14ac:dyDescent="0.25">
      <c r="B1757" s="10"/>
    </row>
    <row r="1758" spans="2:2" x14ac:dyDescent="0.25">
      <c r="B1758" s="10"/>
    </row>
    <row r="1759" spans="2:2" x14ac:dyDescent="0.25">
      <c r="B1759" s="10"/>
    </row>
    <row r="1760" spans="2:2" x14ac:dyDescent="0.25">
      <c r="B1760" s="10"/>
    </row>
    <row r="1761" spans="2:2" x14ac:dyDescent="0.25">
      <c r="B1761" s="10"/>
    </row>
    <row r="1762" spans="2:2" x14ac:dyDescent="0.25">
      <c r="B1762" s="10"/>
    </row>
    <row r="1763" spans="2:2" x14ac:dyDescent="0.25">
      <c r="B1763" s="10"/>
    </row>
    <row r="1764" spans="2:2" x14ac:dyDescent="0.25">
      <c r="B1764" s="10"/>
    </row>
    <row r="1765" spans="2:2" x14ac:dyDescent="0.25">
      <c r="B1765" s="10"/>
    </row>
    <row r="1766" spans="2:2" x14ac:dyDescent="0.25">
      <c r="B1766" s="10"/>
    </row>
    <row r="1767" spans="2:2" x14ac:dyDescent="0.25">
      <c r="B1767" s="10"/>
    </row>
    <row r="1768" spans="2:2" x14ac:dyDescent="0.25">
      <c r="B1768" s="10"/>
    </row>
    <row r="1769" spans="2:2" x14ac:dyDescent="0.25">
      <c r="B1769" s="10"/>
    </row>
    <row r="1770" spans="2:2" x14ac:dyDescent="0.25">
      <c r="B1770" s="10"/>
    </row>
    <row r="1771" spans="2:2" x14ac:dyDescent="0.25">
      <c r="B1771" s="10"/>
    </row>
    <row r="1772" spans="2:2" x14ac:dyDescent="0.25">
      <c r="B1772" s="10"/>
    </row>
    <row r="1773" spans="2:2" x14ac:dyDescent="0.25">
      <c r="B1773" s="10"/>
    </row>
    <row r="1774" spans="2:2" x14ac:dyDescent="0.25">
      <c r="B1774" s="10"/>
    </row>
    <row r="1775" spans="2:2" x14ac:dyDescent="0.25">
      <c r="B1775" s="10"/>
    </row>
    <row r="1776" spans="2:2" x14ac:dyDescent="0.25">
      <c r="B1776" s="10"/>
    </row>
    <row r="1777" spans="2:2" x14ac:dyDescent="0.25">
      <c r="B1777" s="10"/>
    </row>
    <row r="1778" spans="2:2" x14ac:dyDescent="0.25">
      <c r="B1778" s="10"/>
    </row>
    <row r="1779" spans="2:2" x14ac:dyDescent="0.25">
      <c r="B1779" s="10"/>
    </row>
    <row r="1780" spans="2:2" x14ac:dyDescent="0.25">
      <c r="B1780" s="10"/>
    </row>
    <row r="1781" spans="2:2" x14ac:dyDescent="0.25">
      <c r="B1781" s="10"/>
    </row>
    <row r="1782" spans="2:2" x14ac:dyDescent="0.25">
      <c r="B1782" s="10"/>
    </row>
    <row r="1783" spans="2:2" x14ac:dyDescent="0.25">
      <c r="B1783" s="10"/>
    </row>
    <row r="1784" spans="2:2" x14ac:dyDescent="0.25">
      <c r="B1784" s="10"/>
    </row>
    <row r="1785" spans="2:2" x14ac:dyDescent="0.25">
      <c r="B1785" s="10"/>
    </row>
    <row r="1786" spans="2:2" x14ac:dyDescent="0.25">
      <c r="B1786" s="10"/>
    </row>
    <row r="1787" spans="2:2" x14ac:dyDescent="0.25">
      <c r="B1787" s="10"/>
    </row>
    <row r="1788" spans="2:2" x14ac:dyDescent="0.25">
      <c r="B1788" s="10"/>
    </row>
    <row r="1789" spans="2:2" x14ac:dyDescent="0.25">
      <c r="B1789" s="10"/>
    </row>
    <row r="1790" spans="2:2" x14ac:dyDescent="0.25">
      <c r="B1790" s="10"/>
    </row>
    <row r="1791" spans="2:2" x14ac:dyDescent="0.25">
      <c r="B1791" s="10"/>
    </row>
    <row r="1792" spans="2:2" x14ac:dyDescent="0.25">
      <c r="B1792" s="10"/>
    </row>
    <row r="1793" spans="2:2" x14ac:dyDescent="0.25">
      <c r="B1793" s="10"/>
    </row>
    <row r="1794" spans="2:2" x14ac:dyDescent="0.25">
      <c r="B1794" s="10"/>
    </row>
    <row r="1795" spans="2:2" x14ac:dyDescent="0.25">
      <c r="B1795" s="10"/>
    </row>
    <row r="1796" spans="2:2" x14ac:dyDescent="0.25">
      <c r="B1796" s="10"/>
    </row>
    <row r="1797" spans="2:2" x14ac:dyDescent="0.25">
      <c r="B1797" s="10"/>
    </row>
    <row r="1798" spans="2:2" x14ac:dyDescent="0.25">
      <c r="B1798" s="10"/>
    </row>
    <row r="1799" spans="2:2" x14ac:dyDescent="0.25">
      <c r="B1799" s="10"/>
    </row>
    <row r="1800" spans="2:2" x14ac:dyDescent="0.25">
      <c r="B1800" s="10"/>
    </row>
    <row r="1801" spans="2:2" x14ac:dyDescent="0.25">
      <c r="B1801" s="10"/>
    </row>
    <row r="1802" spans="2:2" x14ac:dyDescent="0.25">
      <c r="B1802" s="10"/>
    </row>
    <row r="1803" spans="2:2" x14ac:dyDescent="0.25">
      <c r="B1803" s="10"/>
    </row>
    <row r="1804" spans="2:2" x14ac:dyDescent="0.25">
      <c r="B1804" s="10"/>
    </row>
    <row r="1805" spans="2:2" x14ac:dyDescent="0.25">
      <c r="B1805" s="10"/>
    </row>
    <row r="1806" spans="2:2" x14ac:dyDescent="0.25">
      <c r="B1806" s="10"/>
    </row>
    <row r="1807" spans="2:2" x14ac:dyDescent="0.25">
      <c r="B1807" s="10"/>
    </row>
    <row r="1808" spans="2:2" x14ac:dyDescent="0.25">
      <c r="B1808" s="10"/>
    </row>
    <row r="1809" spans="2:2" x14ac:dyDescent="0.25">
      <c r="B1809" s="10"/>
    </row>
    <row r="1810" spans="2:2" x14ac:dyDescent="0.25">
      <c r="B1810" s="10"/>
    </row>
    <row r="1811" spans="2:2" x14ac:dyDescent="0.25">
      <c r="B1811" s="10"/>
    </row>
    <row r="1812" spans="2:2" x14ac:dyDescent="0.25">
      <c r="B1812" s="10"/>
    </row>
    <row r="1813" spans="2:2" x14ac:dyDescent="0.25">
      <c r="B1813" s="10"/>
    </row>
    <row r="1814" spans="2:2" x14ac:dyDescent="0.25">
      <c r="B1814" s="10"/>
    </row>
    <row r="1815" spans="2:2" x14ac:dyDescent="0.25">
      <c r="B1815" s="10"/>
    </row>
    <row r="1816" spans="2:2" x14ac:dyDescent="0.25">
      <c r="B1816" s="10"/>
    </row>
    <row r="1817" spans="2:2" x14ac:dyDescent="0.25">
      <c r="B1817" s="10"/>
    </row>
    <row r="1818" spans="2:2" x14ac:dyDescent="0.25">
      <c r="B1818" s="10"/>
    </row>
    <row r="1819" spans="2:2" x14ac:dyDescent="0.25">
      <c r="B1819" s="10"/>
    </row>
    <row r="1820" spans="2:2" x14ac:dyDescent="0.25">
      <c r="B1820" s="10"/>
    </row>
    <row r="1821" spans="2:2" x14ac:dyDescent="0.25">
      <c r="B1821" s="10"/>
    </row>
    <row r="1822" spans="2:2" x14ac:dyDescent="0.25">
      <c r="B1822" s="10"/>
    </row>
    <row r="1823" spans="2:2" x14ac:dyDescent="0.25">
      <c r="B1823" s="10"/>
    </row>
    <row r="1824" spans="2:2" x14ac:dyDescent="0.25">
      <c r="B1824" s="10"/>
    </row>
    <row r="1825" spans="2:2" x14ac:dyDescent="0.25">
      <c r="B1825" s="10"/>
    </row>
    <row r="1826" spans="2:2" x14ac:dyDescent="0.25">
      <c r="B1826" s="10"/>
    </row>
    <row r="1827" spans="2:2" x14ac:dyDescent="0.25">
      <c r="B1827" s="10"/>
    </row>
    <row r="1828" spans="2:2" x14ac:dyDescent="0.25">
      <c r="B1828" s="10"/>
    </row>
    <row r="1829" spans="2:2" x14ac:dyDescent="0.25">
      <c r="B1829" s="10"/>
    </row>
    <row r="1830" spans="2:2" x14ac:dyDescent="0.25">
      <c r="B1830" s="10"/>
    </row>
    <row r="1831" spans="2:2" x14ac:dyDescent="0.25">
      <c r="B1831" s="10"/>
    </row>
    <row r="1832" spans="2:2" x14ac:dyDescent="0.25">
      <c r="B1832" s="10"/>
    </row>
    <row r="1833" spans="2:2" x14ac:dyDescent="0.25">
      <c r="B1833" s="10"/>
    </row>
    <row r="1834" spans="2:2" x14ac:dyDescent="0.25">
      <c r="B1834" s="10"/>
    </row>
    <row r="1835" spans="2:2" x14ac:dyDescent="0.25">
      <c r="B1835" s="10"/>
    </row>
    <row r="1836" spans="2:2" x14ac:dyDescent="0.25">
      <c r="B1836" s="10"/>
    </row>
    <row r="1837" spans="2:2" x14ac:dyDescent="0.25">
      <c r="B1837" s="10"/>
    </row>
    <row r="1838" spans="2:2" x14ac:dyDescent="0.25">
      <c r="B1838" s="10"/>
    </row>
    <row r="1839" spans="2:2" x14ac:dyDescent="0.25">
      <c r="B1839" s="10"/>
    </row>
    <row r="1840" spans="2:2" x14ac:dyDescent="0.25">
      <c r="B1840" s="10"/>
    </row>
    <row r="1841" spans="2:2" x14ac:dyDescent="0.25">
      <c r="B1841" s="10"/>
    </row>
    <row r="1842" spans="2:2" x14ac:dyDescent="0.25">
      <c r="B1842" s="10"/>
    </row>
    <row r="1843" spans="2:2" x14ac:dyDescent="0.25">
      <c r="B1843" s="10"/>
    </row>
    <row r="1844" spans="2:2" x14ac:dyDescent="0.25">
      <c r="B1844" s="10"/>
    </row>
    <row r="1845" spans="2:2" x14ac:dyDescent="0.25">
      <c r="B1845" s="10"/>
    </row>
    <row r="1846" spans="2:2" x14ac:dyDescent="0.25">
      <c r="B1846" s="10"/>
    </row>
    <row r="1847" spans="2:2" x14ac:dyDescent="0.25">
      <c r="B1847" s="10"/>
    </row>
    <row r="1848" spans="2:2" x14ac:dyDescent="0.25">
      <c r="B1848" s="10"/>
    </row>
    <row r="1849" spans="2:2" x14ac:dyDescent="0.25">
      <c r="B1849" s="10"/>
    </row>
    <row r="1850" spans="2:2" x14ac:dyDescent="0.25">
      <c r="B1850" s="10"/>
    </row>
    <row r="1851" spans="2:2" x14ac:dyDescent="0.25">
      <c r="B1851" s="10"/>
    </row>
    <row r="1852" spans="2:2" x14ac:dyDescent="0.25">
      <c r="B1852" s="10"/>
    </row>
    <row r="1853" spans="2:2" x14ac:dyDescent="0.25">
      <c r="B1853" s="10"/>
    </row>
    <row r="1854" spans="2:2" x14ac:dyDescent="0.25">
      <c r="B1854" s="10"/>
    </row>
    <row r="1855" spans="2:2" x14ac:dyDescent="0.25">
      <c r="B1855" s="10"/>
    </row>
    <row r="1856" spans="2:2" x14ac:dyDescent="0.25">
      <c r="B1856" s="10"/>
    </row>
    <row r="1857" spans="2:2" x14ac:dyDescent="0.25">
      <c r="B1857" s="10"/>
    </row>
    <row r="1858" spans="2:2" x14ac:dyDescent="0.25">
      <c r="B1858" s="10"/>
    </row>
    <row r="1859" spans="2:2" x14ac:dyDescent="0.25">
      <c r="B1859" s="10"/>
    </row>
    <row r="1860" spans="2:2" x14ac:dyDescent="0.25">
      <c r="B1860" s="10"/>
    </row>
    <row r="1861" spans="2:2" x14ac:dyDescent="0.25">
      <c r="B1861" s="10"/>
    </row>
    <row r="1862" spans="2:2" x14ac:dyDescent="0.25">
      <c r="B1862" s="10"/>
    </row>
    <row r="1863" spans="2:2" x14ac:dyDescent="0.25">
      <c r="B1863" s="10"/>
    </row>
    <row r="1864" spans="2:2" x14ac:dyDescent="0.25">
      <c r="B1864" s="10"/>
    </row>
    <row r="1865" spans="2:2" x14ac:dyDescent="0.25">
      <c r="B1865" s="10"/>
    </row>
    <row r="1866" spans="2:2" x14ac:dyDescent="0.25">
      <c r="B1866" s="10"/>
    </row>
    <row r="1867" spans="2:2" x14ac:dyDescent="0.25">
      <c r="B1867" s="10"/>
    </row>
    <row r="1868" spans="2:2" x14ac:dyDescent="0.25">
      <c r="B1868" s="10"/>
    </row>
    <row r="1869" spans="2:2" x14ac:dyDescent="0.25">
      <c r="B1869" s="10"/>
    </row>
    <row r="1870" spans="2:2" x14ac:dyDescent="0.25">
      <c r="B1870" s="10"/>
    </row>
    <row r="1871" spans="2:2" x14ac:dyDescent="0.25">
      <c r="B1871" s="10"/>
    </row>
    <row r="1872" spans="2:2" x14ac:dyDescent="0.25">
      <c r="B1872" s="10"/>
    </row>
    <row r="1873" spans="2:2" x14ac:dyDescent="0.25">
      <c r="B1873" s="10"/>
    </row>
    <row r="1874" spans="2:2" x14ac:dyDescent="0.25">
      <c r="B1874" s="10"/>
    </row>
    <row r="1875" spans="2:2" x14ac:dyDescent="0.25">
      <c r="B1875" s="10"/>
    </row>
    <row r="1876" spans="2:2" x14ac:dyDescent="0.25">
      <c r="B1876" s="10"/>
    </row>
    <row r="1877" spans="2:2" x14ac:dyDescent="0.25">
      <c r="B1877" s="10"/>
    </row>
    <row r="1878" spans="2:2" x14ac:dyDescent="0.25">
      <c r="B1878" s="10"/>
    </row>
    <row r="1879" spans="2:2" x14ac:dyDescent="0.25">
      <c r="B1879" s="10"/>
    </row>
    <row r="1880" spans="2:2" x14ac:dyDescent="0.25">
      <c r="B1880" s="10"/>
    </row>
    <row r="1881" spans="2:2" x14ac:dyDescent="0.25">
      <c r="B1881" s="10"/>
    </row>
    <row r="1882" spans="2:2" x14ac:dyDescent="0.25">
      <c r="B1882" s="10"/>
    </row>
    <row r="1883" spans="2:2" x14ac:dyDescent="0.25">
      <c r="B1883" s="10"/>
    </row>
    <row r="1884" spans="2:2" x14ac:dyDescent="0.25">
      <c r="B1884" s="10"/>
    </row>
    <row r="1885" spans="2:2" x14ac:dyDescent="0.25">
      <c r="B1885" s="10"/>
    </row>
    <row r="1886" spans="2:2" x14ac:dyDescent="0.25">
      <c r="B1886" s="10"/>
    </row>
    <row r="1887" spans="2:2" x14ac:dyDescent="0.25">
      <c r="B1887" s="10"/>
    </row>
    <row r="1888" spans="2:2" x14ac:dyDescent="0.25">
      <c r="B1888" s="10"/>
    </row>
    <row r="1889" spans="2:2" x14ac:dyDescent="0.25">
      <c r="B1889" s="10"/>
    </row>
    <row r="1890" spans="2:2" x14ac:dyDescent="0.25">
      <c r="B1890" s="10"/>
    </row>
    <row r="1891" spans="2:2" x14ac:dyDescent="0.25">
      <c r="B1891" s="10"/>
    </row>
    <row r="1892" spans="2:2" x14ac:dyDescent="0.25">
      <c r="B1892" s="10"/>
    </row>
    <row r="1893" spans="2:2" x14ac:dyDescent="0.25">
      <c r="B1893" s="10"/>
    </row>
    <row r="1894" spans="2:2" x14ac:dyDescent="0.25">
      <c r="B1894" s="10"/>
    </row>
    <row r="1895" spans="2:2" x14ac:dyDescent="0.25">
      <c r="B1895" s="10"/>
    </row>
    <row r="1896" spans="2:2" x14ac:dyDescent="0.25">
      <c r="B1896" s="10"/>
    </row>
    <row r="1897" spans="2:2" x14ac:dyDescent="0.25">
      <c r="B1897" s="10"/>
    </row>
    <row r="1898" spans="2:2" x14ac:dyDescent="0.25">
      <c r="B1898" s="10"/>
    </row>
    <row r="1899" spans="2:2" x14ac:dyDescent="0.25">
      <c r="B1899" s="10"/>
    </row>
    <row r="1900" spans="2:2" x14ac:dyDescent="0.25">
      <c r="B1900" s="10"/>
    </row>
    <row r="1901" spans="2:2" x14ac:dyDescent="0.25">
      <c r="B1901" s="10"/>
    </row>
    <row r="1902" spans="2:2" x14ac:dyDescent="0.25">
      <c r="B1902" s="10"/>
    </row>
    <row r="1903" spans="2:2" x14ac:dyDescent="0.25">
      <c r="B1903" s="10"/>
    </row>
    <row r="1904" spans="2:2" x14ac:dyDescent="0.25">
      <c r="B1904" s="10"/>
    </row>
    <row r="1905" spans="2:2" x14ac:dyDescent="0.25">
      <c r="B1905" s="10"/>
    </row>
    <row r="1906" spans="2:2" x14ac:dyDescent="0.25">
      <c r="B1906" s="10"/>
    </row>
    <row r="1907" spans="2:2" x14ac:dyDescent="0.25">
      <c r="B1907" s="10"/>
    </row>
    <row r="1908" spans="2:2" x14ac:dyDescent="0.25">
      <c r="B1908" s="10"/>
    </row>
    <row r="1909" spans="2:2" x14ac:dyDescent="0.25">
      <c r="B1909" s="10"/>
    </row>
    <row r="1910" spans="2:2" x14ac:dyDescent="0.25">
      <c r="B1910" s="10"/>
    </row>
    <row r="1911" spans="2:2" x14ac:dyDescent="0.25">
      <c r="B1911" s="10"/>
    </row>
    <row r="1912" spans="2:2" x14ac:dyDescent="0.25">
      <c r="B1912" s="10"/>
    </row>
    <row r="1913" spans="2:2" x14ac:dyDescent="0.25">
      <c r="B1913" s="10"/>
    </row>
    <row r="1914" spans="2:2" x14ac:dyDescent="0.25">
      <c r="B1914" s="10"/>
    </row>
    <row r="1915" spans="2:2" x14ac:dyDescent="0.25">
      <c r="B1915" s="10"/>
    </row>
    <row r="1916" spans="2:2" x14ac:dyDescent="0.25">
      <c r="B1916" s="10"/>
    </row>
    <row r="1917" spans="2:2" x14ac:dyDescent="0.25">
      <c r="B1917" s="10"/>
    </row>
    <row r="1918" spans="2:2" x14ac:dyDescent="0.25">
      <c r="B1918" s="10"/>
    </row>
    <row r="1919" spans="2:2" x14ac:dyDescent="0.25">
      <c r="B1919" s="10"/>
    </row>
    <row r="1920" spans="2:2" x14ac:dyDescent="0.25">
      <c r="B1920" s="10"/>
    </row>
    <row r="1921" spans="2:2" x14ac:dyDescent="0.25">
      <c r="B1921" s="10"/>
    </row>
    <row r="1922" spans="2:2" x14ac:dyDescent="0.25">
      <c r="B1922" s="10"/>
    </row>
    <row r="1923" spans="2:2" x14ac:dyDescent="0.25">
      <c r="B1923" s="10"/>
    </row>
    <row r="1924" spans="2:2" x14ac:dyDescent="0.25">
      <c r="B1924" s="10"/>
    </row>
    <row r="1925" spans="2:2" x14ac:dyDescent="0.25">
      <c r="B1925" s="10"/>
    </row>
    <row r="1926" spans="2:2" x14ac:dyDescent="0.25">
      <c r="B1926" s="10"/>
    </row>
    <row r="1927" spans="2:2" x14ac:dyDescent="0.25">
      <c r="B1927" s="10"/>
    </row>
    <row r="1928" spans="2:2" x14ac:dyDescent="0.25">
      <c r="B1928" s="10"/>
    </row>
    <row r="1929" spans="2:2" x14ac:dyDescent="0.25">
      <c r="B1929" s="10"/>
    </row>
    <row r="1930" spans="2:2" x14ac:dyDescent="0.25">
      <c r="B1930" s="10"/>
    </row>
    <row r="1931" spans="2:2" x14ac:dyDescent="0.25">
      <c r="B1931" s="10"/>
    </row>
    <row r="1932" spans="2:2" x14ac:dyDescent="0.25">
      <c r="B1932" s="10"/>
    </row>
    <row r="1933" spans="2:2" x14ac:dyDescent="0.25">
      <c r="B1933" s="10"/>
    </row>
    <row r="1934" spans="2:2" x14ac:dyDescent="0.25">
      <c r="B1934" s="10"/>
    </row>
    <row r="1935" spans="2:2" x14ac:dyDescent="0.25">
      <c r="B1935" s="10"/>
    </row>
    <row r="1936" spans="2:2" x14ac:dyDescent="0.25">
      <c r="B1936" s="10"/>
    </row>
    <row r="1937" spans="2:2" x14ac:dyDescent="0.25">
      <c r="B1937" s="10"/>
    </row>
    <row r="1938" spans="2:2" x14ac:dyDescent="0.25">
      <c r="B1938" s="10"/>
    </row>
    <row r="1939" spans="2:2" x14ac:dyDescent="0.25">
      <c r="B1939" s="10"/>
    </row>
    <row r="1940" spans="2:2" x14ac:dyDescent="0.25">
      <c r="B1940" s="10"/>
    </row>
    <row r="1941" spans="2:2" x14ac:dyDescent="0.25">
      <c r="B1941" s="10"/>
    </row>
    <row r="1942" spans="2:2" x14ac:dyDescent="0.25">
      <c r="B1942" s="10"/>
    </row>
    <row r="1943" spans="2:2" x14ac:dyDescent="0.25">
      <c r="B1943" s="10"/>
    </row>
    <row r="1944" spans="2:2" x14ac:dyDescent="0.25">
      <c r="B1944" s="10"/>
    </row>
    <row r="1945" spans="2:2" x14ac:dyDescent="0.25">
      <c r="B1945" s="10"/>
    </row>
    <row r="1946" spans="2:2" x14ac:dyDescent="0.25">
      <c r="B1946" s="10"/>
    </row>
    <row r="1947" spans="2:2" x14ac:dyDescent="0.25">
      <c r="B1947" s="10"/>
    </row>
    <row r="1948" spans="2:2" x14ac:dyDescent="0.25">
      <c r="B1948" s="10"/>
    </row>
    <row r="1949" spans="2:2" x14ac:dyDescent="0.25">
      <c r="B1949" s="10"/>
    </row>
    <row r="1950" spans="2:2" x14ac:dyDescent="0.25">
      <c r="B1950" s="10"/>
    </row>
    <row r="1951" spans="2:2" x14ac:dyDescent="0.25">
      <c r="B1951" s="10"/>
    </row>
    <row r="1952" spans="2:2" x14ac:dyDescent="0.25">
      <c r="B1952" s="10"/>
    </row>
    <row r="1953" spans="2:2" x14ac:dyDescent="0.25">
      <c r="B1953" s="10"/>
    </row>
    <row r="1954" spans="2:2" x14ac:dyDescent="0.25">
      <c r="B1954" s="10"/>
    </row>
    <row r="1955" spans="2:2" x14ac:dyDescent="0.25">
      <c r="B1955" s="10"/>
    </row>
    <row r="1956" spans="2:2" x14ac:dyDescent="0.25">
      <c r="B1956" s="10"/>
    </row>
    <row r="1957" spans="2:2" x14ac:dyDescent="0.25">
      <c r="B1957" s="10"/>
    </row>
    <row r="1958" spans="2:2" x14ac:dyDescent="0.25">
      <c r="B1958" s="10"/>
    </row>
    <row r="1959" spans="2:2" x14ac:dyDescent="0.25">
      <c r="B1959" s="10"/>
    </row>
    <row r="1960" spans="2:2" x14ac:dyDescent="0.25">
      <c r="B1960" s="10"/>
    </row>
    <row r="1961" spans="2:2" x14ac:dyDescent="0.25">
      <c r="B1961" s="10"/>
    </row>
    <row r="1962" spans="2:2" x14ac:dyDescent="0.25">
      <c r="B1962" s="10"/>
    </row>
    <row r="1963" spans="2:2" x14ac:dyDescent="0.25">
      <c r="B1963" s="10"/>
    </row>
    <row r="1964" spans="2:2" x14ac:dyDescent="0.25">
      <c r="B1964" s="10"/>
    </row>
    <row r="1965" spans="2:2" x14ac:dyDescent="0.25">
      <c r="B1965" s="10"/>
    </row>
    <row r="1966" spans="2:2" x14ac:dyDescent="0.25">
      <c r="B1966" s="10"/>
    </row>
    <row r="1967" spans="2:2" x14ac:dyDescent="0.25">
      <c r="B1967" s="10"/>
    </row>
    <row r="1968" spans="2:2" x14ac:dyDescent="0.25">
      <c r="B1968" s="10"/>
    </row>
    <row r="1969" spans="2:2" x14ac:dyDescent="0.25">
      <c r="B1969" s="10"/>
    </row>
    <row r="1970" spans="2:2" x14ac:dyDescent="0.25">
      <c r="B1970" s="10"/>
    </row>
    <row r="1971" spans="2:2" x14ac:dyDescent="0.25">
      <c r="B1971" s="10"/>
    </row>
    <row r="1972" spans="2:2" x14ac:dyDescent="0.25">
      <c r="B1972" s="10"/>
    </row>
    <row r="1973" spans="2:2" x14ac:dyDescent="0.25">
      <c r="B1973" s="10"/>
    </row>
    <row r="1974" spans="2:2" x14ac:dyDescent="0.25">
      <c r="B1974" s="10"/>
    </row>
    <row r="1975" spans="2:2" x14ac:dyDescent="0.25">
      <c r="B1975" s="10"/>
    </row>
    <row r="1976" spans="2:2" x14ac:dyDescent="0.25">
      <c r="B1976" s="10"/>
    </row>
    <row r="1977" spans="2:2" x14ac:dyDescent="0.25">
      <c r="B1977" s="10"/>
    </row>
    <row r="1978" spans="2:2" x14ac:dyDescent="0.25">
      <c r="B1978" s="10"/>
    </row>
    <row r="1979" spans="2:2" x14ac:dyDescent="0.25">
      <c r="B1979" s="10"/>
    </row>
    <row r="1980" spans="2:2" x14ac:dyDescent="0.25">
      <c r="B1980" s="10"/>
    </row>
    <row r="1981" spans="2:2" x14ac:dyDescent="0.25">
      <c r="B1981" s="10"/>
    </row>
    <row r="1982" spans="2:2" x14ac:dyDescent="0.25">
      <c r="B1982" s="10"/>
    </row>
    <row r="1983" spans="2:2" x14ac:dyDescent="0.25">
      <c r="B1983" s="10"/>
    </row>
    <row r="1984" spans="2:2" x14ac:dyDescent="0.25">
      <c r="B1984" s="10"/>
    </row>
    <row r="1985" spans="2:2" x14ac:dyDescent="0.25">
      <c r="B1985" s="10"/>
    </row>
    <row r="1986" spans="2:2" x14ac:dyDescent="0.25">
      <c r="B1986" s="10"/>
    </row>
    <row r="1987" spans="2:2" x14ac:dyDescent="0.25">
      <c r="B1987" s="10"/>
    </row>
    <row r="1988" spans="2:2" x14ac:dyDescent="0.25">
      <c r="B1988" s="10"/>
    </row>
    <row r="1989" spans="2:2" x14ac:dyDescent="0.25">
      <c r="B1989" s="10"/>
    </row>
    <row r="1990" spans="2:2" x14ac:dyDescent="0.25">
      <c r="B1990" s="10"/>
    </row>
    <row r="1991" spans="2:2" x14ac:dyDescent="0.25">
      <c r="B1991" s="10"/>
    </row>
    <row r="1992" spans="2:2" x14ac:dyDescent="0.25">
      <c r="B1992" s="10"/>
    </row>
    <row r="1993" spans="2:2" x14ac:dyDescent="0.25">
      <c r="B1993" s="10"/>
    </row>
    <row r="1994" spans="2:2" x14ac:dyDescent="0.25">
      <c r="B1994" s="10"/>
    </row>
    <row r="1995" spans="2:2" x14ac:dyDescent="0.25">
      <c r="B1995" s="10"/>
    </row>
    <row r="1996" spans="2:2" x14ac:dyDescent="0.25">
      <c r="B1996" s="10"/>
    </row>
    <row r="1997" spans="2:2" x14ac:dyDescent="0.25">
      <c r="B1997" s="10"/>
    </row>
    <row r="1998" spans="2:2" x14ac:dyDescent="0.25">
      <c r="B1998" s="10"/>
    </row>
    <row r="1999" spans="2:2" x14ac:dyDescent="0.25">
      <c r="B1999" s="10"/>
    </row>
    <row r="2000" spans="2:2" x14ac:dyDescent="0.25">
      <c r="B2000" s="10"/>
    </row>
    <row r="2001" spans="2:2" x14ac:dyDescent="0.25">
      <c r="B2001" s="10"/>
    </row>
    <row r="2002" spans="2:2" x14ac:dyDescent="0.25">
      <c r="B2002" s="10"/>
    </row>
    <row r="2003" spans="2:2" x14ac:dyDescent="0.25">
      <c r="B2003" s="10"/>
    </row>
    <row r="2004" spans="2:2" x14ac:dyDescent="0.25">
      <c r="B2004" s="10"/>
    </row>
    <row r="2005" spans="2:2" x14ac:dyDescent="0.25">
      <c r="B2005" s="10"/>
    </row>
    <row r="2006" spans="2:2" x14ac:dyDescent="0.25">
      <c r="B2006" s="10"/>
    </row>
    <row r="2007" spans="2:2" x14ac:dyDescent="0.25">
      <c r="B2007" s="10"/>
    </row>
    <row r="2008" spans="2:2" x14ac:dyDescent="0.25">
      <c r="B2008" s="10"/>
    </row>
    <row r="2009" spans="2:2" x14ac:dyDescent="0.25">
      <c r="B2009" s="10"/>
    </row>
    <row r="2010" spans="2:2" x14ac:dyDescent="0.25">
      <c r="B2010" s="10"/>
    </row>
    <row r="2011" spans="2:2" x14ac:dyDescent="0.25">
      <c r="B2011" s="10"/>
    </row>
    <row r="2012" spans="2:2" x14ac:dyDescent="0.25">
      <c r="B2012" s="10"/>
    </row>
    <row r="2013" spans="2:2" x14ac:dyDescent="0.25">
      <c r="B2013" s="10"/>
    </row>
    <row r="2014" spans="2:2" x14ac:dyDescent="0.25">
      <c r="B2014" s="10"/>
    </row>
    <row r="2015" spans="2:2" x14ac:dyDescent="0.25">
      <c r="B2015" s="10"/>
    </row>
    <row r="2016" spans="2:2" x14ac:dyDescent="0.25">
      <c r="B2016" s="10"/>
    </row>
    <row r="2017" spans="2:2" x14ac:dyDescent="0.25">
      <c r="B2017" s="10"/>
    </row>
    <row r="2018" spans="2:2" x14ac:dyDescent="0.25">
      <c r="B2018" s="10"/>
    </row>
    <row r="2019" spans="2:2" x14ac:dyDescent="0.25">
      <c r="B2019" s="10"/>
    </row>
    <row r="2020" spans="2:2" x14ac:dyDescent="0.25">
      <c r="B2020" s="10"/>
    </row>
    <row r="2021" spans="2:2" x14ac:dyDescent="0.25">
      <c r="B2021" s="10"/>
    </row>
    <row r="2022" spans="2:2" x14ac:dyDescent="0.25">
      <c r="B2022" s="10"/>
    </row>
    <row r="2023" spans="2:2" x14ac:dyDescent="0.25">
      <c r="B2023" s="10"/>
    </row>
    <row r="2024" spans="2:2" x14ac:dyDescent="0.25">
      <c r="B2024" s="10"/>
    </row>
    <row r="2025" spans="2:2" x14ac:dyDescent="0.25">
      <c r="B2025" s="10"/>
    </row>
    <row r="2026" spans="2:2" x14ac:dyDescent="0.25">
      <c r="B2026" s="10"/>
    </row>
    <row r="2027" spans="2:2" x14ac:dyDescent="0.25">
      <c r="B2027" s="10"/>
    </row>
    <row r="2028" spans="2:2" x14ac:dyDescent="0.25">
      <c r="B2028" s="10"/>
    </row>
    <row r="2029" spans="2:2" x14ac:dyDescent="0.25">
      <c r="B2029" s="10"/>
    </row>
    <row r="2030" spans="2:2" x14ac:dyDescent="0.25">
      <c r="B2030" s="10"/>
    </row>
    <row r="2031" spans="2:2" x14ac:dyDescent="0.25">
      <c r="B2031" s="10"/>
    </row>
    <row r="2032" spans="2:2" x14ac:dyDescent="0.25">
      <c r="B2032" s="10"/>
    </row>
    <row r="2033" spans="2:2" x14ac:dyDescent="0.25">
      <c r="B2033" s="10"/>
    </row>
    <row r="2034" spans="2:2" x14ac:dyDescent="0.25">
      <c r="B2034" s="10"/>
    </row>
    <row r="2035" spans="2:2" x14ac:dyDescent="0.25">
      <c r="B2035" s="10"/>
    </row>
    <row r="2036" spans="2:2" x14ac:dyDescent="0.25">
      <c r="B2036" s="10"/>
    </row>
    <row r="2037" spans="2:2" x14ac:dyDescent="0.25">
      <c r="B2037" s="10"/>
    </row>
    <row r="2038" spans="2:2" x14ac:dyDescent="0.25">
      <c r="B2038" s="10"/>
    </row>
    <row r="2039" spans="2:2" x14ac:dyDescent="0.25">
      <c r="B2039" s="10"/>
    </row>
    <row r="2040" spans="2:2" x14ac:dyDescent="0.25">
      <c r="B2040" s="10"/>
    </row>
    <row r="2041" spans="2:2" x14ac:dyDescent="0.25">
      <c r="B2041" s="10"/>
    </row>
    <row r="2042" spans="2:2" x14ac:dyDescent="0.25">
      <c r="B2042" s="10"/>
    </row>
    <row r="2043" spans="2:2" x14ac:dyDescent="0.25">
      <c r="B2043" s="10"/>
    </row>
    <row r="2044" spans="2:2" x14ac:dyDescent="0.25">
      <c r="B2044" s="10"/>
    </row>
    <row r="2045" spans="2:2" x14ac:dyDescent="0.25">
      <c r="B2045" s="10"/>
    </row>
    <row r="2046" spans="2:2" x14ac:dyDescent="0.25">
      <c r="B2046" s="10"/>
    </row>
    <row r="2047" spans="2:2" x14ac:dyDescent="0.25">
      <c r="B2047" s="10"/>
    </row>
    <row r="2048" spans="2:2" x14ac:dyDescent="0.25">
      <c r="B2048" s="10"/>
    </row>
    <row r="2049" spans="2:2" x14ac:dyDescent="0.25">
      <c r="B2049" s="10"/>
    </row>
    <row r="2050" spans="2:2" x14ac:dyDescent="0.25">
      <c r="B2050" s="10"/>
    </row>
    <row r="2051" spans="2:2" x14ac:dyDescent="0.25">
      <c r="B2051" s="10"/>
    </row>
    <row r="2052" spans="2:2" x14ac:dyDescent="0.25">
      <c r="B2052" s="10"/>
    </row>
    <row r="2053" spans="2:2" x14ac:dyDescent="0.25">
      <c r="B2053" s="10"/>
    </row>
    <row r="2054" spans="2:2" x14ac:dyDescent="0.25">
      <c r="B2054" s="10"/>
    </row>
    <row r="2055" spans="2:2" x14ac:dyDescent="0.25">
      <c r="B2055" s="10"/>
    </row>
    <row r="2056" spans="2:2" x14ac:dyDescent="0.25">
      <c r="B2056" s="10"/>
    </row>
    <row r="2057" spans="2:2" x14ac:dyDescent="0.25">
      <c r="B2057" s="10"/>
    </row>
    <row r="2058" spans="2:2" x14ac:dyDescent="0.25">
      <c r="B2058" s="10"/>
    </row>
    <row r="2059" spans="2:2" x14ac:dyDescent="0.25">
      <c r="B2059" s="10"/>
    </row>
    <row r="2060" spans="2:2" x14ac:dyDescent="0.25">
      <c r="B2060" s="10"/>
    </row>
    <row r="2061" spans="2:2" x14ac:dyDescent="0.25">
      <c r="B2061" s="10"/>
    </row>
    <row r="2062" spans="2:2" x14ac:dyDescent="0.25">
      <c r="B2062" s="10"/>
    </row>
    <row r="2063" spans="2:2" x14ac:dyDescent="0.25">
      <c r="B2063" s="10"/>
    </row>
    <row r="2064" spans="2:2" x14ac:dyDescent="0.25">
      <c r="B2064" s="10"/>
    </row>
    <row r="2065" spans="2:2" x14ac:dyDescent="0.25">
      <c r="B2065" s="10"/>
    </row>
    <row r="2066" spans="2:2" x14ac:dyDescent="0.25">
      <c r="B2066" s="10"/>
    </row>
    <row r="2067" spans="2:2" x14ac:dyDescent="0.25">
      <c r="B2067" s="10"/>
    </row>
    <row r="2068" spans="2:2" x14ac:dyDescent="0.25">
      <c r="B2068" s="10"/>
    </row>
    <row r="2069" spans="2:2" x14ac:dyDescent="0.25">
      <c r="B2069" s="10"/>
    </row>
    <row r="2070" spans="2:2" x14ac:dyDescent="0.25">
      <c r="B2070" s="10"/>
    </row>
    <row r="2071" spans="2:2" x14ac:dyDescent="0.25">
      <c r="B2071" s="10"/>
    </row>
    <row r="2072" spans="2:2" x14ac:dyDescent="0.25">
      <c r="B2072" s="10"/>
    </row>
    <row r="2073" spans="2:2" x14ac:dyDescent="0.25">
      <c r="B2073" s="10"/>
    </row>
    <row r="2074" spans="2:2" x14ac:dyDescent="0.25">
      <c r="B2074" s="10"/>
    </row>
    <row r="2075" spans="2:2" x14ac:dyDescent="0.25">
      <c r="B2075" s="10"/>
    </row>
    <row r="2076" spans="2:2" x14ac:dyDescent="0.25">
      <c r="B2076" s="10"/>
    </row>
    <row r="2077" spans="2:2" x14ac:dyDescent="0.25">
      <c r="B2077" s="10"/>
    </row>
    <row r="2078" spans="2:2" x14ac:dyDescent="0.25">
      <c r="B2078" s="10"/>
    </row>
    <row r="2079" spans="2:2" x14ac:dyDescent="0.25">
      <c r="B2079" s="10"/>
    </row>
    <row r="2080" spans="2:2" x14ac:dyDescent="0.25">
      <c r="B2080" s="10"/>
    </row>
    <row r="2081" spans="2:2" x14ac:dyDescent="0.25">
      <c r="B2081" s="10"/>
    </row>
    <row r="2082" spans="2:2" x14ac:dyDescent="0.25">
      <c r="B2082" s="10"/>
    </row>
    <row r="2083" spans="2:2" x14ac:dyDescent="0.25">
      <c r="B2083" s="10"/>
    </row>
    <row r="2084" spans="2:2" x14ac:dyDescent="0.25">
      <c r="B2084" s="10"/>
    </row>
    <row r="2085" spans="2:2" x14ac:dyDescent="0.25">
      <c r="B2085" s="10"/>
    </row>
    <row r="2086" spans="2:2" x14ac:dyDescent="0.25">
      <c r="B2086" s="10"/>
    </row>
    <row r="2087" spans="2:2" x14ac:dyDescent="0.25">
      <c r="B2087" s="10"/>
    </row>
    <row r="2088" spans="2:2" x14ac:dyDescent="0.25">
      <c r="B2088" s="10"/>
    </row>
    <row r="2089" spans="2:2" x14ac:dyDescent="0.25">
      <c r="B2089" s="10"/>
    </row>
    <row r="2090" spans="2:2" x14ac:dyDescent="0.25">
      <c r="B2090" s="10"/>
    </row>
    <row r="2091" spans="2:2" x14ac:dyDescent="0.25">
      <c r="B2091" s="10"/>
    </row>
    <row r="2092" spans="2:2" x14ac:dyDescent="0.25">
      <c r="B2092" s="10"/>
    </row>
    <row r="2093" spans="2:2" x14ac:dyDescent="0.25">
      <c r="B2093" s="10"/>
    </row>
    <row r="2094" spans="2:2" x14ac:dyDescent="0.25">
      <c r="B2094" s="10"/>
    </row>
    <row r="2095" spans="2:2" x14ac:dyDescent="0.25">
      <c r="B2095" s="10"/>
    </row>
    <row r="2096" spans="2:2" x14ac:dyDescent="0.25">
      <c r="B2096" s="10"/>
    </row>
    <row r="2097" spans="2:2" x14ac:dyDescent="0.25">
      <c r="B2097" s="10"/>
    </row>
    <row r="2098" spans="2:2" x14ac:dyDescent="0.25">
      <c r="B2098" s="10"/>
    </row>
    <row r="2099" spans="2:2" x14ac:dyDescent="0.25">
      <c r="B2099" s="10"/>
    </row>
    <row r="2100" spans="2:2" x14ac:dyDescent="0.25">
      <c r="B2100" s="10"/>
    </row>
    <row r="2101" spans="2:2" x14ac:dyDescent="0.25">
      <c r="B2101" s="10"/>
    </row>
    <row r="2102" spans="2:2" x14ac:dyDescent="0.25">
      <c r="B2102" s="10"/>
    </row>
    <row r="2103" spans="2:2" x14ac:dyDescent="0.25">
      <c r="B2103" s="10"/>
    </row>
    <row r="2104" spans="2:2" x14ac:dyDescent="0.25">
      <c r="B2104" s="10"/>
    </row>
    <row r="2105" spans="2:2" x14ac:dyDescent="0.25">
      <c r="B2105" s="10"/>
    </row>
    <row r="2106" spans="2:2" x14ac:dyDescent="0.25">
      <c r="B2106" s="10"/>
    </row>
    <row r="2107" spans="2:2" x14ac:dyDescent="0.25">
      <c r="B2107" s="10"/>
    </row>
    <row r="2108" spans="2:2" x14ac:dyDescent="0.25">
      <c r="B2108" s="10"/>
    </row>
    <row r="2109" spans="2:2" x14ac:dyDescent="0.25">
      <c r="B2109" s="10"/>
    </row>
    <row r="2110" spans="2:2" x14ac:dyDescent="0.25">
      <c r="B2110" s="10"/>
    </row>
    <row r="2111" spans="2:2" x14ac:dyDescent="0.25">
      <c r="B2111" s="10"/>
    </row>
    <row r="2112" spans="2:2" x14ac:dyDescent="0.25">
      <c r="B2112" s="10"/>
    </row>
    <row r="2113" spans="2:2" x14ac:dyDescent="0.25">
      <c r="B2113" s="10"/>
    </row>
    <row r="2114" spans="2:2" x14ac:dyDescent="0.25">
      <c r="B2114" s="10"/>
    </row>
    <row r="2115" spans="2:2" x14ac:dyDescent="0.25">
      <c r="B2115" s="10"/>
    </row>
    <row r="2116" spans="2:2" x14ac:dyDescent="0.25">
      <c r="B2116" s="10"/>
    </row>
    <row r="2117" spans="2:2" x14ac:dyDescent="0.25">
      <c r="B2117" s="10"/>
    </row>
    <row r="2118" spans="2:2" x14ac:dyDescent="0.25">
      <c r="B2118" s="10"/>
    </row>
    <row r="2119" spans="2:2" x14ac:dyDescent="0.25">
      <c r="B2119" s="10"/>
    </row>
    <row r="2120" spans="2:2" x14ac:dyDescent="0.25">
      <c r="B2120" s="10"/>
    </row>
    <row r="2121" spans="2:2" x14ac:dyDescent="0.25">
      <c r="B2121" s="10"/>
    </row>
    <row r="2122" spans="2:2" x14ac:dyDescent="0.25">
      <c r="B2122" s="10"/>
    </row>
    <row r="2123" spans="2:2" x14ac:dyDescent="0.25">
      <c r="B2123" s="10"/>
    </row>
    <row r="2124" spans="2:2" x14ac:dyDescent="0.25">
      <c r="B2124" s="10"/>
    </row>
    <row r="2125" spans="2:2" x14ac:dyDescent="0.25">
      <c r="B2125" s="10"/>
    </row>
    <row r="2126" spans="2:2" x14ac:dyDescent="0.25">
      <c r="B2126" s="10"/>
    </row>
    <row r="2127" spans="2:2" x14ac:dyDescent="0.25">
      <c r="B2127" s="10"/>
    </row>
    <row r="2128" spans="2:2" x14ac:dyDescent="0.25">
      <c r="B2128" s="10"/>
    </row>
    <row r="2129" spans="2:2" x14ac:dyDescent="0.25">
      <c r="B2129" s="10"/>
    </row>
    <row r="2130" spans="2:2" x14ac:dyDescent="0.25">
      <c r="B2130" s="10"/>
    </row>
    <row r="2131" spans="2:2" x14ac:dyDescent="0.25">
      <c r="B2131" s="10"/>
    </row>
    <row r="2132" spans="2:2" x14ac:dyDescent="0.25">
      <c r="B2132" s="10"/>
    </row>
    <row r="2133" spans="2:2" x14ac:dyDescent="0.25">
      <c r="B2133" s="10"/>
    </row>
    <row r="2134" spans="2:2" x14ac:dyDescent="0.25">
      <c r="B2134" s="10"/>
    </row>
    <row r="2135" spans="2:2" x14ac:dyDescent="0.25">
      <c r="B2135" s="10"/>
    </row>
    <row r="2136" spans="2:2" x14ac:dyDescent="0.25">
      <c r="B2136" s="10"/>
    </row>
    <row r="2137" spans="2:2" x14ac:dyDescent="0.25">
      <c r="B2137" s="10"/>
    </row>
    <row r="2138" spans="2:2" x14ac:dyDescent="0.25">
      <c r="B2138" s="10"/>
    </row>
    <row r="2139" spans="2:2" x14ac:dyDescent="0.25">
      <c r="B2139" s="10"/>
    </row>
    <row r="2140" spans="2:2" x14ac:dyDescent="0.25">
      <c r="B2140" s="10"/>
    </row>
    <row r="2141" spans="2:2" x14ac:dyDescent="0.25">
      <c r="B2141" s="10"/>
    </row>
    <row r="2142" spans="2:2" x14ac:dyDescent="0.25">
      <c r="B2142" s="10"/>
    </row>
    <row r="2143" spans="2:2" x14ac:dyDescent="0.25">
      <c r="B2143" s="10"/>
    </row>
    <row r="2144" spans="2:2" x14ac:dyDescent="0.25">
      <c r="B2144" s="10"/>
    </row>
    <row r="2145" spans="2:2" x14ac:dyDescent="0.25">
      <c r="B2145" s="10"/>
    </row>
    <row r="2146" spans="2:2" x14ac:dyDescent="0.25">
      <c r="B2146" s="10"/>
    </row>
    <row r="2147" spans="2:2" x14ac:dyDescent="0.25">
      <c r="B2147" s="10"/>
    </row>
    <row r="2148" spans="2:2" x14ac:dyDescent="0.25">
      <c r="B2148" s="10"/>
    </row>
    <row r="2149" spans="2:2" x14ac:dyDescent="0.25">
      <c r="B2149" s="10"/>
    </row>
    <row r="2150" spans="2:2" x14ac:dyDescent="0.25">
      <c r="B2150" s="10"/>
    </row>
    <row r="2151" spans="2:2" x14ac:dyDescent="0.25">
      <c r="B2151" s="10"/>
    </row>
    <row r="2152" spans="2:2" x14ac:dyDescent="0.25">
      <c r="B2152" s="10"/>
    </row>
    <row r="2153" spans="2:2" x14ac:dyDescent="0.25">
      <c r="B2153" s="10"/>
    </row>
    <row r="2154" spans="2:2" x14ac:dyDescent="0.25">
      <c r="B2154" s="10"/>
    </row>
    <row r="2155" spans="2:2" x14ac:dyDescent="0.25">
      <c r="B2155" s="10"/>
    </row>
    <row r="2156" spans="2:2" x14ac:dyDescent="0.25">
      <c r="B2156" s="10"/>
    </row>
    <row r="2157" spans="2:2" x14ac:dyDescent="0.25">
      <c r="B2157" s="10"/>
    </row>
    <row r="2158" spans="2:2" x14ac:dyDescent="0.25">
      <c r="B2158" s="10"/>
    </row>
    <row r="2159" spans="2:2" x14ac:dyDescent="0.25">
      <c r="B2159" s="10"/>
    </row>
    <row r="2160" spans="2:2" x14ac:dyDescent="0.25">
      <c r="B2160" s="10"/>
    </row>
    <row r="2161" spans="2:2" x14ac:dyDescent="0.25">
      <c r="B2161" s="10"/>
    </row>
    <row r="2162" spans="2:2" x14ac:dyDescent="0.25">
      <c r="B2162" s="10"/>
    </row>
    <row r="2163" spans="2:2" x14ac:dyDescent="0.25">
      <c r="B2163" s="10"/>
    </row>
    <row r="2164" spans="2:2" x14ac:dyDescent="0.25">
      <c r="B2164" s="10"/>
    </row>
    <row r="2165" spans="2:2" x14ac:dyDescent="0.25">
      <c r="B2165" s="10"/>
    </row>
    <row r="2166" spans="2:2" x14ac:dyDescent="0.25">
      <c r="B2166" s="10"/>
    </row>
    <row r="2167" spans="2:2" x14ac:dyDescent="0.25">
      <c r="B2167" s="10"/>
    </row>
    <row r="2168" spans="2:2" x14ac:dyDescent="0.25">
      <c r="B2168" s="10"/>
    </row>
    <row r="2169" spans="2:2" x14ac:dyDescent="0.25">
      <c r="B2169" s="10"/>
    </row>
    <row r="2170" spans="2:2" x14ac:dyDescent="0.25">
      <c r="B2170" s="10"/>
    </row>
    <row r="2171" spans="2:2" x14ac:dyDescent="0.25">
      <c r="B2171" s="10"/>
    </row>
    <row r="2172" spans="2:2" x14ac:dyDescent="0.25">
      <c r="B2172" s="10"/>
    </row>
    <row r="2173" spans="2:2" x14ac:dyDescent="0.25">
      <c r="B2173" s="10"/>
    </row>
    <row r="2174" spans="2:2" x14ac:dyDescent="0.25">
      <c r="B2174" s="10"/>
    </row>
    <row r="2175" spans="2:2" x14ac:dyDescent="0.25">
      <c r="B2175" s="10"/>
    </row>
    <row r="2176" spans="2:2" x14ac:dyDescent="0.25">
      <c r="B2176" s="10"/>
    </row>
    <row r="2177" spans="2:2" x14ac:dyDescent="0.25">
      <c r="B2177" s="10"/>
    </row>
    <row r="2178" spans="2:2" x14ac:dyDescent="0.25">
      <c r="B2178" s="10"/>
    </row>
    <row r="2179" spans="2:2" x14ac:dyDescent="0.25">
      <c r="B2179" s="10"/>
    </row>
    <row r="2180" spans="2:2" x14ac:dyDescent="0.25">
      <c r="B2180" s="10"/>
    </row>
    <row r="2181" spans="2:2" x14ac:dyDescent="0.25">
      <c r="B2181" s="10"/>
    </row>
    <row r="2182" spans="2:2" x14ac:dyDescent="0.25">
      <c r="B2182" s="10"/>
    </row>
    <row r="2183" spans="2:2" x14ac:dyDescent="0.25">
      <c r="B2183" s="10"/>
    </row>
    <row r="2184" spans="2:2" x14ac:dyDescent="0.25">
      <c r="B2184" s="10"/>
    </row>
    <row r="2185" spans="2:2" x14ac:dyDescent="0.25">
      <c r="B2185" s="10"/>
    </row>
    <row r="2186" spans="2:2" x14ac:dyDescent="0.25">
      <c r="B2186" s="10"/>
    </row>
    <row r="2187" spans="2:2" x14ac:dyDescent="0.25">
      <c r="B2187" s="10"/>
    </row>
    <row r="2188" spans="2:2" x14ac:dyDescent="0.25">
      <c r="B2188" s="10"/>
    </row>
    <row r="2189" spans="2:2" x14ac:dyDescent="0.25">
      <c r="B2189" s="10"/>
    </row>
    <row r="2190" spans="2:2" x14ac:dyDescent="0.25">
      <c r="B2190" s="10"/>
    </row>
    <row r="2191" spans="2:2" x14ac:dyDescent="0.25">
      <c r="B2191" s="10"/>
    </row>
    <row r="2192" spans="2:2" x14ac:dyDescent="0.25">
      <c r="B2192" s="10"/>
    </row>
    <row r="2193" spans="2:2" x14ac:dyDescent="0.25">
      <c r="B2193" s="10"/>
    </row>
    <row r="2194" spans="2:2" x14ac:dyDescent="0.25">
      <c r="B2194" s="10"/>
    </row>
    <row r="2195" spans="2:2" x14ac:dyDescent="0.25">
      <c r="B2195" s="10"/>
    </row>
    <row r="2196" spans="2:2" x14ac:dyDescent="0.25">
      <c r="B2196" s="10"/>
    </row>
    <row r="2197" spans="2:2" x14ac:dyDescent="0.25">
      <c r="B2197" s="10"/>
    </row>
    <row r="2198" spans="2:2" x14ac:dyDescent="0.25">
      <c r="B2198" s="10"/>
    </row>
    <row r="2199" spans="2:2" x14ac:dyDescent="0.25">
      <c r="B2199" s="10"/>
    </row>
    <row r="2200" spans="2:2" x14ac:dyDescent="0.25">
      <c r="B2200" s="10"/>
    </row>
    <row r="2201" spans="2:2" x14ac:dyDescent="0.25">
      <c r="B2201" s="10"/>
    </row>
    <row r="2202" spans="2:2" x14ac:dyDescent="0.25">
      <c r="B2202" s="10"/>
    </row>
    <row r="2203" spans="2:2" x14ac:dyDescent="0.25">
      <c r="B2203" s="10"/>
    </row>
    <row r="2204" spans="2:2" x14ac:dyDescent="0.25">
      <c r="B2204" s="10"/>
    </row>
    <row r="2205" spans="2:2" x14ac:dyDescent="0.25">
      <c r="B2205" s="10"/>
    </row>
    <row r="2206" spans="2:2" x14ac:dyDescent="0.25">
      <c r="B2206" s="10"/>
    </row>
    <row r="2207" spans="2:2" x14ac:dyDescent="0.25">
      <c r="B2207" s="10"/>
    </row>
    <row r="2208" spans="2:2" x14ac:dyDescent="0.25">
      <c r="B2208" s="10"/>
    </row>
    <row r="2209" spans="2:2" x14ac:dyDescent="0.25">
      <c r="B2209" s="10"/>
    </row>
    <row r="2210" spans="2:2" x14ac:dyDescent="0.25">
      <c r="B2210" s="10"/>
    </row>
    <row r="2211" spans="2:2" x14ac:dyDescent="0.25">
      <c r="B2211" s="10"/>
    </row>
    <row r="2212" spans="2:2" x14ac:dyDescent="0.25">
      <c r="B2212" s="10"/>
    </row>
    <row r="2213" spans="2:2" x14ac:dyDescent="0.25">
      <c r="B2213" s="10"/>
    </row>
    <row r="2214" spans="2:2" x14ac:dyDescent="0.25">
      <c r="B2214" s="10"/>
    </row>
    <row r="2215" spans="2:2" x14ac:dyDescent="0.25">
      <c r="B2215" s="10"/>
    </row>
    <row r="2216" spans="2:2" x14ac:dyDescent="0.25">
      <c r="B2216" s="10"/>
    </row>
    <row r="2217" spans="2:2" x14ac:dyDescent="0.25">
      <c r="B2217" s="10"/>
    </row>
    <row r="2218" spans="2:2" x14ac:dyDescent="0.25">
      <c r="B2218" s="10"/>
    </row>
    <row r="2219" spans="2:2" x14ac:dyDescent="0.25">
      <c r="B2219" s="10"/>
    </row>
    <row r="2220" spans="2:2" x14ac:dyDescent="0.25">
      <c r="B2220" s="10"/>
    </row>
    <row r="2221" spans="2:2" x14ac:dyDescent="0.25">
      <c r="B2221" s="10"/>
    </row>
    <row r="2222" spans="2:2" x14ac:dyDescent="0.25">
      <c r="B2222" s="10"/>
    </row>
    <row r="2223" spans="2:2" x14ac:dyDescent="0.25">
      <c r="B2223" s="10"/>
    </row>
    <row r="2224" spans="2:2" x14ac:dyDescent="0.25">
      <c r="B2224" s="10"/>
    </row>
    <row r="2225" spans="2:2" x14ac:dyDescent="0.25">
      <c r="B2225" s="10"/>
    </row>
    <row r="2226" spans="2:2" x14ac:dyDescent="0.25">
      <c r="B2226" s="10"/>
    </row>
    <row r="2227" spans="2:2" x14ac:dyDescent="0.25">
      <c r="B2227" s="10"/>
    </row>
    <row r="2228" spans="2:2" x14ac:dyDescent="0.25">
      <c r="B2228" s="10"/>
    </row>
    <row r="2229" spans="2:2" x14ac:dyDescent="0.25">
      <c r="B2229" s="10"/>
    </row>
    <row r="2230" spans="2:2" x14ac:dyDescent="0.25">
      <c r="B2230" s="10"/>
    </row>
    <row r="2231" spans="2:2" x14ac:dyDescent="0.25">
      <c r="B2231" s="10"/>
    </row>
    <row r="2232" spans="2:2" x14ac:dyDescent="0.25">
      <c r="B2232" s="10"/>
    </row>
    <row r="2233" spans="2:2" x14ac:dyDescent="0.25">
      <c r="B2233" s="10"/>
    </row>
    <row r="2234" spans="2:2" x14ac:dyDescent="0.25">
      <c r="B2234" s="10"/>
    </row>
    <row r="2235" spans="2:2" x14ac:dyDescent="0.25">
      <c r="B2235" s="10"/>
    </row>
    <row r="2236" spans="2:2" x14ac:dyDescent="0.25">
      <c r="B2236" s="10"/>
    </row>
    <row r="2237" spans="2:2" x14ac:dyDescent="0.25">
      <c r="B2237" s="10"/>
    </row>
    <row r="2238" spans="2:2" x14ac:dyDescent="0.25">
      <c r="B2238" s="10"/>
    </row>
    <row r="2239" spans="2:2" x14ac:dyDescent="0.25">
      <c r="B2239" s="10"/>
    </row>
    <row r="2240" spans="2:2" x14ac:dyDescent="0.25">
      <c r="B2240" s="10"/>
    </row>
    <row r="2241" spans="2:2" x14ac:dyDescent="0.25">
      <c r="B2241" s="10"/>
    </row>
    <row r="2242" spans="2:2" x14ac:dyDescent="0.25">
      <c r="B2242" s="10"/>
    </row>
    <row r="2243" spans="2:2" x14ac:dyDescent="0.25">
      <c r="B2243" s="10"/>
    </row>
    <row r="2244" spans="2:2" x14ac:dyDescent="0.25">
      <c r="B2244" s="10"/>
    </row>
    <row r="2245" spans="2:2" x14ac:dyDescent="0.25">
      <c r="B2245" s="10"/>
    </row>
    <row r="2246" spans="2:2" x14ac:dyDescent="0.25">
      <c r="B2246" s="10"/>
    </row>
    <row r="2247" spans="2:2" x14ac:dyDescent="0.25">
      <c r="B2247" s="10"/>
    </row>
    <row r="2248" spans="2:2" x14ac:dyDescent="0.25">
      <c r="B2248" s="10"/>
    </row>
    <row r="2249" spans="2:2" x14ac:dyDescent="0.25">
      <c r="B2249" s="10"/>
    </row>
    <row r="2250" spans="2:2" x14ac:dyDescent="0.25">
      <c r="B2250" s="10"/>
    </row>
    <row r="2251" spans="2:2" x14ac:dyDescent="0.25">
      <c r="B2251" s="10"/>
    </row>
    <row r="2252" spans="2:2" x14ac:dyDescent="0.25">
      <c r="B2252" s="10"/>
    </row>
    <row r="2253" spans="2:2" x14ac:dyDescent="0.25">
      <c r="B2253" s="10"/>
    </row>
    <row r="2254" spans="2:2" x14ac:dyDescent="0.25">
      <c r="B2254" s="10"/>
    </row>
    <row r="2255" spans="2:2" x14ac:dyDescent="0.25">
      <c r="B2255" s="10"/>
    </row>
    <row r="2256" spans="2:2" x14ac:dyDescent="0.25">
      <c r="B2256" s="10"/>
    </row>
    <row r="2257" spans="2:2" x14ac:dyDescent="0.25">
      <c r="B2257" s="10"/>
    </row>
    <row r="2258" spans="2:2" x14ac:dyDescent="0.25">
      <c r="B2258" s="10"/>
    </row>
    <row r="2259" spans="2:2" x14ac:dyDescent="0.25">
      <c r="B2259" s="10"/>
    </row>
    <row r="2260" spans="2:2" x14ac:dyDescent="0.25">
      <c r="B2260" s="10"/>
    </row>
    <row r="2261" spans="2:2" x14ac:dyDescent="0.25">
      <c r="B2261" s="10"/>
    </row>
    <row r="2262" spans="2:2" x14ac:dyDescent="0.25">
      <c r="B2262" s="10"/>
    </row>
    <row r="2263" spans="2:2" x14ac:dyDescent="0.25">
      <c r="B2263" s="10"/>
    </row>
    <row r="2264" spans="2:2" x14ac:dyDescent="0.25">
      <c r="B2264" s="10"/>
    </row>
    <row r="2265" spans="2:2" x14ac:dyDescent="0.25">
      <c r="B2265" s="10"/>
    </row>
    <row r="2266" spans="2:2" x14ac:dyDescent="0.25">
      <c r="B2266" s="10"/>
    </row>
    <row r="2267" spans="2:2" x14ac:dyDescent="0.25">
      <c r="B2267" s="10"/>
    </row>
    <row r="2268" spans="2:2" x14ac:dyDescent="0.25">
      <c r="B2268" s="10"/>
    </row>
    <row r="2269" spans="2:2" x14ac:dyDescent="0.25">
      <c r="B2269" s="10"/>
    </row>
    <row r="2270" spans="2:2" x14ac:dyDescent="0.25">
      <c r="B2270" s="10"/>
    </row>
    <row r="2271" spans="2:2" x14ac:dyDescent="0.25">
      <c r="B2271" s="10"/>
    </row>
    <row r="2272" spans="2:2" x14ac:dyDescent="0.25">
      <c r="B2272" s="10"/>
    </row>
    <row r="2273" spans="2:2" x14ac:dyDescent="0.25">
      <c r="B2273" s="10"/>
    </row>
    <row r="2274" spans="2:2" x14ac:dyDescent="0.25">
      <c r="B2274" s="10"/>
    </row>
    <row r="2275" spans="2:2" x14ac:dyDescent="0.25">
      <c r="B2275" s="10"/>
    </row>
    <row r="2276" spans="2:2" x14ac:dyDescent="0.25">
      <c r="B2276" s="10"/>
    </row>
    <row r="2277" spans="2:2" x14ac:dyDescent="0.25">
      <c r="B2277" s="10"/>
    </row>
    <row r="2278" spans="2:2" x14ac:dyDescent="0.25">
      <c r="B2278" s="10"/>
    </row>
    <row r="2279" spans="2:2" x14ac:dyDescent="0.25">
      <c r="B2279" s="10"/>
    </row>
    <row r="2280" spans="2:2" x14ac:dyDescent="0.25">
      <c r="B2280" s="10"/>
    </row>
    <row r="2281" spans="2:2" x14ac:dyDescent="0.25">
      <c r="B2281" s="10"/>
    </row>
    <row r="2282" spans="2:2" x14ac:dyDescent="0.25">
      <c r="B2282" s="10"/>
    </row>
    <row r="2283" spans="2:2" x14ac:dyDescent="0.25">
      <c r="B2283" s="10"/>
    </row>
    <row r="2284" spans="2:2" x14ac:dyDescent="0.25">
      <c r="B2284" s="10"/>
    </row>
    <row r="2285" spans="2:2" x14ac:dyDescent="0.25">
      <c r="B2285" s="10"/>
    </row>
    <row r="2286" spans="2:2" x14ac:dyDescent="0.25">
      <c r="B2286" s="10"/>
    </row>
    <row r="2287" spans="2:2" x14ac:dyDescent="0.25">
      <c r="B2287" s="10"/>
    </row>
    <row r="2288" spans="2:2" x14ac:dyDescent="0.25">
      <c r="B2288" s="10"/>
    </row>
    <row r="2289" spans="2:2" x14ac:dyDescent="0.25">
      <c r="B2289" s="10"/>
    </row>
    <row r="2290" spans="2:2" x14ac:dyDescent="0.25">
      <c r="B2290" s="10"/>
    </row>
    <row r="2291" spans="2:2" x14ac:dyDescent="0.25">
      <c r="B2291" s="10"/>
    </row>
    <row r="2292" spans="2:2" x14ac:dyDescent="0.25">
      <c r="B2292" s="10"/>
    </row>
    <row r="2293" spans="2:2" x14ac:dyDescent="0.25">
      <c r="B2293" s="10"/>
    </row>
    <row r="2294" spans="2:2" x14ac:dyDescent="0.25">
      <c r="B2294" s="10"/>
    </row>
    <row r="2295" spans="2:2" x14ac:dyDescent="0.25">
      <c r="B2295" s="10"/>
    </row>
    <row r="2296" spans="2:2" x14ac:dyDescent="0.25">
      <c r="B2296" s="10"/>
    </row>
    <row r="2297" spans="2:2" x14ac:dyDescent="0.25">
      <c r="B2297" s="10"/>
    </row>
    <row r="2298" spans="2:2" x14ac:dyDescent="0.25">
      <c r="B2298" s="10"/>
    </row>
    <row r="2299" spans="2:2" x14ac:dyDescent="0.25">
      <c r="B2299" s="10"/>
    </row>
    <row r="2300" spans="2:2" x14ac:dyDescent="0.25">
      <c r="B2300" s="10"/>
    </row>
    <row r="2301" spans="2:2" x14ac:dyDescent="0.25">
      <c r="B2301" s="10"/>
    </row>
    <row r="2302" spans="2:2" x14ac:dyDescent="0.25">
      <c r="B2302" s="10"/>
    </row>
    <row r="2303" spans="2:2" x14ac:dyDescent="0.25">
      <c r="B2303" s="10"/>
    </row>
    <row r="2304" spans="2:2" x14ac:dyDescent="0.25">
      <c r="B2304" s="10"/>
    </row>
    <row r="2305" spans="2:2" x14ac:dyDescent="0.25">
      <c r="B2305" s="10"/>
    </row>
    <row r="2306" spans="2:2" x14ac:dyDescent="0.25">
      <c r="B2306" s="10"/>
    </row>
    <row r="2307" spans="2:2" x14ac:dyDescent="0.25">
      <c r="B2307" s="10"/>
    </row>
    <row r="2308" spans="2:2" x14ac:dyDescent="0.25">
      <c r="B2308" s="10"/>
    </row>
    <row r="2309" spans="2:2" x14ac:dyDescent="0.25">
      <c r="B2309" s="10"/>
    </row>
    <row r="2310" spans="2:2" x14ac:dyDescent="0.25">
      <c r="B2310" s="10"/>
    </row>
    <row r="2311" spans="2:2" x14ac:dyDescent="0.25">
      <c r="B2311" s="10"/>
    </row>
    <row r="2312" spans="2:2" x14ac:dyDescent="0.25">
      <c r="B2312" s="10"/>
    </row>
    <row r="2313" spans="2:2" x14ac:dyDescent="0.25">
      <c r="B2313" s="10"/>
    </row>
    <row r="2314" spans="2:2" x14ac:dyDescent="0.25">
      <c r="B2314" s="10"/>
    </row>
    <row r="2315" spans="2:2" x14ac:dyDescent="0.25">
      <c r="B2315" s="10"/>
    </row>
    <row r="2316" spans="2:2" x14ac:dyDescent="0.25">
      <c r="B2316" s="10"/>
    </row>
    <row r="2317" spans="2:2" x14ac:dyDescent="0.25">
      <c r="B2317" s="10"/>
    </row>
    <row r="2318" spans="2:2" x14ac:dyDescent="0.25">
      <c r="B2318" s="10"/>
    </row>
    <row r="2319" spans="2:2" x14ac:dyDescent="0.25">
      <c r="B2319" s="10"/>
    </row>
    <row r="2320" spans="2:2" x14ac:dyDescent="0.25">
      <c r="B2320" s="10"/>
    </row>
    <row r="2321" spans="2:2" x14ac:dyDescent="0.25">
      <c r="B2321" s="10"/>
    </row>
    <row r="2322" spans="2:2" x14ac:dyDescent="0.25">
      <c r="B2322" s="10"/>
    </row>
    <row r="2323" spans="2:2" x14ac:dyDescent="0.25">
      <c r="B2323" s="10"/>
    </row>
    <row r="2324" spans="2:2" x14ac:dyDescent="0.25">
      <c r="B2324" s="10"/>
    </row>
    <row r="2325" spans="2:2" x14ac:dyDescent="0.25">
      <c r="B2325" s="10"/>
    </row>
    <row r="2326" spans="2:2" x14ac:dyDescent="0.25">
      <c r="B2326" s="10"/>
    </row>
    <row r="2327" spans="2:2" x14ac:dyDescent="0.25">
      <c r="B2327" s="10"/>
    </row>
    <row r="2328" spans="2:2" x14ac:dyDescent="0.25">
      <c r="B2328" s="10"/>
    </row>
    <row r="2329" spans="2:2" x14ac:dyDescent="0.25">
      <c r="B2329" s="10"/>
    </row>
    <row r="2330" spans="2:2" x14ac:dyDescent="0.25">
      <c r="B2330" s="10"/>
    </row>
    <row r="2331" spans="2:2" x14ac:dyDescent="0.25">
      <c r="B2331" s="10"/>
    </row>
    <row r="2332" spans="2:2" x14ac:dyDescent="0.25">
      <c r="B2332" s="10"/>
    </row>
    <row r="2333" spans="2:2" x14ac:dyDescent="0.25">
      <c r="B2333" s="10"/>
    </row>
    <row r="2334" spans="2:2" x14ac:dyDescent="0.25">
      <c r="B2334" s="10"/>
    </row>
    <row r="2335" spans="2:2" x14ac:dyDescent="0.25">
      <c r="B2335" s="10"/>
    </row>
    <row r="2336" spans="2:2" x14ac:dyDescent="0.25">
      <c r="B2336" s="10"/>
    </row>
    <row r="2337" spans="2:2" x14ac:dyDescent="0.25">
      <c r="B2337" s="10"/>
    </row>
    <row r="2338" spans="2:2" x14ac:dyDescent="0.25">
      <c r="B2338" s="10"/>
    </row>
    <row r="2339" spans="2:2" x14ac:dyDescent="0.25">
      <c r="B2339" s="10"/>
    </row>
    <row r="2340" spans="2:2" x14ac:dyDescent="0.25">
      <c r="B2340" s="10"/>
    </row>
    <row r="2341" spans="2:2" x14ac:dyDescent="0.25">
      <c r="B2341" s="10"/>
    </row>
    <row r="2342" spans="2:2" x14ac:dyDescent="0.25">
      <c r="B2342" s="10"/>
    </row>
    <row r="2343" spans="2:2" x14ac:dyDescent="0.25">
      <c r="B2343" s="10"/>
    </row>
    <row r="2344" spans="2:2" x14ac:dyDescent="0.25">
      <c r="B2344" s="10"/>
    </row>
    <row r="2345" spans="2:2" x14ac:dyDescent="0.25">
      <c r="B2345" s="10"/>
    </row>
    <row r="2346" spans="2:2" x14ac:dyDescent="0.25">
      <c r="B2346" s="10"/>
    </row>
    <row r="2347" spans="2:2" x14ac:dyDescent="0.25">
      <c r="B2347" s="10"/>
    </row>
    <row r="2348" spans="2:2" x14ac:dyDescent="0.25">
      <c r="B2348" s="10"/>
    </row>
    <row r="2349" spans="2:2" x14ac:dyDescent="0.25">
      <c r="B2349" s="10"/>
    </row>
    <row r="2350" spans="2:2" x14ac:dyDescent="0.25">
      <c r="B2350" s="10"/>
    </row>
    <row r="2351" spans="2:2" x14ac:dyDescent="0.25">
      <c r="B2351" s="10"/>
    </row>
    <row r="2352" spans="2:2" x14ac:dyDescent="0.25">
      <c r="B2352" s="10"/>
    </row>
    <row r="2353" spans="2:2" x14ac:dyDescent="0.25">
      <c r="B2353" s="10"/>
    </row>
    <row r="2354" spans="2:2" x14ac:dyDescent="0.25">
      <c r="B2354" s="10"/>
    </row>
    <row r="2355" spans="2:2" x14ac:dyDescent="0.25">
      <c r="B2355" s="10"/>
    </row>
    <row r="2356" spans="2:2" x14ac:dyDescent="0.25">
      <c r="B2356" s="10"/>
    </row>
    <row r="2357" spans="2:2" x14ac:dyDescent="0.25">
      <c r="B2357" s="10"/>
    </row>
    <row r="2358" spans="2:2" x14ac:dyDescent="0.25">
      <c r="B2358" s="10"/>
    </row>
    <row r="2359" spans="2:2" x14ac:dyDescent="0.25">
      <c r="B2359" s="10"/>
    </row>
    <row r="2360" spans="2:2" x14ac:dyDescent="0.25">
      <c r="B2360" s="10"/>
    </row>
    <row r="2361" spans="2:2" x14ac:dyDescent="0.25">
      <c r="B2361" s="10"/>
    </row>
    <row r="2362" spans="2:2" x14ac:dyDescent="0.25">
      <c r="B2362" s="10"/>
    </row>
    <row r="2363" spans="2:2" x14ac:dyDescent="0.25">
      <c r="B2363" s="10"/>
    </row>
    <row r="2364" spans="2:2" x14ac:dyDescent="0.25">
      <c r="B2364" s="10"/>
    </row>
    <row r="2365" spans="2:2" x14ac:dyDescent="0.25">
      <c r="B2365" s="10"/>
    </row>
    <row r="2366" spans="2:2" x14ac:dyDescent="0.25">
      <c r="B2366" s="10"/>
    </row>
    <row r="2367" spans="2:2" x14ac:dyDescent="0.25">
      <c r="B2367" s="10"/>
    </row>
    <row r="2368" spans="2:2" x14ac:dyDescent="0.25">
      <c r="B2368" s="10"/>
    </row>
    <row r="2369" spans="2:2" x14ac:dyDescent="0.25">
      <c r="B2369" s="10"/>
    </row>
    <row r="2370" spans="2:2" x14ac:dyDescent="0.25">
      <c r="B2370" s="10"/>
    </row>
    <row r="2371" spans="2:2" x14ac:dyDescent="0.25">
      <c r="B2371" s="10"/>
    </row>
    <row r="2372" spans="2:2" x14ac:dyDescent="0.25">
      <c r="B2372" s="10"/>
    </row>
    <row r="2373" spans="2:2" x14ac:dyDescent="0.25">
      <c r="B2373" s="10"/>
    </row>
    <row r="2374" spans="2:2" x14ac:dyDescent="0.25">
      <c r="B2374" s="10"/>
    </row>
    <row r="2375" spans="2:2" x14ac:dyDescent="0.25">
      <c r="B2375" s="10"/>
    </row>
    <row r="2376" spans="2:2" x14ac:dyDescent="0.25">
      <c r="B2376" s="10"/>
    </row>
    <row r="2377" spans="2:2" x14ac:dyDescent="0.25">
      <c r="B2377" s="10"/>
    </row>
    <row r="2378" spans="2:2" x14ac:dyDescent="0.25">
      <c r="B2378" s="10"/>
    </row>
    <row r="2379" spans="2:2" x14ac:dyDescent="0.25">
      <c r="B2379" s="10"/>
    </row>
    <row r="2380" spans="2:2" x14ac:dyDescent="0.25">
      <c r="B2380" s="10"/>
    </row>
    <row r="2381" spans="2:2" x14ac:dyDescent="0.25">
      <c r="B2381" s="10"/>
    </row>
    <row r="2382" spans="2:2" x14ac:dyDescent="0.25">
      <c r="B2382" s="10"/>
    </row>
    <row r="2383" spans="2:2" x14ac:dyDescent="0.25">
      <c r="B2383" s="10"/>
    </row>
    <row r="2384" spans="2:2" x14ac:dyDescent="0.25">
      <c r="B2384" s="10"/>
    </row>
    <row r="2385" spans="2:2" x14ac:dyDescent="0.25">
      <c r="B2385" s="10"/>
    </row>
    <row r="2386" spans="2:2" x14ac:dyDescent="0.25">
      <c r="B2386" s="10"/>
    </row>
    <row r="2387" spans="2:2" x14ac:dyDescent="0.25">
      <c r="B2387" s="10"/>
    </row>
    <row r="2388" spans="2:2" x14ac:dyDescent="0.25">
      <c r="B2388" s="10"/>
    </row>
    <row r="2389" spans="2:2" x14ac:dyDescent="0.25">
      <c r="B2389" s="10"/>
    </row>
    <row r="2390" spans="2:2" x14ac:dyDescent="0.25">
      <c r="B2390" s="10"/>
    </row>
    <row r="2391" spans="2:2" x14ac:dyDescent="0.25">
      <c r="B2391" s="10"/>
    </row>
    <row r="2392" spans="2:2" x14ac:dyDescent="0.25">
      <c r="B2392" s="10"/>
    </row>
    <row r="2393" spans="2:2" x14ac:dyDescent="0.25">
      <c r="B2393" s="10"/>
    </row>
    <row r="2394" spans="2:2" x14ac:dyDescent="0.25">
      <c r="B2394" s="10"/>
    </row>
    <row r="2395" spans="2:2" x14ac:dyDescent="0.25">
      <c r="B2395" s="10"/>
    </row>
    <row r="2396" spans="2:2" x14ac:dyDescent="0.25">
      <c r="B2396" s="10"/>
    </row>
    <row r="2397" spans="2:2" x14ac:dyDescent="0.25">
      <c r="B2397" s="10"/>
    </row>
    <row r="2398" spans="2:2" x14ac:dyDescent="0.25">
      <c r="B2398" s="10"/>
    </row>
    <row r="2399" spans="2:2" x14ac:dyDescent="0.25">
      <c r="B2399" s="10"/>
    </row>
    <row r="2400" spans="2:2" x14ac:dyDescent="0.25">
      <c r="B2400" s="10"/>
    </row>
    <row r="2401" spans="2:2" x14ac:dyDescent="0.25">
      <c r="B2401" s="10"/>
    </row>
    <row r="2402" spans="2:2" x14ac:dyDescent="0.25">
      <c r="B2402" s="10"/>
    </row>
    <row r="2403" spans="2:2" x14ac:dyDescent="0.25">
      <c r="B2403" s="10"/>
    </row>
    <row r="2404" spans="2:2" x14ac:dyDescent="0.25">
      <c r="B2404" s="10"/>
    </row>
    <row r="2405" spans="2:2" x14ac:dyDescent="0.25">
      <c r="B2405" s="10"/>
    </row>
    <row r="2406" spans="2:2" x14ac:dyDescent="0.25">
      <c r="B2406" s="10"/>
    </row>
    <row r="2407" spans="2:2" x14ac:dyDescent="0.25">
      <c r="B2407" s="10"/>
    </row>
    <row r="2408" spans="2:2" x14ac:dyDescent="0.25">
      <c r="B2408" s="10"/>
    </row>
    <row r="2409" spans="2:2" x14ac:dyDescent="0.25">
      <c r="B2409" s="10"/>
    </row>
    <row r="2410" spans="2:2" x14ac:dyDescent="0.25">
      <c r="B2410" s="10"/>
    </row>
    <row r="2411" spans="2:2" x14ac:dyDescent="0.25">
      <c r="B2411" s="10"/>
    </row>
    <row r="2412" spans="2:2" x14ac:dyDescent="0.25">
      <c r="B2412" s="10"/>
    </row>
    <row r="2413" spans="2:2" x14ac:dyDescent="0.25">
      <c r="B2413" s="10"/>
    </row>
    <row r="2414" spans="2:2" x14ac:dyDescent="0.25">
      <c r="B2414" s="10"/>
    </row>
    <row r="2415" spans="2:2" x14ac:dyDescent="0.25">
      <c r="B2415" s="10"/>
    </row>
    <row r="2416" spans="2:2" x14ac:dyDescent="0.25">
      <c r="B2416" s="10"/>
    </row>
    <row r="2417" spans="2:2" x14ac:dyDescent="0.25">
      <c r="B2417" s="10"/>
    </row>
    <row r="2418" spans="2:2" x14ac:dyDescent="0.25">
      <c r="B2418" s="10"/>
    </row>
    <row r="2419" spans="2:2" x14ac:dyDescent="0.25">
      <c r="B2419" s="10"/>
    </row>
    <row r="2420" spans="2:2" x14ac:dyDescent="0.25">
      <c r="B2420" s="10"/>
    </row>
    <row r="2421" spans="2:2" x14ac:dyDescent="0.25">
      <c r="B2421" s="10"/>
    </row>
    <row r="2422" spans="2:2" x14ac:dyDescent="0.25">
      <c r="B2422" s="10"/>
    </row>
    <row r="2423" spans="2:2" x14ac:dyDescent="0.25">
      <c r="B2423" s="10"/>
    </row>
    <row r="2424" spans="2:2" x14ac:dyDescent="0.25">
      <c r="B2424" s="10"/>
    </row>
    <row r="2425" spans="2:2" x14ac:dyDescent="0.25">
      <c r="B2425" s="10"/>
    </row>
    <row r="2426" spans="2:2" x14ac:dyDescent="0.25">
      <c r="B2426" s="10"/>
    </row>
    <row r="2427" spans="2:2" x14ac:dyDescent="0.25">
      <c r="B2427" s="10"/>
    </row>
    <row r="2428" spans="2:2" x14ac:dyDescent="0.25">
      <c r="B2428" s="10"/>
    </row>
    <row r="2429" spans="2:2" x14ac:dyDescent="0.25">
      <c r="B2429" s="10"/>
    </row>
    <row r="2430" spans="2:2" x14ac:dyDescent="0.25">
      <c r="B2430" s="10"/>
    </row>
    <row r="2431" spans="2:2" x14ac:dyDescent="0.25">
      <c r="B2431" s="10"/>
    </row>
    <row r="2432" spans="2:2" x14ac:dyDescent="0.25">
      <c r="B2432" s="10"/>
    </row>
    <row r="2433" spans="2:2" x14ac:dyDescent="0.25">
      <c r="B2433" s="10"/>
    </row>
    <row r="2434" spans="2:2" x14ac:dyDescent="0.25">
      <c r="B2434" s="10"/>
    </row>
    <row r="2435" spans="2:2" x14ac:dyDescent="0.25">
      <c r="B2435" s="10"/>
    </row>
    <row r="2436" spans="2:2" x14ac:dyDescent="0.25">
      <c r="B2436" s="10"/>
    </row>
    <row r="2437" spans="2:2" x14ac:dyDescent="0.25">
      <c r="B2437" s="10"/>
    </row>
    <row r="2438" spans="2:2" x14ac:dyDescent="0.25">
      <c r="B2438" s="10"/>
    </row>
    <row r="2439" spans="2:2" x14ac:dyDescent="0.25">
      <c r="B2439" s="10"/>
    </row>
    <row r="2440" spans="2:2" x14ac:dyDescent="0.25">
      <c r="B2440" s="10"/>
    </row>
    <row r="2441" spans="2:2" x14ac:dyDescent="0.25">
      <c r="B2441" s="10"/>
    </row>
    <row r="2442" spans="2:2" x14ac:dyDescent="0.25">
      <c r="B2442" s="10"/>
    </row>
    <row r="2443" spans="2:2" x14ac:dyDescent="0.25">
      <c r="B2443" s="10"/>
    </row>
    <row r="2444" spans="2:2" x14ac:dyDescent="0.25">
      <c r="B2444" s="10"/>
    </row>
    <row r="2445" spans="2:2" x14ac:dyDescent="0.25">
      <c r="B2445" s="10"/>
    </row>
    <row r="2446" spans="2:2" x14ac:dyDescent="0.25">
      <c r="B2446" s="10"/>
    </row>
    <row r="2447" spans="2:2" x14ac:dyDescent="0.25">
      <c r="B2447" s="10"/>
    </row>
    <row r="2448" spans="2:2" x14ac:dyDescent="0.25">
      <c r="B2448" s="10"/>
    </row>
    <row r="2449" spans="2:2" x14ac:dyDescent="0.25">
      <c r="B2449" s="10"/>
    </row>
    <row r="2450" spans="2:2" x14ac:dyDescent="0.25">
      <c r="B2450" s="10"/>
    </row>
    <row r="2451" spans="2:2" x14ac:dyDescent="0.25">
      <c r="B2451" s="10"/>
    </row>
    <row r="2452" spans="2:2" x14ac:dyDescent="0.25">
      <c r="B2452" s="10"/>
    </row>
    <row r="2453" spans="2:2" x14ac:dyDescent="0.25">
      <c r="B2453" s="10"/>
    </row>
    <row r="2454" spans="2:2" x14ac:dyDescent="0.25">
      <c r="B2454" s="10"/>
    </row>
    <row r="2455" spans="2:2" x14ac:dyDescent="0.25">
      <c r="B2455" s="10"/>
    </row>
    <row r="2456" spans="2:2" x14ac:dyDescent="0.25">
      <c r="B2456" s="10"/>
    </row>
    <row r="2457" spans="2:2" x14ac:dyDescent="0.25">
      <c r="B2457" s="10"/>
    </row>
    <row r="2458" spans="2:2" x14ac:dyDescent="0.25">
      <c r="B2458" s="10"/>
    </row>
    <row r="2459" spans="2:2" x14ac:dyDescent="0.25">
      <c r="B2459" s="10"/>
    </row>
    <row r="2460" spans="2:2" x14ac:dyDescent="0.25">
      <c r="B2460" s="10"/>
    </row>
    <row r="2461" spans="2:2" x14ac:dyDescent="0.25">
      <c r="B2461" s="10"/>
    </row>
    <row r="2462" spans="2:2" x14ac:dyDescent="0.25">
      <c r="B2462" s="10"/>
    </row>
    <row r="2463" spans="2:2" x14ac:dyDescent="0.25">
      <c r="B2463" s="10"/>
    </row>
    <row r="2464" spans="2:2" x14ac:dyDescent="0.25">
      <c r="B2464" s="10"/>
    </row>
    <row r="2465" spans="2:2" x14ac:dyDescent="0.25">
      <c r="B2465" s="10"/>
    </row>
    <row r="2466" spans="2:2" x14ac:dyDescent="0.25">
      <c r="B2466" s="10"/>
    </row>
    <row r="2467" spans="2:2" x14ac:dyDescent="0.25">
      <c r="B2467" s="10"/>
    </row>
    <row r="2468" spans="2:2" x14ac:dyDescent="0.25">
      <c r="B2468" s="10"/>
    </row>
    <row r="2469" spans="2:2" x14ac:dyDescent="0.25">
      <c r="B2469" s="10"/>
    </row>
    <row r="2470" spans="2:2" x14ac:dyDescent="0.25">
      <c r="B2470" s="10"/>
    </row>
    <row r="2471" spans="2:2" x14ac:dyDescent="0.25">
      <c r="B2471" s="10"/>
    </row>
    <row r="2472" spans="2:2" x14ac:dyDescent="0.25">
      <c r="B2472" s="10"/>
    </row>
    <row r="2473" spans="2:2" x14ac:dyDescent="0.25">
      <c r="B2473" s="10"/>
    </row>
    <row r="2474" spans="2:2" x14ac:dyDescent="0.25">
      <c r="B2474" s="10"/>
    </row>
    <row r="2475" spans="2:2" x14ac:dyDescent="0.25">
      <c r="B2475" s="10"/>
    </row>
    <row r="2476" spans="2:2" x14ac:dyDescent="0.25">
      <c r="B2476" s="10"/>
    </row>
    <row r="2477" spans="2:2" x14ac:dyDescent="0.25">
      <c r="B2477" s="10"/>
    </row>
    <row r="2478" spans="2:2" x14ac:dyDescent="0.25">
      <c r="B2478" s="10"/>
    </row>
    <row r="2479" spans="2:2" x14ac:dyDescent="0.25">
      <c r="B2479" s="10"/>
    </row>
    <row r="2480" spans="2:2" x14ac:dyDescent="0.25">
      <c r="B2480" s="10"/>
    </row>
    <row r="2481" spans="2:2" x14ac:dyDescent="0.25">
      <c r="B2481" s="10"/>
    </row>
    <row r="2482" spans="2:2" x14ac:dyDescent="0.25">
      <c r="B2482" s="10"/>
    </row>
    <row r="2483" spans="2:2" x14ac:dyDescent="0.25">
      <c r="B2483" s="10"/>
    </row>
    <row r="2484" spans="2:2" x14ac:dyDescent="0.25">
      <c r="B2484" s="10"/>
    </row>
    <row r="2485" spans="2:2" x14ac:dyDescent="0.25">
      <c r="B2485" s="10"/>
    </row>
    <row r="2486" spans="2:2" x14ac:dyDescent="0.25">
      <c r="B2486" s="10"/>
    </row>
    <row r="2487" spans="2:2" x14ac:dyDescent="0.25">
      <c r="B2487" s="10"/>
    </row>
    <row r="2488" spans="2:2" x14ac:dyDescent="0.25">
      <c r="B2488" s="10"/>
    </row>
    <row r="2489" spans="2:2" x14ac:dyDescent="0.25">
      <c r="B2489" s="10"/>
    </row>
    <row r="2490" spans="2:2" x14ac:dyDescent="0.25">
      <c r="B2490" s="10"/>
    </row>
    <row r="2491" spans="2:2" x14ac:dyDescent="0.25">
      <c r="B2491" s="10"/>
    </row>
    <row r="2492" spans="2:2" x14ac:dyDescent="0.25">
      <c r="B2492" s="10"/>
    </row>
    <row r="2493" spans="2:2" x14ac:dyDescent="0.25">
      <c r="B2493" s="10"/>
    </row>
    <row r="2494" spans="2:2" x14ac:dyDescent="0.25">
      <c r="B2494" s="10"/>
    </row>
    <row r="2495" spans="2:2" x14ac:dyDescent="0.25">
      <c r="B2495" s="10"/>
    </row>
    <row r="2496" spans="2:2" x14ac:dyDescent="0.25">
      <c r="B2496" s="10"/>
    </row>
    <row r="2497" spans="2:2" x14ac:dyDescent="0.25">
      <c r="B2497" s="10"/>
    </row>
    <row r="2498" spans="2:2" x14ac:dyDescent="0.25">
      <c r="B2498" s="10"/>
    </row>
    <row r="2499" spans="2:2" x14ac:dyDescent="0.25">
      <c r="B2499" s="10"/>
    </row>
    <row r="2500" spans="2:2" x14ac:dyDescent="0.25">
      <c r="B2500" s="10"/>
    </row>
    <row r="2501" spans="2:2" x14ac:dyDescent="0.25">
      <c r="B2501" s="10"/>
    </row>
    <row r="2502" spans="2:2" x14ac:dyDescent="0.25">
      <c r="B2502" s="10"/>
    </row>
    <row r="2503" spans="2:2" x14ac:dyDescent="0.25">
      <c r="B2503" s="10"/>
    </row>
    <row r="2504" spans="2:2" x14ac:dyDescent="0.25">
      <c r="B2504" s="10"/>
    </row>
    <row r="2505" spans="2:2" x14ac:dyDescent="0.25">
      <c r="B2505" s="10"/>
    </row>
    <row r="2506" spans="2:2" x14ac:dyDescent="0.25">
      <c r="B2506" s="10"/>
    </row>
    <row r="2507" spans="2:2" x14ac:dyDescent="0.25">
      <c r="B2507" s="10"/>
    </row>
    <row r="2508" spans="2:2" x14ac:dyDescent="0.25">
      <c r="B2508" s="10"/>
    </row>
    <row r="2509" spans="2:2" x14ac:dyDescent="0.25">
      <c r="B2509" s="10"/>
    </row>
    <row r="2510" spans="2:2" x14ac:dyDescent="0.25">
      <c r="B2510" s="10"/>
    </row>
    <row r="2511" spans="2:2" x14ac:dyDescent="0.25">
      <c r="B2511" s="10"/>
    </row>
    <row r="2512" spans="2:2" x14ac:dyDescent="0.25">
      <c r="B2512" s="10"/>
    </row>
    <row r="2513" spans="2:2" x14ac:dyDescent="0.25">
      <c r="B2513" s="10"/>
    </row>
    <row r="2514" spans="2:2" x14ac:dyDescent="0.25">
      <c r="B2514" s="10"/>
    </row>
    <row r="2515" spans="2:2" x14ac:dyDescent="0.25">
      <c r="B2515" s="10"/>
    </row>
    <row r="2516" spans="2:2" x14ac:dyDescent="0.25">
      <c r="B2516" s="10"/>
    </row>
    <row r="2517" spans="2:2" x14ac:dyDescent="0.25">
      <c r="B2517" s="10"/>
    </row>
    <row r="2518" spans="2:2" x14ac:dyDescent="0.25">
      <c r="B2518" s="10"/>
    </row>
    <row r="2519" spans="2:2" x14ac:dyDescent="0.25">
      <c r="B2519" s="10"/>
    </row>
    <row r="2520" spans="2:2" x14ac:dyDescent="0.25">
      <c r="B2520" s="10"/>
    </row>
    <row r="2521" spans="2:2" x14ac:dyDescent="0.25">
      <c r="B2521" s="10"/>
    </row>
    <row r="2522" spans="2:2" x14ac:dyDescent="0.25">
      <c r="B2522" s="10"/>
    </row>
    <row r="2523" spans="2:2" x14ac:dyDescent="0.25">
      <c r="B2523" s="10"/>
    </row>
    <row r="2524" spans="2:2" x14ac:dyDescent="0.25">
      <c r="B2524" s="10"/>
    </row>
    <row r="2525" spans="2:2" x14ac:dyDescent="0.25">
      <c r="B2525" s="10"/>
    </row>
    <row r="2526" spans="2:2" x14ac:dyDescent="0.25">
      <c r="B2526" s="10"/>
    </row>
    <row r="2527" spans="2:2" x14ac:dyDescent="0.25">
      <c r="B2527" s="10"/>
    </row>
    <row r="2528" spans="2:2" x14ac:dyDescent="0.25">
      <c r="B2528" s="10"/>
    </row>
    <row r="2529" spans="2:2" x14ac:dyDescent="0.25">
      <c r="B2529" s="10"/>
    </row>
    <row r="2530" spans="2:2" x14ac:dyDescent="0.25">
      <c r="B2530" s="10"/>
    </row>
    <row r="2531" spans="2:2" x14ac:dyDescent="0.25">
      <c r="B2531" s="10"/>
    </row>
    <row r="2532" spans="2:2" x14ac:dyDescent="0.25">
      <c r="B2532" s="10"/>
    </row>
    <row r="2533" spans="2:2" x14ac:dyDescent="0.25">
      <c r="B2533" s="10"/>
    </row>
    <row r="2534" spans="2:2" x14ac:dyDescent="0.25">
      <c r="B2534" s="10"/>
    </row>
    <row r="2535" spans="2:2" x14ac:dyDescent="0.25">
      <c r="B2535" s="10"/>
    </row>
    <row r="2536" spans="2:2" x14ac:dyDescent="0.25">
      <c r="B2536" s="10"/>
    </row>
    <row r="2537" spans="2:2" x14ac:dyDescent="0.25">
      <c r="B2537" s="10"/>
    </row>
    <row r="2538" spans="2:2" x14ac:dyDescent="0.25">
      <c r="B2538" s="10"/>
    </row>
    <row r="2539" spans="2:2" x14ac:dyDescent="0.25">
      <c r="B2539" s="10"/>
    </row>
    <row r="2540" spans="2:2" x14ac:dyDescent="0.25">
      <c r="B2540" s="10"/>
    </row>
    <row r="2541" spans="2:2" x14ac:dyDescent="0.25">
      <c r="B2541" s="10"/>
    </row>
    <row r="2542" spans="2:2" x14ac:dyDescent="0.25">
      <c r="B2542" s="10"/>
    </row>
    <row r="2543" spans="2:2" x14ac:dyDescent="0.25">
      <c r="B2543" s="10"/>
    </row>
    <row r="2544" spans="2:2" x14ac:dyDescent="0.25">
      <c r="B2544" s="10"/>
    </row>
    <row r="2545" spans="2:2" x14ac:dyDescent="0.25">
      <c r="B2545" s="10"/>
    </row>
    <row r="2546" spans="2:2" x14ac:dyDescent="0.25">
      <c r="B2546" s="10"/>
    </row>
    <row r="2547" spans="2:2" x14ac:dyDescent="0.25">
      <c r="B2547" s="10"/>
    </row>
    <row r="2548" spans="2:2" x14ac:dyDescent="0.25">
      <c r="B2548" s="10"/>
    </row>
    <row r="2549" spans="2:2" x14ac:dyDescent="0.25">
      <c r="B2549" s="10"/>
    </row>
    <row r="2550" spans="2:2" x14ac:dyDescent="0.25">
      <c r="B2550" s="10"/>
    </row>
    <row r="2551" spans="2:2" x14ac:dyDescent="0.25">
      <c r="B2551" s="10"/>
    </row>
    <row r="2552" spans="2:2" x14ac:dyDescent="0.25">
      <c r="B2552" s="10"/>
    </row>
    <row r="2553" spans="2:2" x14ac:dyDescent="0.25">
      <c r="B2553" s="10"/>
    </row>
    <row r="2554" spans="2:2" x14ac:dyDescent="0.25">
      <c r="B2554" s="10"/>
    </row>
    <row r="2555" spans="2:2" x14ac:dyDescent="0.25">
      <c r="B2555" s="10"/>
    </row>
    <row r="2556" spans="2:2" x14ac:dyDescent="0.25">
      <c r="B2556" s="10"/>
    </row>
    <row r="2557" spans="2:2" x14ac:dyDescent="0.25">
      <c r="B2557" s="10"/>
    </row>
    <row r="2558" spans="2:2" x14ac:dyDescent="0.25">
      <c r="B2558" s="10"/>
    </row>
    <row r="2559" spans="2:2" x14ac:dyDescent="0.25">
      <c r="B2559" s="10"/>
    </row>
    <row r="2560" spans="2:2" x14ac:dyDescent="0.25">
      <c r="B2560" s="10"/>
    </row>
    <row r="2561" spans="2:2" x14ac:dyDescent="0.25">
      <c r="B2561" s="10"/>
    </row>
    <row r="2562" spans="2:2" x14ac:dyDescent="0.25">
      <c r="B2562" s="10"/>
    </row>
    <row r="2563" spans="2:2" x14ac:dyDescent="0.25">
      <c r="B2563" s="10"/>
    </row>
    <row r="2564" spans="2:2" x14ac:dyDescent="0.25">
      <c r="B2564" s="10"/>
    </row>
    <row r="2565" spans="2:2" x14ac:dyDescent="0.25">
      <c r="B2565" s="10"/>
    </row>
    <row r="2566" spans="2:2" x14ac:dyDescent="0.25">
      <c r="B2566" s="10"/>
    </row>
    <row r="2567" spans="2:2" x14ac:dyDescent="0.25">
      <c r="B2567" s="10"/>
    </row>
    <row r="2568" spans="2:2" x14ac:dyDescent="0.25">
      <c r="B2568" s="10"/>
    </row>
    <row r="2569" spans="2:2" x14ac:dyDescent="0.25">
      <c r="B2569" s="10"/>
    </row>
    <row r="2570" spans="2:2" x14ac:dyDescent="0.25">
      <c r="B2570" s="10"/>
    </row>
    <row r="2571" spans="2:2" x14ac:dyDescent="0.25">
      <c r="B2571" s="10"/>
    </row>
    <row r="2572" spans="2:2" x14ac:dyDescent="0.25">
      <c r="B2572" s="10"/>
    </row>
    <row r="2573" spans="2:2" x14ac:dyDescent="0.25">
      <c r="B2573" s="10"/>
    </row>
    <row r="2574" spans="2:2" x14ac:dyDescent="0.25">
      <c r="B2574" s="10"/>
    </row>
    <row r="2575" spans="2:2" x14ac:dyDescent="0.25">
      <c r="B2575" s="10"/>
    </row>
    <row r="2576" spans="2:2" x14ac:dyDescent="0.25">
      <c r="B2576" s="10"/>
    </row>
    <row r="2577" spans="2:2" x14ac:dyDescent="0.25">
      <c r="B2577" s="10"/>
    </row>
    <row r="2578" spans="2:2" x14ac:dyDescent="0.25">
      <c r="B2578" s="10"/>
    </row>
    <row r="2579" spans="2:2" x14ac:dyDescent="0.25">
      <c r="B2579" s="10"/>
    </row>
    <row r="2580" spans="2:2" x14ac:dyDescent="0.25">
      <c r="B2580" s="10"/>
    </row>
    <row r="2581" spans="2:2" x14ac:dyDescent="0.25">
      <c r="B2581" s="10"/>
    </row>
    <row r="2582" spans="2:2" x14ac:dyDescent="0.25">
      <c r="B2582" s="10"/>
    </row>
    <row r="2583" spans="2:2" x14ac:dyDescent="0.25">
      <c r="B2583" s="10"/>
    </row>
    <row r="2584" spans="2:2" x14ac:dyDescent="0.25">
      <c r="B2584" s="10"/>
    </row>
    <row r="2585" spans="2:2" x14ac:dyDescent="0.25">
      <c r="B2585" s="10"/>
    </row>
    <row r="2586" spans="2:2" x14ac:dyDescent="0.25">
      <c r="B2586" s="10"/>
    </row>
    <row r="2587" spans="2:2" x14ac:dyDescent="0.25">
      <c r="B2587" s="10"/>
    </row>
    <row r="2588" spans="2:2" x14ac:dyDescent="0.25">
      <c r="B2588" s="10"/>
    </row>
    <row r="2589" spans="2:2" x14ac:dyDescent="0.25">
      <c r="B2589" s="10"/>
    </row>
    <row r="2590" spans="2:2" x14ac:dyDescent="0.25">
      <c r="B2590" s="10"/>
    </row>
    <row r="2591" spans="2:2" x14ac:dyDescent="0.25">
      <c r="B2591" s="10"/>
    </row>
    <row r="2592" spans="2:2" x14ac:dyDescent="0.25">
      <c r="B2592" s="10"/>
    </row>
    <row r="2593" spans="2:2" x14ac:dyDescent="0.25">
      <c r="B2593" s="10"/>
    </row>
    <row r="2594" spans="2:2" x14ac:dyDescent="0.25">
      <c r="B2594" s="10"/>
    </row>
    <row r="2595" spans="2:2" x14ac:dyDescent="0.25">
      <c r="B2595" s="10"/>
    </row>
    <row r="2596" spans="2:2" x14ac:dyDescent="0.25">
      <c r="B2596" s="10"/>
    </row>
    <row r="2597" spans="2:2" x14ac:dyDescent="0.25">
      <c r="B2597" s="10"/>
    </row>
    <row r="2598" spans="2:2" x14ac:dyDescent="0.25">
      <c r="B2598" s="10"/>
    </row>
    <row r="2599" spans="2:2" x14ac:dyDescent="0.25">
      <c r="B2599" s="10"/>
    </row>
    <row r="2600" spans="2:2" x14ac:dyDescent="0.25">
      <c r="B2600" s="10"/>
    </row>
    <row r="2601" spans="2:2" x14ac:dyDescent="0.25">
      <c r="B2601" s="10"/>
    </row>
    <row r="2602" spans="2:2" x14ac:dyDescent="0.25">
      <c r="B2602" s="10"/>
    </row>
    <row r="2603" spans="2:2" x14ac:dyDescent="0.25">
      <c r="B2603" s="10"/>
    </row>
    <row r="2604" spans="2:2" x14ac:dyDescent="0.25">
      <c r="B2604" s="10"/>
    </row>
    <row r="2605" spans="2:2" x14ac:dyDescent="0.25">
      <c r="B2605" s="10"/>
    </row>
    <row r="2606" spans="2:2" x14ac:dyDescent="0.25">
      <c r="B2606" s="10"/>
    </row>
    <row r="2607" spans="2:2" x14ac:dyDescent="0.25">
      <c r="B2607" s="10"/>
    </row>
    <row r="2608" spans="2:2" x14ac:dyDescent="0.25">
      <c r="B2608" s="10"/>
    </row>
    <row r="2609" spans="2:2" x14ac:dyDescent="0.25">
      <c r="B2609" s="10"/>
    </row>
    <row r="2610" spans="2:2" x14ac:dyDescent="0.25">
      <c r="B2610" s="10"/>
    </row>
    <row r="2611" spans="2:2" x14ac:dyDescent="0.25">
      <c r="B2611" s="10"/>
    </row>
    <row r="2612" spans="2:2" x14ac:dyDescent="0.25">
      <c r="B2612" s="10"/>
    </row>
    <row r="2613" spans="2:2" x14ac:dyDescent="0.25">
      <c r="B2613" s="10"/>
    </row>
    <row r="2614" spans="2:2" x14ac:dyDescent="0.25">
      <c r="B2614" s="10"/>
    </row>
    <row r="2615" spans="2:2" x14ac:dyDescent="0.25">
      <c r="B2615" s="10"/>
    </row>
    <row r="2616" spans="2:2" x14ac:dyDescent="0.25">
      <c r="B2616" s="10"/>
    </row>
    <row r="2617" spans="2:2" x14ac:dyDescent="0.25">
      <c r="B2617" s="10"/>
    </row>
    <row r="2618" spans="2:2" x14ac:dyDescent="0.25">
      <c r="B2618" s="10"/>
    </row>
    <row r="2619" spans="2:2" x14ac:dyDescent="0.25">
      <c r="B2619" s="10"/>
    </row>
    <row r="2620" spans="2:2" x14ac:dyDescent="0.25">
      <c r="B2620" s="10"/>
    </row>
    <row r="2621" spans="2:2" x14ac:dyDescent="0.25">
      <c r="B2621" s="10"/>
    </row>
    <row r="2622" spans="2:2" x14ac:dyDescent="0.25">
      <c r="B2622" s="10"/>
    </row>
    <row r="2623" spans="2:2" x14ac:dyDescent="0.25">
      <c r="B2623" s="10"/>
    </row>
    <row r="2624" spans="2:2" x14ac:dyDescent="0.25">
      <c r="B2624" s="10"/>
    </row>
    <row r="2625" spans="2:2" x14ac:dyDescent="0.25">
      <c r="B2625" s="10"/>
    </row>
    <row r="2626" spans="2:2" x14ac:dyDescent="0.25">
      <c r="B2626" s="10"/>
    </row>
    <row r="2627" spans="2:2" x14ac:dyDescent="0.25">
      <c r="B2627" s="10"/>
    </row>
    <row r="2628" spans="2:2" x14ac:dyDescent="0.25">
      <c r="B2628" s="10"/>
    </row>
    <row r="2629" spans="2:2" x14ac:dyDescent="0.25">
      <c r="B2629" s="10"/>
    </row>
    <row r="2630" spans="2:2" x14ac:dyDescent="0.25">
      <c r="B2630" s="10"/>
    </row>
    <row r="2631" spans="2:2" x14ac:dyDescent="0.25">
      <c r="B2631" s="10"/>
    </row>
    <row r="2632" spans="2:2" x14ac:dyDescent="0.25">
      <c r="B2632" s="10"/>
    </row>
    <row r="2633" spans="2:2" x14ac:dyDescent="0.25">
      <c r="B2633" s="10"/>
    </row>
    <row r="2634" spans="2:2" x14ac:dyDescent="0.25">
      <c r="B2634" s="10"/>
    </row>
    <row r="2635" spans="2:2" x14ac:dyDescent="0.25">
      <c r="B2635" s="10"/>
    </row>
    <row r="2636" spans="2:2" x14ac:dyDescent="0.25">
      <c r="B2636" s="10"/>
    </row>
    <row r="2637" spans="2:2" x14ac:dyDescent="0.25">
      <c r="B2637" s="10"/>
    </row>
    <row r="2638" spans="2:2" x14ac:dyDescent="0.25">
      <c r="B2638" s="10"/>
    </row>
    <row r="2639" spans="2:2" x14ac:dyDescent="0.25">
      <c r="B2639" s="10"/>
    </row>
    <row r="2640" spans="2:2" x14ac:dyDescent="0.25">
      <c r="B2640" s="10"/>
    </row>
    <row r="2641" spans="2:2" x14ac:dyDescent="0.25">
      <c r="B2641" s="10"/>
    </row>
    <row r="2642" spans="2:2" x14ac:dyDescent="0.25">
      <c r="B2642" s="10"/>
    </row>
    <row r="2643" spans="2:2" x14ac:dyDescent="0.25">
      <c r="B2643" s="10"/>
    </row>
    <row r="2644" spans="2:2" x14ac:dyDescent="0.25">
      <c r="B2644" s="10"/>
    </row>
    <row r="2645" spans="2:2" x14ac:dyDescent="0.25">
      <c r="B2645" s="10"/>
    </row>
    <row r="2646" spans="2:2" x14ac:dyDescent="0.25">
      <c r="B2646" s="10"/>
    </row>
    <row r="2647" spans="2:2" x14ac:dyDescent="0.25">
      <c r="B2647" s="10"/>
    </row>
    <row r="2648" spans="2:2" x14ac:dyDescent="0.25">
      <c r="B2648" s="10"/>
    </row>
    <row r="2649" spans="2:2" x14ac:dyDescent="0.25">
      <c r="B2649" s="10"/>
    </row>
    <row r="2650" spans="2:2" x14ac:dyDescent="0.25">
      <c r="B2650" s="10"/>
    </row>
    <row r="2651" spans="2:2" x14ac:dyDescent="0.25">
      <c r="B2651" s="10"/>
    </row>
    <row r="2652" spans="2:2" x14ac:dyDescent="0.25">
      <c r="B2652" s="10"/>
    </row>
    <row r="2653" spans="2:2" x14ac:dyDescent="0.25">
      <c r="B2653" s="10"/>
    </row>
    <row r="2654" spans="2:2" x14ac:dyDescent="0.25">
      <c r="B2654" s="10"/>
    </row>
    <row r="2655" spans="2:2" x14ac:dyDescent="0.25">
      <c r="B2655" s="10"/>
    </row>
    <row r="2656" spans="2:2" x14ac:dyDescent="0.25">
      <c r="B2656" s="10"/>
    </row>
    <row r="2657" spans="2:2" x14ac:dyDescent="0.25">
      <c r="B2657" s="10"/>
    </row>
    <row r="2658" spans="2:2" x14ac:dyDescent="0.25">
      <c r="B2658" s="10"/>
    </row>
    <row r="2659" spans="2:2" x14ac:dyDescent="0.25">
      <c r="B2659" s="10"/>
    </row>
    <row r="2660" spans="2:2" x14ac:dyDescent="0.25">
      <c r="B2660" s="10"/>
    </row>
    <row r="2661" spans="2:2" x14ac:dyDescent="0.25">
      <c r="B2661" s="10"/>
    </row>
    <row r="2662" spans="2:2" x14ac:dyDescent="0.25">
      <c r="B2662" s="10"/>
    </row>
    <row r="2663" spans="2:2" x14ac:dyDescent="0.25">
      <c r="B2663" s="10"/>
    </row>
    <row r="2664" spans="2:2" x14ac:dyDescent="0.25">
      <c r="B2664" s="10"/>
    </row>
    <row r="2665" spans="2:2" x14ac:dyDescent="0.25">
      <c r="B2665" s="10"/>
    </row>
    <row r="2666" spans="2:2" x14ac:dyDescent="0.25">
      <c r="B2666" s="10"/>
    </row>
    <row r="2667" spans="2:2" x14ac:dyDescent="0.25">
      <c r="B2667" s="10"/>
    </row>
    <row r="2668" spans="2:2" x14ac:dyDescent="0.25">
      <c r="B2668" s="10"/>
    </row>
    <row r="2669" spans="2:2" x14ac:dyDescent="0.25">
      <c r="B2669" s="10"/>
    </row>
    <row r="2670" spans="2:2" x14ac:dyDescent="0.25">
      <c r="B2670" s="10"/>
    </row>
    <row r="2671" spans="2:2" x14ac:dyDescent="0.25">
      <c r="B2671" s="10"/>
    </row>
    <row r="2672" spans="2:2" x14ac:dyDescent="0.25">
      <c r="B2672" s="10"/>
    </row>
    <row r="2673" spans="2:2" x14ac:dyDescent="0.25">
      <c r="B2673" s="10"/>
    </row>
    <row r="2674" spans="2:2" x14ac:dyDescent="0.25">
      <c r="B2674" s="10"/>
    </row>
    <row r="2675" spans="2:2" x14ac:dyDescent="0.25">
      <c r="B2675" s="10"/>
    </row>
    <row r="2676" spans="2:2" x14ac:dyDescent="0.25">
      <c r="B2676" s="10"/>
    </row>
    <row r="2677" spans="2:2" x14ac:dyDescent="0.25">
      <c r="B2677" s="10"/>
    </row>
    <row r="2678" spans="2:2" x14ac:dyDescent="0.25">
      <c r="B2678" s="10"/>
    </row>
    <row r="2679" spans="2:2" x14ac:dyDescent="0.25">
      <c r="B2679" s="10"/>
    </row>
    <row r="2680" spans="2:2" x14ac:dyDescent="0.25">
      <c r="B2680" s="10"/>
    </row>
    <row r="2681" spans="2:2" x14ac:dyDescent="0.25">
      <c r="B2681" s="10"/>
    </row>
    <row r="2682" spans="2:2" x14ac:dyDescent="0.25">
      <c r="B2682" s="10"/>
    </row>
    <row r="2683" spans="2:2" x14ac:dyDescent="0.25">
      <c r="B2683" s="10"/>
    </row>
    <row r="2684" spans="2:2" x14ac:dyDescent="0.25">
      <c r="B2684" s="10"/>
    </row>
    <row r="2685" spans="2:2" x14ac:dyDescent="0.25">
      <c r="B2685" s="10"/>
    </row>
    <row r="2686" spans="2:2" x14ac:dyDescent="0.25">
      <c r="B2686" s="10"/>
    </row>
    <row r="2687" spans="2:2" x14ac:dyDescent="0.25">
      <c r="B2687" s="10"/>
    </row>
    <row r="2688" spans="2:2" x14ac:dyDescent="0.25">
      <c r="B2688" s="10"/>
    </row>
    <row r="2689" spans="2:2" x14ac:dyDescent="0.25">
      <c r="B2689" s="10"/>
    </row>
    <row r="2690" spans="2:2" x14ac:dyDescent="0.25">
      <c r="B2690" s="10"/>
    </row>
    <row r="2691" spans="2:2" x14ac:dyDescent="0.25">
      <c r="B2691" s="10"/>
    </row>
    <row r="2692" spans="2:2" x14ac:dyDescent="0.25">
      <c r="B2692" s="10"/>
    </row>
    <row r="2693" spans="2:2" x14ac:dyDescent="0.25">
      <c r="B2693" s="10"/>
    </row>
    <row r="2694" spans="2:2" x14ac:dyDescent="0.25">
      <c r="B2694" s="10"/>
    </row>
    <row r="2695" spans="2:2" x14ac:dyDescent="0.25">
      <c r="B2695" s="10"/>
    </row>
    <row r="2696" spans="2:2" x14ac:dyDescent="0.25">
      <c r="B2696" s="10"/>
    </row>
    <row r="2697" spans="2:2" x14ac:dyDescent="0.25">
      <c r="B2697" s="10"/>
    </row>
    <row r="2698" spans="2:2" x14ac:dyDescent="0.25">
      <c r="B2698" s="10"/>
    </row>
    <row r="2699" spans="2:2" x14ac:dyDescent="0.25">
      <c r="B2699" s="10"/>
    </row>
    <row r="2700" spans="2:2" x14ac:dyDescent="0.25">
      <c r="B2700" s="10"/>
    </row>
    <row r="2701" spans="2:2" x14ac:dyDescent="0.25">
      <c r="B2701" s="10"/>
    </row>
    <row r="2702" spans="2:2" x14ac:dyDescent="0.25">
      <c r="B2702" s="10"/>
    </row>
    <row r="2703" spans="2:2" x14ac:dyDescent="0.25">
      <c r="B2703" s="10"/>
    </row>
    <row r="2704" spans="2:2" x14ac:dyDescent="0.25">
      <c r="B2704" s="10"/>
    </row>
    <row r="2705" spans="2:2" x14ac:dyDescent="0.25">
      <c r="B2705" s="10"/>
    </row>
    <row r="2706" spans="2:2" x14ac:dyDescent="0.25">
      <c r="B2706" s="10"/>
    </row>
    <row r="2707" spans="2:2" x14ac:dyDescent="0.25">
      <c r="B2707" s="10"/>
    </row>
    <row r="2708" spans="2:2" x14ac:dyDescent="0.25">
      <c r="B2708" s="10"/>
    </row>
    <row r="2709" spans="2:2" x14ac:dyDescent="0.25">
      <c r="B2709" s="10"/>
    </row>
    <row r="2710" spans="2:2" x14ac:dyDescent="0.25">
      <c r="B2710" s="10"/>
    </row>
    <row r="2711" spans="2:2" x14ac:dyDescent="0.25">
      <c r="B2711" s="10"/>
    </row>
    <row r="2712" spans="2:2" x14ac:dyDescent="0.25">
      <c r="B2712" s="10"/>
    </row>
    <row r="2713" spans="2:2" x14ac:dyDescent="0.25">
      <c r="B2713" s="10"/>
    </row>
    <row r="2714" spans="2:2" x14ac:dyDescent="0.25">
      <c r="B2714" s="10"/>
    </row>
    <row r="2715" spans="2:2" x14ac:dyDescent="0.25">
      <c r="B2715" s="10"/>
    </row>
    <row r="2716" spans="2:2" x14ac:dyDescent="0.25">
      <c r="B2716" s="10"/>
    </row>
    <row r="2717" spans="2:2" x14ac:dyDescent="0.25">
      <c r="B2717" s="10"/>
    </row>
    <row r="2718" spans="2:2" x14ac:dyDescent="0.25">
      <c r="B2718" s="10"/>
    </row>
    <row r="2719" spans="2:2" x14ac:dyDescent="0.25">
      <c r="B2719" s="10"/>
    </row>
    <row r="2720" spans="2:2" x14ac:dyDescent="0.25">
      <c r="B2720" s="10"/>
    </row>
    <row r="2721" spans="2:2" x14ac:dyDescent="0.25">
      <c r="B2721" s="10"/>
    </row>
    <row r="2722" spans="2:2" x14ac:dyDescent="0.25">
      <c r="B2722" s="10"/>
    </row>
    <row r="2723" spans="2:2" x14ac:dyDescent="0.25">
      <c r="B2723" s="10"/>
    </row>
    <row r="2724" spans="2:2" x14ac:dyDescent="0.25">
      <c r="B2724" s="10"/>
    </row>
    <row r="2725" spans="2:2" x14ac:dyDescent="0.25">
      <c r="B2725" s="10"/>
    </row>
    <row r="2726" spans="2:2" x14ac:dyDescent="0.25">
      <c r="B2726" s="10"/>
    </row>
    <row r="2727" spans="2:2" x14ac:dyDescent="0.25">
      <c r="B2727" s="10"/>
    </row>
    <row r="2728" spans="2:2" x14ac:dyDescent="0.25">
      <c r="B2728" s="10"/>
    </row>
    <row r="2729" spans="2:2" x14ac:dyDescent="0.25">
      <c r="B2729" s="10"/>
    </row>
    <row r="2730" spans="2:2" x14ac:dyDescent="0.25">
      <c r="B2730" s="10"/>
    </row>
    <row r="2731" spans="2:2" x14ac:dyDescent="0.25">
      <c r="B2731" s="10"/>
    </row>
    <row r="2732" spans="2:2" x14ac:dyDescent="0.25">
      <c r="B2732" s="10"/>
    </row>
    <row r="2733" spans="2:2" x14ac:dyDescent="0.25">
      <c r="B2733" s="10"/>
    </row>
    <row r="2734" spans="2:2" x14ac:dyDescent="0.25">
      <c r="B2734" s="10"/>
    </row>
    <row r="2735" spans="2:2" x14ac:dyDescent="0.25">
      <c r="B2735" s="10"/>
    </row>
    <row r="2736" spans="2:2" x14ac:dyDescent="0.25">
      <c r="B2736" s="10"/>
    </row>
    <row r="2737" spans="2:2" x14ac:dyDescent="0.25">
      <c r="B2737" s="10"/>
    </row>
    <row r="2738" spans="2:2" x14ac:dyDescent="0.25">
      <c r="B2738" s="10"/>
    </row>
    <row r="2739" spans="2:2" x14ac:dyDescent="0.25">
      <c r="B2739" s="10"/>
    </row>
    <row r="2740" spans="2:2" x14ac:dyDescent="0.25">
      <c r="B2740" s="10"/>
    </row>
    <row r="2741" spans="2:2" x14ac:dyDescent="0.25">
      <c r="B2741" s="10"/>
    </row>
    <row r="2742" spans="2:2" x14ac:dyDescent="0.25">
      <c r="B2742" s="10"/>
    </row>
    <row r="2743" spans="2:2" x14ac:dyDescent="0.25">
      <c r="B2743" s="10"/>
    </row>
    <row r="2744" spans="2:2" x14ac:dyDescent="0.25">
      <c r="B2744" s="10"/>
    </row>
    <row r="2745" spans="2:2" x14ac:dyDescent="0.25">
      <c r="B2745" s="10"/>
    </row>
    <row r="2746" spans="2:2" x14ac:dyDescent="0.25">
      <c r="B2746" s="10"/>
    </row>
    <row r="2747" spans="2:2" x14ac:dyDescent="0.25">
      <c r="B2747" s="10"/>
    </row>
    <row r="2748" spans="2:2" x14ac:dyDescent="0.25">
      <c r="B2748" s="10"/>
    </row>
    <row r="2749" spans="2:2" x14ac:dyDescent="0.25">
      <c r="B2749" s="10"/>
    </row>
    <row r="2750" spans="2:2" x14ac:dyDescent="0.25">
      <c r="B2750" s="10"/>
    </row>
    <row r="2751" spans="2:2" x14ac:dyDescent="0.25">
      <c r="B2751" s="10"/>
    </row>
    <row r="2752" spans="2:2" x14ac:dyDescent="0.25">
      <c r="B2752" s="10"/>
    </row>
    <row r="2753" spans="2:2" x14ac:dyDescent="0.25">
      <c r="B2753" s="10"/>
    </row>
    <row r="2754" spans="2:2" x14ac:dyDescent="0.25">
      <c r="B2754" s="10"/>
    </row>
    <row r="2755" spans="2:2" x14ac:dyDescent="0.25">
      <c r="B2755" s="10"/>
    </row>
    <row r="2756" spans="2:2" x14ac:dyDescent="0.25">
      <c r="B2756" s="10"/>
    </row>
    <row r="2757" spans="2:2" x14ac:dyDescent="0.25">
      <c r="B2757" s="10"/>
    </row>
    <row r="2758" spans="2:2" x14ac:dyDescent="0.25">
      <c r="B2758" s="10"/>
    </row>
    <row r="2759" spans="2:2" x14ac:dyDescent="0.25">
      <c r="B2759" s="10"/>
    </row>
    <row r="2760" spans="2:2" x14ac:dyDescent="0.25">
      <c r="B2760" s="10"/>
    </row>
    <row r="2761" spans="2:2" x14ac:dyDescent="0.25">
      <c r="B2761" s="10"/>
    </row>
    <row r="2762" spans="2:2" x14ac:dyDescent="0.25">
      <c r="B2762" s="10"/>
    </row>
    <row r="2763" spans="2:2" x14ac:dyDescent="0.25">
      <c r="B2763" s="10"/>
    </row>
    <row r="2764" spans="2:2" x14ac:dyDescent="0.25">
      <c r="B2764" s="10"/>
    </row>
    <row r="2765" spans="2:2" x14ac:dyDescent="0.25">
      <c r="B2765" s="10"/>
    </row>
    <row r="2766" spans="2:2" x14ac:dyDescent="0.25">
      <c r="B2766" s="10"/>
    </row>
    <row r="2767" spans="2:2" x14ac:dyDescent="0.25">
      <c r="B2767" s="10"/>
    </row>
    <row r="2768" spans="2:2" x14ac:dyDescent="0.25">
      <c r="B2768" s="10"/>
    </row>
    <row r="2769" spans="2:2" x14ac:dyDescent="0.25">
      <c r="B2769" s="10"/>
    </row>
    <row r="2770" spans="2:2" x14ac:dyDescent="0.25">
      <c r="B2770" s="10"/>
    </row>
    <row r="2771" spans="2:2" x14ac:dyDescent="0.25">
      <c r="B2771" s="10"/>
    </row>
    <row r="2772" spans="2:2" x14ac:dyDescent="0.25">
      <c r="B2772" s="10"/>
    </row>
    <row r="2773" spans="2:2" x14ac:dyDescent="0.25">
      <c r="B2773" s="10"/>
    </row>
    <row r="2774" spans="2:2" x14ac:dyDescent="0.25">
      <c r="B2774" s="10"/>
    </row>
    <row r="2775" spans="2:2" x14ac:dyDescent="0.25">
      <c r="B2775" s="10"/>
    </row>
    <row r="2776" spans="2:2" x14ac:dyDescent="0.25">
      <c r="B2776" s="10"/>
    </row>
    <row r="2777" spans="2:2" x14ac:dyDescent="0.25">
      <c r="B2777" s="10"/>
    </row>
    <row r="2778" spans="2:2" x14ac:dyDescent="0.25">
      <c r="B2778" s="10"/>
    </row>
    <row r="2779" spans="2:2" x14ac:dyDescent="0.25">
      <c r="B2779" s="10"/>
    </row>
    <row r="2780" spans="2:2" x14ac:dyDescent="0.25">
      <c r="B2780" s="10"/>
    </row>
    <row r="2781" spans="2:2" x14ac:dyDescent="0.25">
      <c r="B2781" s="10"/>
    </row>
    <row r="2782" spans="2:2" x14ac:dyDescent="0.25">
      <c r="B2782" s="10"/>
    </row>
    <row r="2783" spans="2:2" x14ac:dyDescent="0.25">
      <c r="B2783" s="10"/>
    </row>
    <row r="2784" spans="2:2" x14ac:dyDescent="0.25">
      <c r="B2784" s="10"/>
    </row>
    <row r="2785" spans="2:2" x14ac:dyDescent="0.25">
      <c r="B2785" s="10"/>
    </row>
    <row r="2786" spans="2:2" x14ac:dyDescent="0.25">
      <c r="B2786" s="10"/>
    </row>
    <row r="2787" spans="2:2" x14ac:dyDescent="0.25">
      <c r="B2787" s="10"/>
    </row>
    <row r="2788" spans="2:2" x14ac:dyDescent="0.25">
      <c r="B2788" s="10"/>
    </row>
    <row r="2789" spans="2:2" x14ac:dyDescent="0.25">
      <c r="B2789" s="10"/>
    </row>
    <row r="2790" spans="2:2" x14ac:dyDescent="0.25">
      <c r="B2790" s="10"/>
    </row>
    <row r="2791" spans="2:2" x14ac:dyDescent="0.25">
      <c r="B2791" s="10"/>
    </row>
    <row r="2792" spans="2:2" x14ac:dyDescent="0.25">
      <c r="B2792" s="10"/>
    </row>
    <row r="2793" spans="2:2" x14ac:dyDescent="0.25">
      <c r="B2793" s="10"/>
    </row>
    <row r="2794" spans="2:2" x14ac:dyDescent="0.25">
      <c r="B2794" s="10"/>
    </row>
    <row r="2795" spans="2:2" x14ac:dyDescent="0.25">
      <c r="B2795" s="10"/>
    </row>
    <row r="2796" spans="2:2" x14ac:dyDescent="0.25">
      <c r="B2796" s="10"/>
    </row>
    <row r="2797" spans="2:2" x14ac:dyDescent="0.25">
      <c r="B2797" s="10"/>
    </row>
    <row r="2798" spans="2:2" x14ac:dyDescent="0.25">
      <c r="B2798" s="10"/>
    </row>
    <row r="2799" spans="2:2" x14ac:dyDescent="0.25">
      <c r="B2799" s="10"/>
    </row>
    <row r="2800" spans="2:2" x14ac:dyDescent="0.25">
      <c r="B2800" s="10"/>
    </row>
    <row r="2801" spans="2:2" x14ac:dyDescent="0.25">
      <c r="B2801" s="10"/>
    </row>
    <row r="2802" spans="2:2" x14ac:dyDescent="0.25">
      <c r="B2802" s="10"/>
    </row>
    <row r="2803" spans="2:2" x14ac:dyDescent="0.25">
      <c r="B2803" s="10"/>
    </row>
    <row r="2804" spans="2:2" x14ac:dyDescent="0.25">
      <c r="B2804" s="10"/>
    </row>
    <row r="2805" spans="2:2" x14ac:dyDescent="0.25">
      <c r="B2805" s="10"/>
    </row>
    <row r="2806" spans="2:2" x14ac:dyDescent="0.25">
      <c r="B2806" s="10"/>
    </row>
    <row r="2807" spans="2:2" x14ac:dyDescent="0.25">
      <c r="B2807" s="10"/>
    </row>
    <row r="2808" spans="2:2" x14ac:dyDescent="0.25">
      <c r="B2808" s="10"/>
    </row>
    <row r="2809" spans="2:2" x14ac:dyDescent="0.25">
      <c r="B2809" s="10"/>
    </row>
    <row r="2810" spans="2:2" x14ac:dyDescent="0.25">
      <c r="B2810" s="10"/>
    </row>
    <row r="2811" spans="2:2" x14ac:dyDescent="0.25">
      <c r="B2811" s="10"/>
    </row>
    <row r="2812" spans="2:2" x14ac:dyDescent="0.25">
      <c r="B2812" s="10"/>
    </row>
    <row r="2813" spans="2:2" x14ac:dyDescent="0.25">
      <c r="B2813" s="10"/>
    </row>
    <row r="2814" spans="2:2" x14ac:dyDescent="0.25">
      <c r="B2814" s="10"/>
    </row>
    <row r="2815" spans="2:2" x14ac:dyDescent="0.25">
      <c r="B2815" s="10"/>
    </row>
    <row r="2816" spans="2:2" x14ac:dyDescent="0.25">
      <c r="B2816" s="10"/>
    </row>
    <row r="2817" spans="2:2" x14ac:dyDescent="0.25">
      <c r="B2817" s="10"/>
    </row>
    <row r="2818" spans="2:2" x14ac:dyDescent="0.25">
      <c r="B2818" s="10"/>
    </row>
    <row r="2819" spans="2:2" x14ac:dyDescent="0.25">
      <c r="B2819" s="10"/>
    </row>
    <row r="2820" spans="2:2" x14ac:dyDescent="0.25">
      <c r="B2820" s="10"/>
    </row>
    <row r="2821" spans="2:2" x14ac:dyDescent="0.25">
      <c r="B2821" s="10"/>
    </row>
    <row r="2822" spans="2:2" x14ac:dyDescent="0.25">
      <c r="B2822" s="10"/>
    </row>
    <row r="2823" spans="2:2" x14ac:dyDescent="0.25">
      <c r="B2823" s="10"/>
    </row>
    <row r="2824" spans="2:2" x14ac:dyDescent="0.25">
      <c r="B2824" s="10"/>
    </row>
    <row r="2825" spans="2:2" x14ac:dyDescent="0.25">
      <c r="B2825" s="10"/>
    </row>
    <row r="2826" spans="2:2" x14ac:dyDescent="0.25">
      <c r="B2826" s="10"/>
    </row>
    <row r="2827" spans="2:2" x14ac:dyDescent="0.25">
      <c r="B2827" s="10"/>
    </row>
    <row r="2828" spans="2:2" x14ac:dyDescent="0.25">
      <c r="B2828" s="10"/>
    </row>
    <row r="2829" spans="2:2" x14ac:dyDescent="0.25">
      <c r="B2829" s="10"/>
    </row>
    <row r="2830" spans="2:2" x14ac:dyDescent="0.25">
      <c r="B2830" s="10"/>
    </row>
    <row r="2831" spans="2:2" x14ac:dyDescent="0.25">
      <c r="B2831" s="10"/>
    </row>
    <row r="2832" spans="2:2" x14ac:dyDescent="0.25">
      <c r="B2832" s="10"/>
    </row>
    <row r="2833" spans="2:2" x14ac:dyDescent="0.25">
      <c r="B2833" s="10"/>
    </row>
    <row r="2834" spans="2:2" x14ac:dyDescent="0.25">
      <c r="B2834" s="10"/>
    </row>
    <row r="2835" spans="2:2" x14ac:dyDescent="0.25">
      <c r="B2835" s="10"/>
    </row>
    <row r="2836" spans="2:2" x14ac:dyDescent="0.25">
      <c r="B2836" s="10"/>
    </row>
    <row r="2837" spans="2:2" x14ac:dyDescent="0.25">
      <c r="B2837" s="10"/>
    </row>
    <row r="2838" spans="2:2" x14ac:dyDescent="0.25">
      <c r="B2838" s="10"/>
    </row>
    <row r="2839" spans="2:2" x14ac:dyDescent="0.25">
      <c r="B2839" s="10"/>
    </row>
    <row r="2840" spans="2:2" x14ac:dyDescent="0.25">
      <c r="B2840" s="10"/>
    </row>
    <row r="2841" spans="2:2" x14ac:dyDescent="0.25">
      <c r="B2841" s="10"/>
    </row>
    <row r="2842" spans="2:2" x14ac:dyDescent="0.25">
      <c r="B2842" s="10"/>
    </row>
    <row r="2843" spans="2:2" x14ac:dyDescent="0.25">
      <c r="B2843" s="10"/>
    </row>
    <row r="2844" spans="2:2" x14ac:dyDescent="0.25">
      <c r="B2844" s="10"/>
    </row>
    <row r="2845" spans="2:2" x14ac:dyDescent="0.25">
      <c r="B2845" s="10"/>
    </row>
    <row r="2846" spans="2:2" x14ac:dyDescent="0.25">
      <c r="B2846" s="10"/>
    </row>
    <row r="2847" spans="2:2" x14ac:dyDescent="0.25">
      <c r="B2847" s="10"/>
    </row>
    <row r="2848" spans="2:2" x14ac:dyDescent="0.25">
      <c r="B2848" s="10"/>
    </row>
    <row r="2849" spans="2:2" x14ac:dyDescent="0.25">
      <c r="B2849" s="10"/>
    </row>
    <row r="2850" spans="2:2" x14ac:dyDescent="0.25">
      <c r="B2850" s="10"/>
    </row>
    <row r="2851" spans="2:2" x14ac:dyDescent="0.25">
      <c r="B2851" s="10"/>
    </row>
    <row r="2852" spans="2:2" x14ac:dyDescent="0.25">
      <c r="B2852" s="10"/>
    </row>
    <row r="2853" spans="2:2" x14ac:dyDescent="0.25">
      <c r="B2853" s="10"/>
    </row>
    <row r="2854" spans="2:2" x14ac:dyDescent="0.25">
      <c r="B2854" s="10"/>
    </row>
    <row r="2855" spans="2:2" x14ac:dyDescent="0.25">
      <c r="B2855" s="10"/>
    </row>
    <row r="2856" spans="2:2" x14ac:dyDescent="0.25">
      <c r="B2856" s="10"/>
    </row>
    <row r="2857" spans="2:2" x14ac:dyDescent="0.25">
      <c r="B2857" s="10"/>
    </row>
    <row r="2858" spans="2:2" x14ac:dyDescent="0.25">
      <c r="B2858" s="10"/>
    </row>
    <row r="2859" spans="2:2" x14ac:dyDescent="0.25">
      <c r="B2859" s="10"/>
    </row>
    <row r="2860" spans="2:2" x14ac:dyDescent="0.25">
      <c r="B2860" s="10"/>
    </row>
    <row r="2861" spans="2:2" x14ac:dyDescent="0.25">
      <c r="B2861" s="10"/>
    </row>
    <row r="2862" spans="2:2" x14ac:dyDescent="0.25">
      <c r="B2862" s="10"/>
    </row>
    <row r="2863" spans="2:2" x14ac:dyDescent="0.25">
      <c r="B2863" s="10"/>
    </row>
    <row r="2864" spans="2:2" x14ac:dyDescent="0.25">
      <c r="B2864" s="10"/>
    </row>
    <row r="2865" spans="2:2" x14ac:dyDescent="0.25">
      <c r="B2865" s="10"/>
    </row>
    <row r="2866" spans="2:2" x14ac:dyDescent="0.25">
      <c r="B2866" s="10"/>
    </row>
    <row r="2867" spans="2:2" x14ac:dyDescent="0.25">
      <c r="B2867" s="10"/>
    </row>
    <row r="2868" spans="2:2" x14ac:dyDescent="0.25">
      <c r="B2868" s="10"/>
    </row>
    <row r="2869" spans="2:2" x14ac:dyDescent="0.25">
      <c r="B2869" s="10"/>
    </row>
    <row r="2870" spans="2:2" x14ac:dyDescent="0.25">
      <c r="B2870" s="10"/>
    </row>
    <row r="2871" spans="2:2" x14ac:dyDescent="0.25">
      <c r="B2871" s="10"/>
    </row>
    <row r="2872" spans="2:2" x14ac:dyDescent="0.25">
      <c r="B2872" s="10"/>
    </row>
    <row r="2873" spans="2:2" x14ac:dyDescent="0.25">
      <c r="B2873" s="10"/>
    </row>
    <row r="2874" spans="2:2" x14ac:dyDescent="0.25">
      <c r="B2874" s="10"/>
    </row>
    <row r="2875" spans="2:2" x14ac:dyDescent="0.25">
      <c r="B2875" s="10"/>
    </row>
    <row r="2876" spans="2:2" x14ac:dyDescent="0.25">
      <c r="B2876" s="10"/>
    </row>
    <row r="2877" spans="2:2" x14ac:dyDescent="0.25">
      <c r="B2877" s="10"/>
    </row>
    <row r="2878" spans="2:2" x14ac:dyDescent="0.25">
      <c r="B2878" s="10"/>
    </row>
    <row r="2879" spans="2:2" x14ac:dyDescent="0.25">
      <c r="B2879" s="10"/>
    </row>
    <row r="2880" spans="2:2" x14ac:dyDescent="0.25">
      <c r="B2880" s="10"/>
    </row>
    <row r="2881" spans="2:2" x14ac:dyDescent="0.25">
      <c r="B2881" s="10"/>
    </row>
    <row r="2882" spans="2:2" x14ac:dyDescent="0.25">
      <c r="B2882" s="10"/>
    </row>
    <row r="2883" spans="2:2" x14ac:dyDescent="0.25">
      <c r="B2883" s="10"/>
    </row>
    <row r="2884" spans="2:2" x14ac:dyDescent="0.25">
      <c r="B2884" s="10"/>
    </row>
    <row r="2885" spans="2:2" x14ac:dyDescent="0.25">
      <c r="B2885" s="10"/>
    </row>
    <row r="2886" spans="2:2" x14ac:dyDescent="0.25">
      <c r="B2886" s="10"/>
    </row>
    <row r="2887" spans="2:2" x14ac:dyDescent="0.25">
      <c r="B2887" s="10"/>
    </row>
    <row r="2888" spans="2:2" x14ac:dyDescent="0.25">
      <c r="B2888" s="10"/>
    </row>
    <row r="2889" spans="2:2" x14ac:dyDescent="0.25">
      <c r="B2889" s="10"/>
    </row>
    <row r="2890" spans="2:2" x14ac:dyDescent="0.25">
      <c r="B2890" s="10"/>
    </row>
    <row r="2891" spans="2:2" x14ac:dyDescent="0.25">
      <c r="B2891" s="10"/>
    </row>
    <row r="2892" spans="2:2" x14ac:dyDescent="0.25">
      <c r="B2892" s="10"/>
    </row>
    <row r="2893" spans="2:2" x14ac:dyDescent="0.25">
      <c r="B2893" s="10"/>
    </row>
    <row r="2894" spans="2:2" x14ac:dyDescent="0.25">
      <c r="B2894" s="10"/>
    </row>
    <row r="2895" spans="2:2" x14ac:dyDescent="0.25">
      <c r="B2895" s="10"/>
    </row>
    <row r="2896" spans="2:2" x14ac:dyDescent="0.25">
      <c r="B2896" s="10"/>
    </row>
    <row r="2897" spans="2:2" x14ac:dyDescent="0.25">
      <c r="B2897" s="10"/>
    </row>
    <row r="2898" spans="2:2" x14ac:dyDescent="0.25">
      <c r="B2898" s="10"/>
    </row>
    <row r="2899" spans="2:2" x14ac:dyDescent="0.25">
      <c r="B2899" s="10"/>
    </row>
    <row r="2900" spans="2:2" x14ac:dyDescent="0.25">
      <c r="B2900" s="10"/>
    </row>
    <row r="2901" spans="2:2" x14ac:dyDescent="0.25">
      <c r="B2901" s="10"/>
    </row>
    <row r="2902" spans="2:2" x14ac:dyDescent="0.25">
      <c r="B2902" s="10"/>
    </row>
    <row r="2903" spans="2:2" x14ac:dyDescent="0.25">
      <c r="B2903" s="10"/>
    </row>
    <row r="2904" spans="2:2" x14ac:dyDescent="0.25">
      <c r="B2904" s="10"/>
    </row>
    <row r="2905" spans="2:2" x14ac:dyDescent="0.25">
      <c r="B2905" s="10"/>
    </row>
    <row r="2906" spans="2:2" x14ac:dyDescent="0.25">
      <c r="B2906" s="10"/>
    </row>
    <row r="2907" spans="2:2" x14ac:dyDescent="0.25">
      <c r="B2907" s="10"/>
    </row>
    <row r="2908" spans="2:2" x14ac:dyDescent="0.25">
      <c r="B2908" s="10"/>
    </row>
    <row r="2909" spans="2:2" x14ac:dyDescent="0.25">
      <c r="B2909" s="10"/>
    </row>
    <row r="2910" spans="2:2" x14ac:dyDescent="0.25">
      <c r="B2910" s="10"/>
    </row>
    <row r="2911" spans="2:2" x14ac:dyDescent="0.25">
      <c r="B2911" s="10"/>
    </row>
    <row r="2912" spans="2:2" x14ac:dyDescent="0.25">
      <c r="B2912" s="10"/>
    </row>
    <row r="2913" spans="2:2" x14ac:dyDescent="0.25">
      <c r="B2913" s="10"/>
    </row>
    <row r="2914" spans="2:2" x14ac:dyDescent="0.25">
      <c r="B2914" s="10"/>
    </row>
    <row r="2915" spans="2:2" x14ac:dyDescent="0.25">
      <c r="B2915" s="10"/>
    </row>
    <row r="2916" spans="2:2" x14ac:dyDescent="0.25">
      <c r="B2916" s="10"/>
    </row>
    <row r="2917" spans="2:2" x14ac:dyDescent="0.25">
      <c r="B2917" s="10"/>
    </row>
    <row r="2918" spans="2:2" x14ac:dyDescent="0.25">
      <c r="B2918" s="10"/>
    </row>
    <row r="2919" spans="2:2" x14ac:dyDescent="0.25">
      <c r="B2919" s="10"/>
    </row>
    <row r="2920" spans="2:2" x14ac:dyDescent="0.25">
      <c r="B2920" s="10"/>
    </row>
    <row r="2921" spans="2:2" x14ac:dyDescent="0.25">
      <c r="B2921" s="10"/>
    </row>
    <row r="2922" spans="2:2" x14ac:dyDescent="0.25">
      <c r="B2922" s="10"/>
    </row>
    <row r="2923" spans="2:2" x14ac:dyDescent="0.25">
      <c r="B2923" s="10"/>
    </row>
    <row r="2924" spans="2:2" x14ac:dyDescent="0.25">
      <c r="B2924" s="10"/>
    </row>
    <row r="2925" spans="2:2" x14ac:dyDescent="0.25">
      <c r="B2925" s="10"/>
    </row>
    <row r="2926" spans="2:2" x14ac:dyDescent="0.25">
      <c r="B2926" s="10"/>
    </row>
    <row r="2927" spans="2:2" x14ac:dyDescent="0.25">
      <c r="B2927" s="10"/>
    </row>
    <row r="2928" spans="2:2" x14ac:dyDescent="0.25">
      <c r="B2928" s="10"/>
    </row>
    <row r="2929" spans="2:2" x14ac:dyDescent="0.25">
      <c r="B2929" s="10"/>
    </row>
    <row r="2930" spans="2:2" x14ac:dyDescent="0.25">
      <c r="B2930" s="10"/>
    </row>
    <row r="2931" spans="2:2" x14ac:dyDescent="0.25">
      <c r="B2931" s="10"/>
    </row>
    <row r="2932" spans="2:2" x14ac:dyDescent="0.25">
      <c r="B2932" s="10"/>
    </row>
    <row r="2933" spans="2:2" x14ac:dyDescent="0.25">
      <c r="B2933" s="10"/>
    </row>
    <row r="2934" spans="2:2" x14ac:dyDescent="0.25">
      <c r="B2934" s="10"/>
    </row>
    <row r="2935" spans="2:2" x14ac:dyDescent="0.25">
      <c r="B2935" s="10"/>
    </row>
    <row r="2936" spans="2:2" x14ac:dyDescent="0.25">
      <c r="B2936" s="10"/>
    </row>
    <row r="2937" spans="2:2" x14ac:dyDescent="0.25">
      <c r="B2937" s="10"/>
    </row>
    <row r="2938" spans="2:2" x14ac:dyDescent="0.25">
      <c r="B2938" s="10"/>
    </row>
    <row r="2939" spans="2:2" x14ac:dyDescent="0.25">
      <c r="B2939" s="10"/>
    </row>
    <row r="2940" spans="2:2" x14ac:dyDescent="0.25">
      <c r="B2940" s="10"/>
    </row>
    <row r="2941" spans="2:2" x14ac:dyDescent="0.25">
      <c r="B2941" s="10"/>
    </row>
    <row r="2942" spans="2:2" x14ac:dyDescent="0.25">
      <c r="B2942" s="10"/>
    </row>
    <row r="2943" spans="2:2" x14ac:dyDescent="0.25">
      <c r="B2943" s="10"/>
    </row>
    <row r="2944" spans="2:2" x14ac:dyDescent="0.25">
      <c r="B2944" s="10"/>
    </row>
    <row r="2945" spans="2:2" x14ac:dyDescent="0.25">
      <c r="B2945" s="10"/>
    </row>
    <row r="2946" spans="2:2" x14ac:dyDescent="0.25">
      <c r="B2946" s="10"/>
    </row>
    <row r="2947" spans="2:2" x14ac:dyDescent="0.25">
      <c r="B2947" s="10"/>
    </row>
    <row r="2948" spans="2:2" x14ac:dyDescent="0.25">
      <c r="B2948" s="10"/>
    </row>
    <row r="2949" spans="2:2" x14ac:dyDescent="0.25">
      <c r="B2949" s="10"/>
    </row>
    <row r="2950" spans="2:2" x14ac:dyDescent="0.25">
      <c r="B2950" s="10"/>
    </row>
    <row r="2951" spans="2:2" x14ac:dyDescent="0.25">
      <c r="B2951" s="10"/>
    </row>
    <row r="2952" spans="2:2" x14ac:dyDescent="0.25">
      <c r="B2952" s="10"/>
    </row>
    <row r="2953" spans="2:2" x14ac:dyDescent="0.25">
      <c r="B2953" s="10"/>
    </row>
    <row r="2954" spans="2:2" x14ac:dyDescent="0.25">
      <c r="B2954" s="10"/>
    </row>
    <row r="2955" spans="2:2" x14ac:dyDescent="0.25">
      <c r="B2955" s="10"/>
    </row>
    <row r="2956" spans="2:2" x14ac:dyDescent="0.25">
      <c r="B2956" s="10"/>
    </row>
    <row r="2957" spans="2:2" x14ac:dyDescent="0.25">
      <c r="B2957" s="10"/>
    </row>
    <row r="2958" spans="2:2" x14ac:dyDescent="0.25">
      <c r="B2958" s="10"/>
    </row>
    <row r="2959" spans="2:2" x14ac:dyDescent="0.25">
      <c r="B2959" s="10"/>
    </row>
    <row r="2960" spans="2:2" x14ac:dyDescent="0.25">
      <c r="B2960" s="10"/>
    </row>
    <row r="2961" spans="2:2" x14ac:dyDescent="0.25">
      <c r="B2961" s="10"/>
    </row>
    <row r="2962" spans="2:2" x14ac:dyDescent="0.25">
      <c r="B2962" s="10"/>
    </row>
    <row r="2963" spans="2:2" x14ac:dyDescent="0.25">
      <c r="B2963" s="10"/>
    </row>
    <row r="2964" spans="2:2" x14ac:dyDescent="0.25">
      <c r="B2964" s="10"/>
    </row>
    <row r="2965" spans="2:2" x14ac:dyDescent="0.25">
      <c r="B2965" s="10"/>
    </row>
    <row r="2966" spans="2:2" x14ac:dyDescent="0.25">
      <c r="B2966" s="10"/>
    </row>
    <row r="2967" spans="2:2" x14ac:dyDescent="0.25">
      <c r="B2967" s="10"/>
    </row>
    <row r="2968" spans="2:2" x14ac:dyDescent="0.25">
      <c r="B2968" s="10"/>
    </row>
    <row r="2969" spans="2:2" x14ac:dyDescent="0.25">
      <c r="B2969" s="10"/>
    </row>
    <row r="2970" spans="2:2" x14ac:dyDescent="0.25">
      <c r="B2970" s="10"/>
    </row>
    <row r="2971" spans="2:2" x14ac:dyDescent="0.25">
      <c r="B2971" s="10"/>
    </row>
    <row r="2972" spans="2:2" x14ac:dyDescent="0.25">
      <c r="B2972" s="10"/>
    </row>
    <row r="2973" spans="2:2" x14ac:dyDescent="0.25">
      <c r="B2973" s="10"/>
    </row>
    <row r="2974" spans="2:2" x14ac:dyDescent="0.25">
      <c r="B2974" s="10"/>
    </row>
    <row r="2975" spans="2:2" x14ac:dyDescent="0.25">
      <c r="B2975" s="10"/>
    </row>
    <row r="2976" spans="2:2" x14ac:dyDescent="0.25">
      <c r="B2976" s="10"/>
    </row>
    <row r="2977" spans="2:2" x14ac:dyDescent="0.25">
      <c r="B2977" s="10"/>
    </row>
    <row r="2978" spans="2:2" x14ac:dyDescent="0.25">
      <c r="B2978" s="10"/>
    </row>
    <row r="2979" spans="2:2" x14ac:dyDescent="0.25">
      <c r="B2979" s="10"/>
    </row>
    <row r="2980" spans="2:2" x14ac:dyDescent="0.25">
      <c r="B2980" s="10"/>
    </row>
    <row r="2981" spans="2:2" x14ac:dyDescent="0.25">
      <c r="B2981" s="10"/>
    </row>
    <row r="2982" spans="2:2" x14ac:dyDescent="0.25">
      <c r="B2982" s="10"/>
    </row>
    <row r="2983" spans="2:2" x14ac:dyDescent="0.25">
      <c r="B2983" s="10"/>
    </row>
    <row r="2984" spans="2:2" x14ac:dyDescent="0.25">
      <c r="B2984" s="10"/>
    </row>
    <row r="2985" spans="2:2" x14ac:dyDescent="0.25">
      <c r="B2985" s="10"/>
    </row>
    <row r="2986" spans="2:2" x14ac:dyDescent="0.25">
      <c r="B2986" s="10"/>
    </row>
    <row r="2987" spans="2:2" x14ac:dyDescent="0.25">
      <c r="B2987" s="10"/>
    </row>
    <row r="2988" spans="2:2" x14ac:dyDescent="0.25">
      <c r="B2988" s="10"/>
    </row>
    <row r="2989" spans="2:2" x14ac:dyDescent="0.25">
      <c r="B2989" s="10"/>
    </row>
    <row r="2990" spans="2:2" x14ac:dyDescent="0.25">
      <c r="B2990" s="10"/>
    </row>
    <row r="2991" spans="2:2" x14ac:dyDescent="0.25">
      <c r="B2991" s="10"/>
    </row>
    <row r="2992" spans="2:2" x14ac:dyDescent="0.25">
      <c r="B2992" s="10"/>
    </row>
    <row r="2993" spans="2:2" x14ac:dyDescent="0.25">
      <c r="B2993" s="10"/>
    </row>
    <row r="2994" spans="2:2" x14ac:dyDescent="0.25">
      <c r="B2994" s="10"/>
    </row>
    <row r="2995" spans="2:2" x14ac:dyDescent="0.25">
      <c r="B2995" s="10"/>
    </row>
    <row r="2996" spans="2:2" x14ac:dyDescent="0.25">
      <c r="B2996" s="10"/>
    </row>
    <row r="2997" spans="2:2" x14ac:dyDescent="0.25">
      <c r="B2997" s="10"/>
    </row>
    <row r="2998" spans="2:2" x14ac:dyDescent="0.25">
      <c r="B2998" s="10"/>
    </row>
    <row r="2999" spans="2:2" x14ac:dyDescent="0.25">
      <c r="B2999" s="10"/>
    </row>
    <row r="3000" spans="2:2" x14ac:dyDescent="0.25">
      <c r="B3000" s="10"/>
    </row>
    <row r="3001" spans="2:2" x14ac:dyDescent="0.25">
      <c r="B3001" s="10"/>
    </row>
    <row r="3002" spans="2:2" x14ac:dyDescent="0.25">
      <c r="B3002" s="10"/>
    </row>
    <row r="3003" spans="2:2" x14ac:dyDescent="0.25">
      <c r="B3003" s="10"/>
    </row>
    <row r="3004" spans="2:2" x14ac:dyDescent="0.25">
      <c r="B3004" s="10"/>
    </row>
    <row r="3005" spans="2:2" x14ac:dyDescent="0.25">
      <c r="B3005" s="10"/>
    </row>
    <row r="3006" spans="2:2" x14ac:dyDescent="0.25">
      <c r="B3006" s="10"/>
    </row>
    <row r="3007" spans="2:2" x14ac:dyDescent="0.25">
      <c r="B3007" s="10"/>
    </row>
    <row r="3008" spans="2:2" x14ac:dyDescent="0.25">
      <c r="B3008" s="10"/>
    </row>
    <row r="3009" spans="2:2" x14ac:dyDescent="0.25">
      <c r="B3009" s="10"/>
    </row>
    <row r="3010" spans="2:2" x14ac:dyDescent="0.25">
      <c r="B3010" s="10"/>
    </row>
    <row r="3011" spans="2:2" x14ac:dyDescent="0.25">
      <c r="B3011" s="10"/>
    </row>
    <row r="3012" spans="2:2" x14ac:dyDescent="0.25">
      <c r="B3012" s="10"/>
    </row>
    <row r="3013" spans="2:2" x14ac:dyDescent="0.25">
      <c r="B3013" s="10"/>
    </row>
    <row r="3014" spans="2:2" x14ac:dyDescent="0.25">
      <c r="B3014" s="10"/>
    </row>
    <row r="3015" spans="2:2" x14ac:dyDescent="0.25">
      <c r="B3015" s="10"/>
    </row>
    <row r="3016" spans="2:2" x14ac:dyDescent="0.25">
      <c r="B3016" s="10"/>
    </row>
    <row r="3017" spans="2:2" x14ac:dyDescent="0.25">
      <c r="B3017" s="10"/>
    </row>
    <row r="3018" spans="2:2" x14ac:dyDescent="0.25">
      <c r="B3018" s="10"/>
    </row>
    <row r="3019" spans="2:2" x14ac:dyDescent="0.25">
      <c r="B3019" s="10"/>
    </row>
    <row r="3020" spans="2:2" x14ac:dyDescent="0.25">
      <c r="B3020" s="10"/>
    </row>
    <row r="3021" spans="2:2" x14ac:dyDescent="0.25">
      <c r="B3021" s="10"/>
    </row>
    <row r="3022" spans="2:2" x14ac:dyDescent="0.25">
      <c r="B3022" s="10"/>
    </row>
    <row r="3023" spans="2:2" x14ac:dyDescent="0.25">
      <c r="B3023" s="10"/>
    </row>
    <row r="3024" spans="2:2" x14ac:dyDescent="0.25">
      <c r="B3024" s="10"/>
    </row>
    <row r="3025" spans="2:2" x14ac:dyDescent="0.25">
      <c r="B3025" s="10"/>
    </row>
    <row r="3026" spans="2:2" x14ac:dyDescent="0.25">
      <c r="B3026" s="10"/>
    </row>
    <row r="3027" spans="2:2" x14ac:dyDescent="0.25">
      <c r="B3027" s="10"/>
    </row>
    <row r="3028" spans="2:2" x14ac:dyDescent="0.25">
      <c r="B3028" s="10"/>
    </row>
    <row r="3029" spans="2:2" x14ac:dyDescent="0.25">
      <c r="B3029" s="10"/>
    </row>
    <row r="3030" spans="2:2" x14ac:dyDescent="0.25">
      <c r="B3030" s="10"/>
    </row>
    <row r="3031" spans="2:2" x14ac:dyDescent="0.25">
      <c r="B3031" s="10"/>
    </row>
    <row r="3032" spans="2:2" x14ac:dyDescent="0.25">
      <c r="B3032" s="10"/>
    </row>
    <row r="3033" spans="2:2" x14ac:dyDescent="0.25">
      <c r="B3033" s="10"/>
    </row>
    <row r="3034" spans="2:2" x14ac:dyDescent="0.25">
      <c r="B3034" s="10"/>
    </row>
    <row r="3035" spans="2:2" x14ac:dyDescent="0.25">
      <c r="B3035" s="10"/>
    </row>
    <row r="3036" spans="2:2" x14ac:dyDescent="0.25">
      <c r="B3036" s="10"/>
    </row>
    <row r="3037" spans="2:2" x14ac:dyDescent="0.25">
      <c r="B3037" s="10"/>
    </row>
    <row r="3038" spans="2:2" x14ac:dyDescent="0.25">
      <c r="B3038" s="10"/>
    </row>
    <row r="3039" spans="2:2" x14ac:dyDescent="0.25">
      <c r="B3039" s="10"/>
    </row>
    <row r="3040" spans="2:2" x14ac:dyDescent="0.25">
      <c r="B3040" s="10"/>
    </row>
    <row r="3041" spans="2:2" x14ac:dyDescent="0.25">
      <c r="B3041" s="10"/>
    </row>
    <row r="3042" spans="2:2" x14ac:dyDescent="0.25">
      <c r="B3042" s="10"/>
    </row>
    <row r="3043" spans="2:2" x14ac:dyDescent="0.25">
      <c r="B3043" s="10"/>
    </row>
    <row r="3044" spans="2:2" x14ac:dyDescent="0.25">
      <c r="B3044" s="10"/>
    </row>
    <row r="3045" spans="2:2" x14ac:dyDescent="0.25">
      <c r="B3045" s="10"/>
    </row>
    <row r="3046" spans="2:2" x14ac:dyDescent="0.25">
      <c r="B3046" s="10"/>
    </row>
    <row r="3047" spans="2:2" x14ac:dyDescent="0.25">
      <c r="B3047" s="10"/>
    </row>
    <row r="3048" spans="2:2" x14ac:dyDescent="0.25">
      <c r="B3048" s="10"/>
    </row>
    <row r="3049" spans="2:2" x14ac:dyDescent="0.25">
      <c r="B3049" s="10"/>
    </row>
    <row r="3050" spans="2:2" x14ac:dyDescent="0.25">
      <c r="B3050" s="10"/>
    </row>
    <row r="3051" spans="2:2" x14ac:dyDescent="0.25">
      <c r="B3051" s="10"/>
    </row>
    <row r="3052" spans="2:2" x14ac:dyDescent="0.25">
      <c r="B3052" s="10"/>
    </row>
    <row r="3053" spans="2:2" x14ac:dyDescent="0.25">
      <c r="B3053" s="10"/>
    </row>
    <row r="3054" spans="2:2" x14ac:dyDescent="0.25">
      <c r="B3054" s="10"/>
    </row>
    <row r="3055" spans="2:2" x14ac:dyDescent="0.25">
      <c r="B3055" s="10"/>
    </row>
    <row r="3056" spans="2:2" x14ac:dyDescent="0.25">
      <c r="B3056" s="10"/>
    </row>
    <row r="3057" spans="2:2" x14ac:dyDescent="0.25">
      <c r="B3057" s="10"/>
    </row>
    <row r="3058" spans="2:2" x14ac:dyDescent="0.25">
      <c r="B3058" s="10"/>
    </row>
    <row r="3059" spans="2:2" x14ac:dyDescent="0.25">
      <c r="B3059" s="10"/>
    </row>
    <row r="3060" spans="2:2" x14ac:dyDescent="0.25">
      <c r="B3060" s="10"/>
    </row>
    <row r="3061" spans="2:2" x14ac:dyDescent="0.25">
      <c r="B3061" s="10"/>
    </row>
    <row r="3062" spans="2:2" x14ac:dyDescent="0.25">
      <c r="B3062" s="10"/>
    </row>
    <row r="3063" spans="2:2" x14ac:dyDescent="0.25">
      <c r="B3063" s="10"/>
    </row>
    <row r="3064" spans="2:2" x14ac:dyDescent="0.25">
      <c r="B3064" s="10"/>
    </row>
    <row r="3065" spans="2:2" x14ac:dyDescent="0.25">
      <c r="B3065" s="10"/>
    </row>
    <row r="3066" spans="2:2" x14ac:dyDescent="0.25">
      <c r="B3066" s="10"/>
    </row>
    <row r="3067" spans="2:2" x14ac:dyDescent="0.25">
      <c r="B3067" s="10"/>
    </row>
    <row r="3068" spans="2:2" x14ac:dyDescent="0.25">
      <c r="B3068" s="10"/>
    </row>
    <row r="3069" spans="2:2" x14ac:dyDescent="0.25">
      <c r="B3069" s="10"/>
    </row>
    <row r="3070" spans="2:2" x14ac:dyDescent="0.25">
      <c r="B3070" s="10"/>
    </row>
    <row r="3071" spans="2:2" x14ac:dyDescent="0.25">
      <c r="B3071" s="10"/>
    </row>
    <row r="3072" spans="2:2" x14ac:dyDescent="0.25">
      <c r="B3072" s="10"/>
    </row>
    <row r="3073" spans="2:2" x14ac:dyDescent="0.25">
      <c r="B3073" s="10"/>
    </row>
    <row r="3074" spans="2:2" x14ac:dyDescent="0.25">
      <c r="B3074" s="10"/>
    </row>
    <row r="3075" spans="2:2" x14ac:dyDescent="0.25">
      <c r="B3075" s="10"/>
    </row>
    <row r="3076" spans="2:2" x14ac:dyDescent="0.25">
      <c r="B3076" s="10"/>
    </row>
    <row r="3077" spans="2:2" x14ac:dyDescent="0.25">
      <c r="B3077" s="10"/>
    </row>
    <row r="3078" spans="2:2" x14ac:dyDescent="0.25">
      <c r="B3078" s="10"/>
    </row>
    <row r="3079" spans="2:2" x14ac:dyDescent="0.25">
      <c r="B3079" s="10"/>
    </row>
    <row r="3080" spans="2:2" x14ac:dyDescent="0.25">
      <c r="B3080" s="10"/>
    </row>
    <row r="3081" spans="2:2" x14ac:dyDescent="0.25">
      <c r="B3081" s="10"/>
    </row>
    <row r="3082" spans="2:2" x14ac:dyDescent="0.25">
      <c r="B3082" s="10"/>
    </row>
    <row r="3083" spans="2:2" x14ac:dyDescent="0.25">
      <c r="B3083" s="10"/>
    </row>
    <row r="3084" spans="2:2" x14ac:dyDescent="0.25">
      <c r="B3084" s="10"/>
    </row>
    <row r="3085" spans="2:2" x14ac:dyDescent="0.25">
      <c r="B3085" s="10"/>
    </row>
    <row r="3086" spans="2:2" x14ac:dyDescent="0.25">
      <c r="B3086" s="10"/>
    </row>
    <row r="3087" spans="2:2" x14ac:dyDescent="0.25">
      <c r="B3087" s="10"/>
    </row>
    <row r="3088" spans="2:2" x14ac:dyDescent="0.25">
      <c r="B3088" s="10"/>
    </row>
    <row r="3089" spans="2:2" x14ac:dyDescent="0.25">
      <c r="B3089" s="10"/>
    </row>
    <row r="3090" spans="2:2" x14ac:dyDescent="0.25">
      <c r="B3090" s="10"/>
    </row>
    <row r="3091" spans="2:2" x14ac:dyDescent="0.25">
      <c r="B3091" s="10"/>
    </row>
    <row r="3092" spans="2:2" x14ac:dyDescent="0.25">
      <c r="B3092" s="10"/>
    </row>
    <row r="3093" spans="2:2" x14ac:dyDescent="0.25">
      <c r="B3093" s="10"/>
    </row>
    <row r="3094" spans="2:2" x14ac:dyDescent="0.25">
      <c r="B3094" s="10"/>
    </row>
    <row r="3095" spans="2:2" x14ac:dyDescent="0.25">
      <c r="B3095" s="10"/>
    </row>
    <row r="3096" spans="2:2" x14ac:dyDescent="0.25">
      <c r="B3096" s="10"/>
    </row>
    <row r="3097" spans="2:2" x14ac:dyDescent="0.25">
      <c r="B3097" s="10"/>
    </row>
    <row r="3098" spans="2:2" x14ac:dyDescent="0.25">
      <c r="B3098" s="10"/>
    </row>
    <row r="3099" spans="2:2" x14ac:dyDescent="0.25">
      <c r="B3099" s="10"/>
    </row>
    <row r="3100" spans="2:2" x14ac:dyDescent="0.25">
      <c r="B3100" s="10"/>
    </row>
    <row r="3101" spans="2:2" x14ac:dyDescent="0.25">
      <c r="B3101" s="10"/>
    </row>
    <row r="3102" spans="2:2" x14ac:dyDescent="0.25">
      <c r="B3102" s="10"/>
    </row>
    <row r="3103" spans="2:2" x14ac:dyDescent="0.25">
      <c r="B3103" s="10"/>
    </row>
    <row r="3104" spans="2:2" x14ac:dyDescent="0.25">
      <c r="B3104" s="10"/>
    </row>
    <row r="3105" spans="2:2" x14ac:dyDescent="0.25">
      <c r="B3105" s="10"/>
    </row>
    <row r="3106" spans="2:2" x14ac:dyDescent="0.25">
      <c r="B3106" s="10"/>
    </row>
    <row r="3107" spans="2:2" x14ac:dyDescent="0.25">
      <c r="B3107" s="10"/>
    </row>
    <row r="3108" spans="2:2" x14ac:dyDescent="0.25">
      <c r="B3108" s="10"/>
    </row>
    <row r="3109" spans="2:2" x14ac:dyDescent="0.25">
      <c r="B3109" s="10"/>
    </row>
    <row r="3110" spans="2:2" x14ac:dyDescent="0.25">
      <c r="B3110" s="10"/>
    </row>
    <row r="3111" spans="2:2" x14ac:dyDescent="0.25">
      <c r="B3111" s="10"/>
    </row>
    <row r="3112" spans="2:2" x14ac:dyDescent="0.25">
      <c r="B3112" s="10"/>
    </row>
    <row r="3113" spans="2:2" x14ac:dyDescent="0.25">
      <c r="B3113" s="10"/>
    </row>
    <row r="3114" spans="2:2" x14ac:dyDescent="0.25">
      <c r="B3114" s="10"/>
    </row>
    <row r="3115" spans="2:2" x14ac:dyDescent="0.25">
      <c r="B3115" s="10"/>
    </row>
    <row r="3116" spans="2:2" x14ac:dyDescent="0.25">
      <c r="B3116" s="10"/>
    </row>
    <row r="3117" spans="2:2" x14ac:dyDescent="0.25">
      <c r="B3117" s="10"/>
    </row>
    <row r="3118" spans="2:2" x14ac:dyDescent="0.25">
      <c r="B3118" s="10"/>
    </row>
    <row r="3119" spans="2:2" x14ac:dyDescent="0.25">
      <c r="B3119" s="10"/>
    </row>
    <row r="3120" spans="2:2" x14ac:dyDescent="0.25">
      <c r="B3120" s="10"/>
    </row>
    <row r="3121" spans="2:2" x14ac:dyDescent="0.25">
      <c r="B3121" s="10"/>
    </row>
    <row r="3122" spans="2:2" x14ac:dyDescent="0.25">
      <c r="B3122" s="10"/>
    </row>
    <row r="3123" spans="2:2" x14ac:dyDescent="0.25">
      <c r="B3123" s="10"/>
    </row>
    <row r="3124" spans="2:2" x14ac:dyDescent="0.25">
      <c r="B3124" s="10"/>
    </row>
    <row r="3125" spans="2:2" x14ac:dyDescent="0.25">
      <c r="B3125" s="10"/>
    </row>
    <row r="3126" spans="2:2" x14ac:dyDescent="0.25">
      <c r="B3126" s="10"/>
    </row>
    <row r="3127" spans="2:2" x14ac:dyDescent="0.25">
      <c r="B3127" s="10"/>
    </row>
    <row r="3128" spans="2:2" x14ac:dyDescent="0.25">
      <c r="B3128" s="10"/>
    </row>
    <row r="3129" spans="2:2" x14ac:dyDescent="0.25">
      <c r="B3129" s="10"/>
    </row>
    <row r="3130" spans="2:2" x14ac:dyDescent="0.25">
      <c r="B3130" s="10"/>
    </row>
    <row r="3131" spans="2:2" x14ac:dyDescent="0.25">
      <c r="B3131" s="10"/>
    </row>
    <row r="3132" spans="2:2" x14ac:dyDescent="0.25">
      <c r="B3132" s="10"/>
    </row>
    <row r="3133" spans="2:2" x14ac:dyDescent="0.25">
      <c r="B3133" s="10"/>
    </row>
    <row r="3134" spans="2:2" x14ac:dyDescent="0.25">
      <c r="B3134" s="10"/>
    </row>
    <row r="3135" spans="2:2" x14ac:dyDescent="0.25">
      <c r="B3135" s="10"/>
    </row>
    <row r="3136" spans="2:2" x14ac:dyDescent="0.25">
      <c r="B3136" s="10"/>
    </row>
    <row r="3137" spans="2:2" x14ac:dyDescent="0.25">
      <c r="B3137" s="10"/>
    </row>
    <row r="3138" spans="2:2" x14ac:dyDescent="0.25">
      <c r="B3138" s="10"/>
    </row>
    <row r="3139" spans="2:2" x14ac:dyDescent="0.25">
      <c r="B3139" s="10"/>
    </row>
    <row r="3140" spans="2:2" x14ac:dyDescent="0.25">
      <c r="B3140" s="10"/>
    </row>
    <row r="3141" spans="2:2" x14ac:dyDescent="0.25">
      <c r="B3141" s="10"/>
    </row>
    <row r="3142" spans="2:2" x14ac:dyDescent="0.25">
      <c r="B3142" s="10"/>
    </row>
    <row r="3143" spans="2:2" x14ac:dyDescent="0.25">
      <c r="B3143" s="10"/>
    </row>
    <row r="3144" spans="2:2" x14ac:dyDescent="0.25">
      <c r="B3144" s="10"/>
    </row>
    <row r="3145" spans="2:2" x14ac:dyDescent="0.25">
      <c r="B3145" s="10"/>
    </row>
    <row r="3146" spans="2:2" x14ac:dyDescent="0.25">
      <c r="B3146" s="10"/>
    </row>
    <row r="3147" spans="2:2" x14ac:dyDescent="0.25">
      <c r="B3147" s="10"/>
    </row>
    <row r="3148" spans="2:2" x14ac:dyDescent="0.25">
      <c r="B3148" s="10"/>
    </row>
    <row r="3149" spans="2:2" x14ac:dyDescent="0.25">
      <c r="B3149" s="10"/>
    </row>
    <row r="3150" spans="2:2" x14ac:dyDescent="0.25">
      <c r="B3150" s="10"/>
    </row>
    <row r="3151" spans="2:2" x14ac:dyDescent="0.25">
      <c r="B3151" s="10"/>
    </row>
    <row r="3152" spans="2:2" x14ac:dyDescent="0.25">
      <c r="B3152" s="10"/>
    </row>
    <row r="3153" spans="2:2" x14ac:dyDescent="0.25">
      <c r="B3153" s="10"/>
    </row>
    <row r="3154" spans="2:2" x14ac:dyDescent="0.25">
      <c r="B3154" s="10"/>
    </row>
    <row r="3155" spans="2:2" x14ac:dyDescent="0.25">
      <c r="B3155" s="10"/>
    </row>
    <row r="3156" spans="2:2" x14ac:dyDescent="0.25">
      <c r="B3156" s="10"/>
    </row>
    <row r="3157" spans="2:2" x14ac:dyDescent="0.25">
      <c r="B3157" s="10"/>
    </row>
    <row r="3158" spans="2:2" x14ac:dyDescent="0.25">
      <c r="B3158" s="10"/>
    </row>
    <row r="3159" spans="2:2" x14ac:dyDescent="0.25">
      <c r="B3159" s="10"/>
    </row>
    <row r="3160" spans="2:2" x14ac:dyDescent="0.25">
      <c r="B3160" s="10"/>
    </row>
    <row r="3161" spans="2:2" x14ac:dyDescent="0.25">
      <c r="B3161" s="10"/>
    </row>
    <row r="3162" spans="2:2" x14ac:dyDescent="0.25">
      <c r="B3162" s="10"/>
    </row>
    <row r="3163" spans="2:2" x14ac:dyDescent="0.25">
      <c r="B3163" s="10"/>
    </row>
    <row r="3164" spans="2:2" x14ac:dyDescent="0.25">
      <c r="B3164" s="10"/>
    </row>
    <row r="3165" spans="2:2" x14ac:dyDescent="0.25">
      <c r="B3165" s="10"/>
    </row>
    <row r="3166" spans="2:2" x14ac:dyDescent="0.25">
      <c r="B3166" s="10"/>
    </row>
    <row r="3167" spans="2:2" x14ac:dyDescent="0.25">
      <c r="B3167" s="10"/>
    </row>
    <row r="3168" spans="2:2" x14ac:dyDescent="0.25">
      <c r="B3168" s="10"/>
    </row>
    <row r="3169" spans="2:2" x14ac:dyDescent="0.25">
      <c r="B3169" s="10"/>
    </row>
    <row r="3170" spans="2:2" x14ac:dyDescent="0.25">
      <c r="B3170" s="10"/>
    </row>
    <row r="3171" spans="2:2" x14ac:dyDescent="0.25">
      <c r="B3171" s="10"/>
    </row>
    <row r="3172" spans="2:2" x14ac:dyDescent="0.25">
      <c r="B3172" s="10"/>
    </row>
    <row r="3173" spans="2:2" x14ac:dyDescent="0.25">
      <c r="B3173" s="10"/>
    </row>
    <row r="3174" spans="2:2" x14ac:dyDescent="0.25">
      <c r="B3174" s="10"/>
    </row>
    <row r="3175" spans="2:2" x14ac:dyDescent="0.25">
      <c r="B3175" s="10"/>
    </row>
    <row r="3176" spans="2:2" x14ac:dyDescent="0.25">
      <c r="B3176" s="10"/>
    </row>
    <row r="3177" spans="2:2" x14ac:dyDescent="0.25">
      <c r="B3177" s="10"/>
    </row>
    <row r="3178" spans="2:2" x14ac:dyDescent="0.25">
      <c r="B3178" s="10"/>
    </row>
    <row r="3179" spans="2:2" x14ac:dyDescent="0.25">
      <c r="B3179" s="10"/>
    </row>
    <row r="3180" spans="2:2" x14ac:dyDescent="0.25">
      <c r="B3180" s="10"/>
    </row>
    <row r="3181" spans="2:2" x14ac:dyDescent="0.25">
      <c r="B3181" s="10"/>
    </row>
    <row r="3182" spans="2:2" x14ac:dyDescent="0.25">
      <c r="B3182" s="10"/>
    </row>
    <row r="3183" spans="2:2" x14ac:dyDescent="0.25">
      <c r="B3183" s="10"/>
    </row>
    <row r="3184" spans="2:2" x14ac:dyDescent="0.25">
      <c r="B3184" s="10"/>
    </row>
    <row r="3185" spans="2:2" x14ac:dyDescent="0.25">
      <c r="B3185" s="10"/>
    </row>
    <row r="3186" spans="2:2" x14ac:dyDescent="0.25">
      <c r="B3186" s="10"/>
    </row>
    <row r="3187" spans="2:2" x14ac:dyDescent="0.25">
      <c r="B3187" s="10"/>
    </row>
    <row r="3188" spans="2:2" x14ac:dyDescent="0.25">
      <c r="B3188" s="10"/>
    </row>
    <row r="3189" spans="2:2" x14ac:dyDescent="0.25">
      <c r="B3189" s="10"/>
    </row>
    <row r="3190" spans="2:2" x14ac:dyDescent="0.25">
      <c r="B3190" s="10"/>
    </row>
    <row r="3191" spans="2:2" x14ac:dyDescent="0.25">
      <c r="B3191" s="10"/>
    </row>
    <row r="3192" spans="2:2" x14ac:dyDescent="0.25">
      <c r="B3192" s="10"/>
    </row>
    <row r="3193" spans="2:2" x14ac:dyDescent="0.25">
      <c r="B3193" s="10"/>
    </row>
    <row r="3194" spans="2:2" x14ac:dyDescent="0.25">
      <c r="B3194" s="10"/>
    </row>
    <row r="3195" spans="2:2" x14ac:dyDescent="0.25">
      <c r="B3195" s="10"/>
    </row>
    <row r="3196" spans="2:2" x14ac:dyDescent="0.25">
      <c r="B3196" s="10"/>
    </row>
    <row r="3197" spans="2:2" x14ac:dyDescent="0.25">
      <c r="B3197" s="10"/>
    </row>
    <row r="3198" spans="2:2" x14ac:dyDescent="0.25">
      <c r="B3198" s="10"/>
    </row>
    <row r="3199" spans="2:2" x14ac:dyDescent="0.25">
      <c r="B3199" s="10"/>
    </row>
    <row r="3200" spans="2:2" x14ac:dyDescent="0.25">
      <c r="B3200" s="10"/>
    </row>
    <row r="3201" spans="2:2" x14ac:dyDescent="0.25">
      <c r="B3201" s="10"/>
    </row>
    <row r="3202" spans="2:2" x14ac:dyDescent="0.25">
      <c r="B3202" s="10"/>
    </row>
    <row r="3203" spans="2:2" x14ac:dyDescent="0.25">
      <c r="B3203" s="10"/>
    </row>
    <row r="3204" spans="2:2" x14ac:dyDescent="0.25">
      <c r="B3204" s="10"/>
    </row>
    <row r="3205" spans="2:2" x14ac:dyDescent="0.25">
      <c r="B3205" s="10"/>
    </row>
    <row r="3206" spans="2:2" x14ac:dyDescent="0.25">
      <c r="B3206" s="10"/>
    </row>
    <row r="3207" spans="2:2" x14ac:dyDescent="0.25">
      <c r="B3207" s="10"/>
    </row>
    <row r="3208" spans="2:2" x14ac:dyDescent="0.25">
      <c r="B3208" s="10"/>
    </row>
    <row r="3209" spans="2:2" x14ac:dyDescent="0.25">
      <c r="B3209" s="10"/>
    </row>
    <row r="3210" spans="2:2" x14ac:dyDescent="0.25">
      <c r="B3210" s="10"/>
    </row>
    <row r="3211" spans="2:2" x14ac:dyDescent="0.25">
      <c r="B3211" s="10"/>
    </row>
    <row r="3212" spans="2:2" x14ac:dyDescent="0.25">
      <c r="B3212" s="10"/>
    </row>
    <row r="3213" spans="2:2" x14ac:dyDescent="0.25">
      <c r="B3213" s="10"/>
    </row>
    <row r="3214" spans="2:2" x14ac:dyDescent="0.25">
      <c r="B3214" s="10"/>
    </row>
    <row r="3215" spans="2:2" x14ac:dyDescent="0.25">
      <c r="B3215" s="10"/>
    </row>
    <row r="3216" spans="2:2" x14ac:dyDescent="0.25">
      <c r="B3216" s="10"/>
    </row>
    <row r="3217" spans="2:2" x14ac:dyDescent="0.25">
      <c r="B3217" s="10"/>
    </row>
    <row r="3218" spans="2:2" x14ac:dyDescent="0.25">
      <c r="B3218" s="10"/>
    </row>
    <row r="3219" spans="2:2" x14ac:dyDescent="0.25">
      <c r="B3219" s="10"/>
    </row>
    <row r="3220" spans="2:2" x14ac:dyDescent="0.25">
      <c r="B3220" s="10"/>
    </row>
    <row r="3221" spans="2:2" x14ac:dyDescent="0.25">
      <c r="B3221" s="10"/>
    </row>
    <row r="3222" spans="2:2" x14ac:dyDescent="0.25">
      <c r="B3222" s="10"/>
    </row>
    <row r="3223" spans="2:2" x14ac:dyDescent="0.25">
      <c r="B3223" s="10"/>
    </row>
    <row r="3224" spans="2:2" x14ac:dyDescent="0.25">
      <c r="B3224" s="10"/>
    </row>
    <row r="3225" spans="2:2" x14ac:dyDescent="0.25">
      <c r="B3225" s="10"/>
    </row>
    <row r="3226" spans="2:2" x14ac:dyDescent="0.25">
      <c r="B3226" s="10"/>
    </row>
    <row r="3227" spans="2:2" x14ac:dyDescent="0.25">
      <c r="B3227" s="10"/>
    </row>
    <row r="3228" spans="2:2" x14ac:dyDescent="0.25">
      <c r="B3228" s="10"/>
    </row>
    <row r="3229" spans="2:2" x14ac:dyDescent="0.25">
      <c r="B3229" s="10"/>
    </row>
    <row r="3230" spans="2:2" x14ac:dyDescent="0.25">
      <c r="B3230" s="10"/>
    </row>
    <row r="3231" spans="2:2" x14ac:dyDescent="0.25">
      <c r="B3231" s="10"/>
    </row>
    <row r="3232" spans="2:2" x14ac:dyDescent="0.25">
      <c r="B3232" s="10"/>
    </row>
    <row r="3233" spans="2:2" x14ac:dyDescent="0.25">
      <c r="B3233" s="10"/>
    </row>
    <row r="3234" spans="2:2" x14ac:dyDescent="0.25">
      <c r="B3234" s="10"/>
    </row>
    <row r="3235" spans="2:2" x14ac:dyDescent="0.25">
      <c r="B3235" s="10"/>
    </row>
    <row r="3236" spans="2:2" x14ac:dyDescent="0.25">
      <c r="B3236" s="10"/>
    </row>
    <row r="3237" spans="2:2" x14ac:dyDescent="0.25">
      <c r="B3237" s="10"/>
    </row>
    <row r="3238" spans="2:2" x14ac:dyDescent="0.25">
      <c r="B3238" s="10"/>
    </row>
    <row r="3239" spans="2:2" x14ac:dyDescent="0.25">
      <c r="B3239" s="10"/>
    </row>
    <row r="3240" spans="2:2" x14ac:dyDescent="0.25">
      <c r="B3240" s="10"/>
    </row>
    <row r="3241" spans="2:2" x14ac:dyDescent="0.25">
      <c r="B3241" s="10"/>
    </row>
    <row r="3242" spans="2:2" x14ac:dyDescent="0.25">
      <c r="B3242" s="10"/>
    </row>
    <row r="3243" spans="2:2" x14ac:dyDescent="0.25">
      <c r="B3243" s="10"/>
    </row>
    <row r="3244" spans="2:2" x14ac:dyDescent="0.25">
      <c r="B3244" s="10"/>
    </row>
    <row r="3245" spans="2:2" x14ac:dyDescent="0.25">
      <c r="B3245" s="10"/>
    </row>
    <row r="3246" spans="2:2" x14ac:dyDescent="0.25">
      <c r="B3246" s="10"/>
    </row>
    <row r="3247" spans="2:2" x14ac:dyDescent="0.25">
      <c r="B3247" s="10"/>
    </row>
    <row r="3248" spans="2:2" x14ac:dyDescent="0.25">
      <c r="B3248" s="10"/>
    </row>
    <row r="3249" spans="2:2" x14ac:dyDescent="0.25">
      <c r="B3249" s="10"/>
    </row>
    <row r="3250" spans="2:2" x14ac:dyDescent="0.25">
      <c r="B3250" s="10"/>
    </row>
    <row r="3251" spans="2:2" x14ac:dyDescent="0.25">
      <c r="B3251" s="10"/>
    </row>
    <row r="3252" spans="2:2" x14ac:dyDescent="0.25">
      <c r="B3252" s="10"/>
    </row>
    <row r="3253" spans="2:2" x14ac:dyDescent="0.25">
      <c r="B3253" s="10"/>
    </row>
    <row r="3254" spans="2:2" x14ac:dyDescent="0.25">
      <c r="B3254" s="10"/>
    </row>
    <row r="3255" spans="2:2" x14ac:dyDescent="0.25">
      <c r="B3255" s="10"/>
    </row>
    <row r="3256" spans="2:2" x14ac:dyDescent="0.25">
      <c r="B3256" s="10"/>
    </row>
    <row r="3257" spans="2:2" x14ac:dyDescent="0.25">
      <c r="B3257" s="10"/>
    </row>
    <row r="3258" spans="2:2" x14ac:dyDescent="0.25">
      <c r="B3258" s="10"/>
    </row>
    <row r="3259" spans="2:2" x14ac:dyDescent="0.25">
      <c r="B3259" s="10"/>
    </row>
    <row r="3260" spans="2:2" x14ac:dyDescent="0.25">
      <c r="B3260" s="10"/>
    </row>
    <row r="3261" spans="2:2" x14ac:dyDescent="0.25">
      <c r="B3261" s="10"/>
    </row>
    <row r="3262" spans="2:2" x14ac:dyDescent="0.25">
      <c r="B3262" s="10"/>
    </row>
    <row r="3263" spans="2:2" x14ac:dyDescent="0.25">
      <c r="B3263" s="10"/>
    </row>
    <row r="3264" spans="2:2" x14ac:dyDescent="0.25">
      <c r="B3264" s="10"/>
    </row>
    <row r="3265" spans="2:2" x14ac:dyDescent="0.25">
      <c r="B3265" s="10"/>
    </row>
    <row r="3266" spans="2:2" x14ac:dyDescent="0.25">
      <c r="B3266" s="10"/>
    </row>
    <row r="3267" spans="2:2" x14ac:dyDescent="0.25">
      <c r="B3267" s="10"/>
    </row>
    <row r="3268" spans="2:2" x14ac:dyDescent="0.25">
      <c r="B3268" s="10"/>
    </row>
    <row r="3269" spans="2:2" x14ac:dyDescent="0.25">
      <c r="B3269" s="10"/>
    </row>
    <row r="3270" spans="2:2" x14ac:dyDescent="0.25">
      <c r="B3270" s="10"/>
    </row>
    <row r="3271" spans="2:2" x14ac:dyDescent="0.25">
      <c r="B3271" s="10"/>
    </row>
    <row r="3272" spans="2:2" x14ac:dyDescent="0.25">
      <c r="B3272" s="10"/>
    </row>
    <row r="3273" spans="2:2" x14ac:dyDescent="0.25">
      <c r="B3273" s="10"/>
    </row>
    <row r="3274" spans="2:2" x14ac:dyDescent="0.25">
      <c r="B3274" s="10"/>
    </row>
    <row r="3275" spans="2:2" x14ac:dyDescent="0.25">
      <c r="B3275" s="10"/>
    </row>
    <row r="3276" spans="2:2" x14ac:dyDescent="0.25">
      <c r="B3276" s="10"/>
    </row>
    <row r="3277" spans="2:2" x14ac:dyDescent="0.25">
      <c r="B3277" s="10"/>
    </row>
    <row r="3278" spans="2:2" x14ac:dyDescent="0.25">
      <c r="B3278" s="10"/>
    </row>
    <row r="3279" spans="2:2" x14ac:dyDescent="0.25">
      <c r="B3279" s="10"/>
    </row>
    <row r="3280" spans="2:2" x14ac:dyDescent="0.25">
      <c r="B3280" s="10"/>
    </row>
    <row r="3281" spans="2:2" x14ac:dyDescent="0.25">
      <c r="B3281" s="10"/>
    </row>
    <row r="3282" spans="2:2" x14ac:dyDescent="0.25">
      <c r="B3282" s="10"/>
    </row>
    <row r="3283" spans="2:2" x14ac:dyDescent="0.25">
      <c r="B3283" s="10"/>
    </row>
    <row r="3284" spans="2:2" x14ac:dyDescent="0.25">
      <c r="B3284" s="10"/>
    </row>
    <row r="3285" spans="2:2" x14ac:dyDescent="0.25">
      <c r="B3285" s="10"/>
    </row>
    <row r="3286" spans="2:2" x14ac:dyDescent="0.25">
      <c r="B3286" s="10"/>
    </row>
    <row r="3287" spans="2:2" x14ac:dyDescent="0.25">
      <c r="B3287" s="10"/>
    </row>
    <row r="3288" spans="2:2" x14ac:dyDescent="0.25">
      <c r="B3288" s="10"/>
    </row>
    <row r="3289" spans="2:2" x14ac:dyDescent="0.25">
      <c r="B3289" s="10"/>
    </row>
    <row r="3290" spans="2:2" x14ac:dyDescent="0.25">
      <c r="B3290" s="10"/>
    </row>
    <row r="3291" spans="2:2" x14ac:dyDescent="0.25">
      <c r="B3291" s="10"/>
    </row>
    <row r="3292" spans="2:2" x14ac:dyDescent="0.25">
      <c r="B3292" s="10"/>
    </row>
    <row r="3293" spans="2:2" x14ac:dyDescent="0.25">
      <c r="B3293" s="10"/>
    </row>
    <row r="3294" spans="2:2" x14ac:dyDescent="0.25">
      <c r="B3294" s="10"/>
    </row>
    <row r="3295" spans="2:2" x14ac:dyDescent="0.25">
      <c r="B3295" s="10"/>
    </row>
    <row r="3296" spans="2:2" x14ac:dyDescent="0.25">
      <c r="B3296" s="10"/>
    </row>
    <row r="3297" spans="2:2" x14ac:dyDescent="0.25">
      <c r="B3297" s="10"/>
    </row>
    <row r="3298" spans="2:2" x14ac:dyDescent="0.25">
      <c r="B3298" s="10"/>
    </row>
    <row r="3299" spans="2:2" x14ac:dyDescent="0.25">
      <c r="B3299" s="10"/>
    </row>
    <row r="3300" spans="2:2" x14ac:dyDescent="0.25">
      <c r="B3300" s="10"/>
    </row>
    <row r="3301" spans="2:2" x14ac:dyDescent="0.25">
      <c r="B3301" s="10"/>
    </row>
    <row r="3302" spans="2:2" x14ac:dyDescent="0.25">
      <c r="B3302" s="10"/>
    </row>
    <row r="3303" spans="2:2" x14ac:dyDescent="0.25">
      <c r="B3303" s="10"/>
    </row>
    <row r="3304" spans="2:2" x14ac:dyDescent="0.25">
      <c r="B3304" s="10"/>
    </row>
    <row r="3305" spans="2:2" x14ac:dyDescent="0.25">
      <c r="B3305" s="10"/>
    </row>
    <row r="3306" spans="2:2" x14ac:dyDescent="0.25">
      <c r="B3306" s="10"/>
    </row>
    <row r="3307" spans="2:2" x14ac:dyDescent="0.25">
      <c r="B3307" s="10"/>
    </row>
    <row r="3308" spans="2:2" x14ac:dyDescent="0.25">
      <c r="B3308" s="10"/>
    </row>
    <row r="3309" spans="2:2" x14ac:dyDescent="0.25">
      <c r="B3309" s="10"/>
    </row>
    <row r="3310" spans="2:2" x14ac:dyDescent="0.25">
      <c r="B3310" s="10"/>
    </row>
    <row r="3311" spans="2:2" x14ac:dyDescent="0.25">
      <c r="B3311" s="10"/>
    </row>
    <row r="3312" spans="2:2" x14ac:dyDescent="0.25">
      <c r="B3312" s="10"/>
    </row>
    <row r="3313" spans="2:2" x14ac:dyDescent="0.25">
      <c r="B3313" s="10"/>
    </row>
    <row r="3314" spans="2:2" x14ac:dyDescent="0.25">
      <c r="B3314" s="10"/>
    </row>
    <row r="3315" spans="2:2" x14ac:dyDescent="0.25">
      <c r="B3315" s="10"/>
    </row>
    <row r="3316" spans="2:2" x14ac:dyDescent="0.25">
      <c r="B3316" s="10"/>
    </row>
    <row r="3317" spans="2:2" x14ac:dyDescent="0.25">
      <c r="B3317" s="10"/>
    </row>
    <row r="3318" spans="2:2" x14ac:dyDescent="0.25">
      <c r="B3318" s="10"/>
    </row>
    <row r="3319" spans="2:2" x14ac:dyDescent="0.25">
      <c r="B3319" s="10"/>
    </row>
    <row r="3320" spans="2:2" x14ac:dyDescent="0.25">
      <c r="B3320" s="10"/>
    </row>
    <row r="3321" spans="2:2" x14ac:dyDescent="0.25">
      <c r="B3321" s="10"/>
    </row>
    <row r="3322" spans="2:2" x14ac:dyDescent="0.25">
      <c r="B3322" s="10"/>
    </row>
    <row r="3323" spans="2:2" x14ac:dyDescent="0.25">
      <c r="B3323" s="10"/>
    </row>
    <row r="3324" spans="2:2" x14ac:dyDescent="0.25">
      <c r="B3324" s="10"/>
    </row>
    <row r="3325" spans="2:2" x14ac:dyDescent="0.25">
      <c r="B3325" s="10"/>
    </row>
    <row r="3326" spans="2:2" x14ac:dyDescent="0.25">
      <c r="B3326" s="10"/>
    </row>
    <row r="3327" spans="2:2" x14ac:dyDescent="0.25">
      <c r="B3327" s="10"/>
    </row>
    <row r="3328" spans="2:2" x14ac:dyDescent="0.25">
      <c r="B3328" s="10"/>
    </row>
    <row r="3329" spans="2:2" x14ac:dyDescent="0.25">
      <c r="B3329" s="10"/>
    </row>
    <row r="3330" spans="2:2" x14ac:dyDescent="0.25">
      <c r="B3330" s="10"/>
    </row>
    <row r="3331" spans="2:2" x14ac:dyDescent="0.25">
      <c r="B3331" s="10"/>
    </row>
    <row r="3332" spans="2:2" x14ac:dyDescent="0.25">
      <c r="B3332" s="10"/>
    </row>
    <row r="3333" spans="2:2" x14ac:dyDescent="0.25">
      <c r="B3333" s="10"/>
    </row>
    <row r="3334" spans="2:2" x14ac:dyDescent="0.25">
      <c r="B3334" s="10"/>
    </row>
    <row r="3335" spans="2:2" x14ac:dyDescent="0.25">
      <c r="B3335" s="10"/>
    </row>
    <row r="3336" spans="2:2" x14ac:dyDescent="0.25">
      <c r="B3336" s="10"/>
    </row>
    <row r="3337" spans="2:2" x14ac:dyDescent="0.25">
      <c r="B3337" s="10"/>
    </row>
    <row r="3338" spans="2:2" x14ac:dyDescent="0.25">
      <c r="B3338" s="10"/>
    </row>
    <row r="3339" spans="2:2" x14ac:dyDescent="0.25">
      <c r="B3339" s="10"/>
    </row>
    <row r="3340" spans="2:2" x14ac:dyDescent="0.25">
      <c r="B3340" s="10"/>
    </row>
    <row r="3341" spans="2:2" x14ac:dyDescent="0.25">
      <c r="B3341" s="10"/>
    </row>
    <row r="3342" spans="2:2" x14ac:dyDescent="0.25">
      <c r="B3342" s="10"/>
    </row>
    <row r="3343" spans="2:2" x14ac:dyDescent="0.25">
      <c r="B3343" s="10"/>
    </row>
    <row r="3344" spans="2:2" x14ac:dyDescent="0.25">
      <c r="B3344" s="10"/>
    </row>
    <row r="3345" spans="2:2" x14ac:dyDescent="0.25">
      <c r="B3345" s="10"/>
    </row>
    <row r="3346" spans="2:2" x14ac:dyDescent="0.25">
      <c r="B3346" s="10"/>
    </row>
    <row r="3347" spans="2:2" x14ac:dyDescent="0.25">
      <c r="B3347" s="10"/>
    </row>
    <row r="3348" spans="2:2" x14ac:dyDescent="0.25">
      <c r="B3348" s="10"/>
    </row>
    <row r="3349" spans="2:2" x14ac:dyDescent="0.25">
      <c r="B3349" s="10"/>
    </row>
    <row r="3350" spans="2:2" x14ac:dyDescent="0.25">
      <c r="B3350" s="10"/>
    </row>
    <row r="3351" spans="2:2" x14ac:dyDescent="0.25">
      <c r="B3351" s="10"/>
    </row>
    <row r="3352" spans="2:2" x14ac:dyDescent="0.25">
      <c r="B3352" s="10"/>
    </row>
    <row r="3353" spans="2:2" x14ac:dyDescent="0.25">
      <c r="B3353" s="10"/>
    </row>
    <row r="3354" spans="2:2" x14ac:dyDescent="0.25">
      <c r="B3354" s="10"/>
    </row>
    <row r="3355" spans="2:2" x14ac:dyDescent="0.25">
      <c r="B3355" s="10"/>
    </row>
    <row r="3356" spans="2:2" x14ac:dyDescent="0.25">
      <c r="B3356" s="10"/>
    </row>
    <row r="3357" spans="2:2" x14ac:dyDescent="0.25">
      <c r="B3357" s="10"/>
    </row>
    <row r="3358" spans="2:2" x14ac:dyDescent="0.25">
      <c r="B3358" s="10"/>
    </row>
    <row r="3359" spans="2:2" x14ac:dyDescent="0.25">
      <c r="B3359" s="10"/>
    </row>
    <row r="3360" spans="2:2" x14ac:dyDescent="0.25">
      <c r="B3360" s="10"/>
    </row>
    <row r="3361" spans="2:2" x14ac:dyDescent="0.25">
      <c r="B3361" s="10"/>
    </row>
    <row r="3362" spans="2:2" x14ac:dyDescent="0.25">
      <c r="B3362" s="10"/>
    </row>
    <row r="3363" spans="2:2" x14ac:dyDescent="0.25">
      <c r="B3363" s="10"/>
    </row>
    <row r="3364" spans="2:2" x14ac:dyDescent="0.25">
      <c r="B3364" s="10"/>
    </row>
    <row r="3365" spans="2:2" x14ac:dyDescent="0.25">
      <c r="B3365" s="10"/>
    </row>
    <row r="3366" spans="2:2" x14ac:dyDescent="0.25">
      <c r="B3366" s="10"/>
    </row>
    <row r="3367" spans="2:2" x14ac:dyDescent="0.25">
      <c r="B3367" s="10"/>
    </row>
    <row r="3368" spans="2:2" x14ac:dyDescent="0.25">
      <c r="B3368" s="10"/>
    </row>
    <row r="3369" spans="2:2" x14ac:dyDescent="0.25">
      <c r="B3369" s="10"/>
    </row>
    <row r="3370" spans="2:2" x14ac:dyDescent="0.25">
      <c r="B3370" s="10"/>
    </row>
    <row r="3371" spans="2:2" x14ac:dyDescent="0.25">
      <c r="B3371" s="10"/>
    </row>
    <row r="3372" spans="2:2" x14ac:dyDescent="0.25">
      <c r="B3372" s="10"/>
    </row>
    <row r="3373" spans="2:2" x14ac:dyDescent="0.25">
      <c r="B3373" s="10"/>
    </row>
    <row r="3374" spans="2:2" x14ac:dyDescent="0.25">
      <c r="B3374" s="10"/>
    </row>
    <row r="3375" spans="2:2" x14ac:dyDescent="0.25">
      <c r="B3375" s="10"/>
    </row>
    <row r="3376" spans="2:2" x14ac:dyDescent="0.25">
      <c r="B3376" s="10"/>
    </row>
    <row r="3377" spans="2:2" x14ac:dyDescent="0.25">
      <c r="B3377" s="10"/>
    </row>
    <row r="3378" spans="2:2" x14ac:dyDescent="0.25">
      <c r="B3378" s="10"/>
    </row>
    <row r="3379" spans="2:2" x14ac:dyDescent="0.25">
      <c r="B3379" s="10"/>
    </row>
    <row r="3380" spans="2:2" x14ac:dyDescent="0.25">
      <c r="B3380" s="10"/>
    </row>
    <row r="3381" spans="2:2" x14ac:dyDescent="0.25">
      <c r="B3381" s="10"/>
    </row>
    <row r="3382" spans="2:2" x14ac:dyDescent="0.25">
      <c r="B3382" s="10"/>
    </row>
    <row r="3383" spans="2:2" x14ac:dyDescent="0.25">
      <c r="B3383" s="10"/>
    </row>
    <row r="3384" spans="2:2" x14ac:dyDescent="0.25">
      <c r="B3384" s="10"/>
    </row>
    <row r="3385" spans="2:2" x14ac:dyDescent="0.25">
      <c r="B3385" s="10"/>
    </row>
    <row r="3386" spans="2:2" x14ac:dyDescent="0.25">
      <c r="B3386" s="10"/>
    </row>
    <row r="3387" spans="2:2" x14ac:dyDescent="0.25">
      <c r="B3387" s="10"/>
    </row>
    <row r="3388" spans="2:2" x14ac:dyDescent="0.25">
      <c r="B3388" s="10"/>
    </row>
    <row r="3389" spans="2:2" x14ac:dyDescent="0.25">
      <c r="B3389" s="10"/>
    </row>
    <row r="3390" spans="2:2" x14ac:dyDescent="0.25">
      <c r="B3390" s="10"/>
    </row>
    <row r="3391" spans="2:2" x14ac:dyDescent="0.25">
      <c r="B3391" s="10"/>
    </row>
    <row r="3392" spans="2:2" x14ac:dyDescent="0.25">
      <c r="B3392" s="10"/>
    </row>
    <row r="3393" spans="2:2" x14ac:dyDescent="0.25">
      <c r="B3393" s="10"/>
    </row>
    <row r="3394" spans="2:2" x14ac:dyDescent="0.25">
      <c r="B3394" s="10"/>
    </row>
    <row r="3395" spans="2:2" x14ac:dyDescent="0.25">
      <c r="B3395" s="10"/>
    </row>
    <row r="3396" spans="2:2" x14ac:dyDescent="0.25">
      <c r="B3396" s="10"/>
    </row>
    <row r="3397" spans="2:2" x14ac:dyDescent="0.25">
      <c r="B3397" s="10"/>
    </row>
    <row r="3398" spans="2:2" x14ac:dyDescent="0.25">
      <c r="B3398" s="10"/>
    </row>
    <row r="3399" spans="2:2" x14ac:dyDescent="0.25">
      <c r="B3399" s="10"/>
    </row>
    <row r="3400" spans="2:2" x14ac:dyDescent="0.25">
      <c r="B3400" s="10"/>
    </row>
    <row r="3401" spans="2:2" x14ac:dyDescent="0.25">
      <c r="B3401" s="10"/>
    </row>
    <row r="3402" spans="2:2" x14ac:dyDescent="0.25">
      <c r="B3402" s="10"/>
    </row>
    <row r="3403" spans="2:2" x14ac:dyDescent="0.25">
      <c r="B3403" s="10"/>
    </row>
    <row r="3404" spans="2:2" x14ac:dyDescent="0.25">
      <c r="B3404" s="10"/>
    </row>
    <row r="3405" spans="2:2" x14ac:dyDescent="0.25">
      <c r="B3405" s="10"/>
    </row>
    <row r="3406" spans="2:2" x14ac:dyDescent="0.25">
      <c r="B3406" s="10"/>
    </row>
    <row r="3407" spans="2:2" x14ac:dyDescent="0.25">
      <c r="B3407" s="10"/>
    </row>
    <row r="3408" spans="2:2" x14ac:dyDescent="0.25">
      <c r="B3408" s="10"/>
    </row>
    <row r="3409" spans="2:2" x14ac:dyDescent="0.25">
      <c r="B3409" s="10"/>
    </row>
    <row r="3410" spans="2:2" x14ac:dyDescent="0.25">
      <c r="B3410" s="10"/>
    </row>
    <row r="3411" spans="2:2" x14ac:dyDescent="0.25">
      <c r="B3411" s="10"/>
    </row>
    <row r="3412" spans="2:2" x14ac:dyDescent="0.25">
      <c r="B3412" s="10"/>
    </row>
    <row r="3413" spans="2:2" x14ac:dyDescent="0.25">
      <c r="B3413" s="10"/>
    </row>
    <row r="3414" spans="2:2" x14ac:dyDescent="0.25">
      <c r="B3414" s="10"/>
    </row>
    <row r="3415" spans="2:2" x14ac:dyDescent="0.25">
      <c r="B3415" s="10"/>
    </row>
    <row r="3416" spans="2:2" x14ac:dyDescent="0.25">
      <c r="B3416" s="10"/>
    </row>
    <row r="3417" spans="2:2" x14ac:dyDescent="0.25">
      <c r="B3417" s="10"/>
    </row>
    <row r="3418" spans="2:2" x14ac:dyDescent="0.25">
      <c r="B3418" s="10"/>
    </row>
    <row r="3419" spans="2:2" x14ac:dyDescent="0.25">
      <c r="B3419" s="10"/>
    </row>
    <row r="3420" spans="2:2" x14ac:dyDescent="0.25">
      <c r="B3420" s="10"/>
    </row>
    <row r="3421" spans="2:2" x14ac:dyDescent="0.25">
      <c r="B3421" s="10"/>
    </row>
    <row r="3422" spans="2:2" x14ac:dyDescent="0.25">
      <c r="B3422" s="10"/>
    </row>
    <row r="3423" spans="2:2" x14ac:dyDescent="0.25">
      <c r="B3423" s="10"/>
    </row>
    <row r="3424" spans="2:2" x14ac:dyDescent="0.25">
      <c r="B3424" s="10"/>
    </row>
    <row r="3425" spans="2:2" x14ac:dyDescent="0.25">
      <c r="B3425" s="10"/>
    </row>
    <row r="3426" spans="2:2" x14ac:dyDescent="0.25">
      <c r="B3426" s="10"/>
    </row>
    <row r="3427" spans="2:2" x14ac:dyDescent="0.25">
      <c r="B3427" s="10"/>
    </row>
    <row r="3428" spans="2:2" x14ac:dyDescent="0.25">
      <c r="B3428" s="10"/>
    </row>
    <row r="3429" spans="2:2" x14ac:dyDescent="0.25">
      <c r="B3429" s="10"/>
    </row>
    <row r="3430" spans="2:2" x14ac:dyDescent="0.25">
      <c r="B3430" s="10"/>
    </row>
    <row r="3431" spans="2:2" x14ac:dyDescent="0.25">
      <c r="B3431" s="10"/>
    </row>
    <row r="3432" spans="2:2" x14ac:dyDescent="0.25">
      <c r="B3432" s="10"/>
    </row>
    <row r="3433" spans="2:2" x14ac:dyDescent="0.25">
      <c r="B3433" s="10"/>
    </row>
    <row r="3434" spans="2:2" x14ac:dyDescent="0.25">
      <c r="B3434" s="10"/>
    </row>
    <row r="3435" spans="2:2" x14ac:dyDescent="0.25">
      <c r="B3435" s="10"/>
    </row>
    <row r="3436" spans="2:2" x14ac:dyDescent="0.25">
      <c r="B3436" s="10"/>
    </row>
    <row r="3437" spans="2:2" x14ac:dyDescent="0.25">
      <c r="B3437" s="10"/>
    </row>
    <row r="3438" spans="2:2" x14ac:dyDescent="0.25">
      <c r="B3438" s="10"/>
    </row>
    <row r="3439" spans="2:2" x14ac:dyDescent="0.25">
      <c r="B3439" s="10"/>
    </row>
    <row r="3440" spans="2:2" x14ac:dyDescent="0.25">
      <c r="B3440" s="10"/>
    </row>
    <row r="3441" spans="2:2" x14ac:dyDescent="0.25">
      <c r="B3441" s="10"/>
    </row>
    <row r="3442" spans="2:2" x14ac:dyDescent="0.25">
      <c r="B3442" s="10"/>
    </row>
    <row r="3443" spans="2:2" x14ac:dyDescent="0.25">
      <c r="B3443" s="10"/>
    </row>
    <row r="3444" spans="2:2" x14ac:dyDescent="0.25">
      <c r="B3444" s="10"/>
    </row>
    <row r="3445" spans="2:2" x14ac:dyDescent="0.25">
      <c r="B3445" s="10"/>
    </row>
    <row r="3446" spans="2:2" x14ac:dyDescent="0.25">
      <c r="B3446" s="10"/>
    </row>
    <row r="3447" spans="2:2" x14ac:dyDescent="0.25">
      <c r="B3447" s="10"/>
    </row>
    <row r="3448" spans="2:2" x14ac:dyDescent="0.25">
      <c r="B3448" s="10"/>
    </row>
    <row r="3449" spans="2:2" x14ac:dyDescent="0.25">
      <c r="B3449" s="10"/>
    </row>
    <row r="3450" spans="2:2" x14ac:dyDescent="0.25">
      <c r="B3450" s="10"/>
    </row>
    <row r="3451" spans="2:2" x14ac:dyDescent="0.25">
      <c r="B3451" s="10"/>
    </row>
    <row r="3452" spans="2:2" x14ac:dyDescent="0.25">
      <c r="B3452" s="10"/>
    </row>
    <row r="3453" spans="2:2" x14ac:dyDescent="0.25">
      <c r="B3453" s="10"/>
    </row>
    <row r="3454" spans="2:2" x14ac:dyDescent="0.25">
      <c r="B3454" s="10"/>
    </row>
    <row r="3455" spans="2:2" x14ac:dyDescent="0.25">
      <c r="B3455" s="10"/>
    </row>
    <row r="3456" spans="2:2" x14ac:dyDescent="0.25">
      <c r="B3456" s="10"/>
    </row>
    <row r="3457" spans="2:2" x14ac:dyDescent="0.25">
      <c r="B3457" s="10"/>
    </row>
    <row r="3458" spans="2:2" x14ac:dyDescent="0.25">
      <c r="B3458" s="10"/>
    </row>
    <row r="3459" spans="2:2" x14ac:dyDescent="0.25">
      <c r="B3459" s="10"/>
    </row>
    <row r="3460" spans="2:2" x14ac:dyDescent="0.25">
      <c r="B3460" s="10"/>
    </row>
    <row r="3461" spans="2:2" x14ac:dyDescent="0.25">
      <c r="B3461" s="10"/>
    </row>
    <row r="3462" spans="2:2" x14ac:dyDescent="0.25">
      <c r="B3462" s="10"/>
    </row>
    <row r="3463" spans="2:2" x14ac:dyDescent="0.25">
      <c r="B3463" s="10"/>
    </row>
    <row r="3464" spans="2:2" x14ac:dyDescent="0.25">
      <c r="B3464" s="10"/>
    </row>
    <row r="3465" spans="2:2" x14ac:dyDescent="0.25">
      <c r="B3465" s="10"/>
    </row>
    <row r="3466" spans="2:2" x14ac:dyDescent="0.25">
      <c r="B3466" s="10"/>
    </row>
    <row r="3467" spans="2:2" x14ac:dyDescent="0.25">
      <c r="B3467" s="10"/>
    </row>
    <row r="3468" spans="2:2" x14ac:dyDescent="0.25">
      <c r="B3468" s="10"/>
    </row>
    <row r="3469" spans="2:2" x14ac:dyDescent="0.25">
      <c r="B3469" s="10"/>
    </row>
    <row r="3470" spans="2:2" x14ac:dyDescent="0.25">
      <c r="B3470" s="10"/>
    </row>
    <row r="3471" spans="2:2" x14ac:dyDescent="0.25">
      <c r="B3471" s="10"/>
    </row>
    <row r="3472" spans="2:2" x14ac:dyDescent="0.25">
      <c r="B3472" s="10"/>
    </row>
    <row r="3473" spans="2:2" x14ac:dyDescent="0.25">
      <c r="B3473" s="10"/>
    </row>
    <row r="3474" spans="2:2" x14ac:dyDescent="0.25">
      <c r="B3474" s="10"/>
    </row>
    <row r="3475" spans="2:2" x14ac:dyDescent="0.25">
      <c r="B3475" s="10"/>
    </row>
    <row r="3476" spans="2:2" x14ac:dyDescent="0.25">
      <c r="B3476" s="10"/>
    </row>
    <row r="3477" spans="2:2" x14ac:dyDescent="0.25">
      <c r="B3477" s="10"/>
    </row>
    <row r="3478" spans="2:2" x14ac:dyDescent="0.25">
      <c r="B3478" s="10"/>
    </row>
    <row r="3479" spans="2:2" x14ac:dyDescent="0.25">
      <c r="B3479" s="10"/>
    </row>
    <row r="3480" spans="2:2" x14ac:dyDescent="0.25">
      <c r="B3480" s="10"/>
    </row>
    <row r="3481" spans="2:2" x14ac:dyDescent="0.25">
      <c r="B3481" s="10"/>
    </row>
    <row r="3482" spans="2:2" x14ac:dyDescent="0.25">
      <c r="B3482" s="10"/>
    </row>
    <row r="3483" spans="2:2" x14ac:dyDescent="0.25">
      <c r="B3483" s="10"/>
    </row>
    <row r="3484" spans="2:2" x14ac:dyDescent="0.25">
      <c r="B3484" s="10"/>
    </row>
    <row r="3485" spans="2:2" x14ac:dyDescent="0.25">
      <c r="B3485" s="10"/>
    </row>
    <row r="3486" spans="2:2" x14ac:dyDescent="0.25">
      <c r="B3486" s="10"/>
    </row>
    <row r="3487" spans="2:2" x14ac:dyDescent="0.25">
      <c r="B3487" s="10"/>
    </row>
    <row r="3488" spans="2:2" x14ac:dyDescent="0.25">
      <c r="B3488" s="10"/>
    </row>
    <row r="3489" spans="2:2" x14ac:dyDescent="0.25">
      <c r="B3489" s="10"/>
    </row>
    <row r="3490" spans="2:2" x14ac:dyDescent="0.25">
      <c r="B3490" s="10"/>
    </row>
    <row r="3491" spans="2:2" x14ac:dyDescent="0.25">
      <c r="B3491" s="10"/>
    </row>
    <row r="3492" spans="2:2" x14ac:dyDescent="0.25">
      <c r="B3492" s="10"/>
    </row>
    <row r="3493" spans="2:2" x14ac:dyDescent="0.25">
      <c r="B3493" s="10"/>
    </row>
    <row r="3494" spans="2:2" x14ac:dyDescent="0.25">
      <c r="B3494" s="10"/>
    </row>
    <row r="3495" spans="2:2" x14ac:dyDescent="0.25">
      <c r="B3495" s="10"/>
    </row>
    <row r="3496" spans="2:2" x14ac:dyDescent="0.25">
      <c r="B3496" s="10"/>
    </row>
    <row r="3497" spans="2:2" x14ac:dyDescent="0.25">
      <c r="B3497" s="10"/>
    </row>
    <row r="3498" spans="2:2" x14ac:dyDescent="0.25">
      <c r="B3498" s="10"/>
    </row>
    <row r="3499" spans="2:2" x14ac:dyDescent="0.25">
      <c r="B3499" s="10"/>
    </row>
    <row r="3500" spans="2:2" x14ac:dyDescent="0.25">
      <c r="B3500" s="10"/>
    </row>
    <row r="3501" spans="2:2" x14ac:dyDescent="0.25">
      <c r="B3501" s="10"/>
    </row>
    <row r="3502" spans="2:2" x14ac:dyDescent="0.25">
      <c r="B3502" s="10"/>
    </row>
    <row r="3503" spans="2:2" x14ac:dyDescent="0.25">
      <c r="B3503" s="10"/>
    </row>
    <row r="3504" spans="2:2" x14ac:dyDescent="0.25">
      <c r="B3504" s="10"/>
    </row>
    <row r="3505" spans="2:2" x14ac:dyDescent="0.25">
      <c r="B3505" s="10"/>
    </row>
    <row r="3506" spans="2:2" x14ac:dyDescent="0.25">
      <c r="B3506" s="10"/>
    </row>
    <row r="3507" spans="2:2" x14ac:dyDescent="0.25">
      <c r="B3507" s="10"/>
    </row>
    <row r="3508" spans="2:2" x14ac:dyDescent="0.25">
      <c r="B3508" s="10"/>
    </row>
    <row r="3509" spans="2:2" x14ac:dyDescent="0.25">
      <c r="B3509" s="10"/>
    </row>
    <row r="3510" spans="2:2" x14ac:dyDescent="0.25">
      <c r="B3510" s="10"/>
    </row>
    <row r="3511" spans="2:2" x14ac:dyDescent="0.25">
      <c r="B3511" s="10"/>
    </row>
    <row r="3512" spans="2:2" x14ac:dyDescent="0.25">
      <c r="B3512" s="10"/>
    </row>
    <row r="3513" spans="2:2" x14ac:dyDescent="0.25">
      <c r="B3513" s="10"/>
    </row>
    <row r="3514" spans="2:2" x14ac:dyDescent="0.25">
      <c r="B3514" s="10"/>
    </row>
    <row r="3515" spans="2:2" x14ac:dyDescent="0.25">
      <c r="B3515" s="10"/>
    </row>
    <row r="3516" spans="2:2" x14ac:dyDescent="0.25">
      <c r="B3516" s="10"/>
    </row>
    <row r="3517" spans="2:2" x14ac:dyDescent="0.25">
      <c r="B3517" s="10"/>
    </row>
    <row r="3518" spans="2:2" x14ac:dyDescent="0.25">
      <c r="B3518" s="10"/>
    </row>
    <row r="3519" spans="2:2" x14ac:dyDescent="0.25">
      <c r="B3519" s="10"/>
    </row>
    <row r="3520" spans="2:2" x14ac:dyDescent="0.25">
      <c r="B3520" s="10"/>
    </row>
    <row r="3521" spans="2:2" x14ac:dyDescent="0.25">
      <c r="B3521" s="10"/>
    </row>
    <row r="3522" spans="2:2" x14ac:dyDescent="0.25">
      <c r="B3522" s="10"/>
    </row>
    <row r="3523" spans="2:2" x14ac:dyDescent="0.25">
      <c r="B3523" s="10"/>
    </row>
    <row r="3524" spans="2:2" x14ac:dyDescent="0.25">
      <c r="B3524" s="10"/>
    </row>
    <row r="3525" spans="2:2" x14ac:dyDescent="0.25">
      <c r="B3525" s="10"/>
    </row>
    <row r="3526" spans="2:2" x14ac:dyDescent="0.25">
      <c r="B3526" s="10"/>
    </row>
    <row r="3527" spans="2:2" x14ac:dyDescent="0.25">
      <c r="B3527" s="10"/>
    </row>
    <row r="3528" spans="2:2" x14ac:dyDescent="0.25">
      <c r="B3528" s="10"/>
    </row>
    <row r="3529" spans="2:2" x14ac:dyDescent="0.25">
      <c r="B3529" s="10"/>
    </row>
    <row r="3530" spans="2:2" x14ac:dyDescent="0.25">
      <c r="B3530" s="10"/>
    </row>
    <row r="3531" spans="2:2" x14ac:dyDescent="0.25">
      <c r="B3531" s="10"/>
    </row>
    <row r="3532" spans="2:2" x14ac:dyDescent="0.25">
      <c r="B3532" s="10"/>
    </row>
    <row r="3533" spans="2:2" x14ac:dyDescent="0.25">
      <c r="B3533" s="10"/>
    </row>
    <row r="3534" spans="2:2" x14ac:dyDescent="0.25">
      <c r="B3534" s="10"/>
    </row>
    <row r="3535" spans="2:2" x14ac:dyDescent="0.25">
      <c r="B3535" s="10"/>
    </row>
    <row r="3536" spans="2:2" x14ac:dyDescent="0.25">
      <c r="B3536" s="10"/>
    </row>
    <row r="3537" spans="2:2" x14ac:dyDescent="0.25">
      <c r="B3537" s="10"/>
    </row>
    <row r="3538" spans="2:2" x14ac:dyDescent="0.25">
      <c r="B3538" s="10"/>
    </row>
    <row r="3539" spans="2:2" x14ac:dyDescent="0.25">
      <c r="B3539" s="10"/>
    </row>
    <row r="3540" spans="2:2" x14ac:dyDescent="0.25">
      <c r="B3540" s="10"/>
    </row>
    <row r="3541" spans="2:2" x14ac:dyDescent="0.25">
      <c r="B3541" s="10"/>
    </row>
    <row r="3542" spans="2:2" x14ac:dyDescent="0.25">
      <c r="B3542" s="10"/>
    </row>
    <row r="3543" spans="2:2" x14ac:dyDescent="0.25">
      <c r="B3543" s="10"/>
    </row>
    <row r="3544" spans="2:2" x14ac:dyDescent="0.25">
      <c r="B3544" s="10"/>
    </row>
    <row r="3545" spans="2:2" x14ac:dyDescent="0.25">
      <c r="B3545" s="10"/>
    </row>
    <row r="3546" spans="2:2" x14ac:dyDescent="0.25">
      <c r="B3546" s="10"/>
    </row>
    <row r="3547" spans="2:2" x14ac:dyDescent="0.25">
      <c r="B3547" s="10"/>
    </row>
    <row r="3548" spans="2:2" x14ac:dyDescent="0.25">
      <c r="B3548" s="10"/>
    </row>
    <row r="3549" spans="2:2" x14ac:dyDescent="0.25">
      <c r="B3549" s="10"/>
    </row>
    <row r="3550" spans="2:2" x14ac:dyDescent="0.25">
      <c r="B3550" s="10"/>
    </row>
    <row r="3551" spans="2:2" x14ac:dyDescent="0.25">
      <c r="B3551" s="10"/>
    </row>
    <row r="3552" spans="2:2" x14ac:dyDescent="0.25">
      <c r="B3552" s="10"/>
    </row>
    <row r="3553" spans="2:2" x14ac:dyDescent="0.25">
      <c r="B3553" s="10"/>
    </row>
    <row r="3554" spans="2:2" x14ac:dyDescent="0.25">
      <c r="B3554" s="10"/>
    </row>
    <row r="3555" spans="2:2" x14ac:dyDescent="0.25">
      <c r="B3555" s="10"/>
    </row>
    <row r="3556" spans="2:2" x14ac:dyDescent="0.25">
      <c r="B3556" s="10"/>
    </row>
    <row r="3557" spans="2:2" x14ac:dyDescent="0.25">
      <c r="B3557" s="10"/>
    </row>
    <row r="3558" spans="2:2" x14ac:dyDescent="0.25">
      <c r="B3558" s="10"/>
    </row>
    <row r="3559" spans="2:2" x14ac:dyDescent="0.25">
      <c r="B3559" s="10"/>
    </row>
    <row r="3560" spans="2:2" x14ac:dyDescent="0.25">
      <c r="B3560" s="10"/>
    </row>
    <row r="3561" spans="2:2" x14ac:dyDescent="0.25">
      <c r="B3561" s="10"/>
    </row>
    <row r="3562" spans="2:2" x14ac:dyDescent="0.25">
      <c r="B3562" s="10"/>
    </row>
    <row r="3563" spans="2:2" x14ac:dyDescent="0.25">
      <c r="B3563" s="10"/>
    </row>
    <row r="3564" spans="2:2" x14ac:dyDescent="0.25">
      <c r="B3564" s="10"/>
    </row>
    <row r="3565" spans="2:2" x14ac:dyDescent="0.25">
      <c r="B3565" s="10"/>
    </row>
    <row r="3566" spans="2:2" x14ac:dyDescent="0.25">
      <c r="B3566" s="10"/>
    </row>
    <row r="3567" spans="2:2" x14ac:dyDescent="0.25">
      <c r="B3567" s="10"/>
    </row>
    <row r="3568" spans="2:2" x14ac:dyDescent="0.25">
      <c r="B3568" s="10"/>
    </row>
    <row r="3569" spans="2:2" x14ac:dyDescent="0.25">
      <c r="B3569" s="10"/>
    </row>
    <row r="3570" spans="2:2" x14ac:dyDescent="0.25">
      <c r="B3570" s="10"/>
    </row>
    <row r="3571" spans="2:2" x14ac:dyDescent="0.25">
      <c r="B3571" s="10"/>
    </row>
    <row r="3572" spans="2:2" x14ac:dyDescent="0.25">
      <c r="B3572" s="10"/>
    </row>
    <row r="3573" spans="2:2" x14ac:dyDescent="0.25">
      <c r="B3573" s="10"/>
    </row>
    <row r="3574" spans="2:2" x14ac:dyDescent="0.25">
      <c r="B3574" s="10"/>
    </row>
    <row r="3575" spans="2:2" x14ac:dyDescent="0.25">
      <c r="B3575" s="10"/>
    </row>
    <row r="3576" spans="2:2" x14ac:dyDescent="0.25">
      <c r="B3576" s="10"/>
    </row>
    <row r="3577" spans="2:2" x14ac:dyDescent="0.25">
      <c r="B3577" s="10"/>
    </row>
    <row r="3578" spans="2:2" x14ac:dyDescent="0.25">
      <c r="B3578" s="10"/>
    </row>
    <row r="3579" spans="2:2" x14ac:dyDescent="0.25">
      <c r="B3579" s="10"/>
    </row>
    <row r="3580" spans="2:2" x14ac:dyDescent="0.25">
      <c r="B3580" s="10"/>
    </row>
    <row r="3581" spans="2:2" x14ac:dyDescent="0.25">
      <c r="B3581" s="10"/>
    </row>
    <row r="3582" spans="2:2" x14ac:dyDescent="0.25">
      <c r="B3582" s="10"/>
    </row>
    <row r="3583" spans="2:2" x14ac:dyDescent="0.25">
      <c r="B3583" s="10"/>
    </row>
    <row r="3584" spans="2:2" x14ac:dyDescent="0.25">
      <c r="B3584" s="10"/>
    </row>
    <row r="3585" spans="2:2" x14ac:dyDescent="0.25">
      <c r="B3585" s="10"/>
    </row>
    <row r="3586" spans="2:2" x14ac:dyDescent="0.25">
      <c r="B3586" s="10"/>
    </row>
    <row r="3587" spans="2:2" x14ac:dyDescent="0.25">
      <c r="B3587" s="10"/>
    </row>
    <row r="3588" spans="2:2" x14ac:dyDescent="0.25">
      <c r="B3588" s="10"/>
    </row>
    <row r="3589" spans="2:2" x14ac:dyDescent="0.25">
      <c r="B3589" s="10"/>
    </row>
    <row r="3590" spans="2:2" x14ac:dyDescent="0.25">
      <c r="B3590" s="10"/>
    </row>
    <row r="3591" spans="2:2" x14ac:dyDescent="0.25">
      <c r="B3591" s="10"/>
    </row>
    <row r="3592" spans="2:2" x14ac:dyDescent="0.25">
      <c r="B3592" s="10"/>
    </row>
    <row r="3593" spans="2:2" x14ac:dyDescent="0.25">
      <c r="B3593" s="10"/>
    </row>
    <row r="3594" spans="2:2" x14ac:dyDescent="0.25">
      <c r="B3594" s="10"/>
    </row>
    <row r="3595" spans="2:2" x14ac:dyDescent="0.25">
      <c r="B3595" s="10"/>
    </row>
    <row r="3596" spans="2:2" x14ac:dyDescent="0.25">
      <c r="B3596" s="10"/>
    </row>
    <row r="3597" spans="2:2" x14ac:dyDescent="0.25">
      <c r="B3597" s="10"/>
    </row>
    <row r="3598" spans="2:2" x14ac:dyDescent="0.25">
      <c r="B3598" s="10"/>
    </row>
    <row r="3599" spans="2:2" x14ac:dyDescent="0.25">
      <c r="B3599" s="10"/>
    </row>
    <row r="3600" spans="2:2" x14ac:dyDescent="0.25">
      <c r="B3600" s="10"/>
    </row>
    <row r="3601" spans="2:2" x14ac:dyDescent="0.25">
      <c r="B3601" s="10"/>
    </row>
    <row r="3602" spans="2:2" x14ac:dyDescent="0.25">
      <c r="B3602" s="10"/>
    </row>
    <row r="3603" spans="2:2" x14ac:dyDescent="0.25">
      <c r="B3603" s="10"/>
    </row>
    <row r="3604" spans="2:2" x14ac:dyDescent="0.25">
      <c r="B3604" s="10"/>
    </row>
    <row r="3605" spans="2:2" x14ac:dyDescent="0.25">
      <c r="B3605" s="10"/>
    </row>
    <row r="3606" spans="2:2" x14ac:dyDescent="0.25">
      <c r="B3606" s="10"/>
    </row>
    <row r="3607" spans="2:2" x14ac:dyDescent="0.25">
      <c r="B3607" s="10"/>
    </row>
    <row r="3608" spans="2:2" x14ac:dyDescent="0.25">
      <c r="B3608" s="10"/>
    </row>
    <row r="3609" spans="2:2" x14ac:dyDescent="0.25">
      <c r="B3609" s="10"/>
    </row>
    <row r="3610" spans="2:2" x14ac:dyDescent="0.25">
      <c r="B3610" s="10"/>
    </row>
    <row r="3611" spans="2:2" x14ac:dyDescent="0.25">
      <c r="B3611" s="10"/>
    </row>
    <row r="3612" spans="2:2" x14ac:dyDescent="0.25">
      <c r="B3612" s="10"/>
    </row>
    <row r="3613" spans="2:2" x14ac:dyDescent="0.25">
      <c r="B3613" s="10"/>
    </row>
    <row r="3614" spans="2:2" x14ac:dyDescent="0.25">
      <c r="B3614" s="10"/>
    </row>
    <row r="3615" spans="2:2" x14ac:dyDescent="0.25">
      <c r="B3615" s="10"/>
    </row>
    <row r="3616" spans="2:2" x14ac:dyDescent="0.25">
      <c r="B3616" s="10"/>
    </row>
    <row r="3617" spans="2:2" x14ac:dyDescent="0.25">
      <c r="B3617" s="10"/>
    </row>
    <row r="3618" spans="2:2" x14ac:dyDescent="0.25">
      <c r="B3618" s="10"/>
    </row>
    <row r="3619" spans="2:2" x14ac:dyDescent="0.25">
      <c r="B3619" s="10"/>
    </row>
    <row r="3620" spans="2:2" x14ac:dyDescent="0.25">
      <c r="B3620" s="10"/>
    </row>
    <row r="3621" spans="2:2" x14ac:dyDescent="0.25">
      <c r="B3621" s="10"/>
    </row>
    <row r="3622" spans="2:2" x14ac:dyDescent="0.25">
      <c r="B3622" s="10"/>
    </row>
    <row r="3623" spans="2:2" x14ac:dyDescent="0.25">
      <c r="B3623" s="10"/>
    </row>
    <row r="3624" spans="2:2" x14ac:dyDescent="0.25">
      <c r="B3624" s="10"/>
    </row>
    <row r="3625" spans="2:2" x14ac:dyDescent="0.25">
      <c r="B3625" s="10"/>
    </row>
    <row r="3626" spans="2:2" x14ac:dyDescent="0.25">
      <c r="B3626" s="10"/>
    </row>
    <row r="3627" spans="2:2" x14ac:dyDescent="0.25">
      <c r="B3627" s="10"/>
    </row>
    <row r="3628" spans="2:2" x14ac:dyDescent="0.25">
      <c r="B3628" s="10"/>
    </row>
    <row r="3629" spans="2:2" x14ac:dyDescent="0.25">
      <c r="B3629" s="10"/>
    </row>
    <row r="3630" spans="2:2" x14ac:dyDescent="0.25">
      <c r="B3630" s="10"/>
    </row>
    <row r="3631" spans="2:2" x14ac:dyDescent="0.25">
      <c r="B3631" s="10"/>
    </row>
    <row r="3632" spans="2:2" x14ac:dyDescent="0.25">
      <c r="B3632" s="10"/>
    </row>
    <row r="3633" spans="2:2" x14ac:dyDescent="0.25">
      <c r="B3633" s="10"/>
    </row>
    <row r="3634" spans="2:2" x14ac:dyDescent="0.25">
      <c r="B3634" s="10"/>
    </row>
    <row r="3635" spans="2:2" x14ac:dyDescent="0.25">
      <c r="B3635" s="10"/>
    </row>
    <row r="3636" spans="2:2" x14ac:dyDescent="0.25">
      <c r="B3636" s="10"/>
    </row>
    <row r="3637" spans="2:2" x14ac:dyDescent="0.25">
      <c r="B3637" s="10"/>
    </row>
    <row r="3638" spans="2:2" x14ac:dyDescent="0.25">
      <c r="B3638" s="10"/>
    </row>
    <row r="3639" spans="2:2" x14ac:dyDescent="0.25">
      <c r="B3639" s="10"/>
    </row>
    <row r="3640" spans="2:2" x14ac:dyDescent="0.25">
      <c r="B3640" s="10"/>
    </row>
    <row r="3641" spans="2:2" x14ac:dyDescent="0.25">
      <c r="B3641" s="10"/>
    </row>
    <row r="3642" spans="2:2" x14ac:dyDescent="0.25">
      <c r="B3642" s="10"/>
    </row>
    <row r="3643" spans="2:2" x14ac:dyDescent="0.25">
      <c r="B3643" s="10"/>
    </row>
    <row r="3644" spans="2:2" x14ac:dyDescent="0.25">
      <c r="B3644" s="10"/>
    </row>
    <row r="3645" spans="2:2" x14ac:dyDescent="0.25">
      <c r="B3645" s="10"/>
    </row>
    <row r="3646" spans="2:2" x14ac:dyDescent="0.25">
      <c r="B3646" s="10"/>
    </row>
    <row r="3647" spans="2:2" x14ac:dyDescent="0.25">
      <c r="B3647" s="10"/>
    </row>
    <row r="3648" spans="2:2" x14ac:dyDescent="0.25">
      <c r="B3648" s="10"/>
    </row>
    <row r="3649" spans="2:2" x14ac:dyDescent="0.25">
      <c r="B3649" s="10"/>
    </row>
    <row r="3650" spans="2:2" x14ac:dyDescent="0.25">
      <c r="B3650" s="10"/>
    </row>
    <row r="3651" spans="2:2" x14ac:dyDescent="0.25">
      <c r="B3651" s="10"/>
    </row>
    <row r="3652" spans="2:2" x14ac:dyDescent="0.25">
      <c r="B3652" s="10"/>
    </row>
    <row r="3653" spans="2:2" x14ac:dyDescent="0.25">
      <c r="B3653" s="10"/>
    </row>
    <row r="3654" spans="2:2" x14ac:dyDescent="0.25">
      <c r="B3654" s="10"/>
    </row>
    <row r="3655" spans="2:2" x14ac:dyDescent="0.25">
      <c r="B3655" s="10"/>
    </row>
    <row r="3656" spans="2:2" x14ac:dyDescent="0.25">
      <c r="B3656" s="10"/>
    </row>
    <row r="3657" spans="2:2" x14ac:dyDescent="0.25">
      <c r="B3657" s="10"/>
    </row>
    <row r="3658" spans="2:2" x14ac:dyDescent="0.25">
      <c r="B3658" s="10"/>
    </row>
    <row r="3659" spans="2:2" x14ac:dyDescent="0.25">
      <c r="B3659" s="10"/>
    </row>
    <row r="3660" spans="2:2" x14ac:dyDescent="0.25">
      <c r="B3660" s="10"/>
    </row>
    <row r="3661" spans="2:2" x14ac:dyDescent="0.25">
      <c r="B3661" s="10"/>
    </row>
    <row r="3662" spans="2:2" x14ac:dyDescent="0.25">
      <c r="B3662" s="10"/>
    </row>
    <row r="3663" spans="2:2" x14ac:dyDescent="0.25">
      <c r="B3663" s="10"/>
    </row>
    <row r="3664" spans="2:2" x14ac:dyDescent="0.25">
      <c r="B3664" s="10"/>
    </row>
    <row r="3665" spans="2:2" x14ac:dyDescent="0.25">
      <c r="B3665" s="10"/>
    </row>
    <row r="3666" spans="2:2" x14ac:dyDescent="0.25">
      <c r="B3666" s="10"/>
    </row>
    <row r="3667" spans="2:2" x14ac:dyDescent="0.25">
      <c r="B3667" s="10"/>
    </row>
    <row r="3668" spans="2:2" x14ac:dyDescent="0.25">
      <c r="B3668" s="10"/>
    </row>
    <row r="3669" spans="2:2" x14ac:dyDescent="0.25">
      <c r="B3669" s="10"/>
    </row>
    <row r="3670" spans="2:2" x14ac:dyDescent="0.25">
      <c r="B3670" s="10"/>
    </row>
    <row r="3671" spans="2:2" x14ac:dyDescent="0.25">
      <c r="B3671" s="10"/>
    </row>
    <row r="3672" spans="2:2" x14ac:dyDescent="0.25">
      <c r="B3672" s="10"/>
    </row>
    <row r="3673" spans="2:2" x14ac:dyDescent="0.25">
      <c r="B3673" s="10"/>
    </row>
    <row r="3674" spans="2:2" x14ac:dyDescent="0.25">
      <c r="B3674" s="10"/>
    </row>
    <row r="3675" spans="2:2" x14ac:dyDescent="0.25">
      <c r="B3675" s="10"/>
    </row>
    <row r="3676" spans="2:2" x14ac:dyDescent="0.25">
      <c r="B3676" s="10"/>
    </row>
    <row r="3677" spans="2:2" x14ac:dyDescent="0.25">
      <c r="B3677" s="10"/>
    </row>
    <row r="3678" spans="2:2" x14ac:dyDescent="0.25">
      <c r="B3678" s="10"/>
    </row>
    <row r="3679" spans="2:2" x14ac:dyDescent="0.25">
      <c r="B3679" s="10"/>
    </row>
    <row r="3680" spans="2:2" x14ac:dyDescent="0.25">
      <c r="B3680" s="10"/>
    </row>
    <row r="3681" spans="2:2" x14ac:dyDescent="0.25">
      <c r="B3681" s="10"/>
    </row>
    <row r="3682" spans="2:2" x14ac:dyDescent="0.25">
      <c r="B3682" s="10"/>
    </row>
    <row r="3683" spans="2:2" x14ac:dyDescent="0.25">
      <c r="B3683" s="10"/>
    </row>
    <row r="3684" spans="2:2" x14ac:dyDescent="0.25">
      <c r="B3684" s="10"/>
    </row>
    <row r="3685" spans="2:2" x14ac:dyDescent="0.25">
      <c r="B3685" s="10"/>
    </row>
    <row r="3686" spans="2:2" x14ac:dyDescent="0.25">
      <c r="B3686" s="10"/>
    </row>
    <row r="3687" spans="2:2" x14ac:dyDescent="0.25">
      <c r="B3687" s="10"/>
    </row>
    <row r="3688" spans="2:2" x14ac:dyDescent="0.25">
      <c r="B3688" s="10"/>
    </row>
    <row r="3689" spans="2:2" x14ac:dyDescent="0.25">
      <c r="B3689" s="10"/>
    </row>
    <row r="3690" spans="2:2" x14ac:dyDescent="0.25">
      <c r="B3690" s="10"/>
    </row>
    <row r="3691" spans="2:2" x14ac:dyDescent="0.25">
      <c r="B3691" s="10"/>
    </row>
    <row r="3692" spans="2:2" x14ac:dyDescent="0.25">
      <c r="B3692" s="10"/>
    </row>
    <row r="3693" spans="2:2" x14ac:dyDescent="0.25">
      <c r="B3693" s="10"/>
    </row>
    <row r="3694" spans="2:2" x14ac:dyDescent="0.25">
      <c r="B3694" s="10"/>
    </row>
    <row r="3695" spans="2:2" x14ac:dyDescent="0.25">
      <c r="B3695" s="10"/>
    </row>
    <row r="3696" spans="2:2" x14ac:dyDescent="0.25">
      <c r="B3696" s="10"/>
    </row>
    <row r="3697" spans="2:2" x14ac:dyDescent="0.25">
      <c r="B3697" s="10"/>
    </row>
    <row r="3698" spans="2:2" x14ac:dyDescent="0.25">
      <c r="B3698" s="10"/>
    </row>
    <row r="3699" spans="2:2" x14ac:dyDescent="0.25">
      <c r="B3699" s="10"/>
    </row>
    <row r="3700" spans="2:2" x14ac:dyDescent="0.25">
      <c r="B3700" s="10"/>
    </row>
    <row r="3701" spans="2:2" x14ac:dyDescent="0.25">
      <c r="B3701" s="10"/>
    </row>
    <row r="3702" spans="2:2" x14ac:dyDescent="0.25">
      <c r="B3702" s="10"/>
    </row>
    <row r="3703" spans="2:2" x14ac:dyDescent="0.25">
      <c r="B3703" s="10"/>
    </row>
    <row r="3704" spans="2:2" x14ac:dyDescent="0.25">
      <c r="B3704" s="10"/>
    </row>
    <row r="3705" spans="2:2" x14ac:dyDescent="0.25">
      <c r="B3705" s="10"/>
    </row>
    <row r="3706" spans="2:2" x14ac:dyDescent="0.25">
      <c r="B3706" s="10"/>
    </row>
    <row r="3707" spans="2:2" x14ac:dyDescent="0.25">
      <c r="B3707" s="10"/>
    </row>
    <row r="3708" spans="2:2" x14ac:dyDescent="0.25">
      <c r="B3708" s="10"/>
    </row>
    <row r="3709" spans="2:2" x14ac:dyDescent="0.25">
      <c r="B3709" s="10"/>
    </row>
    <row r="3710" spans="2:2" x14ac:dyDescent="0.25">
      <c r="B3710" s="10"/>
    </row>
    <row r="3711" spans="2:2" x14ac:dyDescent="0.25">
      <c r="B3711" s="10"/>
    </row>
    <row r="3712" spans="2:2" x14ac:dyDescent="0.25">
      <c r="B3712" s="10"/>
    </row>
    <row r="3713" spans="2:2" x14ac:dyDescent="0.25">
      <c r="B3713" s="10"/>
    </row>
    <row r="3714" spans="2:2" x14ac:dyDescent="0.25">
      <c r="B3714" s="10"/>
    </row>
    <row r="3715" spans="2:2" x14ac:dyDescent="0.25">
      <c r="B3715" s="10"/>
    </row>
    <row r="3716" spans="2:2" x14ac:dyDescent="0.25">
      <c r="B3716" s="10"/>
    </row>
    <row r="3717" spans="2:2" x14ac:dyDescent="0.25">
      <c r="B3717" s="10"/>
    </row>
    <row r="3718" spans="2:2" x14ac:dyDescent="0.25">
      <c r="B3718" s="10"/>
    </row>
    <row r="3719" spans="2:2" x14ac:dyDescent="0.25">
      <c r="B3719" s="10"/>
    </row>
    <row r="3720" spans="2:2" x14ac:dyDescent="0.25">
      <c r="B3720" s="10"/>
    </row>
    <row r="3721" spans="2:2" x14ac:dyDescent="0.25">
      <c r="B3721" s="10"/>
    </row>
    <row r="3722" spans="2:2" x14ac:dyDescent="0.25">
      <c r="B3722" s="10"/>
    </row>
    <row r="3723" spans="2:2" x14ac:dyDescent="0.25">
      <c r="B3723" s="10"/>
    </row>
    <row r="3724" spans="2:2" x14ac:dyDescent="0.25">
      <c r="B3724" s="10"/>
    </row>
    <row r="3725" spans="2:2" x14ac:dyDescent="0.25">
      <c r="B3725" s="10"/>
    </row>
    <row r="3726" spans="2:2" x14ac:dyDescent="0.25">
      <c r="B3726" s="10"/>
    </row>
    <row r="3727" spans="2:2" x14ac:dyDescent="0.25">
      <c r="B3727" s="10"/>
    </row>
    <row r="3728" spans="2:2" x14ac:dyDescent="0.25">
      <c r="B3728" s="10"/>
    </row>
    <row r="3729" spans="2:2" x14ac:dyDescent="0.25">
      <c r="B3729" s="10"/>
    </row>
    <row r="3730" spans="2:2" x14ac:dyDescent="0.25">
      <c r="B3730" s="10"/>
    </row>
    <row r="3731" spans="2:2" x14ac:dyDescent="0.25">
      <c r="B3731" s="10"/>
    </row>
    <row r="3732" spans="2:2" x14ac:dyDescent="0.25">
      <c r="B3732" s="10"/>
    </row>
    <row r="3733" spans="2:2" x14ac:dyDescent="0.25">
      <c r="B3733" s="10"/>
    </row>
    <row r="3734" spans="2:2" x14ac:dyDescent="0.25">
      <c r="B3734" s="10"/>
    </row>
    <row r="3735" spans="2:2" x14ac:dyDescent="0.25">
      <c r="B3735" s="10"/>
    </row>
    <row r="3736" spans="2:2" x14ac:dyDescent="0.25">
      <c r="B3736" s="10"/>
    </row>
    <row r="3737" spans="2:2" x14ac:dyDescent="0.25">
      <c r="B3737" s="10"/>
    </row>
    <row r="3738" spans="2:2" x14ac:dyDescent="0.25">
      <c r="B3738" s="10"/>
    </row>
    <row r="3739" spans="2:2" x14ac:dyDescent="0.25">
      <c r="B3739" s="10"/>
    </row>
    <row r="3740" spans="2:2" x14ac:dyDescent="0.25">
      <c r="B3740" s="10"/>
    </row>
    <row r="3741" spans="2:2" x14ac:dyDescent="0.25">
      <c r="B3741" s="10"/>
    </row>
    <row r="3742" spans="2:2" x14ac:dyDescent="0.25">
      <c r="B3742" s="10"/>
    </row>
    <row r="3743" spans="2:2" x14ac:dyDescent="0.25">
      <c r="B3743" s="10"/>
    </row>
    <row r="3744" spans="2:2" x14ac:dyDescent="0.25">
      <c r="B3744" s="10"/>
    </row>
    <row r="3745" spans="2:2" x14ac:dyDescent="0.25">
      <c r="B3745" s="10"/>
    </row>
    <row r="3746" spans="2:2" x14ac:dyDescent="0.25">
      <c r="B3746" s="10"/>
    </row>
    <row r="3747" spans="2:2" x14ac:dyDescent="0.25">
      <c r="B3747" s="10"/>
    </row>
    <row r="3748" spans="2:2" x14ac:dyDescent="0.25">
      <c r="B3748" s="10"/>
    </row>
    <row r="3749" spans="2:2" x14ac:dyDescent="0.25">
      <c r="B3749" s="10"/>
    </row>
    <row r="3750" spans="2:2" x14ac:dyDescent="0.25">
      <c r="B3750" s="10"/>
    </row>
    <row r="3751" spans="2:2" x14ac:dyDescent="0.25">
      <c r="B3751" s="10"/>
    </row>
    <row r="3752" spans="2:2" x14ac:dyDescent="0.25">
      <c r="B3752" s="10"/>
    </row>
    <row r="3753" spans="2:2" x14ac:dyDescent="0.25">
      <c r="B3753" s="10"/>
    </row>
    <row r="3754" spans="2:2" x14ac:dyDescent="0.25">
      <c r="B3754" s="10"/>
    </row>
    <row r="3755" spans="2:2" x14ac:dyDescent="0.25">
      <c r="B3755" s="10"/>
    </row>
    <row r="3756" spans="2:2" x14ac:dyDescent="0.25">
      <c r="B3756" s="10"/>
    </row>
    <row r="3757" spans="2:2" x14ac:dyDescent="0.25">
      <c r="B3757" s="10"/>
    </row>
    <row r="3758" spans="2:2" x14ac:dyDescent="0.25">
      <c r="B3758" s="10"/>
    </row>
    <row r="3759" spans="2:2" x14ac:dyDescent="0.25">
      <c r="B3759" s="10"/>
    </row>
    <row r="3760" spans="2:2" x14ac:dyDescent="0.25">
      <c r="B3760" s="10"/>
    </row>
    <row r="3761" spans="2:2" x14ac:dyDescent="0.25">
      <c r="B3761" s="10"/>
    </row>
    <row r="3762" spans="2:2" x14ac:dyDescent="0.25">
      <c r="B3762" s="10"/>
    </row>
    <row r="3763" spans="2:2" x14ac:dyDescent="0.25">
      <c r="B3763" s="10"/>
    </row>
    <row r="3764" spans="2:2" x14ac:dyDescent="0.25">
      <c r="B3764" s="10"/>
    </row>
    <row r="3765" spans="2:2" x14ac:dyDescent="0.25">
      <c r="B3765" s="10"/>
    </row>
    <row r="3766" spans="2:2" x14ac:dyDescent="0.25">
      <c r="B3766" s="10"/>
    </row>
    <row r="3767" spans="2:2" x14ac:dyDescent="0.25">
      <c r="B3767" s="10"/>
    </row>
    <row r="3768" spans="2:2" x14ac:dyDescent="0.25">
      <c r="B3768" s="10"/>
    </row>
    <row r="3769" spans="2:2" x14ac:dyDescent="0.25">
      <c r="B3769" s="10"/>
    </row>
    <row r="3770" spans="2:2" x14ac:dyDescent="0.25">
      <c r="B3770" s="10"/>
    </row>
    <row r="3771" spans="2:2" x14ac:dyDescent="0.25">
      <c r="B3771" s="10"/>
    </row>
    <row r="3772" spans="2:2" x14ac:dyDescent="0.25">
      <c r="B3772" s="10"/>
    </row>
    <row r="3773" spans="2:2" x14ac:dyDescent="0.25">
      <c r="B3773" s="10"/>
    </row>
    <row r="3774" spans="2:2" x14ac:dyDescent="0.25">
      <c r="B3774" s="10"/>
    </row>
    <row r="3775" spans="2:2" x14ac:dyDescent="0.25">
      <c r="B3775" s="10"/>
    </row>
    <row r="3776" spans="2:2" x14ac:dyDescent="0.25">
      <c r="B3776" s="10"/>
    </row>
    <row r="3777" spans="2:2" x14ac:dyDescent="0.25">
      <c r="B3777" s="10"/>
    </row>
    <row r="3778" spans="2:2" x14ac:dyDescent="0.25">
      <c r="B3778" s="10"/>
    </row>
    <row r="3779" spans="2:2" x14ac:dyDescent="0.25">
      <c r="B3779" s="10"/>
    </row>
    <row r="3780" spans="2:2" x14ac:dyDescent="0.25">
      <c r="B3780" s="10"/>
    </row>
    <row r="3781" spans="2:2" x14ac:dyDescent="0.25">
      <c r="B3781" s="10"/>
    </row>
    <row r="3782" spans="2:2" x14ac:dyDescent="0.25">
      <c r="B3782" s="10"/>
    </row>
    <row r="3783" spans="2:2" x14ac:dyDescent="0.25">
      <c r="B3783" s="10"/>
    </row>
    <row r="3784" spans="2:2" x14ac:dyDescent="0.25">
      <c r="B3784" s="10"/>
    </row>
    <row r="3785" spans="2:2" x14ac:dyDescent="0.25">
      <c r="B3785" s="10"/>
    </row>
    <row r="3786" spans="2:2" x14ac:dyDescent="0.25">
      <c r="B3786" s="10"/>
    </row>
    <row r="3787" spans="2:2" x14ac:dyDescent="0.25">
      <c r="B3787" s="10"/>
    </row>
    <row r="3788" spans="2:2" x14ac:dyDescent="0.25">
      <c r="B3788" s="10"/>
    </row>
    <row r="3789" spans="2:2" x14ac:dyDescent="0.25">
      <c r="B3789" s="10"/>
    </row>
    <row r="3790" spans="2:2" x14ac:dyDescent="0.25">
      <c r="B3790" s="10"/>
    </row>
    <row r="3791" spans="2:2" x14ac:dyDescent="0.25">
      <c r="B3791" s="10"/>
    </row>
    <row r="3792" spans="2:2" x14ac:dyDescent="0.25">
      <c r="B3792" s="10"/>
    </row>
    <row r="3793" spans="2:2" x14ac:dyDescent="0.25">
      <c r="B3793" s="10"/>
    </row>
    <row r="3794" spans="2:2" x14ac:dyDescent="0.25">
      <c r="B3794" s="10"/>
    </row>
    <row r="3795" spans="2:2" x14ac:dyDescent="0.25">
      <c r="B3795" s="10"/>
    </row>
    <row r="3796" spans="2:2" x14ac:dyDescent="0.25">
      <c r="B3796" s="10"/>
    </row>
    <row r="3797" spans="2:2" x14ac:dyDescent="0.25">
      <c r="B3797" s="10"/>
    </row>
    <row r="3798" spans="2:2" x14ac:dyDescent="0.25">
      <c r="B3798" s="10"/>
    </row>
    <row r="3799" spans="2:2" x14ac:dyDescent="0.25">
      <c r="B3799" s="10"/>
    </row>
    <row r="3800" spans="2:2" x14ac:dyDescent="0.25">
      <c r="B3800" s="10"/>
    </row>
    <row r="3801" spans="2:2" x14ac:dyDescent="0.25">
      <c r="B3801" s="10"/>
    </row>
    <row r="3802" spans="2:2" x14ac:dyDescent="0.25">
      <c r="B3802" s="10"/>
    </row>
    <row r="3803" spans="2:2" x14ac:dyDescent="0.25">
      <c r="B3803" s="10"/>
    </row>
    <row r="3804" spans="2:2" x14ac:dyDescent="0.25">
      <c r="B3804" s="10"/>
    </row>
    <row r="3805" spans="2:2" x14ac:dyDescent="0.25">
      <c r="B3805" s="10"/>
    </row>
    <row r="3806" spans="2:2" x14ac:dyDescent="0.25">
      <c r="B3806" s="10"/>
    </row>
    <row r="3807" spans="2:2" x14ac:dyDescent="0.25">
      <c r="B3807" s="10"/>
    </row>
    <row r="3808" spans="2:2" x14ac:dyDescent="0.25">
      <c r="B3808" s="10"/>
    </row>
    <row r="3809" spans="2:2" x14ac:dyDescent="0.25">
      <c r="B3809" s="10"/>
    </row>
    <row r="3810" spans="2:2" x14ac:dyDescent="0.25">
      <c r="B3810" s="10"/>
    </row>
    <row r="3811" spans="2:2" x14ac:dyDescent="0.25">
      <c r="B3811" s="10"/>
    </row>
    <row r="3812" spans="2:2" x14ac:dyDescent="0.25">
      <c r="B3812" s="10"/>
    </row>
    <row r="3813" spans="2:2" x14ac:dyDescent="0.25">
      <c r="B3813" s="10"/>
    </row>
    <row r="3814" spans="2:2" x14ac:dyDescent="0.25">
      <c r="B3814" s="10"/>
    </row>
    <row r="3815" spans="2:2" x14ac:dyDescent="0.25">
      <c r="B3815" s="10"/>
    </row>
    <row r="3816" spans="2:2" x14ac:dyDescent="0.25">
      <c r="B3816" s="10"/>
    </row>
    <row r="3817" spans="2:2" x14ac:dyDescent="0.25">
      <c r="B3817" s="10"/>
    </row>
    <row r="3818" spans="2:2" x14ac:dyDescent="0.25">
      <c r="B3818" s="10"/>
    </row>
    <row r="3819" spans="2:2" x14ac:dyDescent="0.25">
      <c r="B3819" s="10"/>
    </row>
    <row r="3820" spans="2:2" x14ac:dyDescent="0.25">
      <c r="B3820" s="10"/>
    </row>
    <row r="3821" spans="2:2" x14ac:dyDescent="0.25">
      <c r="B3821" s="10"/>
    </row>
    <row r="3822" spans="2:2" x14ac:dyDescent="0.25">
      <c r="B3822" s="10"/>
    </row>
    <row r="3823" spans="2:2" x14ac:dyDescent="0.25">
      <c r="B3823" s="10"/>
    </row>
    <row r="3824" spans="2:2" x14ac:dyDescent="0.25">
      <c r="B3824" s="10"/>
    </row>
    <row r="3825" spans="2:2" x14ac:dyDescent="0.25">
      <c r="B3825" s="10"/>
    </row>
    <row r="3826" spans="2:2" x14ac:dyDescent="0.25">
      <c r="B3826" s="10"/>
    </row>
    <row r="3827" spans="2:2" x14ac:dyDescent="0.25">
      <c r="B3827" s="10"/>
    </row>
    <row r="3828" spans="2:2" x14ac:dyDescent="0.25">
      <c r="B3828" s="10"/>
    </row>
    <row r="3829" spans="2:2" x14ac:dyDescent="0.25">
      <c r="B3829" s="10"/>
    </row>
    <row r="3830" spans="2:2" x14ac:dyDescent="0.25">
      <c r="B3830" s="10"/>
    </row>
    <row r="3831" spans="2:2" x14ac:dyDescent="0.25">
      <c r="B3831" s="10"/>
    </row>
    <row r="3832" spans="2:2" x14ac:dyDescent="0.25">
      <c r="B3832" s="10"/>
    </row>
    <row r="3833" spans="2:2" x14ac:dyDescent="0.25">
      <c r="B3833" s="10"/>
    </row>
    <row r="3834" spans="2:2" x14ac:dyDescent="0.25">
      <c r="B3834" s="10"/>
    </row>
    <row r="3835" spans="2:2" x14ac:dyDescent="0.25">
      <c r="B3835" s="10"/>
    </row>
    <row r="3836" spans="2:2" x14ac:dyDescent="0.25">
      <c r="B3836" s="10"/>
    </row>
    <row r="3837" spans="2:2" x14ac:dyDescent="0.25">
      <c r="B3837" s="10"/>
    </row>
    <row r="3838" spans="2:2" x14ac:dyDescent="0.25">
      <c r="B3838" s="10"/>
    </row>
    <row r="3839" spans="2:2" x14ac:dyDescent="0.25">
      <c r="B3839" s="10"/>
    </row>
    <row r="3840" spans="2:2" x14ac:dyDescent="0.25">
      <c r="B3840" s="10"/>
    </row>
    <row r="3841" spans="2:2" x14ac:dyDescent="0.25">
      <c r="B3841" s="10"/>
    </row>
    <row r="3842" spans="2:2" x14ac:dyDescent="0.25">
      <c r="B3842" s="10"/>
    </row>
    <row r="3843" spans="2:2" x14ac:dyDescent="0.25">
      <c r="B3843" s="10"/>
    </row>
    <row r="3844" spans="2:2" x14ac:dyDescent="0.25">
      <c r="B3844" s="10"/>
    </row>
    <row r="3845" spans="2:2" x14ac:dyDescent="0.25">
      <c r="B3845" s="10"/>
    </row>
    <row r="3846" spans="2:2" x14ac:dyDescent="0.25">
      <c r="B3846" s="10"/>
    </row>
    <row r="3847" spans="2:2" x14ac:dyDescent="0.25">
      <c r="B3847" s="10"/>
    </row>
    <row r="3848" spans="2:2" x14ac:dyDescent="0.25">
      <c r="B3848" s="10"/>
    </row>
    <row r="3849" spans="2:2" x14ac:dyDescent="0.25">
      <c r="B3849" s="10"/>
    </row>
    <row r="3850" spans="2:2" x14ac:dyDescent="0.25">
      <c r="B3850" s="10"/>
    </row>
    <row r="3851" spans="2:2" x14ac:dyDescent="0.25">
      <c r="B3851" s="10"/>
    </row>
    <row r="3852" spans="2:2" x14ac:dyDescent="0.25">
      <c r="B3852" s="10"/>
    </row>
    <row r="3853" spans="2:2" x14ac:dyDescent="0.25">
      <c r="B3853" s="10"/>
    </row>
    <row r="3854" spans="2:2" x14ac:dyDescent="0.25">
      <c r="B3854" s="10"/>
    </row>
    <row r="3855" spans="2:2" x14ac:dyDescent="0.25">
      <c r="B3855" s="10"/>
    </row>
    <row r="3856" spans="2:2" x14ac:dyDescent="0.25">
      <c r="B3856" s="10"/>
    </row>
    <row r="3857" spans="2:2" x14ac:dyDescent="0.25">
      <c r="B3857" s="10"/>
    </row>
    <row r="3858" spans="2:2" x14ac:dyDescent="0.25">
      <c r="B3858" s="10"/>
    </row>
    <row r="3859" spans="2:2" x14ac:dyDescent="0.25">
      <c r="B3859" s="10"/>
    </row>
    <row r="3860" spans="2:2" x14ac:dyDescent="0.25">
      <c r="B3860" s="10"/>
    </row>
    <row r="3861" spans="2:2" x14ac:dyDescent="0.25">
      <c r="B3861" s="10"/>
    </row>
    <row r="3862" spans="2:2" x14ac:dyDescent="0.25">
      <c r="B3862" s="10"/>
    </row>
    <row r="3863" spans="2:2" x14ac:dyDescent="0.25">
      <c r="B3863" s="10"/>
    </row>
    <row r="3864" spans="2:2" x14ac:dyDescent="0.25">
      <c r="B3864" s="10"/>
    </row>
    <row r="3865" spans="2:2" x14ac:dyDescent="0.25">
      <c r="B3865" s="10"/>
    </row>
    <row r="3866" spans="2:2" x14ac:dyDescent="0.25">
      <c r="B3866" s="10"/>
    </row>
    <row r="3867" spans="2:2" x14ac:dyDescent="0.25">
      <c r="B3867" s="10"/>
    </row>
    <row r="3868" spans="2:2" x14ac:dyDescent="0.25">
      <c r="B3868" s="10"/>
    </row>
    <row r="3869" spans="2:2" x14ac:dyDescent="0.25">
      <c r="B3869" s="10"/>
    </row>
    <row r="3870" spans="2:2" x14ac:dyDescent="0.25">
      <c r="B3870" s="10"/>
    </row>
    <row r="3871" spans="2:2" x14ac:dyDescent="0.25">
      <c r="B3871" s="10"/>
    </row>
    <row r="3872" spans="2:2" x14ac:dyDescent="0.25">
      <c r="B3872" s="10"/>
    </row>
    <row r="3873" spans="2:2" x14ac:dyDescent="0.25">
      <c r="B3873" s="10"/>
    </row>
    <row r="3874" spans="2:2" x14ac:dyDescent="0.25">
      <c r="B3874" s="10"/>
    </row>
    <row r="3875" spans="2:2" x14ac:dyDescent="0.25">
      <c r="B3875" s="10"/>
    </row>
    <row r="3876" spans="2:2" x14ac:dyDescent="0.25">
      <c r="B3876" s="10"/>
    </row>
    <row r="3877" spans="2:2" x14ac:dyDescent="0.25">
      <c r="B3877" s="10"/>
    </row>
    <row r="3878" spans="2:2" x14ac:dyDescent="0.25">
      <c r="B3878" s="10"/>
    </row>
    <row r="3879" spans="2:2" x14ac:dyDescent="0.25">
      <c r="B3879" s="10"/>
    </row>
    <row r="3880" spans="2:2" x14ac:dyDescent="0.25">
      <c r="B3880" s="10"/>
    </row>
    <row r="3881" spans="2:2" x14ac:dyDescent="0.25">
      <c r="B3881" s="10"/>
    </row>
    <row r="3882" spans="2:2" x14ac:dyDescent="0.25">
      <c r="B3882" s="10"/>
    </row>
    <row r="3883" spans="2:2" x14ac:dyDescent="0.25">
      <c r="B3883" s="10"/>
    </row>
    <row r="3884" spans="2:2" x14ac:dyDescent="0.25">
      <c r="B3884" s="10"/>
    </row>
    <row r="3885" spans="2:2" x14ac:dyDescent="0.25">
      <c r="B3885" s="10"/>
    </row>
    <row r="3886" spans="2:2" x14ac:dyDescent="0.25">
      <c r="B3886" s="10"/>
    </row>
    <row r="3887" spans="2:2" x14ac:dyDescent="0.25">
      <c r="B3887" s="10"/>
    </row>
    <row r="3888" spans="2:2" x14ac:dyDescent="0.25">
      <c r="B3888" s="10"/>
    </row>
    <row r="3889" spans="2:2" x14ac:dyDescent="0.25">
      <c r="B3889" s="10"/>
    </row>
    <row r="3890" spans="2:2" x14ac:dyDescent="0.25">
      <c r="B3890" s="10"/>
    </row>
    <row r="3891" spans="2:2" x14ac:dyDescent="0.25">
      <c r="B3891" s="10"/>
    </row>
    <row r="3892" spans="2:2" x14ac:dyDescent="0.25">
      <c r="B3892" s="10"/>
    </row>
    <row r="3893" spans="2:2" x14ac:dyDescent="0.25">
      <c r="B3893" s="10"/>
    </row>
    <row r="3894" spans="2:2" x14ac:dyDescent="0.25">
      <c r="B3894" s="10"/>
    </row>
    <row r="3895" spans="2:2" x14ac:dyDescent="0.25">
      <c r="B3895" s="10"/>
    </row>
    <row r="3896" spans="2:2" x14ac:dyDescent="0.25">
      <c r="B3896" s="10"/>
    </row>
    <row r="3897" spans="2:2" x14ac:dyDescent="0.25">
      <c r="B3897" s="10"/>
    </row>
    <row r="3898" spans="2:2" x14ac:dyDescent="0.25">
      <c r="B3898" s="10"/>
    </row>
    <row r="3899" spans="2:2" x14ac:dyDescent="0.25">
      <c r="B3899" s="10"/>
    </row>
    <row r="3900" spans="2:2" x14ac:dyDescent="0.25">
      <c r="B3900" s="10"/>
    </row>
    <row r="3901" spans="2:2" x14ac:dyDescent="0.25">
      <c r="B3901" s="10"/>
    </row>
    <row r="3902" spans="2:2" x14ac:dyDescent="0.25">
      <c r="B3902" s="10"/>
    </row>
    <row r="3903" spans="2:2" x14ac:dyDescent="0.25">
      <c r="B3903" s="10"/>
    </row>
    <row r="3904" spans="2:2" x14ac:dyDescent="0.25">
      <c r="B3904" s="10"/>
    </row>
    <row r="3905" spans="2:2" x14ac:dyDescent="0.25">
      <c r="B3905" s="10"/>
    </row>
    <row r="3906" spans="2:2" x14ac:dyDescent="0.25">
      <c r="B3906" s="10"/>
    </row>
    <row r="3907" spans="2:2" x14ac:dyDescent="0.25">
      <c r="B3907" s="10"/>
    </row>
    <row r="3908" spans="2:2" x14ac:dyDescent="0.25">
      <c r="B3908" s="10"/>
    </row>
    <row r="3909" spans="2:2" x14ac:dyDescent="0.25">
      <c r="B3909" s="10"/>
    </row>
    <row r="3910" spans="2:2" x14ac:dyDescent="0.25">
      <c r="B3910" s="10"/>
    </row>
    <row r="3911" spans="2:2" x14ac:dyDescent="0.25">
      <c r="B3911" s="10"/>
    </row>
    <row r="3912" spans="2:2" x14ac:dyDescent="0.25">
      <c r="B3912" s="10"/>
    </row>
    <row r="3913" spans="2:2" x14ac:dyDescent="0.25">
      <c r="B3913" s="10"/>
    </row>
    <row r="3914" spans="2:2" x14ac:dyDescent="0.25">
      <c r="B3914" s="10"/>
    </row>
    <row r="3915" spans="2:2" x14ac:dyDescent="0.25">
      <c r="B3915" s="10"/>
    </row>
    <row r="3916" spans="2:2" x14ac:dyDescent="0.25">
      <c r="B3916" s="10"/>
    </row>
    <row r="3917" spans="2:2" x14ac:dyDescent="0.25">
      <c r="B3917" s="10"/>
    </row>
    <row r="3918" spans="2:2" x14ac:dyDescent="0.25">
      <c r="B3918" s="10"/>
    </row>
    <row r="3919" spans="2:2" x14ac:dyDescent="0.25">
      <c r="B3919" s="10"/>
    </row>
    <row r="3920" spans="2:2" x14ac:dyDescent="0.25">
      <c r="B3920" s="10"/>
    </row>
    <row r="3921" spans="2:2" x14ac:dyDescent="0.25">
      <c r="B3921" s="10"/>
    </row>
    <row r="3922" spans="2:2" x14ac:dyDescent="0.25">
      <c r="B3922" s="10"/>
    </row>
    <row r="3923" spans="2:2" x14ac:dyDescent="0.25">
      <c r="B3923" s="10"/>
    </row>
    <row r="3924" spans="2:2" x14ac:dyDescent="0.25">
      <c r="B3924" s="10"/>
    </row>
    <row r="3925" spans="2:2" x14ac:dyDescent="0.25">
      <c r="B3925" s="10"/>
    </row>
    <row r="3926" spans="2:2" x14ac:dyDescent="0.25">
      <c r="B3926" s="10"/>
    </row>
    <row r="3927" spans="2:2" x14ac:dyDescent="0.25">
      <c r="B3927" s="10"/>
    </row>
    <row r="3928" spans="2:2" x14ac:dyDescent="0.25">
      <c r="B3928" s="10"/>
    </row>
    <row r="3929" spans="2:2" x14ac:dyDescent="0.25">
      <c r="B3929" s="10"/>
    </row>
    <row r="3930" spans="2:2" x14ac:dyDescent="0.25">
      <c r="B3930" s="10"/>
    </row>
    <row r="3931" spans="2:2" x14ac:dyDescent="0.25">
      <c r="B3931" s="10"/>
    </row>
    <row r="3932" spans="2:2" x14ac:dyDescent="0.25">
      <c r="B3932" s="10"/>
    </row>
    <row r="3933" spans="2:2" x14ac:dyDescent="0.25">
      <c r="B3933" s="10"/>
    </row>
    <row r="3934" spans="2:2" x14ac:dyDescent="0.25">
      <c r="B3934" s="10"/>
    </row>
    <row r="3935" spans="2:2" x14ac:dyDescent="0.25">
      <c r="B3935" s="10"/>
    </row>
    <row r="3936" spans="2:2" x14ac:dyDescent="0.25">
      <c r="B3936" s="10"/>
    </row>
    <row r="3937" spans="2:2" x14ac:dyDescent="0.25">
      <c r="B3937" s="10"/>
    </row>
    <row r="3938" spans="2:2" x14ac:dyDescent="0.25">
      <c r="B3938" s="10"/>
    </row>
    <row r="3939" spans="2:2" x14ac:dyDescent="0.25">
      <c r="B3939" s="10"/>
    </row>
    <row r="3940" spans="2:2" x14ac:dyDescent="0.25">
      <c r="B3940" s="10"/>
    </row>
    <row r="3941" spans="2:2" x14ac:dyDescent="0.25">
      <c r="B3941" s="10"/>
    </row>
    <row r="3942" spans="2:2" x14ac:dyDescent="0.25">
      <c r="B3942" s="10"/>
    </row>
    <row r="3943" spans="2:2" x14ac:dyDescent="0.25">
      <c r="B3943" s="10"/>
    </row>
    <row r="3944" spans="2:2" x14ac:dyDescent="0.25">
      <c r="B3944" s="10"/>
    </row>
    <row r="3945" spans="2:2" x14ac:dyDescent="0.25">
      <c r="B3945" s="10"/>
    </row>
    <row r="3946" spans="2:2" x14ac:dyDescent="0.25">
      <c r="B3946" s="10"/>
    </row>
    <row r="3947" spans="2:2" x14ac:dyDescent="0.25">
      <c r="B3947" s="10"/>
    </row>
    <row r="3948" spans="2:2" x14ac:dyDescent="0.25">
      <c r="B3948" s="10"/>
    </row>
    <row r="3949" spans="2:2" x14ac:dyDescent="0.25">
      <c r="B3949" s="10"/>
    </row>
    <row r="3950" spans="2:2" x14ac:dyDescent="0.25">
      <c r="B3950" s="10"/>
    </row>
    <row r="3951" spans="2:2" x14ac:dyDescent="0.25">
      <c r="B3951" s="10"/>
    </row>
    <row r="3952" spans="2:2" x14ac:dyDescent="0.25">
      <c r="B3952" s="10"/>
    </row>
    <row r="3953" spans="2:2" x14ac:dyDescent="0.25">
      <c r="B3953" s="10"/>
    </row>
    <row r="3954" spans="2:2" x14ac:dyDescent="0.25">
      <c r="B3954" s="10"/>
    </row>
    <row r="3955" spans="2:2" x14ac:dyDescent="0.25">
      <c r="B3955" s="10"/>
    </row>
    <row r="3956" spans="2:2" x14ac:dyDescent="0.25">
      <c r="B3956" s="10"/>
    </row>
    <row r="3957" spans="2:2" x14ac:dyDescent="0.25">
      <c r="B3957" s="10"/>
    </row>
    <row r="3958" spans="2:2" x14ac:dyDescent="0.25">
      <c r="B3958" s="10"/>
    </row>
    <row r="3959" spans="2:2" x14ac:dyDescent="0.25">
      <c r="B3959" s="10"/>
    </row>
    <row r="3960" spans="2:2" x14ac:dyDescent="0.25">
      <c r="B3960" s="10"/>
    </row>
    <row r="3961" spans="2:2" x14ac:dyDescent="0.25">
      <c r="B3961" s="10"/>
    </row>
    <row r="3962" spans="2:2" x14ac:dyDescent="0.25">
      <c r="B3962" s="10"/>
    </row>
    <row r="3963" spans="2:2" x14ac:dyDescent="0.25">
      <c r="B3963" s="10"/>
    </row>
    <row r="3964" spans="2:2" x14ac:dyDescent="0.25">
      <c r="B3964" s="10"/>
    </row>
    <row r="3965" spans="2:2" x14ac:dyDescent="0.25">
      <c r="B3965" s="10"/>
    </row>
    <row r="3966" spans="2:2" x14ac:dyDescent="0.25">
      <c r="B3966" s="10"/>
    </row>
    <row r="3967" spans="2:2" x14ac:dyDescent="0.25">
      <c r="B3967" s="10"/>
    </row>
    <row r="3968" spans="2:2" x14ac:dyDescent="0.25">
      <c r="B3968" s="10"/>
    </row>
    <row r="3969" spans="2:2" x14ac:dyDescent="0.25">
      <c r="B3969" s="10"/>
    </row>
    <row r="3970" spans="2:2" x14ac:dyDescent="0.25">
      <c r="B3970" s="10"/>
    </row>
    <row r="3971" spans="2:2" x14ac:dyDescent="0.25">
      <c r="B3971" s="10"/>
    </row>
    <row r="3972" spans="2:2" x14ac:dyDescent="0.25">
      <c r="B3972" s="10"/>
    </row>
    <row r="3973" spans="2:2" x14ac:dyDescent="0.25">
      <c r="B3973" s="10"/>
    </row>
    <row r="3974" spans="2:2" x14ac:dyDescent="0.25">
      <c r="B3974" s="10"/>
    </row>
    <row r="3975" spans="2:2" x14ac:dyDescent="0.25">
      <c r="B3975" s="10"/>
    </row>
    <row r="3976" spans="2:2" x14ac:dyDescent="0.25">
      <c r="B3976" s="10"/>
    </row>
    <row r="3977" spans="2:2" x14ac:dyDescent="0.25">
      <c r="B3977" s="10"/>
    </row>
    <row r="3978" spans="2:2" x14ac:dyDescent="0.25">
      <c r="B3978" s="10"/>
    </row>
    <row r="3979" spans="2:2" x14ac:dyDescent="0.25">
      <c r="B3979" s="10"/>
    </row>
    <row r="3980" spans="2:2" x14ac:dyDescent="0.25">
      <c r="B3980" s="10"/>
    </row>
    <row r="3981" spans="2:2" x14ac:dyDescent="0.25">
      <c r="B3981" s="10"/>
    </row>
    <row r="3982" spans="2:2" x14ac:dyDescent="0.25">
      <c r="B3982" s="10"/>
    </row>
    <row r="3983" spans="2:2" x14ac:dyDescent="0.25">
      <c r="B3983" s="10"/>
    </row>
    <row r="3984" spans="2:2" x14ac:dyDescent="0.25">
      <c r="B3984" s="10"/>
    </row>
    <row r="3985" spans="2:2" x14ac:dyDescent="0.25">
      <c r="B3985" s="10"/>
    </row>
    <row r="3986" spans="2:2" x14ac:dyDescent="0.25">
      <c r="B3986" s="10"/>
    </row>
    <row r="3987" spans="2:2" x14ac:dyDescent="0.25">
      <c r="B3987" s="10"/>
    </row>
    <row r="3988" spans="2:2" x14ac:dyDescent="0.25">
      <c r="B3988" s="10"/>
    </row>
    <row r="3989" spans="2:2" x14ac:dyDescent="0.25">
      <c r="B3989" s="10"/>
    </row>
    <row r="3990" spans="2:2" x14ac:dyDescent="0.25">
      <c r="B3990" s="10"/>
    </row>
    <row r="3991" spans="2:2" x14ac:dyDescent="0.25">
      <c r="B3991" s="10"/>
    </row>
    <row r="3992" spans="2:2" x14ac:dyDescent="0.25">
      <c r="B3992" s="10"/>
    </row>
    <row r="3993" spans="2:2" x14ac:dyDescent="0.25">
      <c r="B3993" s="10"/>
    </row>
    <row r="3994" spans="2:2" x14ac:dyDescent="0.25">
      <c r="B3994" s="10"/>
    </row>
    <row r="3995" spans="2:2" x14ac:dyDescent="0.25">
      <c r="B3995" s="10"/>
    </row>
    <row r="3996" spans="2:2" x14ac:dyDescent="0.25">
      <c r="B3996" s="10"/>
    </row>
    <row r="3997" spans="2:2" x14ac:dyDescent="0.25">
      <c r="B3997" s="10"/>
    </row>
    <row r="3998" spans="2:2" x14ac:dyDescent="0.25">
      <c r="B3998" s="10"/>
    </row>
    <row r="3999" spans="2:2" x14ac:dyDescent="0.25">
      <c r="B3999" s="10"/>
    </row>
    <row r="4000" spans="2:2" x14ac:dyDescent="0.25">
      <c r="B4000" s="10"/>
    </row>
    <row r="4001" spans="2:2" x14ac:dyDescent="0.25">
      <c r="B4001" s="10"/>
    </row>
    <row r="4002" spans="2:2" x14ac:dyDescent="0.25">
      <c r="B4002" s="10"/>
    </row>
    <row r="4003" spans="2:2" x14ac:dyDescent="0.25">
      <c r="B4003" s="10"/>
    </row>
    <row r="4004" spans="2:2" x14ac:dyDescent="0.25">
      <c r="B4004" s="10"/>
    </row>
    <row r="4005" spans="2:2" x14ac:dyDescent="0.25">
      <c r="B4005" s="10"/>
    </row>
    <row r="4006" spans="2:2" x14ac:dyDescent="0.25">
      <c r="B4006" s="10"/>
    </row>
    <row r="4007" spans="2:2" x14ac:dyDescent="0.25">
      <c r="B4007" s="10"/>
    </row>
    <row r="4008" spans="2:2" x14ac:dyDescent="0.25">
      <c r="B4008" s="10"/>
    </row>
    <row r="4009" spans="2:2" x14ac:dyDescent="0.25">
      <c r="B4009" s="10"/>
    </row>
    <row r="4010" spans="2:2" x14ac:dyDescent="0.25">
      <c r="B4010" s="10"/>
    </row>
    <row r="4011" spans="2:2" x14ac:dyDescent="0.25">
      <c r="B4011" s="10"/>
    </row>
    <row r="4012" spans="2:2" x14ac:dyDescent="0.25">
      <c r="B4012" s="10"/>
    </row>
    <row r="4013" spans="2:2" x14ac:dyDescent="0.25">
      <c r="B4013" s="10"/>
    </row>
    <row r="4014" spans="2:2" x14ac:dyDescent="0.25">
      <c r="B4014" s="10"/>
    </row>
    <row r="4015" spans="2:2" x14ac:dyDescent="0.25">
      <c r="B4015" s="10"/>
    </row>
    <row r="4016" spans="2:2" x14ac:dyDescent="0.25">
      <c r="B4016" s="10"/>
    </row>
    <row r="4017" spans="2:2" x14ac:dyDescent="0.25">
      <c r="B4017" s="10"/>
    </row>
    <row r="4018" spans="2:2" x14ac:dyDescent="0.25">
      <c r="B4018" s="10"/>
    </row>
    <row r="4019" spans="2:2" x14ac:dyDescent="0.25">
      <c r="B4019" s="10"/>
    </row>
    <row r="4020" spans="2:2" x14ac:dyDescent="0.25">
      <c r="B4020" s="10"/>
    </row>
    <row r="4021" spans="2:2" x14ac:dyDescent="0.25">
      <c r="B4021" s="10"/>
    </row>
    <row r="4022" spans="2:2" x14ac:dyDescent="0.25">
      <c r="B4022" s="10"/>
    </row>
    <row r="4023" spans="2:2" x14ac:dyDescent="0.25">
      <c r="B4023" s="10"/>
    </row>
    <row r="4024" spans="2:2" x14ac:dyDescent="0.25">
      <c r="B4024" s="10"/>
    </row>
    <row r="4025" spans="2:2" x14ac:dyDescent="0.25">
      <c r="B4025" s="10"/>
    </row>
    <row r="4026" spans="2:2" x14ac:dyDescent="0.25">
      <c r="B4026" s="10"/>
    </row>
    <row r="4027" spans="2:2" x14ac:dyDescent="0.25">
      <c r="B4027" s="10"/>
    </row>
    <row r="4028" spans="2:2" x14ac:dyDescent="0.25">
      <c r="B4028" s="10"/>
    </row>
    <row r="4029" spans="2:2" x14ac:dyDescent="0.25">
      <c r="B4029" s="10"/>
    </row>
    <row r="4030" spans="2:2" x14ac:dyDescent="0.25">
      <c r="B4030" s="10"/>
    </row>
    <row r="4031" spans="2:2" x14ac:dyDescent="0.25">
      <c r="B4031" s="10"/>
    </row>
    <row r="4032" spans="2:2" x14ac:dyDescent="0.25">
      <c r="B4032" s="10"/>
    </row>
    <row r="4033" spans="2:2" x14ac:dyDescent="0.25">
      <c r="B4033" s="10"/>
    </row>
    <row r="4034" spans="2:2" x14ac:dyDescent="0.25">
      <c r="B4034" s="10"/>
    </row>
    <row r="4035" spans="2:2" x14ac:dyDescent="0.25">
      <c r="B4035" s="10"/>
    </row>
    <row r="4036" spans="2:2" x14ac:dyDescent="0.25">
      <c r="B4036" s="10"/>
    </row>
    <row r="4037" spans="2:2" x14ac:dyDescent="0.25">
      <c r="B4037" s="10"/>
    </row>
    <row r="4038" spans="2:2" x14ac:dyDescent="0.25">
      <c r="B4038" s="10"/>
    </row>
    <row r="4039" spans="2:2" x14ac:dyDescent="0.25">
      <c r="B4039" s="10"/>
    </row>
    <row r="4040" spans="2:2" x14ac:dyDescent="0.25">
      <c r="B4040" s="10"/>
    </row>
    <row r="4041" spans="2:2" x14ac:dyDescent="0.25">
      <c r="B4041" s="10"/>
    </row>
    <row r="4042" spans="2:2" x14ac:dyDescent="0.25">
      <c r="B4042" s="10"/>
    </row>
    <row r="4043" spans="2:2" x14ac:dyDescent="0.25">
      <c r="B4043" s="10"/>
    </row>
    <row r="4044" spans="2:2" x14ac:dyDescent="0.25">
      <c r="B4044" s="10"/>
    </row>
    <row r="4045" spans="2:2" x14ac:dyDescent="0.25">
      <c r="B4045" s="10"/>
    </row>
    <row r="4046" spans="2:2" x14ac:dyDescent="0.25">
      <c r="B4046" s="10"/>
    </row>
    <row r="4047" spans="2:2" x14ac:dyDescent="0.25">
      <c r="B4047" s="10"/>
    </row>
    <row r="4048" spans="2:2" x14ac:dyDescent="0.25">
      <c r="B4048" s="10"/>
    </row>
    <row r="4049" spans="2:2" x14ac:dyDescent="0.25">
      <c r="B4049" s="10"/>
    </row>
    <row r="4050" spans="2:2" x14ac:dyDescent="0.25">
      <c r="B4050" s="10"/>
    </row>
    <row r="4051" spans="2:2" x14ac:dyDescent="0.25">
      <c r="B4051" s="10"/>
    </row>
    <row r="4052" spans="2:2" x14ac:dyDescent="0.25">
      <c r="B4052" s="10"/>
    </row>
    <row r="4053" spans="2:2" x14ac:dyDescent="0.25">
      <c r="B4053" s="10"/>
    </row>
    <row r="4054" spans="2:2" x14ac:dyDescent="0.25">
      <c r="B4054" s="10"/>
    </row>
    <row r="4055" spans="2:2" x14ac:dyDescent="0.25">
      <c r="B4055" s="10"/>
    </row>
    <row r="4056" spans="2:2" x14ac:dyDescent="0.25">
      <c r="B4056" s="10"/>
    </row>
    <row r="4057" spans="2:2" x14ac:dyDescent="0.25">
      <c r="B4057" s="10"/>
    </row>
    <row r="4058" spans="2:2" x14ac:dyDescent="0.25">
      <c r="B4058" s="10"/>
    </row>
    <row r="4059" spans="2:2" x14ac:dyDescent="0.25">
      <c r="B4059" s="10"/>
    </row>
    <row r="4060" spans="2:2" x14ac:dyDescent="0.25">
      <c r="B4060" s="10"/>
    </row>
    <row r="4061" spans="2:2" x14ac:dyDescent="0.25">
      <c r="B4061" s="10"/>
    </row>
    <row r="4062" spans="2:2" x14ac:dyDescent="0.25">
      <c r="B4062" s="10"/>
    </row>
    <row r="4063" spans="2:2" x14ac:dyDescent="0.25">
      <c r="B4063" s="10"/>
    </row>
    <row r="4064" spans="2:2" x14ac:dyDescent="0.25">
      <c r="B4064" s="10"/>
    </row>
    <row r="4065" spans="2:2" x14ac:dyDescent="0.25">
      <c r="B4065" s="10"/>
    </row>
    <row r="4066" spans="2:2" x14ac:dyDescent="0.25">
      <c r="B4066" s="10"/>
    </row>
    <row r="4067" spans="2:2" x14ac:dyDescent="0.25">
      <c r="B4067" s="10"/>
    </row>
    <row r="4068" spans="2:2" x14ac:dyDescent="0.25">
      <c r="B4068" s="10"/>
    </row>
    <row r="4069" spans="2:2" x14ac:dyDescent="0.25">
      <c r="B4069" s="10"/>
    </row>
    <row r="4070" spans="2:2" x14ac:dyDescent="0.25">
      <c r="B4070" s="10"/>
    </row>
    <row r="4071" spans="2:2" x14ac:dyDescent="0.25">
      <c r="B4071" s="10"/>
    </row>
    <row r="4072" spans="2:2" x14ac:dyDescent="0.25">
      <c r="B4072" s="10"/>
    </row>
    <row r="4073" spans="2:2" x14ac:dyDescent="0.25">
      <c r="B4073" s="10"/>
    </row>
    <row r="4074" spans="2:2" x14ac:dyDescent="0.25">
      <c r="B4074" s="10"/>
    </row>
    <row r="4075" spans="2:2" x14ac:dyDescent="0.25">
      <c r="B4075" s="10"/>
    </row>
    <row r="4076" spans="2:2" x14ac:dyDescent="0.25">
      <c r="B4076" s="10"/>
    </row>
    <row r="4077" spans="2:2" x14ac:dyDescent="0.25">
      <c r="B4077" s="10"/>
    </row>
    <row r="4078" spans="2:2" x14ac:dyDescent="0.25">
      <c r="B4078" s="10"/>
    </row>
    <row r="4079" spans="2:2" x14ac:dyDescent="0.25">
      <c r="B4079" s="10"/>
    </row>
    <row r="4080" spans="2:2" x14ac:dyDescent="0.25">
      <c r="B4080" s="10"/>
    </row>
    <row r="4081" spans="2:2" x14ac:dyDescent="0.25">
      <c r="B4081" s="10"/>
    </row>
    <row r="4082" spans="2:2" x14ac:dyDescent="0.25">
      <c r="B4082" s="10"/>
    </row>
    <row r="4083" spans="2:2" x14ac:dyDescent="0.25">
      <c r="B4083" s="10"/>
    </row>
    <row r="4084" spans="2:2" x14ac:dyDescent="0.25">
      <c r="B4084" s="10"/>
    </row>
    <row r="4085" spans="2:2" x14ac:dyDescent="0.25">
      <c r="B4085" s="10"/>
    </row>
    <row r="4086" spans="2:2" x14ac:dyDescent="0.25">
      <c r="B4086" s="10"/>
    </row>
    <row r="4087" spans="2:2" x14ac:dyDescent="0.25">
      <c r="B4087" s="10"/>
    </row>
    <row r="4088" spans="2:2" x14ac:dyDescent="0.25">
      <c r="B4088" s="10"/>
    </row>
    <row r="4089" spans="2:2" x14ac:dyDescent="0.25">
      <c r="B4089" s="10"/>
    </row>
    <row r="4090" spans="2:2" x14ac:dyDescent="0.25">
      <c r="B4090" s="10"/>
    </row>
    <row r="4091" spans="2:2" x14ac:dyDescent="0.25">
      <c r="B4091" s="10"/>
    </row>
    <row r="4092" spans="2:2" x14ac:dyDescent="0.25">
      <c r="B4092" s="10"/>
    </row>
    <row r="4093" spans="2:2" x14ac:dyDescent="0.25">
      <c r="B4093" s="10"/>
    </row>
    <row r="4094" spans="2:2" x14ac:dyDescent="0.25">
      <c r="B4094" s="10"/>
    </row>
    <row r="4095" spans="2:2" x14ac:dyDescent="0.25">
      <c r="B4095" s="10"/>
    </row>
    <row r="4096" spans="2:2" x14ac:dyDescent="0.25">
      <c r="B4096" s="10"/>
    </row>
    <row r="4097" spans="2:2" x14ac:dyDescent="0.25">
      <c r="B4097" s="10"/>
    </row>
    <row r="4098" spans="2:2" x14ac:dyDescent="0.25">
      <c r="B4098" s="10"/>
    </row>
    <row r="4099" spans="2:2" x14ac:dyDescent="0.25">
      <c r="B4099" s="10"/>
    </row>
    <row r="4100" spans="2:2" x14ac:dyDescent="0.25">
      <c r="B4100" s="10"/>
    </row>
    <row r="4101" spans="2:2" x14ac:dyDescent="0.25">
      <c r="B4101" s="10"/>
    </row>
    <row r="4102" spans="2:2" x14ac:dyDescent="0.25">
      <c r="B4102" s="10"/>
    </row>
    <row r="4103" spans="2:2" x14ac:dyDescent="0.25">
      <c r="B4103" s="10"/>
    </row>
    <row r="4104" spans="2:2" x14ac:dyDescent="0.25">
      <c r="B4104" s="10"/>
    </row>
    <row r="4105" spans="2:2" x14ac:dyDescent="0.25">
      <c r="B4105" s="10"/>
    </row>
    <row r="4106" spans="2:2" x14ac:dyDescent="0.25">
      <c r="B4106" s="10"/>
    </row>
    <row r="4107" spans="2:2" x14ac:dyDescent="0.25">
      <c r="B4107" s="10"/>
    </row>
    <row r="4108" spans="2:2" x14ac:dyDescent="0.25">
      <c r="B4108" s="10"/>
    </row>
    <row r="4109" spans="2:2" x14ac:dyDescent="0.25">
      <c r="B4109" s="10"/>
    </row>
    <row r="4110" spans="2:2" x14ac:dyDescent="0.25">
      <c r="B4110" s="10"/>
    </row>
    <row r="4111" spans="2:2" x14ac:dyDescent="0.25">
      <c r="B4111" s="10"/>
    </row>
    <row r="4112" spans="2:2" x14ac:dyDescent="0.25">
      <c r="B4112" s="10"/>
    </row>
    <row r="4113" spans="2:2" x14ac:dyDescent="0.25">
      <c r="B4113" s="10"/>
    </row>
    <row r="4114" spans="2:2" x14ac:dyDescent="0.25">
      <c r="B4114" s="10"/>
    </row>
    <row r="4115" spans="2:2" x14ac:dyDescent="0.25">
      <c r="B4115" s="10"/>
    </row>
    <row r="4116" spans="2:2" x14ac:dyDescent="0.25">
      <c r="B4116" s="10"/>
    </row>
    <row r="4117" spans="2:2" x14ac:dyDescent="0.25">
      <c r="B4117" s="10"/>
    </row>
    <row r="4118" spans="2:2" x14ac:dyDescent="0.25">
      <c r="B4118" s="10"/>
    </row>
    <row r="4119" spans="2:2" x14ac:dyDescent="0.25">
      <c r="B4119" s="10"/>
    </row>
    <row r="4120" spans="2:2" x14ac:dyDescent="0.25">
      <c r="B4120" s="10"/>
    </row>
    <row r="4121" spans="2:2" x14ac:dyDescent="0.25">
      <c r="B4121" s="10"/>
    </row>
    <row r="4122" spans="2:2" x14ac:dyDescent="0.25">
      <c r="B4122" s="10"/>
    </row>
    <row r="4123" spans="2:2" x14ac:dyDescent="0.25">
      <c r="B4123" s="10"/>
    </row>
    <row r="4124" spans="2:2" x14ac:dyDescent="0.25">
      <c r="B4124" s="10"/>
    </row>
    <row r="4125" spans="2:2" x14ac:dyDescent="0.25">
      <c r="B4125" s="10"/>
    </row>
    <row r="4126" spans="2:2" x14ac:dyDescent="0.25">
      <c r="B4126" s="10"/>
    </row>
    <row r="4127" spans="2:2" x14ac:dyDescent="0.25">
      <c r="B4127" s="10"/>
    </row>
    <row r="4128" spans="2:2" x14ac:dyDescent="0.25">
      <c r="B4128" s="10"/>
    </row>
    <row r="4129" spans="2:2" x14ac:dyDescent="0.25">
      <c r="B4129" s="10"/>
    </row>
    <row r="4130" spans="2:2" x14ac:dyDescent="0.25">
      <c r="B4130" s="10"/>
    </row>
    <row r="4131" spans="2:2" x14ac:dyDescent="0.25">
      <c r="B4131" s="10"/>
    </row>
    <row r="4132" spans="2:2" x14ac:dyDescent="0.25">
      <c r="B4132" s="10"/>
    </row>
    <row r="4133" spans="2:2" x14ac:dyDescent="0.25">
      <c r="B4133" s="10"/>
    </row>
    <row r="4134" spans="2:2" x14ac:dyDescent="0.25">
      <c r="B4134" s="10"/>
    </row>
    <row r="4135" spans="2:2" x14ac:dyDescent="0.25">
      <c r="B4135" s="10"/>
    </row>
    <row r="4136" spans="2:2" x14ac:dyDescent="0.25">
      <c r="B4136" s="10"/>
    </row>
    <row r="4137" spans="2:2" x14ac:dyDescent="0.25">
      <c r="B4137" s="10"/>
    </row>
    <row r="4138" spans="2:2" x14ac:dyDescent="0.25">
      <c r="B4138" s="10"/>
    </row>
    <row r="4139" spans="2:2" x14ac:dyDescent="0.25">
      <c r="B4139" s="10"/>
    </row>
    <row r="4140" spans="2:2" x14ac:dyDescent="0.25">
      <c r="B4140" s="10"/>
    </row>
    <row r="4141" spans="2:2" x14ac:dyDescent="0.25">
      <c r="B4141" s="10"/>
    </row>
    <row r="4142" spans="2:2" x14ac:dyDescent="0.25">
      <c r="B4142" s="10"/>
    </row>
    <row r="4143" spans="2:2" x14ac:dyDescent="0.25">
      <c r="B4143" s="10"/>
    </row>
    <row r="4144" spans="2:2" x14ac:dyDescent="0.25">
      <c r="B4144" s="10"/>
    </row>
    <row r="4145" spans="2:2" x14ac:dyDescent="0.25">
      <c r="B4145" s="10"/>
    </row>
    <row r="4146" spans="2:2" x14ac:dyDescent="0.25">
      <c r="B4146" s="10"/>
    </row>
    <row r="4147" spans="2:2" x14ac:dyDescent="0.25">
      <c r="B4147" s="10"/>
    </row>
    <row r="4148" spans="2:2" x14ac:dyDescent="0.25">
      <c r="B4148" s="10"/>
    </row>
    <row r="4149" spans="2:2" x14ac:dyDescent="0.25">
      <c r="B4149" s="10"/>
    </row>
    <row r="4150" spans="2:2" x14ac:dyDescent="0.25">
      <c r="B4150" s="10"/>
    </row>
    <row r="4151" spans="2:2" x14ac:dyDescent="0.25">
      <c r="B4151" s="10"/>
    </row>
    <row r="4152" spans="2:2" x14ac:dyDescent="0.25">
      <c r="B4152" s="10"/>
    </row>
    <row r="4153" spans="2:2" x14ac:dyDescent="0.25">
      <c r="B4153" s="10"/>
    </row>
    <row r="4154" spans="2:2" x14ac:dyDescent="0.25">
      <c r="B4154" s="10"/>
    </row>
    <row r="4155" spans="2:2" x14ac:dyDescent="0.25">
      <c r="B4155" s="10"/>
    </row>
    <row r="4156" spans="2:2" x14ac:dyDescent="0.25">
      <c r="B4156" s="10"/>
    </row>
    <row r="4157" spans="2:2" x14ac:dyDescent="0.25">
      <c r="B4157" s="10"/>
    </row>
    <row r="4158" spans="2:2" x14ac:dyDescent="0.25">
      <c r="B4158" s="10"/>
    </row>
    <row r="4159" spans="2:2" x14ac:dyDescent="0.25">
      <c r="B4159" s="10"/>
    </row>
    <row r="4160" spans="2:2" x14ac:dyDescent="0.25">
      <c r="B4160" s="10"/>
    </row>
    <row r="4161" spans="2:2" x14ac:dyDescent="0.25">
      <c r="B4161" s="10"/>
    </row>
    <row r="4162" spans="2:2" x14ac:dyDescent="0.25">
      <c r="B4162" s="10"/>
    </row>
    <row r="4163" spans="2:2" x14ac:dyDescent="0.25">
      <c r="B4163" s="10"/>
    </row>
    <row r="4164" spans="2:2" x14ac:dyDescent="0.25">
      <c r="B4164" s="10"/>
    </row>
    <row r="4165" spans="2:2" x14ac:dyDescent="0.25">
      <c r="B4165" s="10"/>
    </row>
    <row r="4166" spans="2:2" x14ac:dyDescent="0.25">
      <c r="B4166" s="10"/>
    </row>
    <row r="4167" spans="2:2" x14ac:dyDescent="0.25">
      <c r="B4167" s="10"/>
    </row>
    <row r="4168" spans="2:2" x14ac:dyDescent="0.25">
      <c r="B4168" s="10"/>
    </row>
    <row r="4169" spans="2:2" x14ac:dyDescent="0.25">
      <c r="B4169" s="10"/>
    </row>
    <row r="4170" spans="2:2" x14ac:dyDescent="0.25">
      <c r="B4170" s="10"/>
    </row>
    <row r="4171" spans="2:2" x14ac:dyDescent="0.25">
      <c r="B4171" s="10"/>
    </row>
    <row r="4172" spans="2:2" x14ac:dyDescent="0.25">
      <c r="B4172" s="10"/>
    </row>
    <row r="4173" spans="2:2" x14ac:dyDescent="0.25">
      <c r="B4173" s="10"/>
    </row>
    <row r="4174" spans="2:2" x14ac:dyDescent="0.25">
      <c r="B4174" s="10"/>
    </row>
    <row r="4175" spans="2:2" x14ac:dyDescent="0.25">
      <c r="B4175" s="10"/>
    </row>
    <row r="4176" spans="2:2" x14ac:dyDescent="0.25">
      <c r="B4176" s="10"/>
    </row>
    <row r="4177" spans="2:2" x14ac:dyDescent="0.25">
      <c r="B4177" s="10"/>
    </row>
    <row r="4178" spans="2:2" x14ac:dyDescent="0.25">
      <c r="B4178" s="10"/>
    </row>
    <row r="4179" spans="2:2" x14ac:dyDescent="0.25">
      <c r="B4179" s="10"/>
    </row>
    <row r="4180" spans="2:2" x14ac:dyDescent="0.25">
      <c r="B4180" s="10"/>
    </row>
    <row r="4181" spans="2:2" x14ac:dyDescent="0.25">
      <c r="B4181" s="10"/>
    </row>
    <row r="4182" spans="2:2" x14ac:dyDescent="0.25">
      <c r="B4182" s="10"/>
    </row>
    <row r="4183" spans="2:2" x14ac:dyDescent="0.25">
      <c r="B4183" s="10"/>
    </row>
    <row r="4184" spans="2:2" x14ac:dyDescent="0.25">
      <c r="B4184" s="10"/>
    </row>
    <row r="4185" spans="2:2" x14ac:dyDescent="0.25">
      <c r="B4185" s="10"/>
    </row>
    <row r="4186" spans="2:2" x14ac:dyDescent="0.25">
      <c r="B4186" s="10"/>
    </row>
    <row r="4187" spans="2:2" x14ac:dyDescent="0.25">
      <c r="B4187" s="10"/>
    </row>
    <row r="4188" spans="2:2" x14ac:dyDescent="0.25">
      <c r="B4188" s="10"/>
    </row>
    <row r="4189" spans="2:2" x14ac:dyDescent="0.25">
      <c r="B4189" s="10"/>
    </row>
    <row r="4190" spans="2:2" x14ac:dyDescent="0.25">
      <c r="B4190" s="10"/>
    </row>
    <row r="4191" spans="2:2" x14ac:dyDescent="0.25">
      <c r="B4191" s="10"/>
    </row>
    <row r="4192" spans="2:2" x14ac:dyDescent="0.25">
      <c r="B4192" s="10"/>
    </row>
    <row r="4193" spans="2:2" x14ac:dyDescent="0.25">
      <c r="B4193" s="10"/>
    </row>
    <row r="4194" spans="2:2" x14ac:dyDescent="0.25">
      <c r="B4194" s="10"/>
    </row>
    <row r="4195" spans="2:2" x14ac:dyDescent="0.25">
      <c r="B4195" s="10"/>
    </row>
    <row r="4196" spans="2:2" x14ac:dyDescent="0.25">
      <c r="B4196" s="10"/>
    </row>
    <row r="4197" spans="2:2" x14ac:dyDescent="0.25">
      <c r="B4197" s="10"/>
    </row>
    <row r="4198" spans="2:2" x14ac:dyDescent="0.25">
      <c r="B4198" s="10"/>
    </row>
    <row r="4199" spans="2:2" x14ac:dyDescent="0.25">
      <c r="B4199" s="10"/>
    </row>
    <row r="4200" spans="2:2" x14ac:dyDescent="0.25">
      <c r="B4200" s="10"/>
    </row>
    <row r="4201" spans="2:2" x14ac:dyDescent="0.25">
      <c r="B4201" s="10"/>
    </row>
    <row r="4202" spans="2:2" x14ac:dyDescent="0.25">
      <c r="B4202" s="10"/>
    </row>
    <row r="4203" spans="2:2" x14ac:dyDescent="0.25">
      <c r="B4203" s="10"/>
    </row>
    <row r="4204" spans="2:2" x14ac:dyDescent="0.25">
      <c r="B4204" s="10"/>
    </row>
    <row r="4205" spans="2:2" x14ac:dyDescent="0.25">
      <c r="B4205" s="10"/>
    </row>
    <row r="4206" spans="2:2" x14ac:dyDescent="0.25">
      <c r="B4206" s="10"/>
    </row>
    <row r="4207" spans="2:2" x14ac:dyDescent="0.25">
      <c r="B4207" s="10"/>
    </row>
    <row r="4208" spans="2:2" x14ac:dyDescent="0.25">
      <c r="B4208" s="10"/>
    </row>
    <row r="4209" spans="2:2" x14ac:dyDescent="0.25">
      <c r="B4209" s="10"/>
    </row>
    <row r="4210" spans="2:2" x14ac:dyDescent="0.25">
      <c r="B4210" s="10"/>
    </row>
    <row r="4211" spans="2:2" x14ac:dyDescent="0.25">
      <c r="B4211" s="10"/>
    </row>
    <row r="4212" spans="2:2" x14ac:dyDescent="0.25">
      <c r="B4212" s="10"/>
    </row>
    <row r="4213" spans="2:2" x14ac:dyDescent="0.25">
      <c r="B4213" s="10"/>
    </row>
    <row r="4214" spans="2:2" x14ac:dyDescent="0.25">
      <c r="B4214" s="10"/>
    </row>
    <row r="4215" spans="2:2" x14ac:dyDescent="0.25">
      <c r="B4215" s="10"/>
    </row>
    <row r="4216" spans="2:2" x14ac:dyDescent="0.25">
      <c r="B4216" s="10"/>
    </row>
    <row r="4217" spans="2:2" x14ac:dyDescent="0.25">
      <c r="B4217" s="10"/>
    </row>
    <row r="4218" spans="2:2" x14ac:dyDescent="0.25">
      <c r="B4218" s="10"/>
    </row>
    <row r="4219" spans="2:2" x14ac:dyDescent="0.25">
      <c r="B4219" s="10"/>
    </row>
    <row r="4220" spans="2:2" x14ac:dyDescent="0.25">
      <c r="B4220" s="10"/>
    </row>
    <row r="4221" spans="2:2" x14ac:dyDescent="0.25">
      <c r="B4221" s="10"/>
    </row>
    <row r="4222" spans="2:2" x14ac:dyDescent="0.25">
      <c r="B4222" s="10"/>
    </row>
    <row r="4223" spans="2:2" x14ac:dyDescent="0.25">
      <c r="B4223" s="10"/>
    </row>
    <row r="4224" spans="2:2" x14ac:dyDescent="0.25">
      <c r="B4224" s="10"/>
    </row>
    <row r="4225" spans="2:2" x14ac:dyDescent="0.25">
      <c r="B4225" s="10"/>
    </row>
    <row r="4226" spans="2:2" x14ac:dyDescent="0.25">
      <c r="B4226" s="10"/>
    </row>
    <row r="4227" spans="2:2" x14ac:dyDescent="0.25">
      <c r="B4227" s="10"/>
    </row>
    <row r="4228" spans="2:2" x14ac:dyDescent="0.25">
      <c r="B4228" s="10"/>
    </row>
    <row r="4229" spans="2:2" x14ac:dyDescent="0.25">
      <c r="B4229" s="10"/>
    </row>
    <row r="4230" spans="2:2" x14ac:dyDescent="0.25">
      <c r="B4230" s="10"/>
    </row>
    <row r="4231" spans="2:2" x14ac:dyDescent="0.25">
      <c r="B4231" s="10"/>
    </row>
    <row r="4232" spans="2:2" x14ac:dyDescent="0.25">
      <c r="B4232" s="10"/>
    </row>
    <row r="4233" spans="2:2" x14ac:dyDescent="0.25">
      <c r="B4233" s="10"/>
    </row>
    <row r="4234" spans="2:2" x14ac:dyDescent="0.25">
      <c r="B4234" s="10"/>
    </row>
    <row r="4235" spans="2:2" x14ac:dyDescent="0.25">
      <c r="B4235" s="10"/>
    </row>
    <row r="4236" spans="2:2" x14ac:dyDescent="0.25">
      <c r="B4236" s="10"/>
    </row>
    <row r="4237" spans="2:2" x14ac:dyDescent="0.25">
      <c r="B4237" s="10"/>
    </row>
    <row r="4238" spans="2:2" x14ac:dyDescent="0.25">
      <c r="B4238" s="10"/>
    </row>
    <row r="4239" spans="2:2" x14ac:dyDescent="0.25">
      <c r="B4239" s="10"/>
    </row>
    <row r="4240" spans="2:2" x14ac:dyDescent="0.25">
      <c r="B4240" s="10"/>
    </row>
    <row r="4241" spans="2:2" x14ac:dyDescent="0.25">
      <c r="B4241" s="10"/>
    </row>
    <row r="4242" spans="2:2" x14ac:dyDescent="0.25">
      <c r="B4242" s="10"/>
    </row>
    <row r="4243" spans="2:2" x14ac:dyDescent="0.25">
      <c r="B4243" s="10"/>
    </row>
    <row r="4244" spans="2:2" x14ac:dyDescent="0.25">
      <c r="B4244" s="10"/>
    </row>
    <row r="4245" spans="2:2" x14ac:dyDescent="0.25">
      <c r="B4245" s="10"/>
    </row>
    <row r="4246" spans="2:2" x14ac:dyDescent="0.25">
      <c r="B4246" s="10"/>
    </row>
    <row r="4247" spans="2:2" x14ac:dyDescent="0.25">
      <c r="B4247" s="10"/>
    </row>
    <row r="4248" spans="2:2" x14ac:dyDescent="0.25">
      <c r="B4248" s="10"/>
    </row>
    <row r="4249" spans="2:2" x14ac:dyDescent="0.25">
      <c r="B4249" s="10"/>
    </row>
    <row r="4250" spans="2:2" x14ac:dyDescent="0.25">
      <c r="B4250" s="10"/>
    </row>
    <row r="4251" spans="2:2" x14ac:dyDescent="0.25">
      <c r="B4251" s="10"/>
    </row>
    <row r="4252" spans="2:2" x14ac:dyDescent="0.25">
      <c r="B4252" s="10"/>
    </row>
    <row r="4253" spans="2:2" x14ac:dyDescent="0.25">
      <c r="B4253" s="10"/>
    </row>
    <row r="4254" spans="2:2" x14ac:dyDescent="0.25">
      <c r="B4254" s="10"/>
    </row>
    <row r="4255" spans="2:2" x14ac:dyDescent="0.25">
      <c r="B4255" s="10"/>
    </row>
    <row r="4256" spans="2:2" x14ac:dyDescent="0.25">
      <c r="B4256" s="10"/>
    </row>
    <row r="4257" spans="2:2" x14ac:dyDescent="0.25">
      <c r="B4257" s="10"/>
    </row>
    <row r="4258" spans="2:2" x14ac:dyDescent="0.25">
      <c r="B4258" s="10"/>
    </row>
    <row r="4259" spans="2:2" x14ac:dyDescent="0.25">
      <c r="B4259" s="10"/>
    </row>
    <row r="4260" spans="2:2" x14ac:dyDescent="0.25">
      <c r="B4260" s="10"/>
    </row>
    <row r="4261" spans="2:2" x14ac:dyDescent="0.25">
      <c r="B4261" s="10"/>
    </row>
    <row r="4262" spans="2:2" x14ac:dyDescent="0.25">
      <c r="B4262" s="10"/>
    </row>
    <row r="4263" spans="2:2" x14ac:dyDescent="0.25">
      <c r="B4263" s="10"/>
    </row>
    <row r="4264" spans="2:2" x14ac:dyDescent="0.25">
      <c r="B4264" s="10"/>
    </row>
    <row r="4265" spans="2:2" x14ac:dyDescent="0.25">
      <c r="B4265" s="10"/>
    </row>
    <row r="4266" spans="2:2" x14ac:dyDescent="0.25">
      <c r="B4266" s="10"/>
    </row>
    <row r="4267" spans="2:2" x14ac:dyDescent="0.25">
      <c r="B4267" s="10"/>
    </row>
    <row r="4268" spans="2:2" x14ac:dyDescent="0.25">
      <c r="B4268" s="10"/>
    </row>
    <row r="4269" spans="2:2" x14ac:dyDescent="0.25">
      <c r="B4269" s="10"/>
    </row>
    <row r="4270" spans="2:2" x14ac:dyDescent="0.25">
      <c r="B4270" s="10"/>
    </row>
    <row r="4271" spans="2:2" x14ac:dyDescent="0.25">
      <c r="B4271" s="10"/>
    </row>
    <row r="4272" spans="2:2" x14ac:dyDescent="0.25">
      <c r="B4272" s="10"/>
    </row>
    <row r="4273" spans="2:2" x14ac:dyDescent="0.25">
      <c r="B4273" s="10"/>
    </row>
    <row r="4274" spans="2:2" x14ac:dyDescent="0.25">
      <c r="B4274" s="10"/>
    </row>
    <row r="4275" spans="2:2" x14ac:dyDescent="0.25">
      <c r="B4275" s="10"/>
    </row>
    <row r="4276" spans="2:2" x14ac:dyDescent="0.25">
      <c r="B4276" s="10"/>
    </row>
    <row r="4277" spans="2:2" x14ac:dyDescent="0.25">
      <c r="B4277" s="10"/>
    </row>
    <row r="4278" spans="2:2" x14ac:dyDescent="0.25">
      <c r="B4278" s="10"/>
    </row>
    <row r="4279" spans="2:2" x14ac:dyDescent="0.25">
      <c r="B4279" s="10"/>
    </row>
    <row r="4280" spans="2:2" x14ac:dyDescent="0.25">
      <c r="B4280" s="10"/>
    </row>
    <row r="4281" spans="2:2" x14ac:dyDescent="0.25">
      <c r="B4281" s="10"/>
    </row>
    <row r="4282" spans="2:2" x14ac:dyDescent="0.25">
      <c r="B4282" s="10"/>
    </row>
    <row r="4283" spans="2:2" x14ac:dyDescent="0.25">
      <c r="B4283" s="10"/>
    </row>
    <row r="4284" spans="2:2" x14ac:dyDescent="0.25">
      <c r="B4284" s="10"/>
    </row>
    <row r="4285" spans="2:2" x14ac:dyDescent="0.25">
      <c r="B4285" s="10"/>
    </row>
    <row r="4286" spans="2:2" x14ac:dyDescent="0.25">
      <c r="B4286" s="10"/>
    </row>
    <row r="4287" spans="2:2" x14ac:dyDescent="0.25">
      <c r="B4287" s="10"/>
    </row>
    <row r="4288" spans="2:2" x14ac:dyDescent="0.25">
      <c r="B4288" s="10"/>
    </row>
    <row r="4289" spans="2:2" x14ac:dyDescent="0.25">
      <c r="B4289" s="10"/>
    </row>
    <row r="4290" spans="2:2" x14ac:dyDescent="0.25">
      <c r="B4290" s="10"/>
    </row>
    <row r="4291" spans="2:2" x14ac:dyDescent="0.25">
      <c r="B4291" s="10"/>
    </row>
    <row r="4292" spans="2:2" x14ac:dyDescent="0.25">
      <c r="B4292" s="10"/>
    </row>
    <row r="4293" spans="2:2" x14ac:dyDescent="0.25">
      <c r="B4293" s="10"/>
    </row>
    <row r="4294" spans="2:2" x14ac:dyDescent="0.25">
      <c r="B4294" s="10"/>
    </row>
    <row r="4295" spans="2:2" x14ac:dyDescent="0.25">
      <c r="B4295" s="10"/>
    </row>
    <row r="4296" spans="2:2" x14ac:dyDescent="0.25">
      <c r="B4296" s="10"/>
    </row>
    <row r="4297" spans="2:2" x14ac:dyDescent="0.25">
      <c r="B4297" s="10"/>
    </row>
    <row r="4298" spans="2:2" x14ac:dyDescent="0.25">
      <c r="B4298" s="10"/>
    </row>
    <row r="4299" spans="2:2" x14ac:dyDescent="0.25">
      <c r="B4299" s="10"/>
    </row>
    <row r="4300" spans="2:2" x14ac:dyDescent="0.25">
      <c r="B4300" s="10"/>
    </row>
    <row r="4301" spans="2:2" x14ac:dyDescent="0.25">
      <c r="B4301" s="10"/>
    </row>
    <row r="4302" spans="2:2" x14ac:dyDescent="0.25">
      <c r="B4302" s="10"/>
    </row>
    <row r="4303" spans="2:2" x14ac:dyDescent="0.25">
      <c r="B4303" s="10"/>
    </row>
    <row r="4304" spans="2:2" x14ac:dyDescent="0.25">
      <c r="B4304" s="10"/>
    </row>
    <row r="4305" spans="2:2" x14ac:dyDescent="0.25">
      <c r="B4305" s="10"/>
    </row>
    <row r="4306" spans="2:2" x14ac:dyDescent="0.25">
      <c r="B4306" s="10"/>
    </row>
    <row r="4307" spans="2:2" x14ac:dyDescent="0.25">
      <c r="B4307" s="10"/>
    </row>
    <row r="4308" spans="2:2" x14ac:dyDescent="0.25">
      <c r="B4308" s="10"/>
    </row>
    <row r="4309" spans="2:2" x14ac:dyDescent="0.25">
      <c r="B4309" s="10"/>
    </row>
    <row r="4310" spans="2:2" x14ac:dyDescent="0.25">
      <c r="B4310" s="10"/>
    </row>
    <row r="4311" spans="2:2" x14ac:dyDescent="0.25">
      <c r="B4311" s="10"/>
    </row>
    <row r="4312" spans="2:2" x14ac:dyDescent="0.25">
      <c r="B4312" s="10"/>
    </row>
    <row r="4313" spans="2:2" x14ac:dyDescent="0.25">
      <c r="B4313" s="10"/>
    </row>
    <row r="4314" spans="2:2" x14ac:dyDescent="0.25">
      <c r="B4314" s="10"/>
    </row>
    <row r="4315" spans="2:2" x14ac:dyDescent="0.25">
      <c r="B4315" s="10"/>
    </row>
    <row r="4316" spans="2:2" x14ac:dyDescent="0.25">
      <c r="B4316" s="10"/>
    </row>
    <row r="4317" spans="2:2" x14ac:dyDescent="0.25">
      <c r="B4317" s="10"/>
    </row>
    <row r="4318" spans="2:2" x14ac:dyDescent="0.25">
      <c r="B4318" s="10"/>
    </row>
    <row r="4319" spans="2:2" x14ac:dyDescent="0.25">
      <c r="B4319" s="10"/>
    </row>
    <row r="4320" spans="2:2" x14ac:dyDescent="0.25">
      <c r="B4320" s="10"/>
    </row>
    <row r="4321" spans="2:2" x14ac:dyDescent="0.25">
      <c r="B4321" s="10"/>
    </row>
    <row r="4322" spans="2:2" x14ac:dyDescent="0.25">
      <c r="B4322" s="10"/>
    </row>
    <row r="4323" spans="2:2" x14ac:dyDescent="0.25">
      <c r="B4323" s="10"/>
    </row>
    <row r="4324" spans="2:2" x14ac:dyDescent="0.25">
      <c r="B4324" s="10"/>
    </row>
    <row r="4325" spans="2:2" x14ac:dyDescent="0.25">
      <c r="B4325" s="10"/>
    </row>
    <row r="4326" spans="2:2" x14ac:dyDescent="0.25">
      <c r="B4326" s="10"/>
    </row>
    <row r="4327" spans="2:2" x14ac:dyDescent="0.25">
      <c r="B4327" s="10"/>
    </row>
    <row r="4328" spans="2:2" x14ac:dyDescent="0.25">
      <c r="B4328" s="10"/>
    </row>
    <row r="4329" spans="2:2" x14ac:dyDescent="0.25">
      <c r="B4329" s="10"/>
    </row>
    <row r="4330" spans="2:2" x14ac:dyDescent="0.25">
      <c r="B4330" s="10"/>
    </row>
    <row r="4331" spans="2:2" x14ac:dyDescent="0.25">
      <c r="B4331" s="10"/>
    </row>
    <row r="4332" spans="2:2" x14ac:dyDescent="0.25">
      <c r="B4332" s="10"/>
    </row>
    <row r="4333" spans="2:2" x14ac:dyDescent="0.25">
      <c r="B4333" s="10"/>
    </row>
    <row r="4334" spans="2:2" x14ac:dyDescent="0.25">
      <c r="B4334" s="10"/>
    </row>
    <row r="4335" spans="2:2" x14ac:dyDescent="0.25">
      <c r="B4335" s="10"/>
    </row>
    <row r="4336" spans="2:2" x14ac:dyDescent="0.25">
      <c r="B4336" s="10"/>
    </row>
    <row r="4337" spans="2:2" x14ac:dyDescent="0.25">
      <c r="B4337" s="10"/>
    </row>
    <row r="4338" spans="2:2" x14ac:dyDescent="0.25">
      <c r="B4338" s="10"/>
    </row>
    <row r="4339" spans="2:2" x14ac:dyDescent="0.25">
      <c r="B4339" s="10"/>
    </row>
    <row r="4340" spans="2:2" x14ac:dyDescent="0.25">
      <c r="B4340" s="10"/>
    </row>
    <row r="4341" spans="2:2" x14ac:dyDescent="0.25">
      <c r="B4341" s="10"/>
    </row>
    <row r="4342" spans="2:2" x14ac:dyDescent="0.25">
      <c r="B4342" s="10"/>
    </row>
    <row r="4343" spans="2:2" x14ac:dyDescent="0.25">
      <c r="B4343" s="10"/>
    </row>
    <row r="4344" spans="2:2" x14ac:dyDescent="0.25">
      <c r="B4344" s="10"/>
    </row>
    <row r="4345" spans="2:2" x14ac:dyDescent="0.25">
      <c r="B4345" s="10"/>
    </row>
    <row r="4346" spans="2:2" x14ac:dyDescent="0.25">
      <c r="B4346" s="10"/>
    </row>
    <row r="4347" spans="2:2" x14ac:dyDescent="0.25">
      <c r="B4347" s="10"/>
    </row>
    <row r="4348" spans="2:2" x14ac:dyDescent="0.25">
      <c r="B4348" s="10"/>
    </row>
    <row r="4349" spans="2:2" x14ac:dyDescent="0.25">
      <c r="B4349" s="10"/>
    </row>
    <row r="4350" spans="2:2" x14ac:dyDescent="0.25">
      <c r="B4350" s="10"/>
    </row>
    <row r="4351" spans="2:2" x14ac:dyDescent="0.25">
      <c r="B4351" s="10"/>
    </row>
    <row r="4352" spans="2:2" x14ac:dyDescent="0.25">
      <c r="B4352" s="10"/>
    </row>
    <row r="4353" spans="2:2" x14ac:dyDescent="0.25">
      <c r="B4353" s="10"/>
    </row>
    <row r="4354" spans="2:2" x14ac:dyDescent="0.25">
      <c r="B4354" s="10"/>
    </row>
    <row r="4355" spans="2:2" x14ac:dyDescent="0.25">
      <c r="B4355" s="10"/>
    </row>
    <row r="4356" spans="2:2" x14ac:dyDescent="0.25">
      <c r="B4356" s="10"/>
    </row>
    <row r="4357" spans="2:2" x14ac:dyDescent="0.25">
      <c r="B4357" s="10"/>
    </row>
    <row r="4358" spans="2:2" x14ac:dyDescent="0.25">
      <c r="B4358" s="10"/>
    </row>
    <row r="4359" spans="2:2" x14ac:dyDescent="0.25">
      <c r="B4359" s="10"/>
    </row>
    <row r="4360" spans="2:2" x14ac:dyDescent="0.25">
      <c r="B4360" s="10"/>
    </row>
    <row r="4361" spans="2:2" x14ac:dyDescent="0.25">
      <c r="B4361" s="10"/>
    </row>
    <row r="4362" spans="2:2" x14ac:dyDescent="0.25">
      <c r="B4362" s="10"/>
    </row>
    <row r="4363" spans="2:2" x14ac:dyDescent="0.25">
      <c r="B4363" s="10"/>
    </row>
    <row r="4364" spans="2:2" x14ac:dyDescent="0.25">
      <c r="B4364" s="10"/>
    </row>
    <row r="4365" spans="2:2" x14ac:dyDescent="0.25">
      <c r="B4365" s="10"/>
    </row>
    <row r="4366" spans="2:2" x14ac:dyDescent="0.25">
      <c r="B4366" s="10"/>
    </row>
    <row r="4367" spans="2:2" x14ac:dyDescent="0.25">
      <c r="B4367" s="10"/>
    </row>
    <row r="4368" spans="2:2" x14ac:dyDescent="0.25">
      <c r="B4368" s="10"/>
    </row>
    <row r="4369" spans="2:2" x14ac:dyDescent="0.25">
      <c r="B4369" s="10"/>
    </row>
    <row r="4370" spans="2:2" x14ac:dyDescent="0.25">
      <c r="B4370" s="10"/>
    </row>
    <row r="4371" spans="2:2" x14ac:dyDescent="0.25">
      <c r="B4371" s="10"/>
    </row>
    <row r="4372" spans="2:2" x14ac:dyDescent="0.25">
      <c r="B4372" s="10"/>
    </row>
    <row r="4373" spans="2:2" x14ac:dyDescent="0.25">
      <c r="B4373" s="10"/>
    </row>
    <row r="4374" spans="2:2" x14ac:dyDescent="0.25">
      <c r="B4374" s="10"/>
    </row>
    <row r="4375" spans="2:2" x14ac:dyDescent="0.25">
      <c r="B4375" s="10"/>
    </row>
    <row r="4376" spans="2:2" x14ac:dyDescent="0.25">
      <c r="B4376" s="10"/>
    </row>
    <row r="4377" spans="2:2" x14ac:dyDescent="0.25">
      <c r="B4377" s="10"/>
    </row>
    <row r="4378" spans="2:2" x14ac:dyDescent="0.25">
      <c r="B4378" s="10"/>
    </row>
    <row r="4379" spans="2:2" x14ac:dyDescent="0.25">
      <c r="B4379" s="10"/>
    </row>
    <row r="4380" spans="2:2" x14ac:dyDescent="0.25">
      <c r="B4380" s="10"/>
    </row>
    <row r="4381" spans="2:2" x14ac:dyDescent="0.25">
      <c r="B4381" s="10"/>
    </row>
    <row r="4382" spans="2:2" x14ac:dyDescent="0.25">
      <c r="B4382" s="10"/>
    </row>
    <row r="4383" spans="2:2" x14ac:dyDescent="0.25">
      <c r="B4383" s="10"/>
    </row>
    <row r="4384" spans="2:2" x14ac:dyDescent="0.25">
      <c r="B4384" s="10"/>
    </row>
    <row r="4385" spans="2:2" x14ac:dyDescent="0.25">
      <c r="B4385" s="10"/>
    </row>
    <row r="4386" spans="2:2" x14ac:dyDescent="0.25">
      <c r="B4386" s="10"/>
    </row>
    <row r="4387" spans="2:2" x14ac:dyDescent="0.25">
      <c r="B4387" s="10"/>
    </row>
    <row r="4388" spans="2:2" x14ac:dyDescent="0.25">
      <c r="B4388" s="10"/>
    </row>
    <row r="4389" spans="2:2" x14ac:dyDescent="0.25">
      <c r="B4389" s="10"/>
    </row>
    <row r="4390" spans="2:2" x14ac:dyDescent="0.25">
      <c r="B4390" s="10"/>
    </row>
    <row r="4391" spans="2:2" x14ac:dyDescent="0.25">
      <c r="B4391" s="10"/>
    </row>
    <row r="4392" spans="2:2" x14ac:dyDescent="0.25">
      <c r="B4392" s="10"/>
    </row>
    <row r="4393" spans="2:2" x14ac:dyDescent="0.25">
      <c r="B4393" s="10"/>
    </row>
    <row r="4394" spans="2:2" x14ac:dyDescent="0.25">
      <c r="B4394" s="10"/>
    </row>
    <row r="4395" spans="2:2" x14ac:dyDescent="0.25">
      <c r="B4395" s="10"/>
    </row>
    <row r="4396" spans="2:2" x14ac:dyDescent="0.25">
      <c r="B4396" s="10"/>
    </row>
    <row r="4397" spans="2:2" x14ac:dyDescent="0.25">
      <c r="B4397" s="10"/>
    </row>
    <row r="4398" spans="2:2" x14ac:dyDescent="0.25">
      <c r="B4398" s="10"/>
    </row>
    <row r="4399" spans="2:2" x14ac:dyDescent="0.25">
      <c r="B4399" s="10"/>
    </row>
    <row r="4400" spans="2:2" x14ac:dyDescent="0.25">
      <c r="B4400" s="10"/>
    </row>
    <row r="4401" spans="2:2" x14ac:dyDescent="0.25">
      <c r="B4401" s="10"/>
    </row>
    <row r="4402" spans="2:2" x14ac:dyDescent="0.25">
      <c r="B4402" s="10"/>
    </row>
    <row r="4403" spans="2:2" x14ac:dyDescent="0.25">
      <c r="B4403" s="10"/>
    </row>
    <row r="4404" spans="2:2" x14ac:dyDescent="0.25">
      <c r="B4404" s="10"/>
    </row>
    <row r="4405" spans="2:2" x14ac:dyDescent="0.25">
      <c r="B4405" s="10"/>
    </row>
    <row r="4406" spans="2:2" x14ac:dyDescent="0.25">
      <c r="B4406" s="10"/>
    </row>
    <row r="4407" spans="2:2" x14ac:dyDescent="0.25">
      <c r="B4407" s="10"/>
    </row>
    <row r="4408" spans="2:2" x14ac:dyDescent="0.25">
      <c r="B4408" s="10"/>
    </row>
    <row r="4409" spans="2:2" x14ac:dyDescent="0.25">
      <c r="B4409" s="10"/>
    </row>
    <row r="4410" spans="2:2" x14ac:dyDescent="0.25">
      <c r="B4410" s="10"/>
    </row>
    <row r="4411" spans="2:2" x14ac:dyDescent="0.25">
      <c r="B4411" s="10"/>
    </row>
    <row r="4412" spans="2:2" x14ac:dyDescent="0.25">
      <c r="B4412" s="10"/>
    </row>
    <row r="4413" spans="2:2" x14ac:dyDescent="0.25">
      <c r="B4413" s="10"/>
    </row>
    <row r="4414" spans="2:2" x14ac:dyDescent="0.25">
      <c r="B4414" s="10"/>
    </row>
    <row r="4415" spans="2:2" x14ac:dyDescent="0.25">
      <c r="B4415" s="10"/>
    </row>
    <row r="4416" spans="2:2" x14ac:dyDescent="0.25">
      <c r="B4416" s="10"/>
    </row>
    <row r="4417" spans="2:2" x14ac:dyDescent="0.25">
      <c r="B4417" s="10"/>
    </row>
    <row r="4418" spans="2:2" x14ac:dyDescent="0.25">
      <c r="B4418" s="10"/>
    </row>
    <row r="4419" spans="2:2" x14ac:dyDescent="0.25">
      <c r="B4419" s="10"/>
    </row>
    <row r="4420" spans="2:2" x14ac:dyDescent="0.25">
      <c r="B4420" s="10"/>
    </row>
    <row r="4421" spans="2:2" x14ac:dyDescent="0.25">
      <c r="B4421" s="10"/>
    </row>
    <row r="4422" spans="2:2" x14ac:dyDescent="0.25">
      <c r="B4422" s="10"/>
    </row>
    <row r="4423" spans="2:2" x14ac:dyDescent="0.25">
      <c r="B4423" s="10"/>
    </row>
    <row r="4424" spans="2:2" x14ac:dyDescent="0.25">
      <c r="B4424" s="10"/>
    </row>
    <row r="4425" spans="2:2" x14ac:dyDescent="0.25">
      <c r="B4425" s="10"/>
    </row>
    <row r="4426" spans="2:2" x14ac:dyDescent="0.25">
      <c r="B4426" s="10"/>
    </row>
    <row r="4427" spans="2:2" x14ac:dyDescent="0.25">
      <c r="B4427" s="10"/>
    </row>
    <row r="4428" spans="2:2" x14ac:dyDescent="0.25">
      <c r="B4428" s="10"/>
    </row>
    <row r="4429" spans="2:2" x14ac:dyDescent="0.25">
      <c r="B4429" s="10"/>
    </row>
    <row r="4430" spans="2:2" x14ac:dyDescent="0.25">
      <c r="B4430" s="10"/>
    </row>
    <row r="4431" spans="2:2" x14ac:dyDescent="0.25">
      <c r="B4431" s="10"/>
    </row>
    <row r="4432" spans="2:2" x14ac:dyDescent="0.25">
      <c r="B4432" s="10"/>
    </row>
    <row r="4433" spans="2:2" x14ac:dyDescent="0.25">
      <c r="B4433" s="10"/>
    </row>
    <row r="4434" spans="2:2" x14ac:dyDescent="0.25">
      <c r="B4434" s="10"/>
    </row>
    <row r="4435" spans="2:2" x14ac:dyDescent="0.25">
      <c r="B4435" s="10"/>
    </row>
    <row r="4436" spans="2:2" x14ac:dyDescent="0.25">
      <c r="B4436" s="10"/>
    </row>
    <row r="4437" spans="2:2" x14ac:dyDescent="0.25">
      <c r="B4437" s="10"/>
    </row>
    <row r="4438" spans="2:2" x14ac:dyDescent="0.25">
      <c r="B4438" s="10"/>
    </row>
    <row r="4439" spans="2:2" x14ac:dyDescent="0.25">
      <c r="B4439" s="10"/>
    </row>
    <row r="4440" spans="2:2" x14ac:dyDescent="0.25">
      <c r="B4440" s="10"/>
    </row>
    <row r="4441" spans="2:2" x14ac:dyDescent="0.25">
      <c r="B4441" s="10"/>
    </row>
    <row r="4442" spans="2:2" x14ac:dyDescent="0.25">
      <c r="B4442" s="10"/>
    </row>
    <row r="4443" spans="2:2" x14ac:dyDescent="0.25">
      <c r="B4443" s="10"/>
    </row>
    <row r="4444" spans="2:2" x14ac:dyDescent="0.25">
      <c r="B4444" s="10"/>
    </row>
    <row r="4445" spans="2:2" x14ac:dyDescent="0.25">
      <c r="B4445" s="10"/>
    </row>
    <row r="4446" spans="2:2" x14ac:dyDescent="0.25">
      <c r="B4446" s="10"/>
    </row>
    <row r="4447" spans="2:2" x14ac:dyDescent="0.25">
      <c r="B4447" s="10"/>
    </row>
    <row r="4448" spans="2:2" x14ac:dyDescent="0.25">
      <c r="B4448" s="10"/>
    </row>
    <row r="4449" spans="2:2" x14ac:dyDescent="0.25">
      <c r="B4449" s="10"/>
    </row>
    <row r="4450" spans="2:2" x14ac:dyDescent="0.25">
      <c r="B4450" s="10"/>
    </row>
    <row r="4451" spans="2:2" x14ac:dyDescent="0.25">
      <c r="B4451" s="10"/>
    </row>
    <row r="4452" spans="2:2" x14ac:dyDescent="0.25">
      <c r="B4452" s="10"/>
    </row>
    <row r="4453" spans="2:2" x14ac:dyDescent="0.25">
      <c r="B4453" s="10"/>
    </row>
    <row r="4454" spans="2:2" x14ac:dyDescent="0.25">
      <c r="B4454" s="10"/>
    </row>
    <row r="4455" spans="2:2" x14ac:dyDescent="0.25">
      <c r="B4455" s="10"/>
    </row>
    <row r="4456" spans="2:2" x14ac:dyDescent="0.25">
      <c r="B4456" s="10"/>
    </row>
    <row r="4457" spans="2:2" x14ac:dyDescent="0.25">
      <c r="B4457" s="10"/>
    </row>
    <row r="4458" spans="2:2" x14ac:dyDescent="0.25">
      <c r="B4458" s="10"/>
    </row>
    <row r="4459" spans="2:2" x14ac:dyDescent="0.25">
      <c r="B4459" s="10"/>
    </row>
    <row r="4460" spans="2:2" x14ac:dyDescent="0.25">
      <c r="B4460" s="10"/>
    </row>
    <row r="4461" spans="2:2" x14ac:dyDescent="0.25">
      <c r="B4461" s="10"/>
    </row>
    <row r="4462" spans="2:2" x14ac:dyDescent="0.25">
      <c r="B4462" s="10"/>
    </row>
    <row r="4463" spans="2:2" x14ac:dyDescent="0.25">
      <c r="B4463" s="10"/>
    </row>
    <row r="4464" spans="2:2" x14ac:dyDescent="0.25">
      <c r="B4464" s="10"/>
    </row>
    <row r="4465" spans="2:2" x14ac:dyDescent="0.25">
      <c r="B4465" s="10"/>
    </row>
    <row r="4466" spans="2:2" x14ac:dyDescent="0.25">
      <c r="B4466" s="10"/>
    </row>
    <row r="4467" spans="2:2" x14ac:dyDescent="0.25">
      <c r="B4467" s="10"/>
    </row>
    <row r="4468" spans="2:2" x14ac:dyDescent="0.25">
      <c r="B4468" s="10"/>
    </row>
    <row r="4469" spans="2:2" x14ac:dyDescent="0.25">
      <c r="B4469" s="10"/>
    </row>
    <row r="4470" spans="2:2" x14ac:dyDescent="0.25">
      <c r="B4470" s="10"/>
    </row>
    <row r="4471" spans="2:2" x14ac:dyDescent="0.25">
      <c r="B4471" s="10"/>
    </row>
    <row r="4472" spans="2:2" x14ac:dyDescent="0.25">
      <c r="B4472" s="10"/>
    </row>
    <row r="4473" spans="2:2" x14ac:dyDescent="0.25">
      <c r="B4473" s="10"/>
    </row>
    <row r="4474" spans="2:2" x14ac:dyDescent="0.25">
      <c r="B4474" s="10"/>
    </row>
    <row r="4475" spans="2:2" x14ac:dyDescent="0.25">
      <c r="B4475" s="10"/>
    </row>
    <row r="4476" spans="2:2" x14ac:dyDescent="0.25">
      <c r="B4476" s="10"/>
    </row>
    <row r="4477" spans="2:2" x14ac:dyDescent="0.25">
      <c r="B4477" s="10"/>
    </row>
    <row r="4478" spans="2:2" x14ac:dyDescent="0.25">
      <c r="B4478" s="10"/>
    </row>
    <row r="4479" spans="2:2" x14ac:dyDescent="0.25">
      <c r="B4479" s="10"/>
    </row>
    <row r="4480" spans="2:2" x14ac:dyDescent="0.25">
      <c r="B4480" s="10"/>
    </row>
    <row r="4481" spans="2:2" x14ac:dyDescent="0.25">
      <c r="B4481" s="10"/>
    </row>
    <row r="4482" spans="2:2" x14ac:dyDescent="0.25">
      <c r="B4482" s="10"/>
    </row>
    <row r="4483" spans="2:2" x14ac:dyDescent="0.25">
      <c r="B4483" s="10"/>
    </row>
    <row r="4484" spans="2:2" x14ac:dyDescent="0.25">
      <c r="B4484" s="10"/>
    </row>
    <row r="4485" spans="2:2" x14ac:dyDescent="0.25">
      <c r="B4485" s="10"/>
    </row>
    <row r="4486" spans="2:2" x14ac:dyDescent="0.25">
      <c r="B4486" s="10"/>
    </row>
    <row r="4487" spans="2:2" x14ac:dyDescent="0.25">
      <c r="B4487" s="10"/>
    </row>
    <row r="4488" spans="2:2" x14ac:dyDescent="0.25">
      <c r="B4488" s="10"/>
    </row>
    <row r="4489" spans="2:2" x14ac:dyDescent="0.25">
      <c r="B4489" s="10"/>
    </row>
    <row r="4490" spans="2:2" x14ac:dyDescent="0.25">
      <c r="B4490" s="10"/>
    </row>
    <row r="4491" spans="2:2" x14ac:dyDescent="0.25">
      <c r="B4491" s="10"/>
    </row>
    <row r="4492" spans="2:2" x14ac:dyDescent="0.25">
      <c r="B4492" s="10"/>
    </row>
    <row r="4493" spans="2:2" x14ac:dyDescent="0.25">
      <c r="B4493" s="10"/>
    </row>
    <row r="4494" spans="2:2" x14ac:dyDescent="0.25">
      <c r="B4494" s="10"/>
    </row>
    <row r="4495" spans="2:2" x14ac:dyDescent="0.25">
      <c r="B4495" s="10"/>
    </row>
    <row r="4496" spans="2:2" x14ac:dyDescent="0.25">
      <c r="B4496" s="10"/>
    </row>
    <row r="4497" spans="2:2" x14ac:dyDescent="0.25">
      <c r="B4497" s="10"/>
    </row>
    <row r="4498" spans="2:2" x14ac:dyDescent="0.25">
      <c r="B4498" s="10"/>
    </row>
    <row r="4499" spans="2:2" x14ac:dyDescent="0.25">
      <c r="B4499" s="10"/>
    </row>
    <row r="4500" spans="2:2" x14ac:dyDescent="0.25">
      <c r="B4500" s="10"/>
    </row>
    <row r="4501" spans="2:2" x14ac:dyDescent="0.25">
      <c r="B4501" s="10"/>
    </row>
    <row r="4502" spans="2:2" x14ac:dyDescent="0.25">
      <c r="B4502" s="10"/>
    </row>
    <row r="4503" spans="2:2" x14ac:dyDescent="0.25">
      <c r="B4503" s="10"/>
    </row>
    <row r="4504" spans="2:2" x14ac:dyDescent="0.25">
      <c r="B4504" s="10"/>
    </row>
    <row r="4505" spans="2:2" x14ac:dyDescent="0.25">
      <c r="B4505" s="10"/>
    </row>
    <row r="4506" spans="2:2" x14ac:dyDescent="0.25">
      <c r="B4506" s="10"/>
    </row>
    <row r="4507" spans="2:2" x14ac:dyDescent="0.25">
      <c r="B4507" s="10"/>
    </row>
    <row r="4508" spans="2:2" x14ac:dyDescent="0.25">
      <c r="B4508" s="10"/>
    </row>
    <row r="4509" spans="2:2" x14ac:dyDescent="0.25">
      <c r="B4509" s="10"/>
    </row>
    <row r="4510" spans="2:2" x14ac:dyDescent="0.25">
      <c r="B4510" s="10"/>
    </row>
    <row r="4511" spans="2:2" x14ac:dyDescent="0.25">
      <c r="B4511" s="10"/>
    </row>
    <row r="4512" spans="2:2" x14ac:dyDescent="0.25">
      <c r="B4512" s="10"/>
    </row>
    <row r="4513" spans="2:2" x14ac:dyDescent="0.25">
      <c r="B4513" s="10"/>
    </row>
    <row r="4514" spans="2:2" x14ac:dyDescent="0.25">
      <c r="B4514" s="10"/>
    </row>
    <row r="4515" spans="2:2" x14ac:dyDescent="0.25">
      <c r="B4515" s="10"/>
    </row>
    <row r="4516" spans="2:2" x14ac:dyDescent="0.25">
      <c r="B4516" s="10"/>
    </row>
    <row r="4517" spans="2:2" x14ac:dyDescent="0.25">
      <c r="B4517" s="10"/>
    </row>
    <row r="4518" spans="2:2" x14ac:dyDescent="0.25">
      <c r="B4518" s="10"/>
    </row>
    <row r="4519" spans="2:2" x14ac:dyDescent="0.25">
      <c r="B4519" s="10"/>
    </row>
    <row r="4520" spans="2:2" x14ac:dyDescent="0.25">
      <c r="B4520" s="10"/>
    </row>
    <row r="4521" spans="2:2" x14ac:dyDescent="0.25">
      <c r="B4521" s="10"/>
    </row>
    <row r="4522" spans="2:2" x14ac:dyDescent="0.25">
      <c r="B4522" s="10"/>
    </row>
    <row r="4523" spans="2:2" x14ac:dyDescent="0.25">
      <c r="B4523" s="10"/>
    </row>
    <row r="4524" spans="2:2" x14ac:dyDescent="0.25">
      <c r="B4524" s="10"/>
    </row>
    <row r="4525" spans="2:2" x14ac:dyDescent="0.25">
      <c r="B4525" s="10"/>
    </row>
    <row r="4526" spans="2:2" x14ac:dyDescent="0.25">
      <c r="B4526" s="10"/>
    </row>
    <row r="4527" spans="2:2" x14ac:dyDescent="0.25">
      <c r="B4527" s="10"/>
    </row>
    <row r="4528" spans="2:2" x14ac:dyDescent="0.25">
      <c r="B4528" s="10"/>
    </row>
    <row r="4529" spans="2:2" x14ac:dyDescent="0.25">
      <c r="B4529" s="10"/>
    </row>
    <row r="4530" spans="2:2" x14ac:dyDescent="0.25">
      <c r="B4530" s="10"/>
    </row>
    <row r="4531" spans="2:2" x14ac:dyDescent="0.25">
      <c r="B4531" s="10"/>
    </row>
    <row r="4532" spans="2:2" x14ac:dyDescent="0.25">
      <c r="B4532" s="10"/>
    </row>
    <row r="4533" spans="2:2" x14ac:dyDescent="0.25">
      <c r="B4533" s="10"/>
    </row>
    <row r="4534" spans="2:2" x14ac:dyDescent="0.25">
      <c r="B4534" s="10"/>
    </row>
    <row r="4535" spans="2:2" x14ac:dyDescent="0.25">
      <c r="B4535" s="10"/>
    </row>
    <row r="4536" spans="2:2" x14ac:dyDescent="0.25">
      <c r="B4536" s="10"/>
    </row>
    <row r="4537" spans="2:2" x14ac:dyDescent="0.25">
      <c r="B4537" s="10"/>
    </row>
    <row r="4538" spans="2:2" x14ac:dyDescent="0.25">
      <c r="B4538" s="10"/>
    </row>
    <row r="4539" spans="2:2" x14ac:dyDescent="0.25">
      <c r="B4539" s="10"/>
    </row>
    <row r="4540" spans="2:2" x14ac:dyDescent="0.25">
      <c r="B4540" s="10"/>
    </row>
    <row r="4541" spans="2:2" x14ac:dyDescent="0.25">
      <c r="B4541" s="10"/>
    </row>
    <row r="4542" spans="2:2" x14ac:dyDescent="0.25">
      <c r="B4542" s="10"/>
    </row>
    <row r="4543" spans="2:2" x14ac:dyDescent="0.25">
      <c r="B4543" s="10"/>
    </row>
    <row r="4544" spans="2:2" x14ac:dyDescent="0.25">
      <c r="B4544" s="10"/>
    </row>
    <row r="4545" spans="2:2" x14ac:dyDescent="0.25">
      <c r="B4545" s="10"/>
    </row>
    <row r="4546" spans="2:2" x14ac:dyDescent="0.25">
      <c r="B4546" s="10"/>
    </row>
    <row r="4547" spans="2:2" x14ac:dyDescent="0.25">
      <c r="B4547" s="10"/>
    </row>
    <row r="4548" spans="2:2" x14ac:dyDescent="0.25">
      <c r="B4548" s="10"/>
    </row>
    <row r="4549" spans="2:2" x14ac:dyDescent="0.25">
      <c r="B4549" s="10"/>
    </row>
    <row r="4550" spans="2:2" x14ac:dyDescent="0.25">
      <c r="B4550" s="10"/>
    </row>
    <row r="4551" spans="2:2" x14ac:dyDescent="0.25">
      <c r="B4551" s="10"/>
    </row>
    <row r="4552" spans="2:2" x14ac:dyDescent="0.25">
      <c r="B4552" s="10"/>
    </row>
    <row r="4553" spans="2:2" x14ac:dyDescent="0.25">
      <c r="B4553" s="10"/>
    </row>
    <row r="4554" spans="2:2" x14ac:dyDescent="0.25">
      <c r="B4554" s="10"/>
    </row>
    <row r="4555" spans="2:2" x14ac:dyDescent="0.25">
      <c r="B4555" s="10"/>
    </row>
    <row r="4556" spans="2:2" x14ac:dyDescent="0.25">
      <c r="B4556" s="10"/>
    </row>
    <row r="4557" spans="2:2" x14ac:dyDescent="0.25">
      <c r="B4557" s="10"/>
    </row>
    <row r="4558" spans="2:2" x14ac:dyDescent="0.25">
      <c r="B4558" s="10"/>
    </row>
    <row r="4559" spans="2:2" x14ac:dyDescent="0.25">
      <c r="B4559" s="10"/>
    </row>
    <row r="4560" spans="2:2" x14ac:dyDescent="0.25">
      <c r="B4560" s="10"/>
    </row>
    <row r="4561" spans="2:2" x14ac:dyDescent="0.25">
      <c r="B4561" s="10"/>
    </row>
    <row r="4562" spans="2:2" x14ac:dyDescent="0.25">
      <c r="B4562" s="10"/>
    </row>
    <row r="4563" spans="2:2" x14ac:dyDescent="0.25">
      <c r="B4563" s="10"/>
    </row>
    <row r="4564" spans="2:2" x14ac:dyDescent="0.25">
      <c r="B4564" s="10"/>
    </row>
    <row r="4565" spans="2:2" x14ac:dyDescent="0.25">
      <c r="B4565" s="10"/>
    </row>
    <row r="4566" spans="2:2" x14ac:dyDescent="0.25">
      <c r="B4566" s="10"/>
    </row>
    <row r="4567" spans="2:2" x14ac:dyDescent="0.25">
      <c r="B4567" s="10"/>
    </row>
    <row r="4568" spans="2:2" x14ac:dyDescent="0.25">
      <c r="B4568" s="10"/>
    </row>
    <row r="4569" spans="2:2" x14ac:dyDescent="0.25">
      <c r="B4569" s="10"/>
    </row>
    <row r="4570" spans="2:2" x14ac:dyDescent="0.25">
      <c r="B4570" s="10"/>
    </row>
    <row r="4571" spans="2:2" x14ac:dyDescent="0.25">
      <c r="B4571" s="10"/>
    </row>
    <row r="4572" spans="2:2" x14ac:dyDescent="0.25">
      <c r="B4572" s="10"/>
    </row>
    <row r="4573" spans="2:2" x14ac:dyDescent="0.25">
      <c r="B4573" s="10"/>
    </row>
    <row r="4574" spans="2:2" x14ac:dyDescent="0.25">
      <c r="B4574" s="10"/>
    </row>
    <row r="4575" spans="2:2" x14ac:dyDescent="0.25">
      <c r="B4575" s="10"/>
    </row>
    <row r="4576" spans="2:2" x14ac:dyDescent="0.25">
      <c r="B4576" s="10"/>
    </row>
    <row r="4577" spans="2:2" x14ac:dyDescent="0.25">
      <c r="B4577" s="10"/>
    </row>
    <row r="4578" spans="2:2" x14ac:dyDescent="0.25">
      <c r="B4578" s="10"/>
    </row>
    <row r="4579" spans="2:2" x14ac:dyDescent="0.25">
      <c r="B4579" s="10"/>
    </row>
    <row r="4580" spans="2:2" x14ac:dyDescent="0.25">
      <c r="B4580" s="10"/>
    </row>
    <row r="4581" spans="2:2" x14ac:dyDescent="0.25">
      <c r="B4581" s="10"/>
    </row>
    <row r="4582" spans="2:2" x14ac:dyDescent="0.25">
      <c r="B4582" s="10"/>
    </row>
    <row r="4583" spans="2:2" x14ac:dyDescent="0.25">
      <c r="B4583" s="10"/>
    </row>
    <row r="4584" spans="2:2" x14ac:dyDescent="0.25">
      <c r="B4584" s="10"/>
    </row>
    <row r="4585" spans="2:2" x14ac:dyDescent="0.25">
      <c r="B4585" s="10"/>
    </row>
    <row r="4586" spans="2:2" x14ac:dyDescent="0.25">
      <c r="B4586" s="10"/>
    </row>
    <row r="4587" spans="2:2" x14ac:dyDescent="0.25">
      <c r="B4587" s="10"/>
    </row>
    <row r="4588" spans="2:2" x14ac:dyDescent="0.25">
      <c r="B4588" s="10"/>
    </row>
    <row r="4589" spans="2:2" x14ac:dyDescent="0.25">
      <c r="B4589" s="10"/>
    </row>
    <row r="4590" spans="2:2" x14ac:dyDescent="0.25">
      <c r="B4590" s="10"/>
    </row>
    <row r="4591" spans="2:2" x14ac:dyDescent="0.25">
      <c r="B4591" s="10"/>
    </row>
    <row r="4592" spans="2:2" x14ac:dyDescent="0.25">
      <c r="B4592" s="10"/>
    </row>
    <row r="4593" spans="2:2" x14ac:dyDescent="0.25">
      <c r="B4593" s="10"/>
    </row>
    <row r="4594" spans="2:2" x14ac:dyDescent="0.25">
      <c r="B4594" s="10"/>
    </row>
    <row r="4595" spans="2:2" x14ac:dyDescent="0.25">
      <c r="B4595" s="10"/>
    </row>
    <row r="4596" spans="2:2" x14ac:dyDescent="0.25">
      <c r="B4596" s="10"/>
    </row>
    <row r="4597" spans="2:2" x14ac:dyDescent="0.25">
      <c r="B4597" s="10"/>
    </row>
    <row r="4598" spans="2:2" x14ac:dyDescent="0.25">
      <c r="B4598" s="10"/>
    </row>
    <row r="4599" spans="2:2" x14ac:dyDescent="0.25">
      <c r="B4599" s="10"/>
    </row>
    <row r="4600" spans="2:2" x14ac:dyDescent="0.25">
      <c r="B4600" s="10"/>
    </row>
    <row r="4601" spans="2:2" x14ac:dyDescent="0.25">
      <c r="B4601" s="10"/>
    </row>
    <row r="4602" spans="2:2" x14ac:dyDescent="0.25">
      <c r="B4602" s="10"/>
    </row>
    <row r="4603" spans="2:2" x14ac:dyDescent="0.25">
      <c r="B4603" s="10"/>
    </row>
    <row r="4604" spans="2:2" x14ac:dyDescent="0.25">
      <c r="B4604" s="10"/>
    </row>
    <row r="4605" spans="2:2" x14ac:dyDescent="0.25">
      <c r="B4605" s="10"/>
    </row>
    <row r="4606" spans="2:2" x14ac:dyDescent="0.25">
      <c r="B4606" s="10"/>
    </row>
    <row r="4607" spans="2:2" x14ac:dyDescent="0.25">
      <c r="B4607" s="10"/>
    </row>
    <row r="4608" spans="2:2" x14ac:dyDescent="0.25">
      <c r="B4608" s="10"/>
    </row>
    <row r="4609" spans="2:2" x14ac:dyDescent="0.25">
      <c r="B4609" s="10"/>
    </row>
    <row r="4610" spans="2:2" x14ac:dyDescent="0.25">
      <c r="B4610" s="10"/>
    </row>
    <row r="4611" spans="2:2" x14ac:dyDescent="0.25">
      <c r="B4611" s="10"/>
    </row>
    <row r="4612" spans="2:2" x14ac:dyDescent="0.25">
      <c r="B4612" s="10"/>
    </row>
    <row r="4613" spans="2:2" x14ac:dyDescent="0.25">
      <c r="B4613" s="10"/>
    </row>
    <row r="4614" spans="2:2" x14ac:dyDescent="0.25">
      <c r="B4614" s="10"/>
    </row>
    <row r="4615" spans="2:2" x14ac:dyDescent="0.25">
      <c r="B4615" s="10"/>
    </row>
    <row r="4616" spans="2:2" x14ac:dyDescent="0.25">
      <c r="B4616" s="10"/>
    </row>
    <row r="4617" spans="2:2" x14ac:dyDescent="0.25">
      <c r="B4617" s="10"/>
    </row>
    <row r="4618" spans="2:2" x14ac:dyDescent="0.25">
      <c r="B4618" s="10"/>
    </row>
    <row r="4619" spans="2:2" x14ac:dyDescent="0.25">
      <c r="B4619" s="10"/>
    </row>
    <row r="4620" spans="2:2" x14ac:dyDescent="0.25">
      <c r="B4620" s="10"/>
    </row>
    <row r="4621" spans="2:2" x14ac:dyDescent="0.25">
      <c r="B4621" s="10"/>
    </row>
    <row r="4622" spans="2:2" x14ac:dyDescent="0.25">
      <c r="B4622" s="10"/>
    </row>
    <row r="4623" spans="2:2" x14ac:dyDescent="0.25">
      <c r="B4623" s="10"/>
    </row>
    <row r="4624" spans="2:2" x14ac:dyDescent="0.25">
      <c r="B4624" s="10"/>
    </row>
    <row r="4625" spans="2:2" x14ac:dyDescent="0.25">
      <c r="B4625" s="10"/>
    </row>
    <row r="4626" spans="2:2" x14ac:dyDescent="0.25">
      <c r="B4626" s="10"/>
    </row>
    <row r="4627" spans="2:2" x14ac:dyDescent="0.25">
      <c r="B4627" s="10"/>
    </row>
    <row r="4628" spans="2:2" x14ac:dyDescent="0.25">
      <c r="B4628" s="10"/>
    </row>
    <row r="4629" spans="2:2" x14ac:dyDescent="0.25">
      <c r="B4629" s="10"/>
    </row>
    <row r="4630" spans="2:2" x14ac:dyDescent="0.25">
      <c r="B4630" s="10"/>
    </row>
    <row r="4631" spans="2:2" x14ac:dyDescent="0.25">
      <c r="B4631" s="10"/>
    </row>
    <row r="4632" spans="2:2" x14ac:dyDescent="0.25">
      <c r="B4632" s="10"/>
    </row>
    <row r="4633" spans="2:2" x14ac:dyDescent="0.25">
      <c r="B4633" s="10"/>
    </row>
    <row r="4634" spans="2:2" x14ac:dyDescent="0.25">
      <c r="B4634" s="10"/>
    </row>
    <row r="4635" spans="2:2" x14ac:dyDescent="0.25">
      <c r="B4635" s="10"/>
    </row>
    <row r="4636" spans="2:2" x14ac:dyDescent="0.25">
      <c r="B4636" s="10"/>
    </row>
    <row r="4637" spans="2:2" x14ac:dyDescent="0.25">
      <c r="B4637" s="10"/>
    </row>
    <row r="4638" spans="2:2" x14ac:dyDescent="0.25">
      <c r="B4638" s="10"/>
    </row>
    <row r="4639" spans="2:2" x14ac:dyDescent="0.25">
      <c r="B4639" s="10"/>
    </row>
    <row r="4640" spans="2:2" x14ac:dyDescent="0.25">
      <c r="B4640" s="10"/>
    </row>
    <row r="4641" spans="2:2" x14ac:dyDescent="0.25">
      <c r="B4641" s="10"/>
    </row>
    <row r="4642" spans="2:2" x14ac:dyDescent="0.25">
      <c r="B4642" s="10"/>
    </row>
    <row r="4643" spans="2:2" x14ac:dyDescent="0.25">
      <c r="B4643" s="10"/>
    </row>
    <row r="4644" spans="2:2" x14ac:dyDescent="0.25">
      <c r="B4644" s="10"/>
    </row>
    <row r="4645" spans="2:2" x14ac:dyDescent="0.25">
      <c r="B4645" s="10"/>
    </row>
    <row r="4646" spans="2:2" x14ac:dyDescent="0.25">
      <c r="B4646" s="10"/>
    </row>
    <row r="4647" spans="2:2" x14ac:dyDescent="0.25">
      <c r="B4647" s="10"/>
    </row>
    <row r="4648" spans="2:2" x14ac:dyDescent="0.25">
      <c r="B4648" s="10"/>
    </row>
    <row r="4649" spans="2:2" x14ac:dyDescent="0.25">
      <c r="B4649" s="10"/>
    </row>
    <row r="4650" spans="2:2" x14ac:dyDescent="0.25">
      <c r="B4650" s="10"/>
    </row>
    <row r="4651" spans="2:2" x14ac:dyDescent="0.25">
      <c r="B4651" s="10"/>
    </row>
    <row r="4652" spans="2:2" x14ac:dyDescent="0.25">
      <c r="B4652" s="10"/>
    </row>
    <row r="4653" spans="2:2" x14ac:dyDescent="0.25">
      <c r="B4653" s="10"/>
    </row>
    <row r="4654" spans="2:2" x14ac:dyDescent="0.25">
      <c r="B4654" s="10"/>
    </row>
    <row r="4655" spans="2:2" x14ac:dyDescent="0.25">
      <c r="B4655" s="10"/>
    </row>
    <row r="4656" spans="2:2" x14ac:dyDescent="0.25">
      <c r="B4656" s="10"/>
    </row>
    <row r="4657" spans="2:2" x14ac:dyDescent="0.25">
      <c r="B4657" s="10"/>
    </row>
    <row r="4658" spans="2:2" x14ac:dyDescent="0.25">
      <c r="B4658" s="10"/>
    </row>
    <row r="4659" spans="2:2" x14ac:dyDescent="0.25">
      <c r="B4659" s="10"/>
    </row>
    <row r="4660" spans="2:2" x14ac:dyDescent="0.25">
      <c r="B4660" s="10"/>
    </row>
    <row r="4661" spans="2:2" x14ac:dyDescent="0.25">
      <c r="B4661" s="10"/>
    </row>
    <row r="4662" spans="2:2" x14ac:dyDescent="0.25">
      <c r="B4662" s="10"/>
    </row>
    <row r="4663" spans="2:2" x14ac:dyDescent="0.25">
      <c r="B4663" s="10"/>
    </row>
    <row r="4664" spans="2:2" x14ac:dyDescent="0.25">
      <c r="B4664" s="10"/>
    </row>
    <row r="4665" spans="2:2" x14ac:dyDescent="0.25">
      <c r="B4665" s="10"/>
    </row>
    <row r="4666" spans="2:2" x14ac:dyDescent="0.25">
      <c r="B4666" s="10"/>
    </row>
    <row r="4667" spans="2:2" x14ac:dyDescent="0.25">
      <c r="B4667" s="10"/>
    </row>
    <row r="4668" spans="2:2" x14ac:dyDescent="0.25">
      <c r="B4668" s="10"/>
    </row>
    <row r="4669" spans="2:2" x14ac:dyDescent="0.25">
      <c r="B4669" s="10"/>
    </row>
    <row r="4670" spans="2:2" x14ac:dyDescent="0.25">
      <c r="B4670" s="10"/>
    </row>
    <row r="4671" spans="2:2" x14ac:dyDescent="0.25">
      <c r="B4671" s="10"/>
    </row>
    <row r="4672" spans="2:2" x14ac:dyDescent="0.25">
      <c r="B4672" s="10"/>
    </row>
    <row r="4673" spans="2:2" x14ac:dyDescent="0.25">
      <c r="B4673" s="10"/>
    </row>
    <row r="4674" spans="2:2" x14ac:dyDescent="0.25">
      <c r="B4674" s="10"/>
    </row>
    <row r="4675" spans="2:2" x14ac:dyDescent="0.25">
      <c r="B4675" s="10"/>
    </row>
    <row r="4676" spans="2:2" x14ac:dyDescent="0.25">
      <c r="B4676" s="10"/>
    </row>
    <row r="4677" spans="2:2" x14ac:dyDescent="0.25">
      <c r="B4677" s="10"/>
    </row>
    <row r="4678" spans="2:2" x14ac:dyDescent="0.25">
      <c r="B4678" s="10"/>
    </row>
    <row r="4679" spans="2:2" x14ac:dyDescent="0.25">
      <c r="B4679" s="10"/>
    </row>
    <row r="4680" spans="2:2" x14ac:dyDescent="0.25">
      <c r="B4680" s="10"/>
    </row>
    <row r="4681" spans="2:2" x14ac:dyDescent="0.25">
      <c r="B4681" s="10"/>
    </row>
    <row r="4682" spans="2:2" x14ac:dyDescent="0.25">
      <c r="B4682" s="10"/>
    </row>
    <row r="4683" spans="2:2" x14ac:dyDescent="0.25">
      <c r="B4683" s="10"/>
    </row>
    <row r="4684" spans="2:2" x14ac:dyDescent="0.25">
      <c r="B4684" s="10"/>
    </row>
    <row r="4685" spans="2:2" x14ac:dyDescent="0.25">
      <c r="B4685" s="10"/>
    </row>
    <row r="4686" spans="2:2" x14ac:dyDescent="0.25">
      <c r="B4686" s="10"/>
    </row>
    <row r="4687" spans="2:2" x14ac:dyDescent="0.25">
      <c r="B4687" s="10"/>
    </row>
    <row r="4688" spans="2:2" x14ac:dyDescent="0.25">
      <c r="B4688" s="10"/>
    </row>
    <row r="4689" spans="2:2" x14ac:dyDescent="0.25">
      <c r="B4689" s="10"/>
    </row>
    <row r="4690" spans="2:2" x14ac:dyDescent="0.25">
      <c r="B4690" s="10"/>
    </row>
    <row r="4691" spans="2:2" x14ac:dyDescent="0.25">
      <c r="B4691" s="10"/>
    </row>
    <row r="4692" spans="2:2" x14ac:dyDescent="0.25">
      <c r="B4692" s="10"/>
    </row>
    <row r="4693" spans="2:2" x14ac:dyDescent="0.25">
      <c r="B4693" s="10"/>
    </row>
    <row r="4694" spans="2:2" x14ac:dyDescent="0.25">
      <c r="B4694" s="10"/>
    </row>
    <row r="4695" spans="2:2" x14ac:dyDescent="0.25">
      <c r="B4695" s="10"/>
    </row>
    <row r="4696" spans="2:2" x14ac:dyDescent="0.25">
      <c r="B4696" s="10"/>
    </row>
    <row r="4697" spans="2:2" x14ac:dyDescent="0.25">
      <c r="B4697" s="10"/>
    </row>
    <row r="4698" spans="2:2" x14ac:dyDescent="0.25">
      <c r="B4698" s="10"/>
    </row>
    <row r="4699" spans="2:2" x14ac:dyDescent="0.25">
      <c r="B4699" s="10"/>
    </row>
    <row r="4700" spans="2:2" x14ac:dyDescent="0.25">
      <c r="B4700" s="10"/>
    </row>
    <row r="4701" spans="2:2" x14ac:dyDescent="0.25">
      <c r="B4701" s="10"/>
    </row>
    <row r="4702" spans="2:2" x14ac:dyDescent="0.25">
      <c r="B4702" s="10"/>
    </row>
    <row r="4703" spans="2:2" x14ac:dyDescent="0.25">
      <c r="B4703" s="10"/>
    </row>
    <row r="4704" spans="2:2" x14ac:dyDescent="0.25">
      <c r="B4704" s="10"/>
    </row>
    <row r="4705" spans="2:2" x14ac:dyDescent="0.25">
      <c r="B4705" s="10"/>
    </row>
    <row r="4706" spans="2:2" x14ac:dyDescent="0.25">
      <c r="B4706" s="10"/>
    </row>
    <row r="4707" spans="2:2" x14ac:dyDescent="0.25">
      <c r="B4707" s="10"/>
    </row>
    <row r="4708" spans="2:2" x14ac:dyDescent="0.25">
      <c r="B4708" s="10"/>
    </row>
    <row r="4709" spans="2:2" x14ac:dyDescent="0.25">
      <c r="B4709" s="10"/>
    </row>
    <row r="4710" spans="2:2" x14ac:dyDescent="0.25">
      <c r="B4710" s="10"/>
    </row>
    <row r="4711" spans="2:2" x14ac:dyDescent="0.25">
      <c r="B4711" s="10"/>
    </row>
    <row r="4712" spans="2:2" x14ac:dyDescent="0.25">
      <c r="B4712" s="10"/>
    </row>
    <row r="4713" spans="2:2" x14ac:dyDescent="0.25">
      <c r="B4713" s="10"/>
    </row>
    <row r="4714" spans="2:2" x14ac:dyDescent="0.25">
      <c r="B4714" s="10"/>
    </row>
    <row r="4715" spans="2:2" x14ac:dyDescent="0.25">
      <c r="B4715" s="10"/>
    </row>
    <row r="4716" spans="2:2" x14ac:dyDescent="0.25">
      <c r="B4716" s="10"/>
    </row>
    <row r="4717" spans="2:2" x14ac:dyDescent="0.25">
      <c r="B4717" s="10"/>
    </row>
    <row r="4718" spans="2:2" x14ac:dyDescent="0.25">
      <c r="B4718" s="10"/>
    </row>
    <row r="4719" spans="2:2" x14ac:dyDescent="0.25">
      <c r="B4719" s="10"/>
    </row>
    <row r="4720" spans="2:2" x14ac:dyDescent="0.25">
      <c r="B4720" s="10"/>
    </row>
    <row r="4721" spans="2:2" x14ac:dyDescent="0.25">
      <c r="B4721" s="10"/>
    </row>
    <row r="4722" spans="2:2" x14ac:dyDescent="0.25">
      <c r="B4722" s="10"/>
    </row>
    <row r="4723" spans="2:2" x14ac:dyDescent="0.25">
      <c r="B4723" s="10"/>
    </row>
    <row r="4724" spans="2:2" x14ac:dyDescent="0.25">
      <c r="B4724" s="10"/>
    </row>
    <row r="4725" spans="2:2" x14ac:dyDescent="0.25">
      <c r="B4725" s="10"/>
    </row>
    <row r="4726" spans="2:2" x14ac:dyDescent="0.25">
      <c r="B4726" s="10"/>
    </row>
    <row r="4727" spans="2:2" x14ac:dyDescent="0.25">
      <c r="B4727" s="10"/>
    </row>
    <row r="4728" spans="2:2" x14ac:dyDescent="0.25">
      <c r="B4728" s="10"/>
    </row>
    <row r="4729" spans="2:2" x14ac:dyDescent="0.25">
      <c r="B4729" s="10"/>
    </row>
    <row r="4730" spans="2:2" x14ac:dyDescent="0.25">
      <c r="B4730" s="10"/>
    </row>
    <row r="4731" spans="2:2" x14ac:dyDescent="0.25">
      <c r="B4731" s="10"/>
    </row>
    <row r="4732" spans="2:2" x14ac:dyDescent="0.25">
      <c r="B4732" s="10"/>
    </row>
    <row r="4733" spans="2:2" x14ac:dyDescent="0.25">
      <c r="B4733" s="10"/>
    </row>
    <row r="4734" spans="2:2" x14ac:dyDescent="0.25">
      <c r="B4734" s="10"/>
    </row>
    <row r="4735" spans="2:2" x14ac:dyDescent="0.25">
      <c r="B4735" s="10"/>
    </row>
    <row r="4736" spans="2:2" x14ac:dyDescent="0.25">
      <c r="B4736" s="10"/>
    </row>
    <row r="4737" spans="2:2" x14ac:dyDescent="0.25">
      <c r="B4737" s="10"/>
    </row>
    <row r="4738" spans="2:2" x14ac:dyDescent="0.25">
      <c r="B4738" s="10"/>
    </row>
    <row r="4739" spans="2:2" x14ac:dyDescent="0.25">
      <c r="B4739" s="10"/>
    </row>
    <row r="4740" spans="2:2" x14ac:dyDescent="0.25">
      <c r="B4740" s="10"/>
    </row>
    <row r="4741" spans="2:2" x14ac:dyDescent="0.25">
      <c r="B4741" s="10"/>
    </row>
    <row r="4742" spans="2:2" x14ac:dyDescent="0.25">
      <c r="B4742" s="10"/>
    </row>
    <row r="4743" spans="2:2" x14ac:dyDescent="0.25">
      <c r="B4743" s="10"/>
    </row>
    <row r="4744" spans="2:2" x14ac:dyDescent="0.25">
      <c r="B4744" s="10"/>
    </row>
    <row r="4745" spans="2:2" x14ac:dyDescent="0.25">
      <c r="B4745" s="10"/>
    </row>
    <row r="4746" spans="2:2" x14ac:dyDescent="0.25">
      <c r="B4746" s="10"/>
    </row>
    <row r="4747" spans="2:2" x14ac:dyDescent="0.25">
      <c r="B4747" s="10"/>
    </row>
    <row r="4748" spans="2:2" x14ac:dyDescent="0.25">
      <c r="B4748" s="10"/>
    </row>
    <row r="4749" spans="2:2" x14ac:dyDescent="0.25">
      <c r="B4749" s="10"/>
    </row>
    <row r="4750" spans="2:2" x14ac:dyDescent="0.25">
      <c r="B4750" s="10"/>
    </row>
    <row r="4751" spans="2:2" x14ac:dyDescent="0.25">
      <c r="B4751" s="10"/>
    </row>
    <row r="4752" spans="2:2" x14ac:dyDescent="0.25">
      <c r="B4752" s="10"/>
    </row>
    <row r="4753" spans="2:2" x14ac:dyDescent="0.25">
      <c r="B4753" s="10"/>
    </row>
    <row r="4754" spans="2:2" x14ac:dyDescent="0.25">
      <c r="B4754" s="10"/>
    </row>
    <row r="4755" spans="2:2" x14ac:dyDescent="0.25">
      <c r="B4755" s="10"/>
    </row>
    <row r="4756" spans="2:2" x14ac:dyDescent="0.25">
      <c r="B4756" s="10"/>
    </row>
    <row r="4757" spans="2:2" x14ac:dyDescent="0.25">
      <c r="B4757" s="10"/>
    </row>
    <row r="4758" spans="2:2" x14ac:dyDescent="0.25">
      <c r="B4758" s="10"/>
    </row>
    <row r="4759" spans="2:2" x14ac:dyDescent="0.25">
      <c r="B4759" s="10"/>
    </row>
    <row r="4760" spans="2:2" x14ac:dyDescent="0.25">
      <c r="B4760" s="10"/>
    </row>
    <row r="4761" spans="2:2" x14ac:dyDescent="0.25">
      <c r="B4761" s="10"/>
    </row>
    <row r="4762" spans="2:2" x14ac:dyDescent="0.25">
      <c r="B4762" s="10"/>
    </row>
    <row r="4763" spans="2:2" x14ac:dyDescent="0.25">
      <c r="B4763" s="10"/>
    </row>
    <row r="4764" spans="2:2" x14ac:dyDescent="0.25">
      <c r="B4764" s="10"/>
    </row>
    <row r="4765" spans="2:2" x14ac:dyDescent="0.25">
      <c r="B4765" s="10"/>
    </row>
    <row r="4766" spans="2:2" x14ac:dyDescent="0.25">
      <c r="B4766" s="10"/>
    </row>
    <row r="4767" spans="2:2" x14ac:dyDescent="0.25">
      <c r="B4767" s="10"/>
    </row>
    <row r="4768" spans="2:2" x14ac:dyDescent="0.25">
      <c r="B4768" s="10"/>
    </row>
    <row r="4769" spans="2:2" x14ac:dyDescent="0.25">
      <c r="B4769" s="10"/>
    </row>
    <row r="4770" spans="2:2" x14ac:dyDescent="0.25">
      <c r="B4770" s="10"/>
    </row>
    <row r="4771" spans="2:2" x14ac:dyDescent="0.25">
      <c r="B4771" s="10"/>
    </row>
    <row r="4772" spans="2:2" x14ac:dyDescent="0.25">
      <c r="B4772" s="10"/>
    </row>
    <row r="4773" spans="2:2" x14ac:dyDescent="0.25">
      <c r="B4773" s="10"/>
    </row>
    <row r="4774" spans="2:2" x14ac:dyDescent="0.25">
      <c r="B4774" s="10"/>
    </row>
    <row r="4775" spans="2:2" x14ac:dyDescent="0.25">
      <c r="B4775" s="10"/>
    </row>
    <row r="4776" spans="2:2" x14ac:dyDescent="0.25">
      <c r="B4776" s="10"/>
    </row>
    <row r="4777" spans="2:2" x14ac:dyDescent="0.25">
      <c r="B4777" s="10"/>
    </row>
    <row r="4778" spans="2:2" x14ac:dyDescent="0.25">
      <c r="B4778" s="10"/>
    </row>
    <row r="4779" spans="2:2" x14ac:dyDescent="0.25">
      <c r="B4779" s="10"/>
    </row>
    <row r="4780" spans="2:2" x14ac:dyDescent="0.25">
      <c r="B4780" s="10"/>
    </row>
    <row r="4781" spans="2:2" x14ac:dyDescent="0.25">
      <c r="B4781" s="10"/>
    </row>
    <row r="4782" spans="2:2" x14ac:dyDescent="0.25">
      <c r="B4782" s="10"/>
    </row>
    <row r="4783" spans="2:2" x14ac:dyDescent="0.25">
      <c r="B4783" s="10"/>
    </row>
    <row r="4784" spans="2:2" x14ac:dyDescent="0.25">
      <c r="B4784" s="10"/>
    </row>
    <row r="4785" spans="2:2" x14ac:dyDescent="0.25">
      <c r="B4785" s="10"/>
    </row>
    <row r="4786" spans="2:2" x14ac:dyDescent="0.25">
      <c r="B4786" s="10"/>
    </row>
    <row r="4787" spans="2:2" x14ac:dyDescent="0.25">
      <c r="B4787" s="10"/>
    </row>
    <row r="4788" spans="2:2" x14ac:dyDescent="0.25">
      <c r="B4788" s="10"/>
    </row>
    <row r="4789" spans="2:2" x14ac:dyDescent="0.25">
      <c r="B4789" s="10"/>
    </row>
    <row r="4790" spans="2:2" x14ac:dyDescent="0.25">
      <c r="B4790" s="10"/>
    </row>
    <row r="4791" spans="2:2" x14ac:dyDescent="0.25">
      <c r="B4791" s="10"/>
    </row>
    <row r="4792" spans="2:2" x14ac:dyDescent="0.25">
      <c r="B4792" s="10"/>
    </row>
    <row r="4793" spans="2:2" x14ac:dyDescent="0.25">
      <c r="B4793" s="10"/>
    </row>
    <row r="4794" spans="2:2" x14ac:dyDescent="0.25">
      <c r="B4794" s="10"/>
    </row>
    <row r="4795" spans="2:2" x14ac:dyDescent="0.25">
      <c r="B4795" s="10"/>
    </row>
    <row r="4796" spans="2:2" x14ac:dyDescent="0.25">
      <c r="B4796" s="10"/>
    </row>
    <row r="4797" spans="2:2" x14ac:dyDescent="0.25">
      <c r="B4797" s="10"/>
    </row>
    <row r="4798" spans="2:2" x14ac:dyDescent="0.25">
      <c r="B4798" s="10"/>
    </row>
    <row r="4799" spans="2:2" x14ac:dyDescent="0.25">
      <c r="B4799" s="10"/>
    </row>
    <row r="4800" spans="2:2" x14ac:dyDescent="0.25">
      <c r="B4800" s="10"/>
    </row>
    <row r="4801" spans="2:2" x14ac:dyDescent="0.25">
      <c r="B4801" s="10"/>
    </row>
    <row r="4802" spans="2:2" x14ac:dyDescent="0.25">
      <c r="B4802" s="10"/>
    </row>
    <row r="4803" spans="2:2" x14ac:dyDescent="0.25">
      <c r="B4803" s="10"/>
    </row>
    <row r="4804" spans="2:2" x14ac:dyDescent="0.25">
      <c r="B4804" s="10"/>
    </row>
    <row r="4805" spans="2:2" x14ac:dyDescent="0.25">
      <c r="B4805" s="10"/>
    </row>
    <row r="4806" spans="2:2" x14ac:dyDescent="0.25">
      <c r="B4806" s="10"/>
    </row>
    <row r="4807" spans="2:2" x14ac:dyDescent="0.25">
      <c r="B4807" s="10"/>
    </row>
    <row r="4808" spans="2:2" x14ac:dyDescent="0.25">
      <c r="B4808" s="10"/>
    </row>
    <row r="4809" spans="2:2" x14ac:dyDescent="0.25">
      <c r="B4809" s="10"/>
    </row>
    <row r="4810" spans="2:2" x14ac:dyDescent="0.25">
      <c r="B4810" s="10"/>
    </row>
    <row r="4811" spans="2:2" x14ac:dyDescent="0.25">
      <c r="B4811" s="10"/>
    </row>
    <row r="4812" spans="2:2" x14ac:dyDescent="0.25">
      <c r="B4812" s="10"/>
    </row>
    <row r="4813" spans="2:2" x14ac:dyDescent="0.25">
      <c r="B4813" s="10"/>
    </row>
    <row r="4814" spans="2:2" x14ac:dyDescent="0.25">
      <c r="B4814" s="10"/>
    </row>
    <row r="4815" spans="2:2" x14ac:dyDescent="0.25">
      <c r="B4815" s="10"/>
    </row>
    <row r="4816" spans="2:2" x14ac:dyDescent="0.25">
      <c r="B4816" s="10"/>
    </row>
    <row r="4817" spans="2:2" x14ac:dyDescent="0.25">
      <c r="B4817" s="10"/>
    </row>
    <row r="4818" spans="2:2" x14ac:dyDescent="0.25">
      <c r="B4818" s="10"/>
    </row>
    <row r="4819" spans="2:2" x14ac:dyDescent="0.25">
      <c r="B4819" s="10"/>
    </row>
    <row r="4820" spans="2:2" x14ac:dyDescent="0.25">
      <c r="B4820" s="10"/>
    </row>
    <row r="4821" spans="2:2" x14ac:dyDescent="0.25">
      <c r="B4821" s="10"/>
    </row>
    <row r="4822" spans="2:2" x14ac:dyDescent="0.25">
      <c r="B4822" s="10"/>
    </row>
    <row r="4823" spans="2:2" x14ac:dyDescent="0.25">
      <c r="B4823" s="10"/>
    </row>
    <row r="4824" spans="2:2" x14ac:dyDescent="0.25">
      <c r="B4824" s="10"/>
    </row>
    <row r="4825" spans="2:2" x14ac:dyDescent="0.25">
      <c r="B4825" s="10"/>
    </row>
    <row r="4826" spans="2:2" x14ac:dyDescent="0.25">
      <c r="B4826" s="10"/>
    </row>
    <row r="4827" spans="2:2" x14ac:dyDescent="0.25">
      <c r="B4827" s="10"/>
    </row>
    <row r="4828" spans="2:2" x14ac:dyDescent="0.25">
      <c r="B4828" s="10"/>
    </row>
    <row r="4829" spans="2:2" x14ac:dyDescent="0.25">
      <c r="B4829" s="10"/>
    </row>
    <row r="4830" spans="2:2" x14ac:dyDescent="0.25">
      <c r="B4830" s="10"/>
    </row>
    <row r="4831" spans="2:2" x14ac:dyDescent="0.25">
      <c r="B4831" s="10"/>
    </row>
    <row r="4832" spans="2:2" x14ac:dyDescent="0.25">
      <c r="B4832" s="10"/>
    </row>
    <row r="4833" spans="2:2" x14ac:dyDescent="0.25">
      <c r="B4833" s="10"/>
    </row>
    <row r="4834" spans="2:2" x14ac:dyDescent="0.25">
      <c r="B4834" s="10"/>
    </row>
    <row r="4835" spans="2:2" x14ac:dyDescent="0.25">
      <c r="B4835" s="10"/>
    </row>
    <row r="4836" spans="2:2" x14ac:dyDescent="0.25">
      <c r="B4836" s="10"/>
    </row>
    <row r="4837" spans="2:2" x14ac:dyDescent="0.25">
      <c r="B4837" s="10"/>
    </row>
    <row r="4838" spans="2:2" x14ac:dyDescent="0.25">
      <c r="B4838" s="10"/>
    </row>
    <row r="4839" spans="2:2" x14ac:dyDescent="0.25">
      <c r="B4839" s="10"/>
    </row>
    <row r="4840" spans="2:2" x14ac:dyDescent="0.25">
      <c r="B4840" s="10"/>
    </row>
    <row r="4841" spans="2:2" x14ac:dyDescent="0.25">
      <c r="B4841" s="10"/>
    </row>
    <row r="4842" spans="2:2" x14ac:dyDescent="0.25">
      <c r="B4842" s="10"/>
    </row>
    <row r="4843" spans="2:2" x14ac:dyDescent="0.25">
      <c r="B4843" s="10"/>
    </row>
    <row r="4844" spans="2:2" x14ac:dyDescent="0.25">
      <c r="B4844" s="10"/>
    </row>
    <row r="4845" spans="2:2" x14ac:dyDescent="0.25">
      <c r="B4845" s="10"/>
    </row>
    <row r="4846" spans="2:2" x14ac:dyDescent="0.25">
      <c r="B4846" s="10"/>
    </row>
    <row r="4847" spans="2:2" x14ac:dyDescent="0.25">
      <c r="B4847" s="10"/>
    </row>
    <row r="4848" spans="2:2" x14ac:dyDescent="0.25">
      <c r="B4848" s="10"/>
    </row>
    <row r="4849" spans="2:2" x14ac:dyDescent="0.25">
      <c r="B4849" s="10"/>
    </row>
    <row r="4850" spans="2:2" x14ac:dyDescent="0.25">
      <c r="B4850" s="10"/>
    </row>
    <row r="4851" spans="2:2" x14ac:dyDescent="0.25">
      <c r="B4851" s="10"/>
    </row>
    <row r="4852" spans="2:2" x14ac:dyDescent="0.25">
      <c r="B4852" s="10"/>
    </row>
    <row r="4853" spans="2:2" x14ac:dyDescent="0.25">
      <c r="B4853" s="10"/>
    </row>
    <row r="4854" spans="2:2" x14ac:dyDescent="0.25">
      <c r="B4854" s="10"/>
    </row>
    <row r="4855" spans="2:2" x14ac:dyDescent="0.25">
      <c r="B4855" s="10"/>
    </row>
    <row r="4856" spans="2:2" x14ac:dyDescent="0.25">
      <c r="B4856" s="10"/>
    </row>
    <row r="4857" spans="2:2" x14ac:dyDescent="0.25">
      <c r="B4857" s="10"/>
    </row>
    <row r="4858" spans="2:2" x14ac:dyDescent="0.25">
      <c r="B4858" s="10"/>
    </row>
    <row r="4859" spans="2:2" x14ac:dyDescent="0.25">
      <c r="B4859" s="10"/>
    </row>
    <row r="4860" spans="2:2" x14ac:dyDescent="0.25">
      <c r="B4860" s="10"/>
    </row>
    <row r="4861" spans="2:2" x14ac:dyDescent="0.25">
      <c r="B4861" s="10"/>
    </row>
    <row r="4862" spans="2:2" x14ac:dyDescent="0.25">
      <c r="B4862" s="10"/>
    </row>
    <row r="4863" spans="2:2" x14ac:dyDescent="0.25">
      <c r="B4863" s="10"/>
    </row>
    <row r="4864" spans="2:2" x14ac:dyDescent="0.25">
      <c r="B4864" s="10"/>
    </row>
    <row r="4865" spans="2:2" x14ac:dyDescent="0.25">
      <c r="B4865" s="10"/>
    </row>
    <row r="4866" spans="2:2" x14ac:dyDescent="0.25">
      <c r="B4866" s="10"/>
    </row>
    <row r="4867" spans="2:2" x14ac:dyDescent="0.25">
      <c r="B4867" s="10"/>
    </row>
    <row r="4868" spans="2:2" x14ac:dyDescent="0.25">
      <c r="B4868" s="10"/>
    </row>
    <row r="4869" spans="2:2" x14ac:dyDescent="0.25">
      <c r="B4869" s="10"/>
    </row>
    <row r="4870" spans="2:2" x14ac:dyDescent="0.25">
      <c r="B4870" s="10"/>
    </row>
    <row r="4871" spans="2:2" x14ac:dyDescent="0.25">
      <c r="B4871" s="10"/>
    </row>
    <row r="4872" spans="2:2" x14ac:dyDescent="0.25">
      <c r="B4872" s="10"/>
    </row>
    <row r="4873" spans="2:2" x14ac:dyDescent="0.25">
      <c r="B4873" s="10"/>
    </row>
    <row r="4874" spans="2:2" x14ac:dyDescent="0.25">
      <c r="B4874" s="10"/>
    </row>
    <row r="4875" spans="2:2" x14ac:dyDescent="0.25">
      <c r="B4875" s="10"/>
    </row>
    <row r="4876" spans="2:2" x14ac:dyDescent="0.25">
      <c r="B4876" s="10"/>
    </row>
    <row r="4877" spans="2:2" x14ac:dyDescent="0.25">
      <c r="B4877" s="10"/>
    </row>
    <row r="4878" spans="2:2" x14ac:dyDescent="0.25">
      <c r="B4878" s="10"/>
    </row>
    <row r="4879" spans="2:2" x14ac:dyDescent="0.25">
      <c r="B4879" s="10"/>
    </row>
    <row r="4880" spans="2:2" x14ac:dyDescent="0.25">
      <c r="B4880" s="10"/>
    </row>
    <row r="4881" spans="2:2" x14ac:dyDescent="0.25">
      <c r="B4881" s="10"/>
    </row>
    <row r="4882" spans="2:2" x14ac:dyDescent="0.25">
      <c r="B4882" s="10"/>
    </row>
    <row r="4883" spans="2:2" x14ac:dyDescent="0.25">
      <c r="B4883" s="10"/>
    </row>
    <row r="4884" spans="2:2" x14ac:dyDescent="0.25">
      <c r="B4884" s="10"/>
    </row>
    <row r="4885" spans="2:2" x14ac:dyDescent="0.25">
      <c r="B4885" s="10"/>
    </row>
    <row r="4886" spans="2:2" x14ac:dyDescent="0.25">
      <c r="B4886" s="10"/>
    </row>
    <row r="4887" spans="2:2" x14ac:dyDescent="0.25">
      <c r="B4887" s="10"/>
    </row>
    <row r="4888" spans="2:2" x14ac:dyDescent="0.25">
      <c r="B4888" s="10"/>
    </row>
    <row r="4889" spans="2:2" x14ac:dyDescent="0.25">
      <c r="B4889" s="10"/>
    </row>
    <row r="4890" spans="2:2" x14ac:dyDescent="0.25">
      <c r="B4890" s="10"/>
    </row>
    <row r="4891" spans="2:2" x14ac:dyDescent="0.25">
      <c r="B4891" s="10"/>
    </row>
    <row r="4892" spans="2:2" x14ac:dyDescent="0.25">
      <c r="B4892" s="10"/>
    </row>
    <row r="4893" spans="2:2" x14ac:dyDescent="0.25">
      <c r="B4893" s="10"/>
    </row>
    <row r="4894" spans="2:2" x14ac:dyDescent="0.25">
      <c r="B4894" s="10"/>
    </row>
    <row r="4895" spans="2:2" x14ac:dyDescent="0.25">
      <c r="B4895" s="10"/>
    </row>
    <row r="4896" spans="2:2" x14ac:dyDescent="0.25">
      <c r="B4896" s="10"/>
    </row>
    <row r="4897" spans="2:2" x14ac:dyDescent="0.25">
      <c r="B4897" s="10"/>
    </row>
    <row r="4898" spans="2:2" x14ac:dyDescent="0.25">
      <c r="B4898" s="10"/>
    </row>
    <row r="4899" spans="2:2" x14ac:dyDescent="0.25">
      <c r="B4899" s="10"/>
    </row>
    <row r="4900" spans="2:2" x14ac:dyDescent="0.25">
      <c r="B4900" s="10"/>
    </row>
    <row r="4901" spans="2:2" x14ac:dyDescent="0.25">
      <c r="B4901" s="10"/>
    </row>
    <row r="4902" spans="2:2" x14ac:dyDescent="0.25">
      <c r="B4902" s="10"/>
    </row>
    <row r="4903" spans="2:2" x14ac:dyDescent="0.25">
      <c r="B4903" s="10"/>
    </row>
    <row r="4904" spans="2:2" x14ac:dyDescent="0.25">
      <c r="B4904" s="10"/>
    </row>
    <row r="4905" spans="2:2" x14ac:dyDescent="0.25">
      <c r="B4905" s="10"/>
    </row>
    <row r="4906" spans="2:2" x14ac:dyDescent="0.25">
      <c r="B4906" s="10"/>
    </row>
    <row r="4907" spans="2:2" x14ac:dyDescent="0.25">
      <c r="B4907" s="10"/>
    </row>
    <row r="4908" spans="2:2" x14ac:dyDescent="0.25">
      <c r="B4908" s="10"/>
    </row>
    <row r="4909" spans="2:2" x14ac:dyDescent="0.25">
      <c r="B4909" s="10"/>
    </row>
    <row r="4910" spans="2:2" x14ac:dyDescent="0.25">
      <c r="B4910" s="10"/>
    </row>
    <row r="4911" spans="2:2" x14ac:dyDescent="0.25">
      <c r="B4911" s="10"/>
    </row>
    <row r="4912" spans="2:2" x14ac:dyDescent="0.25">
      <c r="B4912" s="10"/>
    </row>
    <row r="4913" spans="2:2" x14ac:dyDescent="0.25">
      <c r="B4913" s="10"/>
    </row>
    <row r="4914" spans="2:2" x14ac:dyDescent="0.25">
      <c r="B4914" s="10"/>
    </row>
    <row r="4915" spans="2:2" x14ac:dyDescent="0.25">
      <c r="B4915" s="10"/>
    </row>
    <row r="4916" spans="2:2" x14ac:dyDescent="0.25">
      <c r="B4916" s="10"/>
    </row>
    <row r="4917" spans="2:2" x14ac:dyDescent="0.25">
      <c r="B4917" s="10"/>
    </row>
    <row r="4918" spans="2:2" x14ac:dyDescent="0.25">
      <c r="B4918" s="10"/>
    </row>
    <row r="4919" spans="2:2" x14ac:dyDescent="0.25">
      <c r="B4919" s="10"/>
    </row>
    <row r="4920" spans="2:2" x14ac:dyDescent="0.25">
      <c r="B4920" s="10"/>
    </row>
    <row r="4921" spans="2:2" x14ac:dyDescent="0.25">
      <c r="B4921" s="10"/>
    </row>
    <row r="4922" spans="2:2" x14ac:dyDescent="0.25">
      <c r="B4922" s="10"/>
    </row>
    <row r="4923" spans="2:2" x14ac:dyDescent="0.25">
      <c r="B4923" s="10"/>
    </row>
    <row r="4924" spans="2:2" x14ac:dyDescent="0.25">
      <c r="B4924" s="10"/>
    </row>
    <row r="4925" spans="2:2" x14ac:dyDescent="0.25">
      <c r="B4925" s="10"/>
    </row>
    <row r="4926" spans="2:2" x14ac:dyDescent="0.25">
      <c r="B4926" s="10"/>
    </row>
    <row r="4927" spans="2:2" x14ac:dyDescent="0.25">
      <c r="B4927" s="10"/>
    </row>
    <row r="4928" spans="2:2" x14ac:dyDescent="0.25">
      <c r="B4928" s="10"/>
    </row>
    <row r="4929" spans="2:2" x14ac:dyDescent="0.25">
      <c r="B4929" s="10"/>
    </row>
    <row r="4930" spans="2:2" x14ac:dyDescent="0.25">
      <c r="B4930" s="10"/>
    </row>
    <row r="4931" spans="2:2" x14ac:dyDescent="0.25">
      <c r="B4931" s="10"/>
    </row>
    <row r="4932" spans="2:2" x14ac:dyDescent="0.25">
      <c r="B4932" s="10"/>
    </row>
    <row r="4933" spans="2:2" x14ac:dyDescent="0.25">
      <c r="B4933" s="10"/>
    </row>
    <row r="4934" spans="2:2" x14ac:dyDescent="0.25">
      <c r="B4934" s="10"/>
    </row>
    <row r="4935" spans="2:2" x14ac:dyDescent="0.25">
      <c r="B4935" s="10"/>
    </row>
    <row r="4936" spans="2:2" x14ac:dyDescent="0.25">
      <c r="B4936" s="10"/>
    </row>
    <row r="4937" spans="2:2" x14ac:dyDescent="0.25">
      <c r="B4937" s="10"/>
    </row>
    <row r="4938" spans="2:2" x14ac:dyDescent="0.25">
      <c r="B4938" s="10"/>
    </row>
    <row r="4939" spans="2:2" x14ac:dyDescent="0.25">
      <c r="B4939" s="10"/>
    </row>
    <row r="4940" spans="2:2" x14ac:dyDescent="0.25">
      <c r="B4940" s="10"/>
    </row>
    <row r="4941" spans="2:2" x14ac:dyDescent="0.25">
      <c r="B4941" s="10"/>
    </row>
    <row r="4942" spans="2:2" x14ac:dyDescent="0.25">
      <c r="B4942" s="10"/>
    </row>
    <row r="4943" spans="2:2" x14ac:dyDescent="0.25">
      <c r="B4943" s="10"/>
    </row>
    <row r="4944" spans="2:2" x14ac:dyDescent="0.25">
      <c r="B4944" s="10"/>
    </row>
    <row r="4945" spans="2:2" x14ac:dyDescent="0.25">
      <c r="B4945" s="10"/>
    </row>
    <row r="4946" spans="2:2" x14ac:dyDescent="0.25">
      <c r="B4946" s="10"/>
    </row>
    <row r="4947" spans="2:2" x14ac:dyDescent="0.25">
      <c r="B4947" s="10"/>
    </row>
    <row r="4948" spans="2:2" x14ac:dyDescent="0.25">
      <c r="B4948" s="10"/>
    </row>
    <row r="4949" spans="2:2" x14ac:dyDescent="0.25">
      <c r="B4949" s="10"/>
    </row>
    <row r="4950" spans="2:2" x14ac:dyDescent="0.25">
      <c r="B4950" s="10"/>
    </row>
    <row r="4951" spans="2:2" x14ac:dyDescent="0.25">
      <c r="B4951" s="10"/>
    </row>
    <row r="4952" spans="2:2" x14ac:dyDescent="0.25">
      <c r="B4952" s="10"/>
    </row>
    <row r="4953" spans="2:2" x14ac:dyDescent="0.25">
      <c r="B4953" s="10"/>
    </row>
    <row r="4954" spans="2:2" x14ac:dyDescent="0.25">
      <c r="B4954" s="10"/>
    </row>
    <row r="4955" spans="2:2" x14ac:dyDescent="0.25">
      <c r="B4955" s="10"/>
    </row>
    <row r="4956" spans="2:2" x14ac:dyDescent="0.25">
      <c r="B4956" s="10"/>
    </row>
    <row r="4957" spans="2:2" x14ac:dyDescent="0.25">
      <c r="B4957" s="10"/>
    </row>
    <row r="4958" spans="2:2" x14ac:dyDescent="0.25">
      <c r="B4958" s="10"/>
    </row>
    <row r="4959" spans="2:2" x14ac:dyDescent="0.25">
      <c r="B4959" s="10"/>
    </row>
    <row r="4960" spans="2:2" x14ac:dyDescent="0.25">
      <c r="B4960" s="10"/>
    </row>
    <row r="4961" spans="2:2" x14ac:dyDescent="0.25">
      <c r="B4961" s="10"/>
    </row>
    <row r="4962" spans="2:2" x14ac:dyDescent="0.25">
      <c r="B4962" s="10"/>
    </row>
    <row r="4963" spans="2:2" x14ac:dyDescent="0.25">
      <c r="B4963" s="10"/>
    </row>
    <row r="4964" spans="2:2" x14ac:dyDescent="0.25">
      <c r="B4964" s="10"/>
    </row>
    <row r="4965" spans="2:2" x14ac:dyDescent="0.25">
      <c r="B4965" s="10"/>
    </row>
    <row r="4966" spans="2:2" x14ac:dyDescent="0.25">
      <c r="B4966" s="10"/>
    </row>
    <row r="4967" spans="2:2" x14ac:dyDescent="0.25">
      <c r="B4967" s="10"/>
    </row>
    <row r="4968" spans="2:2" x14ac:dyDescent="0.25">
      <c r="B4968" s="10"/>
    </row>
    <row r="4969" spans="2:2" x14ac:dyDescent="0.25">
      <c r="B4969" s="10"/>
    </row>
    <row r="4970" spans="2:2" x14ac:dyDescent="0.25">
      <c r="B4970" s="10"/>
    </row>
    <row r="4971" spans="2:2" x14ac:dyDescent="0.25">
      <c r="B4971" s="10"/>
    </row>
    <row r="4972" spans="2:2" x14ac:dyDescent="0.25">
      <c r="B4972" s="10"/>
    </row>
    <row r="4973" spans="2:2" x14ac:dyDescent="0.25">
      <c r="B4973" s="10"/>
    </row>
    <row r="4974" spans="2:2" x14ac:dyDescent="0.25">
      <c r="B4974" s="10"/>
    </row>
    <row r="4975" spans="2:2" x14ac:dyDescent="0.25">
      <c r="B4975" s="10"/>
    </row>
    <row r="4976" spans="2:2" x14ac:dyDescent="0.25">
      <c r="B4976" s="10"/>
    </row>
    <row r="4977" spans="2:2" x14ac:dyDescent="0.25">
      <c r="B4977" s="10"/>
    </row>
    <row r="4978" spans="2:2" x14ac:dyDescent="0.25">
      <c r="B4978" s="10"/>
    </row>
    <row r="4979" spans="2:2" x14ac:dyDescent="0.25">
      <c r="B4979" s="10"/>
    </row>
    <row r="4980" spans="2:2" x14ac:dyDescent="0.25">
      <c r="B4980" s="10"/>
    </row>
    <row r="4981" spans="2:2" x14ac:dyDescent="0.25">
      <c r="B4981" s="10"/>
    </row>
    <row r="4982" spans="2:2" x14ac:dyDescent="0.25">
      <c r="B4982" s="10"/>
    </row>
    <row r="4983" spans="2:2" x14ac:dyDescent="0.25">
      <c r="B4983" s="10"/>
    </row>
    <row r="4984" spans="2:2" x14ac:dyDescent="0.25">
      <c r="B4984" s="10"/>
    </row>
    <row r="4985" spans="2:2" x14ac:dyDescent="0.25">
      <c r="B4985" s="10"/>
    </row>
    <row r="4986" spans="2:2" x14ac:dyDescent="0.25">
      <c r="B4986" s="10"/>
    </row>
    <row r="4987" spans="2:2" x14ac:dyDescent="0.25">
      <c r="B4987" s="10"/>
    </row>
    <row r="4988" spans="2:2" x14ac:dyDescent="0.25">
      <c r="B4988" s="10"/>
    </row>
    <row r="4989" spans="2:2" x14ac:dyDescent="0.25">
      <c r="B4989" s="10"/>
    </row>
    <row r="4990" spans="2:2" x14ac:dyDescent="0.25">
      <c r="B4990" s="10"/>
    </row>
    <row r="4991" spans="2:2" x14ac:dyDescent="0.25">
      <c r="B4991" s="10"/>
    </row>
    <row r="4992" spans="2:2" x14ac:dyDescent="0.25">
      <c r="B4992" s="10"/>
    </row>
    <row r="4993" spans="2:2" x14ac:dyDescent="0.25">
      <c r="B4993" s="10"/>
    </row>
    <row r="4994" spans="2:2" x14ac:dyDescent="0.25">
      <c r="B4994" s="10"/>
    </row>
    <row r="4995" spans="2:2" x14ac:dyDescent="0.25">
      <c r="B4995" s="10"/>
    </row>
    <row r="4996" spans="2:2" x14ac:dyDescent="0.25">
      <c r="B4996" s="10"/>
    </row>
    <row r="4997" spans="2:2" x14ac:dyDescent="0.25">
      <c r="B4997" s="10"/>
    </row>
    <row r="4998" spans="2:2" x14ac:dyDescent="0.25">
      <c r="B4998" s="10"/>
    </row>
    <row r="4999" spans="2:2" x14ac:dyDescent="0.25">
      <c r="B4999" s="10"/>
    </row>
    <row r="5000" spans="2:2" x14ac:dyDescent="0.25">
      <c r="B5000" s="10"/>
    </row>
    <row r="5001" spans="2:2" x14ac:dyDescent="0.25">
      <c r="B5001" s="10"/>
    </row>
    <row r="5002" spans="2:2" x14ac:dyDescent="0.25">
      <c r="B5002" s="10"/>
    </row>
    <row r="5003" spans="2:2" x14ac:dyDescent="0.25">
      <c r="B5003" s="10"/>
    </row>
    <row r="5004" spans="2:2" x14ac:dyDescent="0.25">
      <c r="B5004" s="10"/>
    </row>
    <row r="5005" spans="2:2" x14ac:dyDescent="0.25">
      <c r="B5005" s="10"/>
    </row>
    <row r="5006" spans="2:2" x14ac:dyDescent="0.25">
      <c r="B5006" s="10"/>
    </row>
    <row r="5007" spans="2:2" x14ac:dyDescent="0.25">
      <c r="B5007" s="10"/>
    </row>
    <row r="5008" spans="2:2" x14ac:dyDescent="0.25">
      <c r="B5008" s="10"/>
    </row>
    <row r="5009" spans="2:2" x14ac:dyDescent="0.25">
      <c r="B5009" s="10"/>
    </row>
    <row r="5010" spans="2:2" x14ac:dyDescent="0.25">
      <c r="B5010" s="10"/>
    </row>
    <row r="5011" spans="2:2" x14ac:dyDescent="0.25">
      <c r="B5011" s="10"/>
    </row>
    <row r="5012" spans="2:2" x14ac:dyDescent="0.25">
      <c r="B5012" s="10"/>
    </row>
    <row r="5013" spans="2:2" x14ac:dyDescent="0.25">
      <c r="B5013" s="10"/>
    </row>
    <row r="5014" spans="2:2" x14ac:dyDescent="0.25">
      <c r="B5014" s="10"/>
    </row>
    <row r="5015" spans="2:2" x14ac:dyDescent="0.25">
      <c r="B5015" s="10"/>
    </row>
    <row r="5016" spans="2:2" x14ac:dyDescent="0.25">
      <c r="B5016" s="10"/>
    </row>
    <row r="5017" spans="2:2" x14ac:dyDescent="0.25">
      <c r="B5017" s="10"/>
    </row>
    <row r="5018" spans="2:2" x14ac:dyDescent="0.25">
      <c r="B5018" s="10"/>
    </row>
    <row r="5019" spans="2:2" x14ac:dyDescent="0.25">
      <c r="B5019" s="10"/>
    </row>
    <row r="5020" spans="2:2" x14ac:dyDescent="0.25">
      <c r="B5020" s="10"/>
    </row>
    <row r="5021" spans="2:2" x14ac:dyDescent="0.25">
      <c r="B5021" s="10"/>
    </row>
    <row r="5022" spans="2:2" x14ac:dyDescent="0.25">
      <c r="B5022" s="10"/>
    </row>
    <row r="5023" spans="2:2" x14ac:dyDescent="0.25">
      <c r="B5023" s="10"/>
    </row>
    <row r="5024" spans="2:2" x14ac:dyDescent="0.25">
      <c r="B5024" s="10"/>
    </row>
    <row r="5025" spans="2:2" x14ac:dyDescent="0.25">
      <c r="B5025" s="10"/>
    </row>
    <row r="5026" spans="2:2" x14ac:dyDescent="0.25">
      <c r="B5026" s="10"/>
    </row>
    <row r="5027" spans="2:2" x14ac:dyDescent="0.25">
      <c r="B5027" s="10"/>
    </row>
    <row r="5028" spans="2:2" x14ac:dyDescent="0.25">
      <c r="B5028" s="10"/>
    </row>
    <row r="5029" spans="2:2" x14ac:dyDescent="0.25">
      <c r="B5029" s="10"/>
    </row>
    <row r="5030" spans="2:2" x14ac:dyDescent="0.25">
      <c r="B5030" s="10"/>
    </row>
    <row r="5031" spans="2:2" x14ac:dyDescent="0.25">
      <c r="B5031" s="10"/>
    </row>
    <row r="5032" spans="2:2" x14ac:dyDescent="0.25">
      <c r="B5032" s="10"/>
    </row>
    <row r="5033" spans="2:2" x14ac:dyDescent="0.25">
      <c r="B5033" s="10"/>
    </row>
    <row r="5034" spans="2:2" x14ac:dyDescent="0.25">
      <c r="B5034" s="10"/>
    </row>
    <row r="5035" spans="2:2" x14ac:dyDescent="0.25">
      <c r="B5035" s="10"/>
    </row>
    <row r="5036" spans="2:2" x14ac:dyDescent="0.25">
      <c r="B5036" s="10"/>
    </row>
    <row r="5037" spans="2:2" x14ac:dyDescent="0.25">
      <c r="B5037" s="10"/>
    </row>
    <row r="5038" spans="2:2" x14ac:dyDescent="0.25">
      <c r="B5038" s="10"/>
    </row>
    <row r="5039" spans="2:2" x14ac:dyDescent="0.25">
      <c r="B5039" s="10"/>
    </row>
    <row r="5040" spans="2:2" x14ac:dyDescent="0.25">
      <c r="B5040" s="10"/>
    </row>
    <row r="5041" spans="2:2" x14ac:dyDescent="0.25">
      <c r="B5041" s="10"/>
    </row>
    <row r="5042" spans="2:2" x14ac:dyDescent="0.25">
      <c r="B5042" s="10"/>
    </row>
    <row r="5043" spans="2:2" x14ac:dyDescent="0.25">
      <c r="B5043" s="10"/>
    </row>
    <row r="5044" spans="2:2" x14ac:dyDescent="0.25">
      <c r="B5044" s="10"/>
    </row>
    <row r="5045" spans="2:2" x14ac:dyDescent="0.25">
      <c r="B5045" s="10"/>
    </row>
    <row r="5046" spans="2:2" x14ac:dyDescent="0.25">
      <c r="B5046" s="10"/>
    </row>
    <row r="5047" spans="2:2" x14ac:dyDescent="0.25">
      <c r="B5047" s="10"/>
    </row>
    <row r="5048" spans="2:2" x14ac:dyDescent="0.25">
      <c r="B5048" s="10"/>
    </row>
    <row r="5049" spans="2:2" x14ac:dyDescent="0.25">
      <c r="B5049" s="10"/>
    </row>
    <row r="5050" spans="2:2" x14ac:dyDescent="0.25">
      <c r="B5050" s="10"/>
    </row>
    <row r="5051" spans="2:2" x14ac:dyDescent="0.25">
      <c r="B5051" s="10"/>
    </row>
    <row r="5052" spans="2:2" x14ac:dyDescent="0.25">
      <c r="B5052" s="10"/>
    </row>
    <row r="5053" spans="2:2" x14ac:dyDescent="0.25">
      <c r="B5053" s="10"/>
    </row>
    <row r="5054" spans="2:2" x14ac:dyDescent="0.25">
      <c r="B5054" s="10"/>
    </row>
    <row r="5055" spans="2:2" x14ac:dyDescent="0.25">
      <c r="B5055" s="10"/>
    </row>
    <row r="5056" spans="2:2" x14ac:dyDescent="0.25">
      <c r="B5056" s="10"/>
    </row>
    <row r="5057" spans="2:2" x14ac:dyDescent="0.25">
      <c r="B5057" s="10"/>
    </row>
    <row r="5058" spans="2:2" x14ac:dyDescent="0.25">
      <c r="B5058" s="10"/>
    </row>
    <row r="5059" spans="2:2" x14ac:dyDescent="0.25">
      <c r="B5059" s="10"/>
    </row>
    <row r="5060" spans="2:2" x14ac:dyDescent="0.25">
      <c r="B5060" s="10"/>
    </row>
    <row r="5061" spans="2:2" x14ac:dyDescent="0.25">
      <c r="B5061" s="10"/>
    </row>
    <row r="5062" spans="2:2" x14ac:dyDescent="0.25">
      <c r="B5062" s="10"/>
    </row>
    <row r="5063" spans="2:2" x14ac:dyDescent="0.25">
      <c r="B5063" s="10"/>
    </row>
    <row r="5064" spans="2:2" x14ac:dyDescent="0.25">
      <c r="B5064" s="10"/>
    </row>
    <row r="5065" spans="2:2" x14ac:dyDescent="0.25">
      <c r="B5065" s="10"/>
    </row>
    <row r="5066" spans="2:2" x14ac:dyDescent="0.25">
      <c r="B5066" s="10"/>
    </row>
    <row r="5067" spans="2:2" x14ac:dyDescent="0.25">
      <c r="B5067" s="10"/>
    </row>
    <row r="5068" spans="2:2" x14ac:dyDescent="0.25">
      <c r="B5068" s="10"/>
    </row>
    <row r="5069" spans="2:2" x14ac:dyDescent="0.25">
      <c r="B5069" s="10"/>
    </row>
    <row r="5070" spans="2:2" x14ac:dyDescent="0.25">
      <c r="B5070" s="10"/>
    </row>
    <row r="5071" spans="2:2" x14ac:dyDescent="0.25">
      <c r="B5071" s="10"/>
    </row>
    <row r="5072" spans="2:2" x14ac:dyDescent="0.25">
      <c r="B5072" s="10"/>
    </row>
    <row r="5073" spans="2:2" x14ac:dyDescent="0.25">
      <c r="B5073" s="10"/>
    </row>
    <row r="5074" spans="2:2" x14ac:dyDescent="0.25">
      <c r="B5074" s="10"/>
    </row>
    <row r="5075" spans="2:2" x14ac:dyDescent="0.25">
      <c r="B5075" s="10"/>
    </row>
    <row r="5076" spans="2:2" x14ac:dyDescent="0.25">
      <c r="B5076" s="10"/>
    </row>
    <row r="5077" spans="2:2" x14ac:dyDescent="0.25">
      <c r="B5077" s="10"/>
    </row>
    <row r="5078" spans="2:2" x14ac:dyDescent="0.25">
      <c r="B5078" s="10"/>
    </row>
    <row r="5079" spans="2:2" x14ac:dyDescent="0.25">
      <c r="B5079" s="10"/>
    </row>
    <row r="5080" spans="2:2" x14ac:dyDescent="0.25">
      <c r="B5080" s="10"/>
    </row>
    <row r="5081" spans="2:2" x14ac:dyDescent="0.25">
      <c r="B5081" s="10"/>
    </row>
    <row r="5082" spans="2:2" x14ac:dyDescent="0.25">
      <c r="B5082" s="10"/>
    </row>
    <row r="5083" spans="2:2" x14ac:dyDescent="0.25">
      <c r="B5083" s="10"/>
    </row>
    <row r="5084" spans="2:2" x14ac:dyDescent="0.25">
      <c r="B5084" s="10"/>
    </row>
    <row r="5085" spans="2:2" x14ac:dyDescent="0.25">
      <c r="B5085" s="10"/>
    </row>
    <row r="5086" spans="2:2" x14ac:dyDescent="0.25">
      <c r="B5086" s="10"/>
    </row>
    <row r="5087" spans="2:2" x14ac:dyDescent="0.25">
      <c r="B5087" s="10"/>
    </row>
    <row r="5088" spans="2:2" x14ac:dyDescent="0.25">
      <c r="B5088" s="10"/>
    </row>
    <row r="5089" spans="2:2" x14ac:dyDescent="0.25">
      <c r="B5089" s="10"/>
    </row>
    <row r="5090" spans="2:2" x14ac:dyDescent="0.25">
      <c r="B5090" s="10"/>
    </row>
    <row r="5091" spans="2:2" x14ac:dyDescent="0.25">
      <c r="B5091" s="10"/>
    </row>
    <row r="5092" spans="2:2" x14ac:dyDescent="0.25">
      <c r="B5092" s="10"/>
    </row>
    <row r="5093" spans="2:2" x14ac:dyDescent="0.25">
      <c r="B5093" s="10"/>
    </row>
    <row r="5094" spans="2:2" x14ac:dyDescent="0.25">
      <c r="B5094" s="10"/>
    </row>
    <row r="5095" spans="2:2" x14ac:dyDescent="0.25">
      <c r="B5095" s="10"/>
    </row>
    <row r="5096" spans="2:2" x14ac:dyDescent="0.25">
      <c r="B5096" s="10"/>
    </row>
    <row r="5097" spans="2:2" x14ac:dyDescent="0.25">
      <c r="B5097" s="10"/>
    </row>
    <row r="5098" spans="2:2" x14ac:dyDescent="0.25">
      <c r="B5098" s="10"/>
    </row>
    <row r="5099" spans="2:2" x14ac:dyDescent="0.25">
      <c r="B5099" s="10"/>
    </row>
    <row r="5100" spans="2:2" x14ac:dyDescent="0.25">
      <c r="B5100" s="10"/>
    </row>
    <row r="5101" spans="2:2" x14ac:dyDescent="0.25">
      <c r="B5101" s="10"/>
    </row>
    <row r="5102" spans="2:2" x14ac:dyDescent="0.25">
      <c r="B5102" s="10"/>
    </row>
    <row r="5103" spans="2:2" x14ac:dyDescent="0.25">
      <c r="B5103" s="10"/>
    </row>
    <row r="5104" spans="2:2" x14ac:dyDescent="0.25">
      <c r="B5104" s="10"/>
    </row>
    <row r="5105" spans="2:2" x14ac:dyDescent="0.25">
      <c r="B5105" s="10"/>
    </row>
    <row r="5106" spans="2:2" x14ac:dyDescent="0.25">
      <c r="B5106" s="10"/>
    </row>
    <row r="5107" spans="2:2" x14ac:dyDescent="0.25">
      <c r="B5107" s="10"/>
    </row>
    <row r="5108" spans="2:2" x14ac:dyDescent="0.25">
      <c r="B5108" s="10"/>
    </row>
    <row r="5109" spans="2:2" x14ac:dyDescent="0.25">
      <c r="B5109" s="10"/>
    </row>
    <row r="5110" spans="2:2" x14ac:dyDescent="0.25">
      <c r="B5110" s="10"/>
    </row>
    <row r="5111" spans="2:2" x14ac:dyDescent="0.25">
      <c r="B5111" s="10"/>
    </row>
    <row r="5112" spans="2:2" x14ac:dyDescent="0.25">
      <c r="B5112" s="10"/>
    </row>
    <row r="5113" spans="2:2" x14ac:dyDescent="0.25">
      <c r="B5113" s="10"/>
    </row>
    <row r="5114" spans="2:2" x14ac:dyDescent="0.25">
      <c r="B5114" s="10"/>
    </row>
    <row r="5115" spans="2:2" x14ac:dyDescent="0.25">
      <c r="B5115" s="10"/>
    </row>
    <row r="5116" spans="2:2" x14ac:dyDescent="0.25">
      <c r="B5116" s="10"/>
    </row>
    <row r="5117" spans="2:2" x14ac:dyDescent="0.25">
      <c r="B5117" s="10"/>
    </row>
    <row r="5118" spans="2:2" x14ac:dyDescent="0.25">
      <c r="B5118" s="10"/>
    </row>
    <row r="5119" spans="2:2" x14ac:dyDescent="0.25">
      <c r="B5119" s="10"/>
    </row>
    <row r="5120" spans="2:2" x14ac:dyDescent="0.25">
      <c r="B5120" s="10"/>
    </row>
    <row r="5121" spans="2:2" x14ac:dyDescent="0.25">
      <c r="B5121" s="10"/>
    </row>
    <row r="5122" spans="2:2" x14ac:dyDescent="0.25">
      <c r="B5122" s="10"/>
    </row>
    <row r="5123" spans="2:2" x14ac:dyDescent="0.25">
      <c r="B5123" s="10"/>
    </row>
    <row r="5124" spans="2:2" x14ac:dyDescent="0.25">
      <c r="B5124" s="10"/>
    </row>
    <row r="5125" spans="2:2" x14ac:dyDescent="0.25">
      <c r="B5125" s="10"/>
    </row>
    <row r="5126" spans="2:2" x14ac:dyDescent="0.25">
      <c r="B5126" s="10"/>
    </row>
    <row r="5127" spans="2:2" x14ac:dyDescent="0.25">
      <c r="B5127" s="10"/>
    </row>
    <row r="5128" spans="2:2" x14ac:dyDescent="0.25">
      <c r="B5128" s="10"/>
    </row>
    <row r="5129" spans="2:2" x14ac:dyDescent="0.25">
      <c r="B5129" s="10"/>
    </row>
    <row r="5130" spans="2:2" x14ac:dyDescent="0.25">
      <c r="B5130" s="10"/>
    </row>
    <row r="5131" spans="2:2" x14ac:dyDescent="0.25">
      <c r="B5131" s="10"/>
    </row>
    <row r="5132" spans="2:2" x14ac:dyDescent="0.25">
      <c r="B5132" s="10"/>
    </row>
    <row r="5133" spans="2:2" x14ac:dyDescent="0.25">
      <c r="B5133" s="10"/>
    </row>
    <row r="5134" spans="2:2" x14ac:dyDescent="0.25">
      <c r="B5134" s="10"/>
    </row>
    <row r="5135" spans="2:2" x14ac:dyDescent="0.25">
      <c r="B5135" s="10"/>
    </row>
    <row r="5136" spans="2:2" x14ac:dyDescent="0.25">
      <c r="B5136" s="10"/>
    </row>
    <row r="5137" spans="2:2" x14ac:dyDescent="0.25">
      <c r="B5137" s="10"/>
    </row>
    <row r="5138" spans="2:2" x14ac:dyDescent="0.25">
      <c r="B5138" s="10"/>
    </row>
    <row r="5139" spans="2:2" x14ac:dyDescent="0.25">
      <c r="B5139" s="10"/>
    </row>
    <row r="5140" spans="2:2" x14ac:dyDescent="0.25">
      <c r="B5140" s="10"/>
    </row>
    <row r="5141" spans="2:2" x14ac:dyDescent="0.25">
      <c r="B5141" s="10"/>
    </row>
    <row r="5142" spans="2:2" x14ac:dyDescent="0.25">
      <c r="B5142" s="10"/>
    </row>
    <row r="5143" spans="2:2" x14ac:dyDescent="0.25">
      <c r="B5143" s="10"/>
    </row>
    <row r="5144" spans="2:2" x14ac:dyDescent="0.25">
      <c r="B5144" s="10"/>
    </row>
    <row r="5145" spans="2:2" x14ac:dyDescent="0.25">
      <c r="B5145" s="10"/>
    </row>
    <row r="5146" spans="2:2" x14ac:dyDescent="0.25">
      <c r="B5146" s="10"/>
    </row>
    <row r="5147" spans="2:2" x14ac:dyDescent="0.25">
      <c r="B5147" s="10"/>
    </row>
    <row r="5148" spans="2:2" x14ac:dyDescent="0.25">
      <c r="B5148" s="10"/>
    </row>
    <row r="5149" spans="2:2" x14ac:dyDescent="0.25">
      <c r="B5149" s="10"/>
    </row>
    <row r="5150" spans="2:2" x14ac:dyDescent="0.25">
      <c r="B5150" s="10"/>
    </row>
    <row r="5151" spans="2:2" x14ac:dyDescent="0.25">
      <c r="B5151" s="10"/>
    </row>
    <row r="5152" spans="2:2" x14ac:dyDescent="0.25">
      <c r="B5152" s="10"/>
    </row>
    <row r="5153" spans="2:2" x14ac:dyDescent="0.25">
      <c r="B5153" s="10"/>
    </row>
    <row r="5154" spans="2:2" x14ac:dyDescent="0.25">
      <c r="B5154" s="10"/>
    </row>
    <row r="5155" spans="2:2" x14ac:dyDescent="0.25">
      <c r="B5155" s="10"/>
    </row>
    <row r="5156" spans="2:2" x14ac:dyDescent="0.25">
      <c r="B5156" s="10"/>
    </row>
    <row r="5157" spans="2:2" x14ac:dyDescent="0.25">
      <c r="B5157" s="10"/>
    </row>
    <row r="5158" spans="2:2" x14ac:dyDescent="0.25">
      <c r="B5158" s="10"/>
    </row>
    <row r="5159" spans="2:2" x14ac:dyDescent="0.25">
      <c r="B5159" s="10"/>
    </row>
    <row r="5160" spans="2:2" x14ac:dyDescent="0.25">
      <c r="B5160" s="10"/>
    </row>
    <row r="5161" spans="2:2" x14ac:dyDescent="0.25">
      <c r="B5161" s="10"/>
    </row>
    <row r="5162" spans="2:2" x14ac:dyDescent="0.25">
      <c r="B5162" s="10"/>
    </row>
    <row r="5163" spans="2:2" x14ac:dyDescent="0.25">
      <c r="B5163" s="10"/>
    </row>
    <row r="5164" spans="2:2" x14ac:dyDescent="0.25">
      <c r="B5164" s="10"/>
    </row>
    <row r="5165" spans="2:2" x14ac:dyDescent="0.25">
      <c r="B5165" s="10"/>
    </row>
    <row r="5166" spans="2:2" x14ac:dyDescent="0.25">
      <c r="B5166" s="10"/>
    </row>
    <row r="5167" spans="2:2" x14ac:dyDescent="0.25">
      <c r="B5167" s="10"/>
    </row>
    <row r="5168" spans="2:2" x14ac:dyDescent="0.25">
      <c r="B5168" s="10"/>
    </row>
    <row r="5169" spans="2:2" x14ac:dyDescent="0.25">
      <c r="B5169" s="10"/>
    </row>
    <row r="5170" spans="2:2" x14ac:dyDescent="0.25">
      <c r="B5170" s="10"/>
    </row>
    <row r="5171" spans="2:2" x14ac:dyDescent="0.25">
      <c r="B5171" s="10"/>
    </row>
    <row r="5172" spans="2:2" x14ac:dyDescent="0.25">
      <c r="B5172" s="10"/>
    </row>
    <row r="5173" spans="2:2" x14ac:dyDescent="0.25">
      <c r="B5173" s="10"/>
    </row>
    <row r="5174" spans="2:2" x14ac:dyDescent="0.25">
      <c r="B5174" s="10"/>
    </row>
    <row r="5175" spans="2:2" x14ac:dyDescent="0.25">
      <c r="B5175" s="10"/>
    </row>
    <row r="5176" spans="2:2" x14ac:dyDescent="0.25">
      <c r="B5176" s="10"/>
    </row>
    <row r="5177" spans="2:2" x14ac:dyDescent="0.25">
      <c r="B5177" s="10"/>
    </row>
    <row r="5178" spans="2:2" x14ac:dyDescent="0.25">
      <c r="B5178" s="10"/>
    </row>
    <row r="5179" spans="2:2" x14ac:dyDescent="0.25">
      <c r="B5179" s="10"/>
    </row>
    <row r="5180" spans="2:2" x14ac:dyDescent="0.25">
      <c r="B5180" s="10"/>
    </row>
    <row r="5181" spans="2:2" x14ac:dyDescent="0.25">
      <c r="B5181" s="10"/>
    </row>
    <row r="5182" spans="2:2" x14ac:dyDescent="0.25">
      <c r="B5182" s="10"/>
    </row>
    <row r="5183" spans="2:2" x14ac:dyDescent="0.25">
      <c r="B5183" s="10"/>
    </row>
    <row r="5184" spans="2:2" x14ac:dyDescent="0.25">
      <c r="B5184" s="10"/>
    </row>
    <row r="5185" spans="2:2" x14ac:dyDescent="0.25">
      <c r="B5185" s="10"/>
    </row>
    <row r="5186" spans="2:2" x14ac:dyDescent="0.25">
      <c r="B5186" s="10"/>
    </row>
    <row r="5187" spans="2:2" x14ac:dyDescent="0.25">
      <c r="B5187" s="10"/>
    </row>
    <row r="5188" spans="2:2" x14ac:dyDescent="0.25">
      <c r="B5188" s="10"/>
    </row>
    <row r="5189" spans="2:2" x14ac:dyDescent="0.25">
      <c r="B5189" s="10"/>
    </row>
    <row r="5190" spans="2:2" x14ac:dyDescent="0.25">
      <c r="B5190" s="10"/>
    </row>
    <row r="5191" spans="2:2" x14ac:dyDescent="0.25">
      <c r="B5191" s="10"/>
    </row>
    <row r="5192" spans="2:2" x14ac:dyDescent="0.25">
      <c r="B5192" s="10"/>
    </row>
    <row r="5193" spans="2:2" x14ac:dyDescent="0.25">
      <c r="B5193" s="10"/>
    </row>
    <row r="5194" spans="2:2" x14ac:dyDescent="0.25">
      <c r="B5194" s="10"/>
    </row>
    <row r="5195" spans="2:2" x14ac:dyDescent="0.25">
      <c r="B5195" s="10"/>
    </row>
    <row r="5196" spans="2:2" x14ac:dyDescent="0.25">
      <c r="B5196" s="10"/>
    </row>
    <row r="5197" spans="2:2" x14ac:dyDescent="0.25">
      <c r="B5197" s="10"/>
    </row>
    <row r="5198" spans="2:2" x14ac:dyDescent="0.25">
      <c r="B5198" s="10"/>
    </row>
    <row r="5199" spans="2:2" x14ac:dyDescent="0.25">
      <c r="B5199" s="10"/>
    </row>
    <row r="5200" spans="2:2" x14ac:dyDescent="0.25">
      <c r="B5200" s="10"/>
    </row>
    <row r="5201" spans="2:2" x14ac:dyDescent="0.25">
      <c r="B5201" s="10"/>
    </row>
    <row r="5202" spans="2:2" x14ac:dyDescent="0.25">
      <c r="B5202" s="10"/>
    </row>
    <row r="5203" spans="2:2" x14ac:dyDescent="0.25">
      <c r="B5203" s="10"/>
    </row>
    <row r="5204" spans="2:2" x14ac:dyDescent="0.25">
      <c r="B5204" s="10"/>
    </row>
    <row r="5205" spans="2:2" x14ac:dyDescent="0.25">
      <c r="B5205" s="10"/>
    </row>
    <row r="5206" spans="2:2" x14ac:dyDescent="0.25">
      <c r="B5206" s="10"/>
    </row>
    <row r="5207" spans="2:2" x14ac:dyDescent="0.25">
      <c r="B5207" s="10"/>
    </row>
    <row r="5208" spans="2:2" x14ac:dyDescent="0.25">
      <c r="B5208" s="10"/>
    </row>
    <row r="5209" spans="2:2" x14ac:dyDescent="0.25">
      <c r="B5209" s="10"/>
    </row>
    <row r="5210" spans="2:2" x14ac:dyDescent="0.25">
      <c r="B5210" s="10"/>
    </row>
    <row r="5211" spans="2:2" x14ac:dyDescent="0.25">
      <c r="B5211" s="10"/>
    </row>
    <row r="5212" spans="2:2" x14ac:dyDescent="0.25">
      <c r="B5212" s="10"/>
    </row>
    <row r="5213" spans="2:2" x14ac:dyDescent="0.25">
      <c r="B5213" s="10"/>
    </row>
    <row r="5214" spans="2:2" x14ac:dyDescent="0.25">
      <c r="B5214" s="10"/>
    </row>
    <row r="5215" spans="2:2" x14ac:dyDescent="0.25">
      <c r="B5215" s="10"/>
    </row>
    <row r="5216" spans="2:2" x14ac:dyDescent="0.25">
      <c r="B5216" s="10"/>
    </row>
    <row r="5217" spans="2:2" x14ac:dyDescent="0.25">
      <c r="B5217" s="10"/>
    </row>
    <row r="5218" spans="2:2" x14ac:dyDescent="0.25">
      <c r="B5218" s="10"/>
    </row>
    <row r="5219" spans="2:2" x14ac:dyDescent="0.25">
      <c r="B5219" s="10"/>
    </row>
    <row r="5220" spans="2:2" x14ac:dyDescent="0.25">
      <c r="B5220" s="10"/>
    </row>
    <row r="5221" spans="2:2" x14ac:dyDescent="0.25">
      <c r="B5221" s="10"/>
    </row>
    <row r="5222" spans="2:2" x14ac:dyDescent="0.25">
      <c r="B5222" s="10"/>
    </row>
    <row r="5223" spans="2:2" x14ac:dyDescent="0.25">
      <c r="B5223" s="10"/>
    </row>
    <row r="5224" spans="2:2" x14ac:dyDescent="0.25">
      <c r="B5224" s="10"/>
    </row>
    <row r="5225" spans="2:2" x14ac:dyDescent="0.25">
      <c r="B5225" s="10"/>
    </row>
    <row r="5226" spans="2:2" x14ac:dyDescent="0.25">
      <c r="B5226" s="10"/>
    </row>
    <row r="5227" spans="2:2" x14ac:dyDescent="0.25">
      <c r="B5227" s="10"/>
    </row>
    <row r="5228" spans="2:2" x14ac:dyDescent="0.25">
      <c r="B5228" s="10"/>
    </row>
    <row r="5229" spans="2:2" x14ac:dyDescent="0.25">
      <c r="B5229" s="10"/>
    </row>
    <row r="5230" spans="2:2" x14ac:dyDescent="0.25">
      <c r="B5230" s="10"/>
    </row>
    <row r="5231" spans="2:2" x14ac:dyDescent="0.25">
      <c r="B5231" s="10"/>
    </row>
    <row r="5232" spans="2:2" x14ac:dyDescent="0.25">
      <c r="B5232" s="10"/>
    </row>
    <row r="5233" spans="2:2" x14ac:dyDescent="0.25">
      <c r="B5233" s="10"/>
    </row>
    <row r="5234" spans="2:2" x14ac:dyDescent="0.25">
      <c r="B5234" s="10"/>
    </row>
    <row r="5235" spans="2:2" x14ac:dyDescent="0.25">
      <c r="B5235" s="10"/>
    </row>
    <row r="5236" spans="2:2" x14ac:dyDescent="0.25">
      <c r="B5236" s="10"/>
    </row>
    <row r="5237" spans="2:2" x14ac:dyDescent="0.25">
      <c r="B5237" s="10"/>
    </row>
    <row r="5238" spans="2:2" x14ac:dyDescent="0.25">
      <c r="B5238" s="10"/>
    </row>
    <row r="5239" spans="2:2" x14ac:dyDescent="0.25">
      <c r="B5239" s="10"/>
    </row>
    <row r="5240" spans="2:2" x14ac:dyDescent="0.25">
      <c r="B5240" s="10"/>
    </row>
    <row r="5241" spans="2:2" x14ac:dyDescent="0.25">
      <c r="B5241" s="10"/>
    </row>
    <row r="5242" spans="2:2" x14ac:dyDescent="0.25">
      <c r="B5242" s="10"/>
    </row>
    <row r="5243" spans="2:2" x14ac:dyDescent="0.25">
      <c r="B5243" s="10"/>
    </row>
    <row r="5244" spans="2:2" x14ac:dyDescent="0.25">
      <c r="B5244" s="10"/>
    </row>
    <row r="5245" spans="2:2" x14ac:dyDescent="0.25">
      <c r="B5245" s="10"/>
    </row>
    <row r="5246" spans="2:2" x14ac:dyDescent="0.25">
      <c r="B5246" s="10"/>
    </row>
    <row r="5247" spans="2:2" x14ac:dyDescent="0.25">
      <c r="B5247" s="10"/>
    </row>
    <row r="5248" spans="2:2" x14ac:dyDescent="0.25">
      <c r="B5248" s="10"/>
    </row>
    <row r="5249" spans="2:2" x14ac:dyDescent="0.25">
      <c r="B5249" s="10"/>
    </row>
    <row r="5250" spans="2:2" x14ac:dyDescent="0.25">
      <c r="B5250" s="10"/>
    </row>
    <row r="5251" spans="2:2" x14ac:dyDescent="0.25">
      <c r="B5251" s="10"/>
    </row>
    <row r="5252" spans="2:2" x14ac:dyDescent="0.25">
      <c r="B5252" s="10"/>
    </row>
    <row r="5253" spans="2:2" x14ac:dyDescent="0.25">
      <c r="B5253" s="10"/>
    </row>
    <row r="5254" spans="2:2" x14ac:dyDescent="0.25">
      <c r="B5254" s="10"/>
    </row>
    <row r="5255" spans="2:2" x14ac:dyDescent="0.25">
      <c r="B5255" s="10"/>
    </row>
    <row r="5256" spans="2:2" x14ac:dyDescent="0.25">
      <c r="B5256" s="10"/>
    </row>
    <row r="5257" spans="2:2" x14ac:dyDescent="0.25">
      <c r="B5257" s="10"/>
    </row>
    <row r="5258" spans="2:2" x14ac:dyDescent="0.25">
      <c r="B5258" s="10"/>
    </row>
    <row r="5259" spans="2:2" x14ac:dyDescent="0.25">
      <c r="B5259" s="10"/>
    </row>
    <row r="5260" spans="2:2" x14ac:dyDescent="0.25">
      <c r="B5260" s="10"/>
    </row>
    <row r="5261" spans="2:2" x14ac:dyDescent="0.25">
      <c r="B5261" s="10"/>
    </row>
    <row r="5262" spans="2:2" x14ac:dyDescent="0.25">
      <c r="B5262" s="10"/>
    </row>
    <row r="5263" spans="2:2" x14ac:dyDescent="0.25">
      <c r="B5263" s="10"/>
    </row>
    <row r="5264" spans="2:2" x14ac:dyDescent="0.25">
      <c r="B5264" s="10"/>
    </row>
    <row r="5265" spans="2:2" x14ac:dyDescent="0.25">
      <c r="B5265" s="10"/>
    </row>
    <row r="5266" spans="2:2" x14ac:dyDescent="0.25">
      <c r="B5266" s="10"/>
    </row>
    <row r="5267" spans="2:2" x14ac:dyDescent="0.25">
      <c r="B5267" s="10"/>
    </row>
    <row r="5268" spans="2:2" x14ac:dyDescent="0.25">
      <c r="B5268" s="10"/>
    </row>
    <row r="5269" spans="2:2" x14ac:dyDescent="0.25">
      <c r="B5269" s="10"/>
    </row>
    <row r="5270" spans="2:2" x14ac:dyDescent="0.25">
      <c r="B5270" s="10"/>
    </row>
    <row r="5271" spans="2:2" x14ac:dyDescent="0.25">
      <c r="B5271" s="10"/>
    </row>
    <row r="5272" spans="2:2" x14ac:dyDescent="0.25">
      <c r="B5272" s="10"/>
    </row>
    <row r="5273" spans="2:2" x14ac:dyDescent="0.25">
      <c r="B5273" s="10"/>
    </row>
    <row r="5274" spans="2:2" x14ac:dyDescent="0.25">
      <c r="B5274" s="10"/>
    </row>
    <row r="5275" spans="2:2" x14ac:dyDescent="0.25">
      <c r="B5275" s="10"/>
    </row>
    <row r="5276" spans="2:2" x14ac:dyDescent="0.25">
      <c r="B5276" s="10"/>
    </row>
    <row r="5277" spans="2:2" x14ac:dyDescent="0.25">
      <c r="B5277" s="10"/>
    </row>
    <row r="5278" spans="2:2" x14ac:dyDescent="0.25">
      <c r="B5278" s="10"/>
    </row>
    <row r="5279" spans="2:2" x14ac:dyDescent="0.25">
      <c r="B5279" s="10"/>
    </row>
    <row r="5280" spans="2:2" x14ac:dyDescent="0.25">
      <c r="B5280" s="10"/>
    </row>
    <row r="5281" spans="2:2" x14ac:dyDescent="0.25">
      <c r="B5281" s="10"/>
    </row>
    <row r="5282" spans="2:2" x14ac:dyDescent="0.25">
      <c r="B5282" s="10"/>
    </row>
    <row r="5283" spans="2:2" x14ac:dyDescent="0.25">
      <c r="B5283" s="10"/>
    </row>
    <row r="5284" spans="2:2" x14ac:dyDescent="0.25">
      <c r="B5284" s="10"/>
    </row>
    <row r="5285" spans="2:2" x14ac:dyDescent="0.25">
      <c r="B5285" s="10"/>
    </row>
    <row r="5286" spans="2:2" x14ac:dyDescent="0.25">
      <c r="B5286" s="10"/>
    </row>
    <row r="5287" spans="2:2" x14ac:dyDescent="0.25">
      <c r="B5287" s="10"/>
    </row>
    <row r="5288" spans="2:2" x14ac:dyDescent="0.25">
      <c r="B5288" s="10"/>
    </row>
    <row r="5289" spans="2:2" x14ac:dyDescent="0.25">
      <c r="B5289" s="10"/>
    </row>
    <row r="5290" spans="2:2" x14ac:dyDescent="0.25">
      <c r="B5290" s="10"/>
    </row>
    <row r="5291" spans="2:2" x14ac:dyDescent="0.25">
      <c r="B5291" s="10"/>
    </row>
    <row r="5292" spans="2:2" x14ac:dyDescent="0.25">
      <c r="B5292" s="10"/>
    </row>
    <row r="5293" spans="2:2" x14ac:dyDescent="0.25">
      <c r="B5293" s="10"/>
    </row>
    <row r="5294" spans="2:2" x14ac:dyDescent="0.25">
      <c r="B5294" s="10"/>
    </row>
    <row r="5295" spans="2:2" x14ac:dyDescent="0.25">
      <c r="B5295" s="10"/>
    </row>
    <row r="5296" spans="2:2" x14ac:dyDescent="0.25">
      <c r="B5296" s="10"/>
    </row>
    <row r="5297" spans="2:2" x14ac:dyDescent="0.25">
      <c r="B5297" s="10"/>
    </row>
    <row r="5298" spans="2:2" x14ac:dyDescent="0.25">
      <c r="B5298" s="10"/>
    </row>
    <row r="5299" spans="2:2" x14ac:dyDescent="0.25">
      <c r="B5299" s="10"/>
    </row>
    <row r="5300" spans="2:2" x14ac:dyDescent="0.25">
      <c r="B5300" s="10"/>
    </row>
    <row r="5301" spans="2:2" x14ac:dyDescent="0.25">
      <c r="B5301" s="10"/>
    </row>
    <row r="5302" spans="2:2" x14ac:dyDescent="0.25">
      <c r="B5302" s="10"/>
    </row>
    <row r="5303" spans="2:2" x14ac:dyDescent="0.25">
      <c r="B5303" s="10"/>
    </row>
    <row r="5304" spans="2:2" x14ac:dyDescent="0.25">
      <c r="B5304" s="10"/>
    </row>
    <row r="5305" spans="2:2" x14ac:dyDescent="0.25">
      <c r="B5305" s="10"/>
    </row>
    <row r="5306" spans="2:2" x14ac:dyDescent="0.25">
      <c r="B5306" s="10"/>
    </row>
    <row r="5307" spans="2:2" x14ac:dyDescent="0.25">
      <c r="B5307" s="10"/>
    </row>
    <row r="5308" spans="2:2" x14ac:dyDescent="0.25">
      <c r="B5308" s="10"/>
    </row>
    <row r="5309" spans="2:2" x14ac:dyDescent="0.25">
      <c r="B5309" s="10"/>
    </row>
    <row r="5310" spans="2:2" x14ac:dyDescent="0.25">
      <c r="B5310" s="10"/>
    </row>
    <row r="5311" spans="2:2" x14ac:dyDescent="0.25">
      <c r="B5311" s="10"/>
    </row>
    <row r="5312" spans="2:2" x14ac:dyDescent="0.25">
      <c r="B5312" s="10"/>
    </row>
    <row r="5313" spans="2:2" x14ac:dyDescent="0.25">
      <c r="B5313" s="10"/>
    </row>
    <row r="5314" spans="2:2" x14ac:dyDescent="0.25">
      <c r="B5314" s="10"/>
    </row>
    <row r="5315" spans="2:2" x14ac:dyDescent="0.25">
      <c r="B5315" s="10"/>
    </row>
    <row r="5316" spans="2:2" x14ac:dyDescent="0.25">
      <c r="B5316" s="10"/>
    </row>
    <row r="5317" spans="2:2" x14ac:dyDescent="0.25">
      <c r="B5317" s="10"/>
    </row>
    <row r="5318" spans="2:2" x14ac:dyDescent="0.25">
      <c r="B5318" s="10"/>
    </row>
    <row r="5319" spans="2:2" x14ac:dyDescent="0.25">
      <c r="B5319" s="10"/>
    </row>
    <row r="5320" spans="2:2" x14ac:dyDescent="0.25">
      <c r="B5320" s="10"/>
    </row>
    <row r="5321" spans="2:2" x14ac:dyDescent="0.25">
      <c r="B5321" s="10"/>
    </row>
    <row r="5322" spans="2:2" x14ac:dyDescent="0.25">
      <c r="B5322" s="10"/>
    </row>
    <row r="5323" spans="2:2" x14ac:dyDescent="0.25">
      <c r="B5323" s="10"/>
    </row>
    <row r="5324" spans="2:2" x14ac:dyDescent="0.25">
      <c r="B5324" s="10"/>
    </row>
    <row r="5325" spans="2:2" x14ac:dyDescent="0.25">
      <c r="B5325" s="10"/>
    </row>
    <row r="5326" spans="2:2" x14ac:dyDescent="0.25">
      <c r="B5326" s="10"/>
    </row>
    <row r="5327" spans="2:2" x14ac:dyDescent="0.25">
      <c r="B5327" s="10"/>
    </row>
    <row r="5328" spans="2:2" x14ac:dyDescent="0.25">
      <c r="B5328" s="10"/>
    </row>
    <row r="5329" spans="2:2" x14ac:dyDescent="0.25">
      <c r="B5329" s="10"/>
    </row>
    <row r="5330" spans="2:2" x14ac:dyDescent="0.25">
      <c r="B5330" s="10"/>
    </row>
    <row r="5331" spans="2:2" x14ac:dyDescent="0.25">
      <c r="B5331" s="10"/>
    </row>
    <row r="5332" spans="2:2" x14ac:dyDescent="0.25">
      <c r="B5332" s="10"/>
    </row>
    <row r="5333" spans="2:2" x14ac:dyDescent="0.25">
      <c r="B5333" s="10"/>
    </row>
    <row r="5334" spans="2:2" x14ac:dyDescent="0.25">
      <c r="B5334" s="10"/>
    </row>
    <row r="5335" spans="2:2" x14ac:dyDescent="0.25">
      <c r="B5335" s="10"/>
    </row>
    <row r="5336" spans="2:2" x14ac:dyDescent="0.25">
      <c r="B5336" s="10"/>
    </row>
    <row r="5337" spans="2:2" x14ac:dyDescent="0.25">
      <c r="B5337" s="10"/>
    </row>
    <row r="5338" spans="2:2" x14ac:dyDescent="0.25">
      <c r="B5338" s="10"/>
    </row>
    <row r="5339" spans="2:2" x14ac:dyDescent="0.25">
      <c r="B5339" s="10"/>
    </row>
    <row r="5340" spans="2:2" x14ac:dyDescent="0.25">
      <c r="B5340" s="10"/>
    </row>
    <row r="5341" spans="2:2" x14ac:dyDescent="0.25">
      <c r="B5341" s="10"/>
    </row>
    <row r="5342" spans="2:2" x14ac:dyDescent="0.25">
      <c r="B5342" s="10"/>
    </row>
    <row r="5343" spans="2:2" x14ac:dyDescent="0.25">
      <c r="B5343" s="10"/>
    </row>
    <row r="5344" spans="2:2" x14ac:dyDescent="0.25">
      <c r="B5344" s="10"/>
    </row>
    <row r="5345" spans="2:2" x14ac:dyDescent="0.25">
      <c r="B5345" s="10"/>
    </row>
    <row r="5346" spans="2:2" x14ac:dyDescent="0.25">
      <c r="B5346" s="10"/>
    </row>
    <row r="5347" spans="2:2" x14ac:dyDescent="0.25">
      <c r="B5347" s="10"/>
    </row>
    <row r="5348" spans="2:2" x14ac:dyDescent="0.25">
      <c r="B5348" s="10"/>
    </row>
    <row r="5349" spans="2:2" x14ac:dyDescent="0.25">
      <c r="B5349" s="10"/>
    </row>
    <row r="5350" spans="2:2" x14ac:dyDescent="0.25">
      <c r="B5350" s="10"/>
    </row>
    <row r="5351" spans="2:2" x14ac:dyDescent="0.25">
      <c r="B5351" s="10"/>
    </row>
    <row r="5352" spans="2:2" x14ac:dyDescent="0.25">
      <c r="B5352" s="10"/>
    </row>
    <row r="5353" spans="2:2" x14ac:dyDescent="0.25">
      <c r="B5353" s="10"/>
    </row>
    <row r="5354" spans="2:2" x14ac:dyDescent="0.25">
      <c r="B5354" s="10"/>
    </row>
    <row r="5355" spans="2:2" x14ac:dyDescent="0.25">
      <c r="B5355" s="10"/>
    </row>
    <row r="5356" spans="2:2" x14ac:dyDescent="0.25">
      <c r="B5356" s="10"/>
    </row>
    <row r="5357" spans="2:2" x14ac:dyDescent="0.25">
      <c r="B5357" s="10"/>
    </row>
    <row r="5358" spans="2:2" x14ac:dyDescent="0.25">
      <c r="B5358" s="10"/>
    </row>
    <row r="5359" spans="2:2" x14ac:dyDescent="0.25">
      <c r="B5359" s="10"/>
    </row>
    <row r="5360" spans="2:2" x14ac:dyDescent="0.25">
      <c r="B5360" s="10"/>
    </row>
    <row r="5361" spans="2:2" x14ac:dyDescent="0.25">
      <c r="B5361" s="10"/>
    </row>
    <row r="5362" spans="2:2" x14ac:dyDescent="0.25">
      <c r="B5362" s="10"/>
    </row>
    <row r="5363" spans="2:2" x14ac:dyDescent="0.25">
      <c r="B5363" s="10"/>
    </row>
    <row r="5364" spans="2:2" x14ac:dyDescent="0.25">
      <c r="B5364" s="10"/>
    </row>
    <row r="5365" spans="2:2" x14ac:dyDescent="0.25">
      <c r="B5365" s="10"/>
    </row>
    <row r="5366" spans="2:2" x14ac:dyDescent="0.25">
      <c r="B5366" s="10"/>
    </row>
    <row r="5367" spans="2:2" x14ac:dyDescent="0.25">
      <c r="B5367" s="10"/>
    </row>
    <row r="5368" spans="2:2" x14ac:dyDescent="0.25">
      <c r="B5368" s="10"/>
    </row>
    <row r="5369" spans="2:2" x14ac:dyDescent="0.25">
      <c r="B5369" s="10"/>
    </row>
    <row r="5370" spans="2:2" x14ac:dyDescent="0.25">
      <c r="B5370" s="10"/>
    </row>
    <row r="5371" spans="2:2" x14ac:dyDescent="0.25">
      <c r="B5371" s="10"/>
    </row>
    <row r="5372" spans="2:2" x14ac:dyDescent="0.25">
      <c r="B5372" s="10"/>
    </row>
    <row r="5373" spans="2:2" x14ac:dyDescent="0.25">
      <c r="B5373" s="10"/>
    </row>
    <row r="5374" spans="2:2" x14ac:dyDescent="0.25">
      <c r="B5374" s="10"/>
    </row>
    <row r="5375" spans="2:2" x14ac:dyDescent="0.25">
      <c r="B5375" s="10"/>
    </row>
    <row r="5376" spans="2:2" x14ac:dyDescent="0.25">
      <c r="B5376" s="10"/>
    </row>
    <row r="5377" spans="2:2" x14ac:dyDescent="0.25">
      <c r="B5377" s="10"/>
    </row>
    <row r="5378" spans="2:2" x14ac:dyDescent="0.25">
      <c r="B5378" s="10"/>
    </row>
    <row r="5379" spans="2:2" x14ac:dyDescent="0.25">
      <c r="B5379" s="10"/>
    </row>
    <row r="5380" spans="2:2" x14ac:dyDescent="0.25">
      <c r="B5380" s="10"/>
    </row>
    <row r="5381" spans="2:2" x14ac:dyDescent="0.25">
      <c r="B5381" s="10"/>
    </row>
    <row r="5382" spans="2:2" x14ac:dyDescent="0.25">
      <c r="B5382" s="10"/>
    </row>
    <row r="5383" spans="2:2" x14ac:dyDescent="0.25">
      <c r="B5383" s="10"/>
    </row>
    <row r="5384" spans="2:2" x14ac:dyDescent="0.25">
      <c r="B5384" s="10"/>
    </row>
    <row r="5385" spans="2:2" x14ac:dyDescent="0.25">
      <c r="B5385" s="10"/>
    </row>
    <row r="5386" spans="2:2" x14ac:dyDescent="0.25">
      <c r="B5386" s="10"/>
    </row>
    <row r="5387" spans="2:2" x14ac:dyDescent="0.25">
      <c r="B5387" s="10"/>
    </row>
    <row r="5388" spans="2:2" x14ac:dyDescent="0.25">
      <c r="B5388" s="10"/>
    </row>
    <row r="5389" spans="2:2" x14ac:dyDescent="0.25">
      <c r="B5389" s="10"/>
    </row>
    <row r="5390" spans="2:2" x14ac:dyDescent="0.25">
      <c r="B5390" s="10"/>
    </row>
    <row r="5391" spans="2:2" x14ac:dyDescent="0.25">
      <c r="B5391" s="10"/>
    </row>
    <row r="5392" spans="2:2" x14ac:dyDescent="0.25">
      <c r="B5392" s="10"/>
    </row>
    <row r="5393" spans="2:2" x14ac:dyDescent="0.25">
      <c r="B5393" s="10"/>
    </row>
    <row r="5394" spans="2:2" x14ac:dyDescent="0.25">
      <c r="B5394" s="10"/>
    </row>
    <row r="5395" spans="2:2" x14ac:dyDescent="0.25">
      <c r="B5395" s="10"/>
    </row>
    <row r="5396" spans="2:2" x14ac:dyDescent="0.25">
      <c r="B5396" s="10"/>
    </row>
    <row r="5397" spans="2:2" x14ac:dyDescent="0.25">
      <c r="B5397" s="10"/>
    </row>
    <row r="5398" spans="2:2" x14ac:dyDescent="0.25">
      <c r="B5398" s="10"/>
    </row>
    <row r="5399" spans="2:2" x14ac:dyDescent="0.25">
      <c r="B5399" s="10"/>
    </row>
    <row r="5400" spans="2:2" x14ac:dyDescent="0.25">
      <c r="B5400" s="10"/>
    </row>
    <row r="5401" spans="2:2" x14ac:dyDescent="0.25">
      <c r="B5401" s="10"/>
    </row>
    <row r="5402" spans="2:2" x14ac:dyDescent="0.25">
      <c r="B5402" s="10"/>
    </row>
    <row r="5403" spans="2:2" x14ac:dyDescent="0.25">
      <c r="B5403" s="10"/>
    </row>
    <row r="5404" spans="2:2" x14ac:dyDescent="0.25">
      <c r="B5404" s="10"/>
    </row>
    <row r="5405" spans="2:2" x14ac:dyDescent="0.25">
      <c r="B5405" s="10"/>
    </row>
    <row r="5406" spans="2:2" x14ac:dyDescent="0.25">
      <c r="B5406" s="10"/>
    </row>
    <row r="5407" spans="2:2" x14ac:dyDescent="0.25">
      <c r="B5407" s="10"/>
    </row>
    <row r="5408" spans="2:2" x14ac:dyDescent="0.25">
      <c r="B5408" s="10"/>
    </row>
    <row r="5409" spans="2:2" x14ac:dyDescent="0.25">
      <c r="B5409" s="10"/>
    </row>
    <row r="5410" spans="2:2" x14ac:dyDescent="0.25">
      <c r="B5410" s="10"/>
    </row>
    <row r="5411" spans="2:2" x14ac:dyDescent="0.25">
      <c r="B5411" s="10"/>
    </row>
    <row r="5412" spans="2:2" x14ac:dyDescent="0.25">
      <c r="B5412" s="10"/>
    </row>
    <row r="5413" spans="2:2" x14ac:dyDescent="0.25">
      <c r="B5413" s="10"/>
    </row>
    <row r="5414" spans="2:2" x14ac:dyDescent="0.25">
      <c r="B5414" s="10"/>
    </row>
    <row r="5415" spans="2:2" x14ac:dyDescent="0.25">
      <c r="B5415" s="10"/>
    </row>
    <row r="5416" spans="2:2" x14ac:dyDescent="0.25">
      <c r="B5416" s="10"/>
    </row>
    <row r="5417" spans="2:2" x14ac:dyDescent="0.25">
      <c r="B5417" s="10"/>
    </row>
    <row r="5418" spans="2:2" x14ac:dyDescent="0.25">
      <c r="B5418" s="10"/>
    </row>
    <row r="5419" spans="2:2" x14ac:dyDescent="0.25">
      <c r="B5419" s="10"/>
    </row>
    <row r="5420" spans="2:2" x14ac:dyDescent="0.25">
      <c r="B5420" s="10"/>
    </row>
    <row r="5421" spans="2:2" x14ac:dyDescent="0.25">
      <c r="B5421" s="10"/>
    </row>
    <row r="5422" spans="2:2" x14ac:dyDescent="0.25">
      <c r="B5422" s="10"/>
    </row>
    <row r="5423" spans="2:2" x14ac:dyDescent="0.25">
      <c r="B5423" s="10"/>
    </row>
    <row r="5424" spans="2:2" x14ac:dyDescent="0.25">
      <c r="B5424" s="10"/>
    </row>
    <row r="5425" spans="2:2" x14ac:dyDescent="0.25">
      <c r="B5425" s="10"/>
    </row>
    <row r="5426" spans="2:2" x14ac:dyDescent="0.25">
      <c r="B5426" s="10"/>
    </row>
    <row r="5427" spans="2:2" x14ac:dyDescent="0.25">
      <c r="B5427" s="10"/>
    </row>
    <row r="5428" spans="2:2" x14ac:dyDescent="0.25">
      <c r="B5428" s="10"/>
    </row>
    <row r="5429" spans="2:2" x14ac:dyDescent="0.25">
      <c r="B5429" s="10"/>
    </row>
    <row r="5430" spans="2:2" x14ac:dyDescent="0.25">
      <c r="B5430" s="10"/>
    </row>
    <row r="5431" spans="2:2" x14ac:dyDescent="0.25">
      <c r="B5431" s="10"/>
    </row>
    <row r="5432" spans="2:2" x14ac:dyDescent="0.25">
      <c r="B5432" s="10"/>
    </row>
    <row r="5433" spans="2:2" x14ac:dyDescent="0.25">
      <c r="B5433" s="10"/>
    </row>
    <row r="5434" spans="2:2" x14ac:dyDescent="0.25">
      <c r="B5434" s="10"/>
    </row>
    <row r="5435" spans="2:2" x14ac:dyDescent="0.25">
      <c r="B5435" s="10"/>
    </row>
    <row r="5436" spans="2:2" x14ac:dyDescent="0.25">
      <c r="B5436" s="10"/>
    </row>
    <row r="5437" spans="2:2" x14ac:dyDescent="0.25">
      <c r="B5437" s="10"/>
    </row>
    <row r="5438" spans="2:2" x14ac:dyDescent="0.25">
      <c r="B5438" s="10"/>
    </row>
    <row r="5439" spans="2:2" x14ac:dyDescent="0.25">
      <c r="B5439" s="10"/>
    </row>
    <row r="5440" spans="2:2" x14ac:dyDescent="0.25">
      <c r="B5440" s="10"/>
    </row>
    <row r="5441" spans="2:2" x14ac:dyDescent="0.25">
      <c r="B5441" s="10"/>
    </row>
    <row r="5442" spans="2:2" x14ac:dyDescent="0.25">
      <c r="B5442" s="10"/>
    </row>
    <row r="5443" spans="2:2" x14ac:dyDescent="0.25">
      <c r="B5443" s="10"/>
    </row>
    <row r="5444" spans="2:2" x14ac:dyDescent="0.25">
      <c r="B5444" s="10"/>
    </row>
    <row r="5445" spans="2:2" x14ac:dyDescent="0.25">
      <c r="B5445" s="10"/>
    </row>
    <row r="5446" spans="2:2" x14ac:dyDescent="0.25">
      <c r="B5446" s="10"/>
    </row>
    <row r="5447" spans="2:2" x14ac:dyDescent="0.25">
      <c r="B5447" s="10"/>
    </row>
    <row r="5448" spans="2:2" x14ac:dyDescent="0.25">
      <c r="B5448" s="10"/>
    </row>
    <row r="5449" spans="2:2" x14ac:dyDescent="0.25">
      <c r="B5449" s="10"/>
    </row>
    <row r="5450" spans="2:2" x14ac:dyDescent="0.25">
      <c r="B5450" s="10"/>
    </row>
    <row r="5451" spans="2:2" x14ac:dyDescent="0.25">
      <c r="B5451" s="10"/>
    </row>
    <row r="5452" spans="2:2" x14ac:dyDescent="0.25">
      <c r="B5452" s="10"/>
    </row>
    <row r="5453" spans="2:2" x14ac:dyDescent="0.25">
      <c r="B5453" s="10"/>
    </row>
    <row r="5454" spans="2:2" x14ac:dyDescent="0.25">
      <c r="B5454" s="10"/>
    </row>
    <row r="5455" spans="2:2" x14ac:dyDescent="0.25">
      <c r="B5455" s="10"/>
    </row>
    <row r="5456" spans="2:2" x14ac:dyDescent="0.25">
      <c r="B5456" s="10"/>
    </row>
    <row r="5457" spans="2:2" x14ac:dyDescent="0.25">
      <c r="B5457" s="10"/>
    </row>
    <row r="5458" spans="2:2" x14ac:dyDescent="0.25">
      <c r="B5458" s="10"/>
    </row>
    <row r="5459" spans="2:2" x14ac:dyDescent="0.25">
      <c r="B5459" s="10"/>
    </row>
    <row r="5460" spans="2:2" x14ac:dyDescent="0.25">
      <c r="B5460" s="10"/>
    </row>
    <row r="5461" spans="2:2" x14ac:dyDescent="0.25">
      <c r="B5461" s="10"/>
    </row>
    <row r="5462" spans="2:2" x14ac:dyDescent="0.25">
      <c r="B5462" s="10"/>
    </row>
    <row r="5463" spans="2:2" x14ac:dyDescent="0.25">
      <c r="B5463" s="10"/>
    </row>
    <row r="5464" spans="2:2" x14ac:dyDescent="0.25">
      <c r="B5464" s="10"/>
    </row>
    <row r="5465" spans="2:2" x14ac:dyDescent="0.25">
      <c r="B5465" s="10"/>
    </row>
    <row r="5466" spans="2:2" x14ac:dyDescent="0.25">
      <c r="B5466" s="10"/>
    </row>
    <row r="5467" spans="2:2" x14ac:dyDescent="0.25">
      <c r="B5467" s="10"/>
    </row>
    <row r="5468" spans="2:2" x14ac:dyDescent="0.25">
      <c r="B5468" s="10"/>
    </row>
    <row r="5469" spans="2:2" x14ac:dyDescent="0.25">
      <c r="B5469" s="10"/>
    </row>
    <row r="5470" spans="2:2" x14ac:dyDescent="0.25">
      <c r="B5470" s="10"/>
    </row>
    <row r="5471" spans="2:2" x14ac:dyDescent="0.25">
      <c r="B5471" s="10"/>
    </row>
    <row r="5472" spans="2:2" x14ac:dyDescent="0.25">
      <c r="B5472" s="10"/>
    </row>
    <row r="5473" spans="2:2" x14ac:dyDescent="0.25">
      <c r="B5473" s="10"/>
    </row>
    <row r="5474" spans="2:2" x14ac:dyDescent="0.25">
      <c r="B5474" s="10"/>
    </row>
    <row r="5475" spans="2:2" x14ac:dyDescent="0.25">
      <c r="B5475" s="10"/>
    </row>
    <row r="5476" spans="2:2" x14ac:dyDescent="0.25">
      <c r="B5476" s="10"/>
    </row>
    <row r="5477" spans="2:2" x14ac:dyDescent="0.25">
      <c r="B5477" s="10"/>
    </row>
    <row r="5478" spans="2:2" x14ac:dyDescent="0.25">
      <c r="B5478" s="10"/>
    </row>
    <row r="5479" spans="2:2" x14ac:dyDescent="0.25">
      <c r="B5479" s="10"/>
    </row>
    <row r="5480" spans="2:2" x14ac:dyDescent="0.25">
      <c r="B5480" s="10"/>
    </row>
    <row r="5481" spans="2:2" x14ac:dyDescent="0.25">
      <c r="B5481" s="10"/>
    </row>
    <row r="5482" spans="2:2" x14ac:dyDescent="0.25">
      <c r="B5482" s="10"/>
    </row>
    <row r="5483" spans="2:2" x14ac:dyDescent="0.25">
      <c r="B5483" s="10"/>
    </row>
    <row r="5484" spans="2:2" x14ac:dyDescent="0.25">
      <c r="B5484" s="10"/>
    </row>
    <row r="5485" spans="2:2" x14ac:dyDescent="0.25">
      <c r="B5485" s="10"/>
    </row>
    <row r="5486" spans="2:2" x14ac:dyDescent="0.25">
      <c r="B5486" s="10"/>
    </row>
    <row r="5487" spans="2:2" x14ac:dyDescent="0.25">
      <c r="B5487" s="10"/>
    </row>
    <row r="5488" spans="2:2" x14ac:dyDescent="0.25">
      <c r="B5488" s="10"/>
    </row>
    <row r="5489" spans="2:2" x14ac:dyDescent="0.25">
      <c r="B5489" s="10"/>
    </row>
    <row r="5490" spans="2:2" x14ac:dyDescent="0.25">
      <c r="B5490" s="10"/>
    </row>
    <row r="5491" spans="2:2" x14ac:dyDescent="0.25">
      <c r="B5491" s="10"/>
    </row>
    <row r="5492" spans="2:2" x14ac:dyDescent="0.25">
      <c r="B5492" s="10"/>
    </row>
    <row r="5493" spans="2:2" x14ac:dyDescent="0.25">
      <c r="B5493" s="10"/>
    </row>
    <row r="5494" spans="2:2" x14ac:dyDescent="0.25">
      <c r="B5494" s="10"/>
    </row>
    <row r="5495" spans="2:2" x14ac:dyDescent="0.25">
      <c r="B5495" s="10"/>
    </row>
    <row r="5496" spans="2:2" x14ac:dyDescent="0.25">
      <c r="B5496" s="10"/>
    </row>
    <row r="5497" spans="2:2" x14ac:dyDescent="0.25">
      <c r="B5497" s="10"/>
    </row>
    <row r="5498" spans="2:2" x14ac:dyDescent="0.25">
      <c r="B5498" s="10"/>
    </row>
    <row r="5499" spans="2:2" x14ac:dyDescent="0.25">
      <c r="B5499" s="10"/>
    </row>
    <row r="5500" spans="2:2" x14ac:dyDescent="0.25">
      <c r="B5500" s="10"/>
    </row>
    <row r="5501" spans="2:2" x14ac:dyDescent="0.25">
      <c r="B5501" s="10"/>
    </row>
    <row r="5502" spans="2:2" x14ac:dyDescent="0.25">
      <c r="B5502" s="10"/>
    </row>
    <row r="5503" spans="2:2" x14ac:dyDescent="0.25">
      <c r="B5503" s="10"/>
    </row>
    <row r="5504" spans="2:2" x14ac:dyDescent="0.25">
      <c r="B5504" s="10"/>
    </row>
    <row r="5505" spans="2:2" x14ac:dyDescent="0.25">
      <c r="B5505" s="10"/>
    </row>
    <row r="5506" spans="2:2" x14ac:dyDescent="0.25">
      <c r="B5506" s="10"/>
    </row>
    <row r="5507" spans="2:2" x14ac:dyDescent="0.25">
      <c r="B5507" s="10"/>
    </row>
    <row r="5508" spans="2:2" x14ac:dyDescent="0.25">
      <c r="B5508" s="10"/>
    </row>
    <row r="5509" spans="2:2" x14ac:dyDescent="0.25">
      <c r="B5509" s="10"/>
    </row>
    <row r="5510" spans="2:2" x14ac:dyDescent="0.25">
      <c r="B5510" s="10"/>
    </row>
    <row r="5511" spans="2:2" x14ac:dyDescent="0.25">
      <c r="B5511" s="10"/>
    </row>
    <row r="5512" spans="2:2" x14ac:dyDescent="0.25">
      <c r="B5512" s="10"/>
    </row>
    <row r="5513" spans="2:2" x14ac:dyDescent="0.25">
      <c r="B5513" s="10"/>
    </row>
    <row r="5514" spans="2:2" x14ac:dyDescent="0.25">
      <c r="B5514" s="10"/>
    </row>
    <row r="5515" spans="2:2" x14ac:dyDescent="0.25">
      <c r="B5515" s="10"/>
    </row>
    <row r="5516" spans="2:2" x14ac:dyDescent="0.25">
      <c r="B5516" s="10"/>
    </row>
    <row r="5517" spans="2:2" x14ac:dyDescent="0.25">
      <c r="B5517" s="10"/>
    </row>
    <row r="5518" spans="2:2" x14ac:dyDescent="0.25">
      <c r="B5518" s="10"/>
    </row>
    <row r="5519" spans="2:2" x14ac:dyDescent="0.25">
      <c r="B5519" s="10"/>
    </row>
    <row r="5520" spans="2:2" x14ac:dyDescent="0.25">
      <c r="B5520" s="10"/>
    </row>
    <row r="5521" spans="2:2" x14ac:dyDescent="0.25">
      <c r="B5521" s="10"/>
    </row>
    <row r="5522" spans="2:2" x14ac:dyDescent="0.25">
      <c r="B5522" s="10"/>
    </row>
    <row r="5523" spans="2:2" x14ac:dyDescent="0.25">
      <c r="B5523" s="10"/>
    </row>
    <row r="5524" spans="2:2" x14ac:dyDescent="0.25">
      <c r="B5524" s="10"/>
    </row>
    <row r="5525" spans="2:2" x14ac:dyDescent="0.25">
      <c r="B5525" s="10"/>
    </row>
    <row r="5526" spans="2:2" x14ac:dyDescent="0.25">
      <c r="B5526" s="10"/>
    </row>
    <row r="5527" spans="2:2" x14ac:dyDescent="0.25">
      <c r="B5527" s="10"/>
    </row>
    <row r="5528" spans="2:2" x14ac:dyDescent="0.25">
      <c r="B5528" s="10"/>
    </row>
    <row r="5529" spans="2:2" x14ac:dyDescent="0.25">
      <c r="B5529" s="10"/>
    </row>
    <row r="5530" spans="2:2" x14ac:dyDescent="0.25">
      <c r="B5530" s="10"/>
    </row>
    <row r="5531" spans="2:2" x14ac:dyDescent="0.25">
      <c r="B5531" s="10"/>
    </row>
    <row r="5532" spans="2:2" x14ac:dyDescent="0.25">
      <c r="B5532" s="10"/>
    </row>
    <row r="5533" spans="2:2" x14ac:dyDescent="0.25">
      <c r="B5533" s="10"/>
    </row>
    <row r="5534" spans="2:2" x14ac:dyDescent="0.25">
      <c r="B5534" s="10"/>
    </row>
    <row r="5535" spans="2:2" x14ac:dyDescent="0.25">
      <c r="B5535" s="10"/>
    </row>
    <row r="5536" spans="2:2" x14ac:dyDescent="0.25">
      <c r="B5536" s="10"/>
    </row>
    <row r="5537" spans="2:2" x14ac:dyDescent="0.25">
      <c r="B5537" s="10"/>
    </row>
    <row r="5538" spans="2:2" x14ac:dyDescent="0.25">
      <c r="B5538" s="10"/>
    </row>
    <row r="5539" spans="2:2" x14ac:dyDescent="0.25">
      <c r="B5539" s="10"/>
    </row>
    <row r="5540" spans="2:2" x14ac:dyDescent="0.25">
      <c r="B5540" s="10"/>
    </row>
    <row r="5541" spans="2:2" x14ac:dyDescent="0.25">
      <c r="B5541" s="10"/>
    </row>
    <row r="5542" spans="2:2" x14ac:dyDescent="0.25">
      <c r="B5542" s="10"/>
    </row>
    <row r="5543" spans="2:2" x14ac:dyDescent="0.25">
      <c r="B5543" s="10"/>
    </row>
    <row r="5544" spans="2:2" x14ac:dyDescent="0.25">
      <c r="B5544" s="10"/>
    </row>
    <row r="5545" spans="2:2" x14ac:dyDescent="0.25">
      <c r="B5545" s="10"/>
    </row>
    <row r="5546" spans="2:2" x14ac:dyDescent="0.25">
      <c r="B5546" s="10"/>
    </row>
    <row r="5547" spans="2:2" x14ac:dyDescent="0.25">
      <c r="B5547" s="10"/>
    </row>
    <row r="5548" spans="2:2" x14ac:dyDescent="0.25">
      <c r="B5548" s="10"/>
    </row>
    <row r="5549" spans="2:2" x14ac:dyDescent="0.25">
      <c r="B5549" s="10"/>
    </row>
    <row r="5550" spans="2:2" x14ac:dyDescent="0.25">
      <c r="B5550" s="10"/>
    </row>
    <row r="5551" spans="2:2" x14ac:dyDescent="0.25">
      <c r="B5551" s="10"/>
    </row>
    <row r="5552" spans="2:2" x14ac:dyDescent="0.25">
      <c r="B5552" s="10"/>
    </row>
    <row r="5553" spans="2:2" x14ac:dyDescent="0.25">
      <c r="B5553" s="10"/>
    </row>
    <row r="5554" spans="2:2" x14ac:dyDescent="0.25">
      <c r="B5554" s="10"/>
    </row>
    <row r="5555" spans="2:2" x14ac:dyDescent="0.25">
      <c r="B5555" s="10"/>
    </row>
    <row r="5556" spans="2:2" x14ac:dyDescent="0.25">
      <c r="B5556" s="10"/>
    </row>
    <row r="5557" spans="2:2" x14ac:dyDescent="0.25">
      <c r="B5557" s="10"/>
    </row>
    <row r="5558" spans="2:2" x14ac:dyDescent="0.25">
      <c r="B5558" s="10"/>
    </row>
    <row r="5559" spans="2:2" x14ac:dyDescent="0.25">
      <c r="B5559" s="10"/>
    </row>
    <row r="5560" spans="2:2" x14ac:dyDescent="0.25">
      <c r="B5560" s="10"/>
    </row>
    <row r="5561" spans="2:2" x14ac:dyDescent="0.25">
      <c r="B5561" s="10"/>
    </row>
    <row r="5562" spans="2:2" x14ac:dyDescent="0.25">
      <c r="B5562" s="10"/>
    </row>
    <row r="5563" spans="2:2" x14ac:dyDescent="0.25">
      <c r="B5563" s="10"/>
    </row>
    <row r="5564" spans="2:2" x14ac:dyDescent="0.25">
      <c r="B5564" s="10"/>
    </row>
    <row r="5565" spans="2:2" x14ac:dyDescent="0.25">
      <c r="B5565" s="10"/>
    </row>
    <row r="5566" spans="2:2" x14ac:dyDescent="0.25">
      <c r="B5566" s="10"/>
    </row>
    <row r="5567" spans="2:2" x14ac:dyDescent="0.25">
      <c r="B5567" s="10"/>
    </row>
    <row r="5568" spans="2:2" x14ac:dyDescent="0.25">
      <c r="B5568" s="10"/>
    </row>
    <row r="5569" spans="2:2" x14ac:dyDescent="0.25">
      <c r="B5569" s="10"/>
    </row>
    <row r="5570" spans="2:2" x14ac:dyDescent="0.25">
      <c r="B5570" s="10"/>
    </row>
    <row r="5571" spans="2:2" x14ac:dyDescent="0.25">
      <c r="B5571" s="10"/>
    </row>
    <row r="5572" spans="2:2" x14ac:dyDescent="0.25">
      <c r="B5572" s="10"/>
    </row>
    <row r="5573" spans="2:2" x14ac:dyDescent="0.25">
      <c r="B5573" s="10"/>
    </row>
    <row r="5574" spans="2:2" x14ac:dyDescent="0.25">
      <c r="B5574" s="10"/>
    </row>
    <row r="5575" spans="2:2" x14ac:dyDescent="0.25">
      <c r="B5575" s="10"/>
    </row>
    <row r="5576" spans="2:2" x14ac:dyDescent="0.25">
      <c r="B5576" s="10"/>
    </row>
    <row r="5577" spans="2:2" x14ac:dyDescent="0.25">
      <c r="B5577" s="10"/>
    </row>
    <row r="5578" spans="2:2" x14ac:dyDescent="0.25">
      <c r="B5578" s="10"/>
    </row>
    <row r="5579" spans="2:2" x14ac:dyDescent="0.25">
      <c r="B5579" s="10"/>
    </row>
    <row r="5580" spans="2:2" x14ac:dyDescent="0.25">
      <c r="B5580" s="10"/>
    </row>
    <row r="5581" spans="2:2" x14ac:dyDescent="0.25">
      <c r="B5581" s="10"/>
    </row>
    <row r="5582" spans="2:2" x14ac:dyDescent="0.25">
      <c r="B5582" s="10"/>
    </row>
    <row r="5583" spans="2:2" x14ac:dyDescent="0.25">
      <c r="B5583" s="10"/>
    </row>
    <row r="5584" spans="2:2" x14ac:dyDescent="0.25">
      <c r="B5584" s="10"/>
    </row>
    <row r="5585" spans="2:2" x14ac:dyDescent="0.25">
      <c r="B5585" s="10"/>
    </row>
    <row r="5586" spans="2:2" x14ac:dyDescent="0.25">
      <c r="B5586" s="10"/>
    </row>
    <row r="5587" spans="2:2" x14ac:dyDescent="0.25">
      <c r="B5587" s="10"/>
    </row>
    <row r="5588" spans="2:2" x14ac:dyDescent="0.25">
      <c r="B5588" s="10"/>
    </row>
    <row r="5589" spans="2:2" x14ac:dyDescent="0.25">
      <c r="B5589" s="10"/>
    </row>
    <row r="5590" spans="2:2" x14ac:dyDescent="0.25">
      <c r="B5590" s="10"/>
    </row>
    <row r="5591" spans="2:2" x14ac:dyDescent="0.25">
      <c r="B5591" s="10"/>
    </row>
    <row r="5592" spans="2:2" x14ac:dyDescent="0.25">
      <c r="B5592" s="10"/>
    </row>
    <row r="5593" spans="2:2" x14ac:dyDescent="0.25">
      <c r="B5593" s="10"/>
    </row>
    <row r="5594" spans="2:2" x14ac:dyDescent="0.25">
      <c r="B5594" s="10"/>
    </row>
    <row r="5595" spans="2:2" x14ac:dyDescent="0.25">
      <c r="B5595" s="10"/>
    </row>
    <row r="5596" spans="2:2" x14ac:dyDescent="0.25">
      <c r="B5596" s="10"/>
    </row>
    <row r="5597" spans="2:2" x14ac:dyDescent="0.25">
      <c r="B5597" s="10"/>
    </row>
    <row r="5598" spans="2:2" x14ac:dyDescent="0.25">
      <c r="B5598" s="10"/>
    </row>
    <row r="5599" spans="2:2" x14ac:dyDescent="0.25">
      <c r="B5599" s="10"/>
    </row>
    <row r="5600" spans="2:2" x14ac:dyDescent="0.25">
      <c r="B5600" s="10"/>
    </row>
    <row r="5601" spans="2:2" x14ac:dyDescent="0.25">
      <c r="B5601" s="10"/>
    </row>
    <row r="5602" spans="2:2" x14ac:dyDescent="0.25">
      <c r="B5602" s="10"/>
    </row>
    <row r="5603" spans="2:2" x14ac:dyDescent="0.25">
      <c r="B5603" s="10"/>
    </row>
    <row r="5604" spans="2:2" x14ac:dyDescent="0.25">
      <c r="B5604" s="10"/>
    </row>
    <row r="5605" spans="2:2" x14ac:dyDescent="0.25">
      <c r="B5605" s="10"/>
    </row>
    <row r="5606" spans="2:2" x14ac:dyDescent="0.25">
      <c r="B5606" s="10"/>
    </row>
    <row r="5607" spans="2:2" x14ac:dyDescent="0.25">
      <c r="B5607" s="10"/>
    </row>
    <row r="5608" spans="2:2" x14ac:dyDescent="0.25">
      <c r="B5608" s="10"/>
    </row>
    <row r="5609" spans="2:2" x14ac:dyDescent="0.25">
      <c r="B5609" s="10"/>
    </row>
    <row r="5610" spans="2:2" x14ac:dyDescent="0.25">
      <c r="B5610" s="10"/>
    </row>
    <row r="5611" spans="2:2" x14ac:dyDescent="0.25">
      <c r="B5611" s="10"/>
    </row>
    <row r="5612" spans="2:2" x14ac:dyDescent="0.25">
      <c r="B5612" s="10"/>
    </row>
    <row r="5613" spans="2:2" x14ac:dyDescent="0.25">
      <c r="B5613" s="10"/>
    </row>
    <row r="5614" spans="2:2" x14ac:dyDescent="0.25">
      <c r="B5614" s="10"/>
    </row>
    <row r="5615" spans="2:2" x14ac:dyDescent="0.25">
      <c r="B5615" s="10"/>
    </row>
    <row r="5616" spans="2:2" x14ac:dyDescent="0.25">
      <c r="B5616" s="10"/>
    </row>
    <row r="5617" spans="2:2" x14ac:dyDescent="0.25">
      <c r="B5617" s="10"/>
    </row>
    <row r="5618" spans="2:2" x14ac:dyDescent="0.25">
      <c r="B5618" s="10"/>
    </row>
    <row r="5619" spans="2:2" x14ac:dyDescent="0.25">
      <c r="B5619" s="10"/>
    </row>
    <row r="5620" spans="2:2" x14ac:dyDescent="0.25">
      <c r="B5620" s="10"/>
    </row>
    <row r="5621" spans="2:2" x14ac:dyDescent="0.25">
      <c r="B5621" s="10"/>
    </row>
    <row r="5622" spans="2:2" x14ac:dyDescent="0.25">
      <c r="B5622" s="10"/>
    </row>
    <row r="5623" spans="2:2" x14ac:dyDescent="0.25">
      <c r="B5623" s="10"/>
    </row>
    <row r="5624" spans="2:2" x14ac:dyDescent="0.25">
      <c r="B5624" s="10"/>
    </row>
    <row r="5625" spans="2:2" x14ac:dyDescent="0.25">
      <c r="B5625" s="10"/>
    </row>
    <row r="5626" spans="2:2" x14ac:dyDescent="0.25">
      <c r="B5626" s="10"/>
    </row>
    <row r="5627" spans="2:2" x14ac:dyDescent="0.25">
      <c r="B5627" s="10"/>
    </row>
    <row r="5628" spans="2:2" x14ac:dyDescent="0.25">
      <c r="B5628" s="10"/>
    </row>
    <row r="5629" spans="2:2" x14ac:dyDescent="0.25">
      <c r="B5629" s="10"/>
    </row>
    <row r="5630" spans="2:2" x14ac:dyDescent="0.25">
      <c r="B5630" s="10"/>
    </row>
    <row r="5631" spans="2:2" x14ac:dyDescent="0.25">
      <c r="B5631" s="10"/>
    </row>
    <row r="5632" spans="2:2" x14ac:dyDescent="0.25">
      <c r="B5632" s="10"/>
    </row>
    <row r="5633" spans="2:2" x14ac:dyDescent="0.25">
      <c r="B5633" s="10"/>
    </row>
    <row r="5634" spans="2:2" x14ac:dyDescent="0.25">
      <c r="B5634" s="10"/>
    </row>
    <row r="5635" spans="2:2" x14ac:dyDescent="0.25">
      <c r="B5635" s="10"/>
    </row>
    <row r="5636" spans="2:2" x14ac:dyDescent="0.25">
      <c r="B5636" s="10"/>
    </row>
    <row r="5637" spans="2:2" x14ac:dyDescent="0.25">
      <c r="B5637" s="10"/>
    </row>
    <row r="5638" spans="2:2" x14ac:dyDescent="0.25">
      <c r="B5638" s="10"/>
    </row>
    <row r="5639" spans="2:2" x14ac:dyDescent="0.25">
      <c r="B5639" s="10"/>
    </row>
    <row r="5640" spans="2:2" x14ac:dyDescent="0.25">
      <c r="B5640" s="10"/>
    </row>
    <row r="5641" spans="2:2" x14ac:dyDescent="0.25">
      <c r="B5641" s="10"/>
    </row>
    <row r="5642" spans="2:2" x14ac:dyDescent="0.25">
      <c r="B5642" s="10"/>
    </row>
    <row r="5643" spans="2:2" x14ac:dyDescent="0.25">
      <c r="B5643" s="10"/>
    </row>
    <row r="5644" spans="2:2" x14ac:dyDescent="0.25">
      <c r="B5644" s="10"/>
    </row>
    <row r="5645" spans="2:2" x14ac:dyDescent="0.25">
      <c r="B5645" s="10"/>
    </row>
    <row r="5646" spans="2:2" x14ac:dyDescent="0.25">
      <c r="B5646" s="10"/>
    </row>
    <row r="5647" spans="2:2" x14ac:dyDescent="0.25">
      <c r="B5647" s="10"/>
    </row>
    <row r="5648" spans="2:2" x14ac:dyDescent="0.25">
      <c r="B5648" s="10"/>
    </row>
    <row r="5649" spans="2:2" x14ac:dyDescent="0.25">
      <c r="B5649" s="10"/>
    </row>
    <row r="5650" spans="2:2" x14ac:dyDescent="0.25">
      <c r="B5650" s="10"/>
    </row>
    <row r="5651" spans="2:2" x14ac:dyDescent="0.25">
      <c r="B5651" s="10"/>
    </row>
    <row r="5652" spans="2:2" x14ac:dyDescent="0.25">
      <c r="B5652" s="10"/>
    </row>
    <row r="5653" spans="2:2" x14ac:dyDescent="0.25">
      <c r="B5653" s="10"/>
    </row>
    <row r="5654" spans="2:2" x14ac:dyDescent="0.25">
      <c r="B5654" s="10"/>
    </row>
    <row r="5655" spans="2:2" x14ac:dyDescent="0.25">
      <c r="B5655" s="10"/>
    </row>
    <row r="5656" spans="2:2" x14ac:dyDescent="0.25">
      <c r="B5656" s="10"/>
    </row>
    <row r="5657" spans="2:2" x14ac:dyDescent="0.25">
      <c r="B5657" s="10"/>
    </row>
    <row r="5658" spans="2:2" x14ac:dyDescent="0.25">
      <c r="B5658" s="10"/>
    </row>
    <row r="5659" spans="2:2" x14ac:dyDescent="0.25">
      <c r="B5659" s="10"/>
    </row>
    <row r="5660" spans="2:2" x14ac:dyDescent="0.25">
      <c r="B5660" s="10"/>
    </row>
    <row r="5661" spans="2:2" x14ac:dyDescent="0.25">
      <c r="B5661" s="10"/>
    </row>
    <row r="5662" spans="2:2" x14ac:dyDescent="0.25">
      <c r="B5662" s="10"/>
    </row>
    <row r="5663" spans="2:2" x14ac:dyDescent="0.25">
      <c r="B5663" s="10"/>
    </row>
    <row r="5664" spans="2:2" x14ac:dyDescent="0.25">
      <c r="B5664" s="10"/>
    </row>
    <row r="5665" spans="2:2" x14ac:dyDescent="0.25">
      <c r="B5665" s="10"/>
    </row>
    <row r="5666" spans="2:2" x14ac:dyDescent="0.25">
      <c r="B5666" s="10"/>
    </row>
    <row r="5667" spans="2:2" x14ac:dyDescent="0.25">
      <c r="B5667" s="10"/>
    </row>
    <row r="5668" spans="2:2" x14ac:dyDescent="0.25">
      <c r="B5668" s="10"/>
    </row>
    <row r="5669" spans="2:2" x14ac:dyDescent="0.25">
      <c r="B5669" s="10"/>
    </row>
    <row r="5670" spans="2:2" x14ac:dyDescent="0.25">
      <c r="B5670" s="10"/>
    </row>
    <row r="5671" spans="2:2" x14ac:dyDescent="0.25">
      <c r="B5671" s="10"/>
    </row>
    <row r="5672" spans="2:2" x14ac:dyDescent="0.25">
      <c r="B5672" s="10"/>
    </row>
    <row r="5673" spans="2:2" x14ac:dyDescent="0.25">
      <c r="B5673" s="10"/>
    </row>
    <row r="5674" spans="2:2" x14ac:dyDescent="0.25">
      <c r="B5674" s="10"/>
    </row>
    <row r="5675" spans="2:2" x14ac:dyDescent="0.25">
      <c r="B5675" s="10"/>
    </row>
    <row r="5676" spans="2:2" x14ac:dyDescent="0.25">
      <c r="B5676" s="10"/>
    </row>
    <row r="5677" spans="2:2" x14ac:dyDescent="0.25">
      <c r="B5677" s="10"/>
    </row>
    <row r="5678" spans="2:2" x14ac:dyDescent="0.25">
      <c r="B5678" s="10"/>
    </row>
    <row r="5679" spans="2:2" x14ac:dyDescent="0.25">
      <c r="B5679" s="10"/>
    </row>
    <row r="5680" spans="2:2" x14ac:dyDescent="0.25">
      <c r="B5680" s="10"/>
    </row>
    <row r="5681" spans="2:2" x14ac:dyDescent="0.25">
      <c r="B5681" s="10"/>
    </row>
    <row r="5682" spans="2:2" x14ac:dyDescent="0.25">
      <c r="B5682" s="10"/>
    </row>
    <row r="5683" spans="2:2" x14ac:dyDescent="0.25">
      <c r="B5683" s="10"/>
    </row>
    <row r="5684" spans="2:2" x14ac:dyDescent="0.25">
      <c r="B5684" s="10"/>
    </row>
    <row r="5685" spans="2:2" x14ac:dyDescent="0.25">
      <c r="B5685" s="10"/>
    </row>
    <row r="5686" spans="2:2" x14ac:dyDescent="0.25">
      <c r="B5686" s="10"/>
    </row>
    <row r="5687" spans="2:2" x14ac:dyDescent="0.25">
      <c r="B5687" s="10"/>
    </row>
    <row r="5688" spans="2:2" x14ac:dyDescent="0.25">
      <c r="B5688" s="10"/>
    </row>
    <row r="5689" spans="2:2" x14ac:dyDescent="0.25">
      <c r="B5689" s="10"/>
    </row>
    <row r="5690" spans="2:2" x14ac:dyDescent="0.25">
      <c r="B5690" s="10"/>
    </row>
    <row r="5691" spans="2:2" x14ac:dyDescent="0.25">
      <c r="B5691" s="10"/>
    </row>
    <row r="5692" spans="2:2" x14ac:dyDescent="0.25">
      <c r="B5692" s="10"/>
    </row>
    <row r="5693" spans="2:2" x14ac:dyDescent="0.25">
      <c r="B5693" s="10"/>
    </row>
    <row r="5694" spans="2:2" x14ac:dyDescent="0.25">
      <c r="B5694" s="10"/>
    </row>
    <row r="5695" spans="2:2" x14ac:dyDescent="0.25">
      <c r="B5695" s="10"/>
    </row>
    <row r="5696" spans="2:2" x14ac:dyDescent="0.25">
      <c r="B5696" s="10"/>
    </row>
    <row r="5697" spans="2:2" x14ac:dyDescent="0.25">
      <c r="B5697" s="10"/>
    </row>
    <row r="5698" spans="2:2" x14ac:dyDescent="0.25">
      <c r="B5698" s="10"/>
    </row>
    <row r="5699" spans="2:2" x14ac:dyDescent="0.25">
      <c r="B5699" s="10"/>
    </row>
    <row r="5700" spans="2:2" x14ac:dyDescent="0.25">
      <c r="B5700" s="10"/>
    </row>
    <row r="5701" spans="2:2" x14ac:dyDescent="0.25">
      <c r="B5701" s="10"/>
    </row>
    <row r="5702" spans="2:2" x14ac:dyDescent="0.25">
      <c r="B5702" s="10"/>
    </row>
    <row r="5703" spans="2:2" x14ac:dyDescent="0.25">
      <c r="B5703" s="10"/>
    </row>
    <row r="5704" spans="2:2" x14ac:dyDescent="0.25">
      <c r="B5704" s="10"/>
    </row>
    <row r="5705" spans="2:2" x14ac:dyDescent="0.25">
      <c r="B5705" s="10"/>
    </row>
    <row r="5706" spans="2:2" x14ac:dyDescent="0.25">
      <c r="B5706" s="10"/>
    </row>
    <row r="5707" spans="2:2" x14ac:dyDescent="0.25">
      <c r="B5707" s="10"/>
    </row>
    <row r="5708" spans="2:2" x14ac:dyDescent="0.25">
      <c r="B5708" s="10"/>
    </row>
    <row r="5709" spans="2:2" x14ac:dyDescent="0.25">
      <c r="B5709" s="10"/>
    </row>
    <row r="5710" spans="2:2" x14ac:dyDescent="0.25">
      <c r="B5710" s="10"/>
    </row>
    <row r="5711" spans="2:2" x14ac:dyDescent="0.25">
      <c r="B5711" s="10"/>
    </row>
    <row r="5712" spans="2:2" x14ac:dyDescent="0.25">
      <c r="B5712" s="10"/>
    </row>
    <row r="5713" spans="2:2" x14ac:dyDescent="0.25">
      <c r="B5713" s="10"/>
    </row>
    <row r="5714" spans="2:2" x14ac:dyDescent="0.25">
      <c r="B5714" s="10"/>
    </row>
    <row r="5715" spans="2:2" x14ac:dyDescent="0.25">
      <c r="B5715" s="10"/>
    </row>
    <row r="5716" spans="2:2" x14ac:dyDescent="0.25">
      <c r="B5716" s="10"/>
    </row>
    <row r="5717" spans="2:2" x14ac:dyDescent="0.25">
      <c r="B5717" s="10"/>
    </row>
    <row r="5718" spans="2:2" x14ac:dyDescent="0.25">
      <c r="B5718" s="10"/>
    </row>
    <row r="5719" spans="2:2" x14ac:dyDescent="0.25">
      <c r="B5719" s="10"/>
    </row>
    <row r="5720" spans="2:2" x14ac:dyDescent="0.25">
      <c r="B5720" s="10"/>
    </row>
    <row r="5721" spans="2:2" x14ac:dyDescent="0.25">
      <c r="B5721" s="10"/>
    </row>
    <row r="5722" spans="2:2" x14ac:dyDescent="0.25">
      <c r="B5722" s="10"/>
    </row>
    <row r="5723" spans="2:2" x14ac:dyDescent="0.25">
      <c r="B5723" s="10"/>
    </row>
    <row r="5724" spans="2:2" x14ac:dyDescent="0.25">
      <c r="B5724" s="10"/>
    </row>
    <row r="5725" spans="2:2" x14ac:dyDescent="0.25">
      <c r="B5725" s="10"/>
    </row>
    <row r="5726" spans="2:2" x14ac:dyDescent="0.25">
      <c r="B5726" s="10"/>
    </row>
    <row r="5727" spans="2:2" x14ac:dyDescent="0.25">
      <c r="B5727" s="10"/>
    </row>
    <row r="5728" spans="2:2" x14ac:dyDescent="0.25">
      <c r="B5728" s="10"/>
    </row>
    <row r="5729" spans="2:2" x14ac:dyDescent="0.25">
      <c r="B5729" s="10"/>
    </row>
    <row r="5730" spans="2:2" x14ac:dyDescent="0.25">
      <c r="B5730" s="10"/>
    </row>
    <row r="5731" spans="2:2" x14ac:dyDescent="0.25">
      <c r="B5731" s="10"/>
    </row>
    <row r="5732" spans="2:2" x14ac:dyDescent="0.25">
      <c r="B5732" s="10"/>
    </row>
    <row r="5733" spans="2:2" x14ac:dyDescent="0.25">
      <c r="B5733" s="10"/>
    </row>
    <row r="5734" spans="2:2" x14ac:dyDescent="0.25">
      <c r="B5734" s="10"/>
    </row>
    <row r="5735" spans="2:2" x14ac:dyDescent="0.25">
      <c r="B5735" s="10"/>
    </row>
    <row r="5736" spans="2:2" x14ac:dyDescent="0.25">
      <c r="B5736" s="10"/>
    </row>
    <row r="5737" spans="2:2" x14ac:dyDescent="0.25">
      <c r="B5737" s="10"/>
    </row>
    <row r="5738" spans="2:2" x14ac:dyDescent="0.25">
      <c r="B5738" s="10"/>
    </row>
    <row r="5739" spans="2:2" x14ac:dyDescent="0.25">
      <c r="B5739" s="10"/>
    </row>
    <row r="5740" spans="2:2" x14ac:dyDescent="0.25">
      <c r="B5740" s="10"/>
    </row>
    <row r="5741" spans="2:2" x14ac:dyDescent="0.25">
      <c r="B5741" s="10"/>
    </row>
    <row r="5742" spans="2:2" x14ac:dyDescent="0.25">
      <c r="B5742" s="10"/>
    </row>
    <row r="5743" spans="2:2" x14ac:dyDescent="0.25">
      <c r="B5743" s="10"/>
    </row>
    <row r="5744" spans="2:2" x14ac:dyDescent="0.25">
      <c r="B5744" s="10"/>
    </row>
    <row r="5745" spans="2:2" x14ac:dyDescent="0.25">
      <c r="B5745" s="10"/>
    </row>
    <row r="5746" spans="2:2" x14ac:dyDescent="0.25">
      <c r="B5746" s="10"/>
    </row>
    <row r="5747" spans="2:2" x14ac:dyDescent="0.25">
      <c r="B5747" s="10"/>
    </row>
    <row r="5748" spans="2:2" x14ac:dyDescent="0.25">
      <c r="B5748" s="10"/>
    </row>
    <row r="5749" spans="2:2" x14ac:dyDescent="0.25">
      <c r="B5749" s="10"/>
    </row>
    <row r="5750" spans="2:2" x14ac:dyDescent="0.25">
      <c r="B5750" s="10"/>
    </row>
    <row r="5751" spans="2:2" x14ac:dyDescent="0.25">
      <c r="B5751" s="10"/>
    </row>
    <row r="5752" spans="2:2" x14ac:dyDescent="0.25">
      <c r="B5752" s="10"/>
    </row>
    <row r="5753" spans="2:2" x14ac:dyDescent="0.25">
      <c r="B5753" s="10"/>
    </row>
    <row r="5754" spans="2:2" x14ac:dyDescent="0.25">
      <c r="B5754" s="10"/>
    </row>
    <row r="5755" spans="2:2" x14ac:dyDescent="0.25">
      <c r="B5755" s="10"/>
    </row>
    <row r="5756" spans="2:2" x14ac:dyDescent="0.25">
      <c r="B5756" s="10"/>
    </row>
    <row r="5757" spans="2:2" x14ac:dyDescent="0.25">
      <c r="B5757" s="10"/>
    </row>
    <row r="5758" spans="2:2" x14ac:dyDescent="0.25">
      <c r="B5758" s="10"/>
    </row>
    <row r="5759" spans="2:2" x14ac:dyDescent="0.25">
      <c r="B5759" s="10"/>
    </row>
    <row r="5760" spans="2:2" x14ac:dyDescent="0.25">
      <c r="B5760" s="10"/>
    </row>
    <row r="5761" spans="2:2" x14ac:dyDescent="0.25">
      <c r="B5761" s="10"/>
    </row>
    <row r="5762" spans="2:2" x14ac:dyDescent="0.25">
      <c r="B5762" s="10"/>
    </row>
    <row r="5763" spans="2:2" x14ac:dyDescent="0.25">
      <c r="B5763" s="10"/>
    </row>
    <row r="5764" spans="2:2" x14ac:dyDescent="0.25">
      <c r="B5764" s="10"/>
    </row>
    <row r="5765" spans="2:2" x14ac:dyDescent="0.25">
      <c r="B5765" s="10"/>
    </row>
    <row r="5766" spans="2:2" x14ac:dyDescent="0.25">
      <c r="B5766" s="10"/>
    </row>
    <row r="5767" spans="2:2" x14ac:dyDescent="0.25">
      <c r="B5767" s="10"/>
    </row>
    <row r="5768" spans="2:2" x14ac:dyDescent="0.25">
      <c r="B5768" s="10"/>
    </row>
    <row r="5769" spans="2:2" x14ac:dyDescent="0.25">
      <c r="B5769" s="10"/>
    </row>
    <row r="5770" spans="2:2" x14ac:dyDescent="0.25">
      <c r="B5770" s="10"/>
    </row>
    <row r="5771" spans="2:2" x14ac:dyDescent="0.25">
      <c r="B5771" s="10"/>
    </row>
    <row r="5772" spans="2:2" x14ac:dyDescent="0.25">
      <c r="B5772" s="10"/>
    </row>
    <row r="5773" spans="2:2" x14ac:dyDescent="0.25">
      <c r="B5773" s="10"/>
    </row>
    <row r="5774" spans="2:2" x14ac:dyDescent="0.25">
      <c r="B5774" s="10"/>
    </row>
    <row r="5775" spans="2:2" x14ac:dyDescent="0.25">
      <c r="B5775" s="10"/>
    </row>
    <row r="5776" spans="2:2" x14ac:dyDescent="0.25">
      <c r="B5776" s="10"/>
    </row>
    <row r="5777" spans="2:2" x14ac:dyDescent="0.25">
      <c r="B5777" s="10"/>
    </row>
    <row r="5778" spans="2:2" x14ac:dyDescent="0.25">
      <c r="B5778" s="10"/>
    </row>
    <row r="5779" spans="2:2" x14ac:dyDescent="0.25">
      <c r="B5779" s="10"/>
    </row>
    <row r="5780" spans="2:2" x14ac:dyDescent="0.25">
      <c r="B5780" s="10"/>
    </row>
    <row r="5781" spans="2:2" x14ac:dyDescent="0.25">
      <c r="B5781" s="10"/>
    </row>
    <row r="5782" spans="2:2" x14ac:dyDescent="0.25">
      <c r="B5782" s="10"/>
    </row>
    <row r="5783" spans="2:2" x14ac:dyDescent="0.25">
      <c r="B5783" s="10"/>
    </row>
    <row r="5784" spans="2:2" x14ac:dyDescent="0.25">
      <c r="B5784" s="10"/>
    </row>
    <row r="5785" spans="2:2" x14ac:dyDescent="0.25">
      <c r="B5785" s="10"/>
    </row>
    <row r="5786" spans="2:2" x14ac:dyDescent="0.25">
      <c r="B5786" s="10"/>
    </row>
    <row r="5787" spans="2:2" x14ac:dyDescent="0.25">
      <c r="B5787" s="10"/>
    </row>
    <row r="5788" spans="2:2" x14ac:dyDescent="0.25">
      <c r="B5788" s="10"/>
    </row>
    <row r="5789" spans="2:2" x14ac:dyDescent="0.25">
      <c r="B5789" s="10"/>
    </row>
    <row r="5790" spans="2:2" x14ac:dyDescent="0.25">
      <c r="B5790" s="10"/>
    </row>
    <row r="5791" spans="2:2" x14ac:dyDescent="0.25">
      <c r="B5791" s="10"/>
    </row>
    <row r="5792" spans="2:2" x14ac:dyDescent="0.25">
      <c r="B5792" s="10"/>
    </row>
    <row r="5793" spans="2:2" x14ac:dyDescent="0.25">
      <c r="B5793" s="10"/>
    </row>
    <row r="5794" spans="2:2" x14ac:dyDescent="0.25">
      <c r="B5794" s="10"/>
    </row>
    <row r="5795" spans="2:2" x14ac:dyDescent="0.25">
      <c r="B5795" s="10"/>
    </row>
    <row r="5796" spans="2:2" x14ac:dyDescent="0.25">
      <c r="B5796" s="10"/>
    </row>
    <row r="5797" spans="2:2" x14ac:dyDescent="0.25">
      <c r="B5797" s="10"/>
    </row>
    <row r="5798" spans="2:2" x14ac:dyDescent="0.25">
      <c r="B5798" s="10"/>
    </row>
    <row r="5799" spans="2:2" x14ac:dyDescent="0.25">
      <c r="B5799" s="10"/>
    </row>
    <row r="5800" spans="2:2" x14ac:dyDescent="0.25">
      <c r="B5800" s="10"/>
    </row>
    <row r="5801" spans="2:2" x14ac:dyDescent="0.25">
      <c r="B5801" s="10"/>
    </row>
    <row r="5802" spans="2:2" x14ac:dyDescent="0.25">
      <c r="B5802" s="10"/>
    </row>
    <row r="5803" spans="2:2" x14ac:dyDescent="0.25">
      <c r="B5803" s="10"/>
    </row>
    <row r="5804" spans="2:2" x14ac:dyDescent="0.25">
      <c r="B5804" s="10"/>
    </row>
    <row r="5805" spans="2:2" x14ac:dyDescent="0.25">
      <c r="B5805" s="10"/>
    </row>
    <row r="5806" spans="2:2" x14ac:dyDescent="0.25">
      <c r="B5806" s="10"/>
    </row>
    <row r="5807" spans="2:2" x14ac:dyDescent="0.25">
      <c r="B5807" s="10"/>
    </row>
    <row r="5808" spans="2:2" x14ac:dyDescent="0.25">
      <c r="B5808" s="10"/>
    </row>
    <row r="5809" spans="2:2" x14ac:dyDescent="0.25">
      <c r="B5809" s="10"/>
    </row>
    <row r="5810" spans="2:2" x14ac:dyDescent="0.25">
      <c r="B5810" s="10"/>
    </row>
    <row r="5811" spans="2:2" x14ac:dyDescent="0.25">
      <c r="B5811" s="10"/>
    </row>
    <row r="5812" spans="2:2" x14ac:dyDescent="0.25">
      <c r="B5812" s="10"/>
    </row>
    <row r="5813" spans="2:2" x14ac:dyDescent="0.25">
      <c r="B5813" s="10"/>
    </row>
    <row r="5814" spans="2:2" x14ac:dyDescent="0.25">
      <c r="B5814" s="10"/>
    </row>
    <row r="5815" spans="2:2" x14ac:dyDescent="0.25">
      <c r="B5815" s="10"/>
    </row>
    <row r="5816" spans="2:2" x14ac:dyDescent="0.25">
      <c r="B5816" s="10"/>
    </row>
    <row r="5817" spans="2:2" x14ac:dyDescent="0.25">
      <c r="B5817" s="10"/>
    </row>
    <row r="5818" spans="2:2" x14ac:dyDescent="0.25">
      <c r="B5818" s="10"/>
    </row>
    <row r="5819" spans="2:2" x14ac:dyDescent="0.25">
      <c r="B5819" s="10"/>
    </row>
    <row r="5820" spans="2:2" x14ac:dyDescent="0.25">
      <c r="B5820" s="10"/>
    </row>
    <row r="5821" spans="2:2" x14ac:dyDescent="0.25">
      <c r="B5821" s="10"/>
    </row>
    <row r="5822" spans="2:2" x14ac:dyDescent="0.25">
      <c r="B5822" s="10"/>
    </row>
    <row r="5823" spans="2:2" x14ac:dyDescent="0.25">
      <c r="B5823" s="10"/>
    </row>
    <row r="5824" spans="2:2" x14ac:dyDescent="0.25">
      <c r="B5824" s="10"/>
    </row>
    <row r="5825" spans="2:2" x14ac:dyDescent="0.25">
      <c r="B5825" s="10"/>
    </row>
    <row r="5826" spans="2:2" x14ac:dyDescent="0.25">
      <c r="B5826" s="10"/>
    </row>
    <row r="5827" spans="2:2" x14ac:dyDescent="0.25">
      <c r="B5827" s="10"/>
    </row>
    <row r="5828" spans="2:2" x14ac:dyDescent="0.25">
      <c r="B5828" s="10"/>
    </row>
    <row r="5829" spans="2:2" x14ac:dyDescent="0.25">
      <c r="B5829" s="10"/>
    </row>
    <row r="5830" spans="2:2" x14ac:dyDescent="0.25">
      <c r="B5830" s="10"/>
    </row>
    <row r="5831" spans="2:2" x14ac:dyDescent="0.25">
      <c r="B5831" s="10"/>
    </row>
    <row r="5832" spans="2:2" x14ac:dyDescent="0.25">
      <c r="B5832" s="10"/>
    </row>
    <row r="5833" spans="2:2" x14ac:dyDescent="0.25">
      <c r="B5833" s="10"/>
    </row>
    <row r="5834" spans="2:2" x14ac:dyDescent="0.25">
      <c r="B5834" s="10"/>
    </row>
    <row r="5835" spans="2:2" x14ac:dyDescent="0.25">
      <c r="B5835" s="10"/>
    </row>
    <row r="5836" spans="2:2" x14ac:dyDescent="0.25">
      <c r="B5836" s="10"/>
    </row>
    <row r="5837" spans="2:2" x14ac:dyDescent="0.25">
      <c r="B5837" s="10"/>
    </row>
    <row r="5838" spans="2:2" x14ac:dyDescent="0.25">
      <c r="B5838" s="10"/>
    </row>
    <row r="5839" spans="2:2" x14ac:dyDescent="0.25">
      <c r="B5839" s="10"/>
    </row>
    <row r="5840" spans="2:2" x14ac:dyDescent="0.25">
      <c r="B5840" s="10"/>
    </row>
    <row r="5841" spans="2:2" x14ac:dyDescent="0.25">
      <c r="B5841" s="10"/>
    </row>
    <row r="5842" spans="2:2" x14ac:dyDescent="0.25">
      <c r="B5842" s="10"/>
    </row>
    <row r="5843" spans="2:2" x14ac:dyDescent="0.25">
      <c r="B5843" s="10"/>
    </row>
    <row r="5844" spans="2:2" x14ac:dyDescent="0.25">
      <c r="B5844" s="10"/>
    </row>
    <row r="5845" spans="2:2" x14ac:dyDescent="0.25">
      <c r="B5845" s="10"/>
    </row>
    <row r="5846" spans="2:2" x14ac:dyDescent="0.25">
      <c r="B5846" s="10"/>
    </row>
    <row r="5847" spans="2:2" x14ac:dyDescent="0.25">
      <c r="B5847" s="10"/>
    </row>
    <row r="5848" spans="2:2" x14ac:dyDescent="0.25">
      <c r="B5848" s="10"/>
    </row>
    <row r="5849" spans="2:2" x14ac:dyDescent="0.25">
      <c r="B5849" s="10"/>
    </row>
    <row r="5850" spans="2:2" x14ac:dyDescent="0.25">
      <c r="B5850" s="10"/>
    </row>
    <row r="5851" spans="2:2" x14ac:dyDescent="0.25">
      <c r="B5851" s="10"/>
    </row>
    <row r="5852" spans="2:2" x14ac:dyDescent="0.25">
      <c r="B5852" s="10"/>
    </row>
    <row r="5853" spans="2:2" x14ac:dyDescent="0.25">
      <c r="B5853" s="10"/>
    </row>
    <row r="5854" spans="2:2" x14ac:dyDescent="0.25">
      <c r="B5854" s="10"/>
    </row>
    <row r="5855" spans="2:2" x14ac:dyDescent="0.25">
      <c r="B5855" s="10"/>
    </row>
    <row r="5856" spans="2:2" x14ac:dyDescent="0.25">
      <c r="B5856" s="10"/>
    </row>
    <row r="5857" spans="2:2" x14ac:dyDescent="0.25">
      <c r="B5857" s="10"/>
    </row>
    <row r="5858" spans="2:2" x14ac:dyDescent="0.25">
      <c r="B5858" s="10"/>
    </row>
    <row r="5859" spans="2:2" x14ac:dyDescent="0.25">
      <c r="B5859" s="10"/>
    </row>
    <row r="5860" spans="2:2" x14ac:dyDescent="0.25">
      <c r="B5860" s="10"/>
    </row>
    <row r="5861" spans="2:2" x14ac:dyDescent="0.25">
      <c r="B5861" s="10"/>
    </row>
    <row r="5862" spans="2:2" x14ac:dyDescent="0.25">
      <c r="B5862" s="10"/>
    </row>
    <row r="5863" spans="2:2" x14ac:dyDescent="0.25">
      <c r="B5863" s="10"/>
    </row>
    <row r="5864" spans="2:2" x14ac:dyDescent="0.25">
      <c r="B5864" s="10"/>
    </row>
    <row r="5865" spans="2:2" x14ac:dyDescent="0.25">
      <c r="B5865" s="10"/>
    </row>
    <row r="5866" spans="2:2" x14ac:dyDescent="0.25">
      <c r="B5866" s="10"/>
    </row>
    <row r="5867" spans="2:2" x14ac:dyDescent="0.25">
      <c r="B5867" s="10"/>
    </row>
    <row r="5868" spans="2:2" x14ac:dyDescent="0.25">
      <c r="B5868" s="10"/>
    </row>
    <row r="5869" spans="2:2" x14ac:dyDescent="0.25">
      <c r="B5869" s="10"/>
    </row>
    <row r="5870" spans="2:2" x14ac:dyDescent="0.25">
      <c r="B5870" s="10"/>
    </row>
    <row r="5871" spans="2:2" x14ac:dyDescent="0.25">
      <c r="B5871" s="10"/>
    </row>
    <row r="5872" spans="2:2" x14ac:dyDescent="0.25">
      <c r="B5872" s="10"/>
    </row>
    <row r="5873" spans="2:2" x14ac:dyDescent="0.25">
      <c r="B5873" s="10"/>
    </row>
    <row r="5874" spans="2:2" x14ac:dyDescent="0.25">
      <c r="B5874" s="10"/>
    </row>
    <row r="5875" spans="2:2" x14ac:dyDescent="0.25">
      <c r="B5875" s="10"/>
    </row>
    <row r="5876" spans="2:2" x14ac:dyDescent="0.25">
      <c r="B5876" s="10"/>
    </row>
    <row r="5877" spans="2:2" x14ac:dyDescent="0.25">
      <c r="B5877" s="10"/>
    </row>
    <row r="5878" spans="2:2" x14ac:dyDescent="0.25">
      <c r="B5878" s="10"/>
    </row>
    <row r="5879" spans="2:2" x14ac:dyDescent="0.25">
      <c r="B5879" s="10"/>
    </row>
    <row r="5880" spans="2:2" x14ac:dyDescent="0.25">
      <c r="B5880" s="10"/>
    </row>
    <row r="5881" spans="2:2" x14ac:dyDescent="0.25">
      <c r="B5881" s="10"/>
    </row>
    <row r="5882" spans="2:2" x14ac:dyDescent="0.25">
      <c r="B5882" s="10"/>
    </row>
    <row r="5883" spans="2:2" x14ac:dyDescent="0.25">
      <c r="B5883" s="10"/>
    </row>
    <row r="5884" spans="2:2" x14ac:dyDescent="0.25">
      <c r="B5884" s="10"/>
    </row>
    <row r="5885" spans="2:2" x14ac:dyDescent="0.25">
      <c r="B5885" s="10"/>
    </row>
    <row r="5886" spans="2:2" x14ac:dyDescent="0.25">
      <c r="B5886" s="10"/>
    </row>
    <row r="5887" spans="2:2" x14ac:dyDescent="0.25">
      <c r="B5887" s="10"/>
    </row>
    <row r="5888" spans="2:2" x14ac:dyDescent="0.25">
      <c r="B5888" s="10"/>
    </row>
    <row r="5889" spans="2:2" x14ac:dyDescent="0.25">
      <c r="B5889" s="10"/>
    </row>
    <row r="5890" spans="2:2" x14ac:dyDescent="0.25">
      <c r="B5890" s="10"/>
    </row>
    <row r="5891" spans="2:2" x14ac:dyDescent="0.25">
      <c r="B5891" s="10"/>
    </row>
    <row r="5892" spans="2:2" x14ac:dyDescent="0.25">
      <c r="B5892" s="10"/>
    </row>
    <row r="5893" spans="2:2" x14ac:dyDescent="0.25">
      <c r="B5893" s="10"/>
    </row>
    <row r="5894" spans="2:2" x14ac:dyDescent="0.25">
      <c r="B5894" s="10"/>
    </row>
    <row r="5895" spans="2:2" x14ac:dyDescent="0.25">
      <c r="B5895" s="10"/>
    </row>
    <row r="5896" spans="2:2" x14ac:dyDescent="0.25">
      <c r="B5896" s="10"/>
    </row>
    <row r="5897" spans="2:2" x14ac:dyDescent="0.25">
      <c r="B5897" s="10"/>
    </row>
    <row r="5898" spans="2:2" x14ac:dyDescent="0.25">
      <c r="B5898" s="10"/>
    </row>
    <row r="5899" spans="2:2" x14ac:dyDescent="0.25">
      <c r="B5899" s="10"/>
    </row>
    <row r="5900" spans="2:2" x14ac:dyDescent="0.25">
      <c r="B5900" s="10"/>
    </row>
    <row r="5901" spans="2:2" x14ac:dyDescent="0.25">
      <c r="B5901" s="10"/>
    </row>
    <row r="5902" spans="2:2" x14ac:dyDescent="0.25">
      <c r="B5902" s="10"/>
    </row>
    <row r="5903" spans="2:2" x14ac:dyDescent="0.25">
      <c r="B5903" s="10"/>
    </row>
    <row r="5904" spans="2:2" x14ac:dyDescent="0.25">
      <c r="B5904" s="10"/>
    </row>
    <row r="5905" spans="2:2" x14ac:dyDescent="0.25">
      <c r="B5905" s="10"/>
    </row>
    <row r="5906" spans="2:2" x14ac:dyDescent="0.25">
      <c r="B5906" s="10"/>
    </row>
    <row r="5907" spans="2:2" x14ac:dyDescent="0.25">
      <c r="B5907" s="10"/>
    </row>
    <row r="5908" spans="2:2" x14ac:dyDescent="0.25">
      <c r="B5908" s="10"/>
    </row>
    <row r="5909" spans="2:2" x14ac:dyDescent="0.25">
      <c r="B5909" s="10"/>
    </row>
    <row r="5910" spans="2:2" x14ac:dyDescent="0.25">
      <c r="B5910" s="10"/>
    </row>
    <row r="5911" spans="2:2" x14ac:dyDescent="0.25">
      <c r="B5911" s="10"/>
    </row>
    <row r="5912" spans="2:2" x14ac:dyDescent="0.25">
      <c r="B5912" s="10"/>
    </row>
    <row r="5913" spans="2:2" x14ac:dyDescent="0.25">
      <c r="B5913" s="10"/>
    </row>
    <row r="5914" spans="2:2" x14ac:dyDescent="0.25">
      <c r="B5914" s="10"/>
    </row>
    <row r="5915" spans="2:2" x14ac:dyDescent="0.25">
      <c r="B5915" s="10"/>
    </row>
    <row r="5916" spans="2:2" x14ac:dyDescent="0.25">
      <c r="B5916" s="10"/>
    </row>
    <row r="5917" spans="2:2" x14ac:dyDescent="0.25">
      <c r="B5917" s="10"/>
    </row>
    <row r="5918" spans="2:2" x14ac:dyDescent="0.25">
      <c r="B5918" s="10"/>
    </row>
    <row r="5919" spans="2:2" x14ac:dyDescent="0.25">
      <c r="B5919" s="10"/>
    </row>
    <row r="5920" spans="2:2" x14ac:dyDescent="0.25">
      <c r="B5920" s="10"/>
    </row>
    <row r="5921" spans="2:2" x14ac:dyDescent="0.25">
      <c r="B5921" s="10"/>
    </row>
    <row r="5922" spans="2:2" x14ac:dyDescent="0.25">
      <c r="B5922" s="10"/>
    </row>
    <row r="5923" spans="2:2" x14ac:dyDescent="0.25">
      <c r="B5923" s="10"/>
    </row>
    <row r="5924" spans="2:2" x14ac:dyDescent="0.25">
      <c r="B5924" s="10"/>
    </row>
    <row r="5925" spans="2:2" x14ac:dyDescent="0.25">
      <c r="B5925" s="10"/>
    </row>
    <row r="5926" spans="2:2" x14ac:dyDescent="0.25">
      <c r="B5926" s="10"/>
    </row>
    <row r="5927" spans="2:2" x14ac:dyDescent="0.25">
      <c r="B5927" s="10"/>
    </row>
    <row r="5928" spans="2:2" x14ac:dyDescent="0.25">
      <c r="B5928" s="10"/>
    </row>
    <row r="5929" spans="2:2" x14ac:dyDescent="0.25">
      <c r="B5929" s="10"/>
    </row>
    <row r="5930" spans="2:2" x14ac:dyDescent="0.25">
      <c r="B5930" s="10"/>
    </row>
    <row r="5931" spans="2:2" x14ac:dyDescent="0.25">
      <c r="B5931" s="10"/>
    </row>
    <row r="5932" spans="2:2" x14ac:dyDescent="0.25">
      <c r="B5932" s="10"/>
    </row>
    <row r="5933" spans="2:2" x14ac:dyDescent="0.25">
      <c r="B5933" s="10"/>
    </row>
    <row r="5934" spans="2:2" x14ac:dyDescent="0.25">
      <c r="B5934" s="10"/>
    </row>
    <row r="5935" spans="2:2" x14ac:dyDescent="0.25">
      <c r="B5935" s="10"/>
    </row>
    <row r="5936" spans="2:2" x14ac:dyDescent="0.25">
      <c r="B5936" s="10"/>
    </row>
    <row r="5937" spans="2:2" x14ac:dyDescent="0.25">
      <c r="B5937" s="10"/>
    </row>
    <row r="5938" spans="2:2" x14ac:dyDescent="0.25">
      <c r="B5938" s="10"/>
    </row>
    <row r="5939" spans="2:2" x14ac:dyDescent="0.25">
      <c r="B5939" s="10"/>
    </row>
    <row r="5940" spans="2:2" x14ac:dyDescent="0.25">
      <c r="B5940" s="10"/>
    </row>
    <row r="5941" spans="2:2" x14ac:dyDescent="0.25">
      <c r="B5941" s="10"/>
    </row>
    <row r="5942" spans="2:2" x14ac:dyDescent="0.25">
      <c r="B5942" s="10"/>
    </row>
    <row r="5943" spans="2:2" x14ac:dyDescent="0.25">
      <c r="B5943" s="10"/>
    </row>
    <row r="5944" spans="2:2" x14ac:dyDescent="0.25">
      <c r="B5944" s="10"/>
    </row>
    <row r="5945" spans="2:2" x14ac:dyDescent="0.25">
      <c r="B5945" s="10"/>
    </row>
    <row r="5946" spans="2:2" x14ac:dyDescent="0.25">
      <c r="B5946" s="10"/>
    </row>
    <row r="5947" spans="2:2" x14ac:dyDescent="0.25">
      <c r="B5947" s="10"/>
    </row>
    <row r="5948" spans="2:2" x14ac:dyDescent="0.25">
      <c r="B5948" s="10"/>
    </row>
    <row r="5949" spans="2:2" x14ac:dyDescent="0.25">
      <c r="B5949" s="10"/>
    </row>
    <row r="5950" spans="2:2" x14ac:dyDescent="0.25">
      <c r="B5950" s="10"/>
    </row>
    <row r="5951" spans="2:2" x14ac:dyDescent="0.25">
      <c r="B5951" s="10"/>
    </row>
    <row r="5952" spans="2:2" x14ac:dyDescent="0.25">
      <c r="B5952" s="10"/>
    </row>
    <row r="5953" spans="2:2" x14ac:dyDescent="0.25">
      <c r="B5953" s="10"/>
    </row>
    <row r="5954" spans="2:2" x14ac:dyDescent="0.25">
      <c r="B5954" s="10"/>
    </row>
    <row r="5955" spans="2:2" x14ac:dyDescent="0.25">
      <c r="B5955" s="10"/>
    </row>
    <row r="5956" spans="2:2" x14ac:dyDescent="0.25">
      <c r="B5956" s="10"/>
    </row>
    <row r="5957" spans="2:2" x14ac:dyDescent="0.25">
      <c r="B5957" s="10"/>
    </row>
    <row r="5958" spans="2:2" x14ac:dyDescent="0.25">
      <c r="B5958" s="10"/>
    </row>
    <row r="5959" spans="2:2" x14ac:dyDescent="0.25">
      <c r="B5959" s="10"/>
    </row>
    <row r="5960" spans="2:2" x14ac:dyDescent="0.25">
      <c r="B5960" s="10"/>
    </row>
    <row r="5961" spans="2:2" x14ac:dyDescent="0.25">
      <c r="B5961" s="10"/>
    </row>
    <row r="5962" spans="2:2" x14ac:dyDescent="0.25">
      <c r="B5962" s="10"/>
    </row>
    <row r="5963" spans="2:2" x14ac:dyDescent="0.25">
      <c r="B5963" s="10"/>
    </row>
    <row r="5964" spans="2:2" x14ac:dyDescent="0.25">
      <c r="B5964" s="10"/>
    </row>
    <row r="5965" spans="2:2" x14ac:dyDescent="0.25">
      <c r="B5965" s="10"/>
    </row>
    <row r="5966" spans="2:2" x14ac:dyDescent="0.25">
      <c r="B5966" s="10"/>
    </row>
    <row r="5967" spans="2:2" x14ac:dyDescent="0.25">
      <c r="B5967" s="10"/>
    </row>
    <row r="5968" spans="2:2" x14ac:dyDescent="0.25">
      <c r="B5968" s="10"/>
    </row>
    <row r="5969" spans="2:2" x14ac:dyDescent="0.25">
      <c r="B5969" s="10"/>
    </row>
    <row r="5970" spans="2:2" x14ac:dyDescent="0.25">
      <c r="B5970" s="10"/>
    </row>
    <row r="5971" spans="2:2" x14ac:dyDescent="0.25">
      <c r="B5971" s="10"/>
    </row>
    <row r="5972" spans="2:2" x14ac:dyDescent="0.25">
      <c r="B5972" s="10"/>
    </row>
    <row r="5973" spans="2:2" x14ac:dyDescent="0.25">
      <c r="B5973" s="10"/>
    </row>
    <row r="5974" spans="2:2" x14ac:dyDescent="0.25">
      <c r="B5974" s="10"/>
    </row>
    <row r="5975" spans="2:2" x14ac:dyDescent="0.25">
      <c r="B5975" s="10"/>
    </row>
    <row r="5976" spans="2:2" x14ac:dyDescent="0.25">
      <c r="B5976" s="10"/>
    </row>
    <row r="5977" spans="2:2" x14ac:dyDescent="0.25">
      <c r="B5977" s="10"/>
    </row>
    <row r="5978" spans="2:2" x14ac:dyDescent="0.25">
      <c r="B5978" s="10"/>
    </row>
    <row r="5979" spans="2:2" x14ac:dyDescent="0.25">
      <c r="B5979" s="10"/>
    </row>
    <row r="5980" spans="2:2" x14ac:dyDescent="0.25">
      <c r="B5980" s="10"/>
    </row>
    <row r="5981" spans="2:2" x14ac:dyDescent="0.25">
      <c r="B5981" s="10"/>
    </row>
    <row r="5982" spans="2:2" x14ac:dyDescent="0.25">
      <c r="B5982" s="10"/>
    </row>
    <row r="5983" spans="2:2" x14ac:dyDescent="0.25">
      <c r="B5983" s="10"/>
    </row>
    <row r="5984" spans="2:2" x14ac:dyDescent="0.25">
      <c r="B5984" s="10"/>
    </row>
    <row r="5985" spans="2:2" x14ac:dyDescent="0.25">
      <c r="B5985" s="10"/>
    </row>
    <row r="5986" spans="2:2" x14ac:dyDescent="0.25">
      <c r="B5986" s="10"/>
    </row>
    <row r="5987" spans="2:2" x14ac:dyDescent="0.25">
      <c r="B5987" s="10"/>
    </row>
    <row r="5988" spans="2:2" x14ac:dyDescent="0.25">
      <c r="B5988" s="10"/>
    </row>
    <row r="5989" spans="2:2" x14ac:dyDescent="0.25">
      <c r="B5989" s="10"/>
    </row>
    <row r="5990" spans="2:2" x14ac:dyDescent="0.25">
      <c r="B5990" s="10"/>
    </row>
    <row r="5991" spans="2:2" x14ac:dyDescent="0.25">
      <c r="B5991" s="10"/>
    </row>
    <row r="5992" spans="2:2" x14ac:dyDescent="0.25">
      <c r="B5992" s="10"/>
    </row>
    <row r="5993" spans="2:2" x14ac:dyDescent="0.25">
      <c r="B5993" s="10"/>
    </row>
    <row r="5994" spans="2:2" x14ac:dyDescent="0.25">
      <c r="B5994" s="10"/>
    </row>
    <row r="5995" spans="2:2" x14ac:dyDescent="0.25">
      <c r="B5995" s="10"/>
    </row>
    <row r="5996" spans="2:2" x14ac:dyDescent="0.25">
      <c r="B5996" s="10"/>
    </row>
    <row r="5997" spans="2:2" x14ac:dyDescent="0.25">
      <c r="B5997" s="10"/>
    </row>
    <row r="5998" spans="2:2" x14ac:dyDescent="0.25">
      <c r="B5998" s="10"/>
    </row>
    <row r="5999" spans="2:2" x14ac:dyDescent="0.25">
      <c r="B5999" s="10"/>
    </row>
    <row r="6000" spans="2:2" x14ac:dyDescent="0.25">
      <c r="B6000" s="10"/>
    </row>
    <row r="6001" spans="2:2" x14ac:dyDescent="0.25">
      <c r="B6001" s="10"/>
    </row>
    <row r="6002" spans="2:2" x14ac:dyDescent="0.25">
      <c r="B6002" s="10"/>
    </row>
    <row r="6003" spans="2:2" x14ac:dyDescent="0.25">
      <c r="B6003" s="10"/>
    </row>
    <row r="6004" spans="2:2" x14ac:dyDescent="0.25">
      <c r="B6004" s="10"/>
    </row>
    <row r="6005" spans="2:2" x14ac:dyDescent="0.25">
      <c r="B6005" s="10"/>
    </row>
    <row r="6006" spans="2:2" x14ac:dyDescent="0.25">
      <c r="B6006" s="10"/>
    </row>
    <row r="6007" spans="2:2" x14ac:dyDescent="0.25">
      <c r="B6007" s="10"/>
    </row>
    <row r="6008" spans="2:2" x14ac:dyDescent="0.25">
      <c r="B6008" s="10"/>
    </row>
    <row r="6009" spans="2:2" x14ac:dyDescent="0.25">
      <c r="B6009" s="10"/>
    </row>
    <row r="6010" spans="2:2" x14ac:dyDescent="0.25">
      <c r="B6010" s="10"/>
    </row>
    <row r="6011" spans="2:2" x14ac:dyDescent="0.25">
      <c r="B6011" s="10"/>
    </row>
    <row r="6012" spans="2:2" x14ac:dyDescent="0.25">
      <c r="B6012" s="10"/>
    </row>
    <row r="6013" spans="2:2" x14ac:dyDescent="0.25">
      <c r="B6013" s="10"/>
    </row>
    <row r="6014" spans="2:2" x14ac:dyDescent="0.25">
      <c r="B6014" s="10"/>
    </row>
    <row r="6015" spans="2:2" x14ac:dyDescent="0.25">
      <c r="B6015" s="10"/>
    </row>
    <row r="6016" spans="2:2" x14ac:dyDescent="0.25">
      <c r="B6016" s="10"/>
    </row>
    <row r="6017" spans="2:2" x14ac:dyDescent="0.25">
      <c r="B6017" s="10"/>
    </row>
    <row r="6018" spans="2:2" x14ac:dyDescent="0.25">
      <c r="B6018" s="10"/>
    </row>
    <row r="6019" spans="2:2" x14ac:dyDescent="0.25">
      <c r="B6019" s="10"/>
    </row>
    <row r="6020" spans="2:2" x14ac:dyDescent="0.25">
      <c r="B6020" s="10"/>
    </row>
    <row r="6021" spans="2:2" x14ac:dyDescent="0.25">
      <c r="B6021" s="10"/>
    </row>
    <row r="6022" spans="2:2" x14ac:dyDescent="0.25">
      <c r="B6022" s="10"/>
    </row>
    <row r="6023" spans="2:2" x14ac:dyDescent="0.25">
      <c r="B6023" s="10"/>
    </row>
    <row r="6024" spans="2:2" x14ac:dyDescent="0.25">
      <c r="B6024" s="10"/>
    </row>
    <row r="6025" spans="2:2" x14ac:dyDescent="0.25">
      <c r="B6025" s="10"/>
    </row>
    <row r="6026" spans="2:2" x14ac:dyDescent="0.25">
      <c r="B6026" s="10"/>
    </row>
    <row r="6027" spans="2:2" x14ac:dyDescent="0.25">
      <c r="B6027" s="10"/>
    </row>
    <row r="6028" spans="2:2" x14ac:dyDescent="0.25">
      <c r="B6028" s="10"/>
    </row>
    <row r="6029" spans="2:2" x14ac:dyDescent="0.25">
      <c r="B6029" s="10"/>
    </row>
    <row r="6030" spans="2:2" x14ac:dyDescent="0.25">
      <c r="B6030" s="10"/>
    </row>
    <row r="6031" spans="2:2" x14ac:dyDescent="0.25">
      <c r="B6031" s="10"/>
    </row>
    <row r="6032" spans="2:2" x14ac:dyDescent="0.25">
      <c r="B6032" s="10"/>
    </row>
    <row r="6033" spans="2:2" x14ac:dyDescent="0.25">
      <c r="B6033" s="10"/>
    </row>
    <row r="6034" spans="2:2" x14ac:dyDescent="0.25">
      <c r="B6034" s="10"/>
    </row>
    <row r="6035" spans="2:2" x14ac:dyDescent="0.25">
      <c r="B6035" s="10"/>
    </row>
    <row r="6036" spans="2:2" x14ac:dyDescent="0.25">
      <c r="B6036" s="10"/>
    </row>
    <row r="6037" spans="2:2" x14ac:dyDescent="0.25">
      <c r="B6037" s="10"/>
    </row>
    <row r="6038" spans="2:2" x14ac:dyDescent="0.25">
      <c r="B6038" s="10"/>
    </row>
    <row r="6039" spans="2:2" x14ac:dyDescent="0.25">
      <c r="B6039" s="10"/>
    </row>
    <row r="6040" spans="2:2" x14ac:dyDescent="0.25">
      <c r="B6040" s="10"/>
    </row>
    <row r="6041" spans="2:2" x14ac:dyDescent="0.25">
      <c r="B6041" s="10"/>
    </row>
    <row r="6042" spans="2:2" x14ac:dyDescent="0.25">
      <c r="B6042" s="10"/>
    </row>
    <row r="6043" spans="2:2" x14ac:dyDescent="0.25">
      <c r="B6043" s="10"/>
    </row>
    <row r="6044" spans="2:2" x14ac:dyDescent="0.25">
      <c r="B6044" s="10"/>
    </row>
    <row r="6045" spans="2:2" x14ac:dyDescent="0.25">
      <c r="B6045" s="10"/>
    </row>
    <row r="6046" spans="2:2" x14ac:dyDescent="0.25">
      <c r="B6046" s="10"/>
    </row>
    <row r="6047" spans="2:2" x14ac:dyDescent="0.25">
      <c r="B6047" s="10"/>
    </row>
    <row r="6048" spans="2:2" x14ac:dyDescent="0.25">
      <c r="B6048" s="10"/>
    </row>
    <row r="6049" spans="2:2" x14ac:dyDescent="0.25">
      <c r="B6049" s="10"/>
    </row>
    <row r="6050" spans="2:2" x14ac:dyDescent="0.25">
      <c r="B6050" s="10"/>
    </row>
    <row r="6051" spans="2:2" x14ac:dyDescent="0.25">
      <c r="B6051" s="10"/>
    </row>
    <row r="6052" spans="2:2" x14ac:dyDescent="0.25">
      <c r="B6052" s="10"/>
    </row>
    <row r="6053" spans="2:2" x14ac:dyDescent="0.25">
      <c r="B6053" s="10"/>
    </row>
    <row r="6054" spans="2:2" x14ac:dyDescent="0.25">
      <c r="B6054" s="10"/>
    </row>
    <row r="6055" spans="2:2" x14ac:dyDescent="0.25">
      <c r="B6055" s="10"/>
    </row>
    <row r="6056" spans="2:2" x14ac:dyDescent="0.25">
      <c r="B6056" s="10"/>
    </row>
    <row r="6057" spans="2:2" x14ac:dyDescent="0.25">
      <c r="B6057" s="10"/>
    </row>
    <row r="6058" spans="2:2" x14ac:dyDescent="0.25">
      <c r="B6058" s="10"/>
    </row>
    <row r="6059" spans="2:2" x14ac:dyDescent="0.25">
      <c r="B6059" s="10"/>
    </row>
    <row r="6060" spans="2:2" x14ac:dyDescent="0.25">
      <c r="B6060" s="10"/>
    </row>
    <row r="6061" spans="2:2" x14ac:dyDescent="0.25">
      <c r="B6061" s="10"/>
    </row>
    <row r="6062" spans="2:2" x14ac:dyDescent="0.25">
      <c r="B6062" s="10"/>
    </row>
    <row r="6063" spans="2:2" x14ac:dyDescent="0.25">
      <c r="B6063" s="10"/>
    </row>
    <row r="6064" spans="2:2" x14ac:dyDescent="0.25">
      <c r="B6064" s="10"/>
    </row>
    <row r="6065" spans="2:2" x14ac:dyDescent="0.25">
      <c r="B6065" s="10"/>
    </row>
    <row r="6066" spans="2:2" x14ac:dyDescent="0.25">
      <c r="B6066" s="10"/>
    </row>
    <row r="6067" spans="2:2" x14ac:dyDescent="0.25">
      <c r="B6067" s="10"/>
    </row>
    <row r="6068" spans="2:2" x14ac:dyDescent="0.25">
      <c r="B6068" s="10"/>
    </row>
    <row r="6069" spans="2:2" x14ac:dyDescent="0.25">
      <c r="B6069" s="10"/>
    </row>
    <row r="6070" spans="2:2" x14ac:dyDescent="0.25">
      <c r="B6070" s="10"/>
    </row>
    <row r="6071" spans="2:2" x14ac:dyDescent="0.25">
      <c r="B6071" s="10"/>
    </row>
    <row r="6072" spans="2:2" x14ac:dyDescent="0.25">
      <c r="B6072" s="10"/>
    </row>
    <row r="6073" spans="2:2" x14ac:dyDescent="0.25">
      <c r="B6073" s="10"/>
    </row>
    <row r="6074" spans="2:2" x14ac:dyDescent="0.25">
      <c r="B6074" s="10"/>
    </row>
    <row r="6075" spans="2:2" x14ac:dyDescent="0.25">
      <c r="B6075" s="10"/>
    </row>
    <row r="6076" spans="2:2" x14ac:dyDescent="0.25">
      <c r="B6076" s="10"/>
    </row>
    <row r="6077" spans="2:2" x14ac:dyDescent="0.25">
      <c r="B6077" s="10"/>
    </row>
    <row r="6078" spans="2:2" x14ac:dyDescent="0.25">
      <c r="B6078" s="10"/>
    </row>
    <row r="6079" spans="2:2" x14ac:dyDescent="0.25">
      <c r="B6079" s="10"/>
    </row>
    <row r="6080" spans="2:2" x14ac:dyDescent="0.25">
      <c r="B6080" s="10"/>
    </row>
    <row r="6081" spans="2:2" x14ac:dyDescent="0.25">
      <c r="B6081" s="10"/>
    </row>
    <row r="6082" spans="2:2" x14ac:dyDescent="0.25">
      <c r="B6082" s="10"/>
    </row>
    <row r="6083" spans="2:2" x14ac:dyDescent="0.25">
      <c r="B6083" s="10"/>
    </row>
    <row r="6084" spans="2:2" x14ac:dyDescent="0.25">
      <c r="B6084" s="10"/>
    </row>
    <row r="6085" spans="2:2" x14ac:dyDescent="0.25">
      <c r="B6085" s="10"/>
    </row>
    <row r="6086" spans="2:2" x14ac:dyDescent="0.25">
      <c r="B6086" s="10"/>
    </row>
    <row r="6087" spans="2:2" x14ac:dyDescent="0.25">
      <c r="B6087" s="10"/>
    </row>
    <row r="6088" spans="2:2" x14ac:dyDescent="0.25">
      <c r="B6088" s="10"/>
    </row>
    <row r="6089" spans="2:2" x14ac:dyDescent="0.25">
      <c r="B6089" s="10"/>
    </row>
    <row r="6090" spans="2:2" x14ac:dyDescent="0.25">
      <c r="B6090" s="10"/>
    </row>
    <row r="6091" spans="2:2" x14ac:dyDescent="0.25">
      <c r="B6091" s="10"/>
    </row>
    <row r="6092" spans="2:2" x14ac:dyDescent="0.25">
      <c r="B6092" s="10"/>
    </row>
    <row r="6093" spans="2:2" x14ac:dyDescent="0.25">
      <c r="B6093" s="10"/>
    </row>
    <row r="6094" spans="2:2" x14ac:dyDescent="0.25">
      <c r="B6094" s="10"/>
    </row>
    <row r="6095" spans="2:2" x14ac:dyDescent="0.25">
      <c r="B6095" s="10"/>
    </row>
    <row r="6096" spans="2:2" x14ac:dyDescent="0.25">
      <c r="B6096" s="10"/>
    </row>
    <row r="6097" spans="2:2" x14ac:dyDescent="0.25">
      <c r="B6097" s="10"/>
    </row>
    <row r="6098" spans="2:2" x14ac:dyDescent="0.25">
      <c r="B6098" s="10"/>
    </row>
    <row r="6099" spans="2:2" x14ac:dyDescent="0.25">
      <c r="B6099" s="10"/>
    </row>
    <row r="6100" spans="2:2" x14ac:dyDescent="0.25">
      <c r="B6100" s="10"/>
    </row>
    <row r="6101" spans="2:2" x14ac:dyDescent="0.25">
      <c r="B6101" s="10"/>
    </row>
    <row r="6102" spans="2:2" x14ac:dyDescent="0.25">
      <c r="B6102" s="10"/>
    </row>
    <row r="6103" spans="2:2" x14ac:dyDescent="0.25">
      <c r="B6103" s="10"/>
    </row>
    <row r="6104" spans="2:2" x14ac:dyDescent="0.25">
      <c r="B6104" s="10"/>
    </row>
    <row r="6105" spans="2:2" x14ac:dyDescent="0.25">
      <c r="B6105" s="10"/>
    </row>
    <row r="6106" spans="2:2" x14ac:dyDescent="0.25">
      <c r="B6106" s="10"/>
    </row>
    <row r="6107" spans="2:2" x14ac:dyDescent="0.25">
      <c r="B6107" s="10"/>
    </row>
    <row r="6108" spans="2:2" x14ac:dyDescent="0.25">
      <c r="B6108" s="10"/>
    </row>
    <row r="6109" spans="2:2" x14ac:dyDescent="0.25">
      <c r="B6109" s="10"/>
    </row>
    <row r="6110" spans="2:2" x14ac:dyDescent="0.25">
      <c r="B6110" s="10"/>
    </row>
    <row r="6111" spans="2:2" x14ac:dyDescent="0.25">
      <c r="B6111" s="10"/>
    </row>
    <row r="6112" spans="2:2" x14ac:dyDescent="0.25">
      <c r="B6112" s="10"/>
    </row>
    <row r="6113" spans="2:2" x14ac:dyDescent="0.25">
      <c r="B6113" s="10"/>
    </row>
    <row r="6114" spans="2:2" x14ac:dyDescent="0.25">
      <c r="B6114" s="10"/>
    </row>
    <row r="6115" spans="2:2" x14ac:dyDescent="0.25">
      <c r="B6115" s="10"/>
    </row>
    <row r="6116" spans="2:2" x14ac:dyDescent="0.25">
      <c r="B6116" s="10"/>
    </row>
    <row r="6117" spans="2:2" x14ac:dyDescent="0.25">
      <c r="B6117" s="10"/>
    </row>
    <row r="6118" spans="2:2" x14ac:dyDescent="0.25">
      <c r="B6118" s="10"/>
    </row>
    <row r="6119" spans="2:2" x14ac:dyDescent="0.25">
      <c r="B6119" s="10"/>
    </row>
    <row r="6120" spans="2:2" x14ac:dyDescent="0.25">
      <c r="B6120" s="10"/>
    </row>
    <row r="6121" spans="2:2" x14ac:dyDescent="0.25">
      <c r="B6121" s="10"/>
    </row>
    <row r="6122" spans="2:2" x14ac:dyDescent="0.25">
      <c r="B6122" s="10"/>
    </row>
    <row r="6123" spans="2:2" x14ac:dyDescent="0.25">
      <c r="B6123" s="10"/>
    </row>
    <row r="6124" spans="2:2" x14ac:dyDescent="0.25">
      <c r="B6124" s="10"/>
    </row>
    <row r="6125" spans="2:2" x14ac:dyDescent="0.25">
      <c r="B6125" s="10"/>
    </row>
    <row r="6126" spans="2:2" x14ac:dyDescent="0.25">
      <c r="B6126" s="10"/>
    </row>
    <row r="6127" spans="2:2" x14ac:dyDescent="0.25">
      <c r="B6127" s="10"/>
    </row>
    <row r="6128" spans="2:2" x14ac:dyDescent="0.25">
      <c r="B6128" s="10"/>
    </row>
    <row r="6129" spans="2:2" x14ac:dyDescent="0.25">
      <c r="B6129" s="10"/>
    </row>
    <row r="6130" spans="2:2" x14ac:dyDescent="0.25">
      <c r="B6130" s="10"/>
    </row>
    <row r="6131" spans="2:2" x14ac:dyDescent="0.25">
      <c r="B6131" s="10"/>
    </row>
    <row r="6132" spans="2:2" x14ac:dyDescent="0.25">
      <c r="B6132" s="10"/>
    </row>
    <row r="6133" spans="2:2" x14ac:dyDescent="0.25">
      <c r="B6133" s="10"/>
    </row>
    <row r="6134" spans="2:2" x14ac:dyDescent="0.25">
      <c r="B6134" s="10"/>
    </row>
    <row r="6135" spans="2:2" x14ac:dyDescent="0.25">
      <c r="B6135" s="10"/>
    </row>
    <row r="6136" spans="2:2" x14ac:dyDescent="0.25">
      <c r="B6136" s="10"/>
    </row>
    <row r="6137" spans="2:2" x14ac:dyDescent="0.25">
      <c r="B6137" s="10"/>
    </row>
    <row r="6138" spans="2:2" x14ac:dyDescent="0.25">
      <c r="B6138" s="10"/>
    </row>
    <row r="6139" spans="2:2" x14ac:dyDescent="0.25">
      <c r="B6139" s="10"/>
    </row>
    <row r="6140" spans="2:2" x14ac:dyDescent="0.25">
      <c r="B6140" s="10"/>
    </row>
    <row r="6141" spans="2:2" x14ac:dyDescent="0.25">
      <c r="B6141" s="10"/>
    </row>
    <row r="6142" spans="2:2" x14ac:dyDescent="0.25">
      <c r="B6142" s="10"/>
    </row>
    <row r="6143" spans="2:2" x14ac:dyDescent="0.25">
      <c r="B6143" s="10"/>
    </row>
    <row r="6144" spans="2:2" x14ac:dyDescent="0.25">
      <c r="B6144" s="10"/>
    </row>
    <row r="6145" spans="2:2" x14ac:dyDescent="0.25">
      <c r="B6145" s="10"/>
    </row>
    <row r="6146" spans="2:2" x14ac:dyDescent="0.25">
      <c r="B6146" s="10"/>
    </row>
    <row r="6147" spans="2:2" x14ac:dyDescent="0.25">
      <c r="B6147" s="10"/>
    </row>
    <row r="6148" spans="2:2" x14ac:dyDescent="0.25">
      <c r="B6148" s="10"/>
    </row>
    <row r="6149" spans="2:2" x14ac:dyDescent="0.25">
      <c r="B6149" s="10"/>
    </row>
    <row r="6150" spans="2:2" x14ac:dyDescent="0.25">
      <c r="B6150" s="10"/>
    </row>
    <row r="6151" spans="2:2" x14ac:dyDescent="0.25">
      <c r="B6151" s="10"/>
    </row>
    <row r="6152" spans="2:2" x14ac:dyDescent="0.25">
      <c r="B6152" s="10"/>
    </row>
    <row r="6153" spans="2:2" x14ac:dyDescent="0.25">
      <c r="B6153" s="10"/>
    </row>
    <row r="6154" spans="2:2" x14ac:dyDescent="0.25">
      <c r="B6154" s="10"/>
    </row>
    <row r="6155" spans="2:2" x14ac:dyDescent="0.25">
      <c r="B6155" s="10"/>
    </row>
    <row r="6156" spans="2:2" x14ac:dyDescent="0.25">
      <c r="B6156" s="10"/>
    </row>
    <row r="6157" spans="2:2" x14ac:dyDescent="0.25">
      <c r="B6157" s="10"/>
    </row>
    <row r="6158" spans="2:2" x14ac:dyDescent="0.25">
      <c r="B6158" s="10"/>
    </row>
    <row r="6159" spans="2:2" x14ac:dyDescent="0.25">
      <c r="B6159" s="10"/>
    </row>
    <row r="6160" spans="2:2" x14ac:dyDescent="0.25">
      <c r="B6160" s="10"/>
    </row>
    <row r="6161" spans="2:2" x14ac:dyDescent="0.25">
      <c r="B6161" s="10"/>
    </row>
    <row r="6162" spans="2:2" x14ac:dyDescent="0.25">
      <c r="B6162" s="10"/>
    </row>
    <row r="6163" spans="2:2" x14ac:dyDescent="0.25">
      <c r="B6163" s="10"/>
    </row>
    <row r="6164" spans="2:2" x14ac:dyDescent="0.25">
      <c r="B6164" s="10"/>
    </row>
    <row r="6165" spans="2:2" x14ac:dyDescent="0.25">
      <c r="B6165" s="10"/>
    </row>
    <row r="6166" spans="2:2" x14ac:dyDescent="0.25">
      <c r="B6166" s="10"/>
    </row>
    <row r="6167" spans="2:2" x14ac:dyDescent="0.25">
      <c r="B6167" s="10"/>
    </row>
    <row r="6168" spans="2:2" x14ac:dyDescent="0.25">
      <c r="B6168" s="10"/>
    </row>
    <row r="6169" spans="2:2" x14ac:dyDescent="0.25">
      <c r="B6169" s="10"/>
    </row>
    <row r="6170" spans="2:2" x14ac:dyDescent="0.25">
      <c r="B6170" s="10"/>
    </row>
    <row r="6171" spans="2:2" x14ac:dyDescent="0.25">
      <c r="B6171" s="10"/>
    </row>
    <row r="6172" spans="2:2" x14ac:dyDescent="0.25">
      <c r="B6172" s="10"/>
    </row>
    <row r="6173" spans="2:2" x14ac:dyDescent="0.25">
      <c r="B6173" s="10"/>
    </row>
    <row r="6174" spans="2:2" x14ac:dyDescent="0.25">
      <c r="B6174" s="10"/>
    </row>
    <row r="6175" spans="2:2" x14ac:dyDescent="0.25">
      <c r="B6175" s="10"/>
    </row>
    <row r="6176" spans="2:2" x14ac:dyDescent="0.25">
      <c r="B6176" s="10"/>
    </row>
    <row r="6177" spans="2:2" x14ac:dyDescent="0.25">
      <c r="B6177" s="10"/>
    </row>
    <row r="6178" spans="2:2" x14ac:dyDescent="0.25">
      <c r="B6178" s="10"/>
    </row>
    <row r="6179" spans="2:2" x14ac:dyDescent="0.25">
      <c r="B6179" s="10"/>
    </row>
    <row r="6180" spans="2:2" x14ac:dyDescent="0.25">
      <c r="B6180" s="10"/>
    </row>
    <row r="6181" spans="2:2" x14ac:dyDescent="0.25">
      <c r="B6181" s="10"/>
    </row>
    <row r="6182" spans="2:2" x14ac:dyDescent="0.25">
      <c r="B6182" s="10"/>
    </row>
    <row r="6183" spans="2:2" x14ac:dyDescent="0.25">
      <c r="B6183" s="10"/>
    </row>
    <row r="6184" spans="2:2" x14ac:dyDescent="0.25">
      <c r="B6184" s="10"/>
    </row>
    <row r="6185" spans="2:2" x14ac:dyDescent="0.25">
      <c r="B6185" s="10"/>
    </row>
    <row r="6186" spans="2:2" x14ac:dyDescent="0.25">
      <c r="B6186" s="10"/>
    </row>
    <row r="6187" spans="2:2" x14ac:dyDescent="0.25">
      <c r="B6187" s="10"/>
    </row>
    <row r="6188" spans="2:2" x14ac:dyDescent="0.25">
      <c r="B6188" s="10"/>
    </row>
    <row r="6189" spans="2:2" x14ac:dyDescent="0.25">
      <c r="B6189" s="10"/>
    </row>
    <row r="6190" spans="2:2" x14ac:dyDescent="0.25">
      <c r="B6190" s="10"/>
    </row>
    <row r="6191" spans="2:2" x14ac:dyDescent="0.25">
      <c r="B6191" s="10"/>
    </row>
    <row r="6192" spans="2:2" x14ac:dyDescent="0.25">
      <c r="B6192" s="10"/>
    </row>
    <row r="6193" spans="2:2" x14ac:dyDescent="0.25">
      <c r="B6193" s="10"/>
    </row>
    <row r="6194" spans="2:2" x14ac:dyDescent="0.25">
      <c r="B6194" s="10"/>
    </row>
    <row r="6195" spans="2:2" x14ac:dyDescent="0.25">
      <c r="B6195" s="10"/>
    </row>
    <row r="6196" spans="2:2" x14ac:dyDescent="0.25">
      <c r="B6196" s="10"/>
    </row>
    <row r="6197" spans="2:2" x14ac:dyDescent="0.25">
      <c r="B6197" s="10"/>
    </row>
    <row r="6198" spans="2:2" x14ac:dyDescent="0.25">
      <c r="B6198" s="10"/>
    </row>
    <row r="6199" spans="2:2" x14ac:dyDescent="0.25">
      <c r="B6199" s="10"/>
    </row>
    <row r="6200" spans="2:2" x14ac:dyDescent="0.25">
      <c r="B6200" s="10"/>
    </row>
    <row r="6201" spans="2:2" x14ac:dyDescent="0.25">
      <c r="B6201" s="10"/>
    </row>
    <row r="6202" spans="2:2" x14ac:dyDescent="0.25">
      <c r="B6202" s="10"/>
    </row>
    <row r="6203" spans="2:2" x14ac:dyDescent="0.25">
      <c r="B6203" s="10"/>
    </row>
    <row r="6204" spans="2:2" x14ac:dyDescent="0.25">
      <c r="B6204" s="10"/>
    </row>
    <row r="6205" spans="2:2" x14ac:dyDescent="0.25">
      <c r="B6205" s="10"/>
    </row>
    <row r="6206" spans="2:2" x14ac:dyDescent="0.25">
      <c r="B6206" s="10"/>
    </row>
    <row r="6207" spans="2:2" x14ac:dyDescent="0.25">
      <c r="B6207" s="10"/>
    </row>
    <row r="6208" spans="2:2" x14ac:dyDescent="0.25">
      <c r="B6208" s="10"/>
    </row>
    <row r="6209" spans="2:2" x14ac:dyDescent="0.25">
      <c r="B6209" s="10"/>
    </row>
    <row r="6210" spans="2:2" x14ac:dyDescent="0.25">
      <c r="B6210" s="10"/>
    </row>
    <row r="6211" spans="2:2" x14ac:dyDescent="0.25">
      <c r="B6211" s="10"/>
    </row>
    <row r="6212" spans="2:2" x14ac:dyDescent="0.25">
      <c r="B6212" s="10"/>
    </row>
    <row r="6213" spans="2:2" x14ac:dyDescent="0.25">
      <c r="B6213" s="10"/>
    </row>
    <row r="6214" spans="2:2" x14ac:dyDescent="0.25">
      <c r="B6214" s="10"/>
    </row>
    <row r="6215" spans="2:2" x14ac:dyDescent="0.25">
      <c r="B6215" s="10"/>
    </row>
    <row r="6216" spans="2:2" x14ac:dyDescent="0.25">
      <c r="B6216" s="10"/>
    </row>
    <row r="6217" spans="2:2" x14ac:dyDescent="0.25">
      <c r="B6217" s="10"/>
    </row>
    <row r="6218" spans="2:2" x14ac:dyDescent="0.25">
      <c r="B6218" s="10"/>
    </row>
    <row r="6219" spans="2:2" x14ac:dyDescent="0.25">
      <c r="B6219" s="10"/>
    </row>
    <row r="6220" spans="2:2" x14ac:dyDescent="0.25">
      <c r="B6220" s="10"/>
    </row>
    <row r="6221" spans="2:2" x14ac:dyDescent="0.25">
      <c r="B6221" s="10"/>
    </row>
    <row r="6222" spans="2:2" x14ac:dyDescent="0.25">
      <c r="B6222" s="10"/>
    </row>
    <row r="6223" spans="2:2" x14ac:dyDescent="0.25">
      <c r="B6223" s="10"/>
    </row>
    <row r="6224" spans="2:2" x14ac:dyDescent="0.25">
      <c r="B6224" s="10"/>
    </row>
    <row r="6225" spans="2:2" x14ac:dyDescent="0.25">
      <c r="B6225" s="10"/>
    </row>
    <row r="6226" spans="2:2" x14ac:dyDescent="0.25">
      <c r="B6226" s="10"/>
    </row>
    <row r="6227" spans="2:2" x14ac:dyDescent="0.25">
      <c r="B6227" s="10"/>
    </row>
    <row r="6228" spans="2:2" x14ac:dyDescent="0.25">
      <c r="B6228" s="10"/>
    </row>
    <row r="6229" spans="2:2" x14ac:dyDescent="0.25">
      <c r="B6229" s="10"/>
    </row>
    <row r="6230" spans="2:2" x14ac:dyDescent="0.25">
      <c r="B6230" s="10"/>
    </row>
    <row r="6231" spans="2:2" x14ac:dyDescent="0.25">
      <c r="B6231" s="10"/>
    </row>
    <row r="6232" spans="2:2" x14ac:dyDescent="0.25">
      <c r="B6232" s="10"/>
    </row>
    <row r="6233" spans="2:2" x14ac:dyDescent="0.25">
      <c r="B6233" s="10"/>
    </row>
    <row r="6234" spans="2:2" x14ac:dyDescent="0.25">
      <c r="B6234" s="10"/>
    </row>
    <row r="6235" spans="2:2" x14ac:dyDescent="0.25">
      <c r="B6235" s="10"/>
    </row>
    <row r="6236" spans="2:2" x14ac:dyDescent="0.25">
      <c r="B6236" s="10"/>
    </row>
    <row r="6237" spans="2:2" x14ac:dyDescent="0.25">
      <c r="B6237" s="10"/>
    </row>
    <row r="6238" spans="2:2" x14ac:dyDescent="0.25">
      <c r="B6238" s="10"/>
    </row>
    <row r="6239" spans="2:2" x14ac:dyDescent="0.25">
      <c r="B6239" s="10"/>
    </row>
    <row r="6240" spans="2:2" x14ac:dyDescent="0.25">
      <c r="B6240" s="10"/>
    </row>
    <row r="6241" spans="2:2" x14ac:dyDescent="0.25">
      <c r="B6241" s="10"/>
    </row>
    <row r="6242" spans="2:2" x14ac:dyDescent="0.25">
      <c r="B6242" s="10"/>
    </row>
    <row r="6243" spans="2:2" x14ac:dyDescent="0.25">
      <c r="B6243" s="10"/>
    </row>
    <row r="6244" spans="2:2" x14ac:dyDescent="0.25">
      <c r="B6244" s="10"/>
    </row>
    <row r="6245" spans="2:2" x14ac:dyDescent="0.25">
      <c r="B6245" s="10"/>
    </row>
    <row r="6246" spans="2:2" x14ac:dyDescent="0.25">
      <c r="B6246" s="10"/>
    </row>
    <row r="6247" spans="2:2" x14ac:dyDescent="0.25">
      <c r="B6247" s="10"/>
    </row>
    <row r="6248" spans="2:2" x14ac:dyDescent="0.25">
      <c r="B6248" s="10"/>
    </row>
    <row r="6249" spans="2:2" x14ac:dyDescent="0.25">
      <c r="B6249" s="10"/>
    </row>
    <row r="6250" spans="2:2" x14ac:dyDescent="0.25">
      <c r="B6250" s="10"/>
    </row>
    <row r="6251" spans="2:2" x14ac:dyDescent="0.25">
      <c r="B6251" s="10"/>
    </row>
    <row r="6252" spans="2:2" x14ac:dyDescent="0.25">
      <c r="B6252" s="10"/>
    </row>
    <row r="6253" spans="2:2" x14ac:dyDescent="0.25">
      <c r="B6253" s="10"/>
    </row>
    <row r="6254" spans="2:2" x14ac:dyDescent="0.25">
      <c r="B6254" s="10"/>
    </row>
    <row r="6255" spans="2:2" x14ac:dyDescent="0.25">
      <c r="B6255" s="10"/>
    </row>
    <row r="6256" spans="2:2" x14ac:dyDescent="0.25">
      <c r="B6256" s="10"/>
    </row>
    <row r="6257" spans="2:2" x14ac:dyDescent="0.25">
      <c r="B6257" s="10"/>
    </row>
    <row r="6258" spans="2:2" x14ac:dyDescent="0.25">
      <c r="B6258" s="10"/>
    </row>
    <row r="6259" spans="2:2" x14ac:dyDescent="0.25">
      <c r="B6259" s="10"/>
    </row>
    <row r="6260" spans="2:2" x14ac:dyDescent="0.25">
      <c r="B6260" s="10"/>
    </row>
    <row r="6261" spans="2:2" x14ac:dyDescent="0.25">
      <c r="B6261" s="10"/>
    </row>
    <row r="6262" spans="2:2" x14ac:dyDescent="0.25">
      <c r="B6262" s="10"/>
    </row>
    <row r="6263" spans="2:2" x14ac:dyDescent="0.25">
      <c r="B6263" s="10"/>
    </row>
    <row r="6264" spans="2:2" x14ac:dyDescent="0.25">
      <c r="B6264" s="10"/>
    </row>
    <row r="6265" spans="2:2" x14ac:dyDescent="0.25">
      <c r="B6265" s="10"/>
    </row>
    <row r="6266" spans="2:2" x14ac:dyDescent="0.25">
      <c r="B6266" s="10"/>
    </row>
    <row r="6267" spans="2:2" x14ac:dyDescent="0.25">
      <c r="B6267" s="10"/>
    </row>
    <row r="6268" spans="2:2" x14ac:dyDescent="0.25">
      <c r="B6268" s="10"/>
    </row>
    <row r="6269" spans="2:2" x14ac:dyDescent="0.25">
      <c r="B6269" s="10"/>
    </row>
    <row r="6270" spans="2:2" x14ac:dyDescent="0.25">
      <c r="B6270" s="10"/>
    </row>
    <row r="6271" spans="2:2" x14ac:dyDescent="0.25">
      <c r="B6271" s="10"/>
    </row>
    <row r="6272" spans="2:2" x14ac:dyDescent="0.25">
      <c r="B6272" s="10"/>
    </row>
    <row r="6273" spans="2:2" x14ac:dyDescent="0.25">
      <c r="B6273" s="10"/>
    </row>
    <row r="6274" spans="2:2" x14ac:dyDescent="0.25">
      <c r="B6274" s="10"/>
    </row>
    <row r="6275" spans="2:2" x14ac:dyDescent="0.25">
      <c r="B6275" s="10"/>
    </row>
    <row r="6276" spans="2:2" x14ac:dyDescent="0.25">
      <c r="B6276" s="10"/>
    </row>
    <row r="6277" spans="2:2" x14ac:dyDescent="0.25">
      <c r="B6277" s="10"/>
    </row>
    <row r="6278" spans="2:2" x14ac:dyDescent="0.25">
      <c r="B6278" s="10"/>
    </row>
    <row r="6279" spans="2:2" x14ac:dyDescent="0.25">
      <c r="B6279" s="10"/>
    </row>
    <row r="6280" spans="2:2" x14ac:dyDescent="0.25">
      <c r="B6280" s="10"/>
    </row>
    <row r="6281" spans="2:2" x14ac:dyDescent="0.25">
      <c r="B6281" s="10"/>
    </row>
    <row r="6282" spans="2:2" x14ac:dyDescent="0.25">
      <c r="B6282" s="10"/>
    </row>
    <row r="6283" spans="2:2" x14ac:dyDescent="0.25">
      <c r="B6283" s="10"/>
    </row>
    <row r="6284" spans="2:2" x14ac:dyDescent="0.25">
      <c r="B6284" s="10"/>
    </row>
    <row r="6285" spans="2:2" x14ac:dyDescent="0.25">
      <c r="B6285" s="10"/>
    </row>
    <row r="6286" spans="2:2" x14ac:dyDescent="0.25">
      <c r="B6286" s="10"/>
    </row>
    <row r="6287" spans="2:2" x14ac:dyDescent="0.25">
      <c r="B6287" s="10"/>
    </row>
    <row r="6288" spans="2:2" x14ac:dyDescent="0.25">
      <c r="B6288" s="10"/>
    </row>
    <row r="6289" spans="2:2" x14ac:dyDescent="0.25">
      <c r="B6289" s="10"/>
    </row>
    <row r="6290" spans="2:2" x14ac:dyDescent="0.25">
      <c r="B6290" s="10"/>
    </row>
    <row r="6291" spans="2:2" x14ac:dyDescent="0.25">
      <c r="B6291" s="10"/>
    </row>
    <row r="6292" spans="2:2" x14ac:dyDescent="0.25">
      <c r="B6292" s="10"/>
    </row>
    <row r="6293" spans="2:2" x14ac:dyDescent="0.25">
      <c r="B6293" s="10"/>
    </row>
    <row r="6294" spans="2:2" x14ac:dyDescent="0.25">
      <c r="B6294" s="10"/>
    </row>
    <row r="6295" spans="2:2" x14ac:dyDescent="0.25">
      <c r="B6295" s="10"/>
    </row>
    <row r="6296" spans="2:2" x14ac:dyDescent="0.25">
      <c r="B6296" s="10"/>
    </row>
    <row r="6297" spans="2:2" x14ac:dyDescent="0.25">
      <c r="B6297" s="10"/>
    </row>
    <row r="6298" spans="2:2" x14ac:dyDescent="0.25">
      <c r="B6298" s="10"/>
    </row>
    <row r="6299" spans="2:2" x14ac:dyDescent="0.25">
      <c r="B6299" s="10"/>
    </row>
    <row r="6300" spans="2:2" x14ac:dyDescent="0.25">
      <c r="B6300" s="10"/>
    </row>
    <row r="6301" spans="2:2" x14ac:dyDescent="0.25">
      <c r="B6301" s="10"/>
    </row>
    <row r="6302" spans="2:2" x14ac:dyDescent="0.25">
      <c r="B6302" s="10"/>
    </row>
    <row r="6303" spans="2:2" x14ac:dyDescent="0.25">
      <c r="B6303" s="10"/>
    </row>
    <row r="6304" spans="2:2" x14ac:dyDescent="0.25">
      <c r="B6304" s="10"/>
    </row>
    <row r="6305" spans="2:2" x14ac:dyDescent="0.25">
      <c r="B6305" s="10"/>
    </row>
    <row r="6306" spans="2:2" x14ac:dyDescent="0.25">
      <c r="B6306" s="10"/>
    </row>
    <row r="6307" spans="2:2" x14ac:dyDescent="0.25">
      <c r="B6307" s="10"/>
    </row>
    <row r="6308" spans="2:2" x14ac:dyDescent="0.25">
      <c r="B6308" s="10"/>
    </row>
    <row r="6309" spans="2:2" x14ac:dyDescent="0.25">
      <c r="B6309" s="10"/>
    </row>
    <row r="6310" spans="2:2" x14ac:dyDescent="0.25">
      <c r="B6310" s="10"/>
    </row>
    <row r="6311" spans="2:2" x14ac:dyDescent="0.25">
      <c r="B6311" s="10"/>
    </row>
    <row r="6312" spans="2:2" x14ac:dyDescent="0.25">
      <c r="B6312" s="10"/>
    </row>
    <row r="6313" spans="2:2" x14ac:dyDescent="0.25">
      <c r="B6313" s="10"/>
    </row>
    <row r="6314" spans="2:2" x14ac:dyDescent="0.25">
      <c r="B6314" s="10"/>
    </row>
    <row r="6315" spans="2:2" x14ac:dyDescent="0.25">
      <c r="B6315" s="10"/>
    </row>
    <row r="6316" spans="2:2" x14ac:dyDescent="0.25">
      <c r="B6316" s="10"/>
    </row>
    <row r="6317" spans="2:2" x14ac:dyDescent="0.25">
      <c r="B6317" s="10"/>
    </row>
    <row r="6318" spans="2:2" x14ac:dyDescent="0.25">
      <c r="B6318" s="10"/>
    </row>
    <row r="6319" spans="2:2" x14ac:dyDescent="0.25">
      <c r="B6319" s="10"/>
    </row>
    <row r="6320" spans="2:2" x14ac:dyDescent="0.25">
      <c r="B6320" s="10"/>
    </row>
    <row r="6321" spans="2:2" x14ac:dyDescent="0.25">
      <c r="B6321" s="10"/>
    </row>
    <row r="6322" spans="2:2" x14ac:dyDescent="0.25">
      <c r="B6322" s="10"/>
    </row>
    <row r="6323" spans="2:2" x14ac:dyDescent="0.25">
      <c r="B6323" s="10"/>
    </row>
    <row r="6324" spans="2:2" x14ac:dyDescent="0.25">
      <c r="B6324" s="10"/>
    </row>
    <row r="6325" spans="2:2" x14ac:dyDescent="0.25">
      <c r="B6325" s="10"/>
    </row>
    <row r="6326" spans="2:2" x14ac:dyDescent="0.25">
      <c r="B6326" s="10"/>
    </row>
    <row r="6327" spans="2:2" x14ac:dyDescent="0.25">
      <c r="B6327" s="10"/>
    </row>
    <row r="6328" spans="2:2" x14ac:dyDescent="0.25">
      <c r="B6328" s="10"/>
    </row>
    <row r="6329" spans="2:2" x14ac:dyDescent="0.25">
      <c r="B6329" s="10"/>
    </row>
    <row r="6330" spans="2:2" x14ac:dyDescent="0.25">
      <c r="B6330" s="10"/>
    </row>
    <row r="6331" spans="2:2" x14ac:dyDescent="0.25">
      <c r="B6331" s="10"/>
    </row>
    <row r="6332" spans="2:2" x14ac:dyDescent="0.25">
      <c r="B6332" s="10"/>
    </row>
    <row r="6333" spans="2:2" x14ac:dyDescent="0.25">
      <c r="B6333" s="10"/>
    </row>
    <row r="6334" spans="2:2" x14ac:dyDescent="0.25">
      <c r="B6334" s="10"/>
    </row>
    <row r="6335" spans="2:2" x14ac:dyDescent="0.25">
      <c r="B6335" s="10"/>
    </row>
    <row r="6336" spans="2:2" x14ac:dyDescent="0.25">
      <c r="B6336" s="10"/>
    </row>
    <row r="6337" spans="2:2" x14ac:dyDescent="0.25">
      <c r="B6337" s="10"/>
    </row>
    <row r="6338" spans="2:2" x14ac:dyDescent="0.25">
      <c r="B6338" s="10"/>
    </row>
    <row r="6339" spans="2:2" x14ac:dyDescent="0.25">
      <c r="B6339" s="10"/>
    </row>
    <row r="6340" spans="2:2" x14ac:dyDescent="0.25">
      <c r="B6340" s="10"/>
    </row>
    <row r="6341" spans="2:2" x14ac:dyDescent="0.25">
      <c r="B6341" s="10"/>
    </row>
    <row r="6342" spans="2:2" x14ac:dyDescent="0.25">
      <c r="B6342" s="10"/>
    </row>
    <row r="6343" spans="2:2" x14ac:dyDescent="0.25">
      <c r="B6343" s="10"/>
    </row>
    <row r="6344" spans="2:2" x14ac:dyDescent="0.25">
      <c r="B6344" s="10"/>
    </row>
    <row r="6345" spans="2:2" x14ac:dyDescent="0.25">
      <c r="B6345" s="10"/>
    </row>
    <row r="6346" spans="2:2" x14ac:dyDescent="0.25">
      <c r="B6346" s="10"/>
    </row>
    <row r="6347" spans="2:2" x14ac:dyDescent="0.25">
      <c r="B6347" s="10"/>
    </row>
    <row r="6348" spans="2:2" x14ac:dyDescent="0.25">
      <c r="B6348" s="10"/>
    </row>
    <row r="6349" spans="2:2" x14ac:dyDescent="0.25">
      <c r="B6349" s="10"/>
    </row>
    <row r="6350" spans="2:2" x14ac:dyDescent="0.25">
      <c r="B6350" s="10"/>
    </row>
    <row r="6351" spans="2:2" x14ac:dyDescent="0.25">
      <c r="B6351" s="10"/>
    </row>
    <row r="6352" spans="2:2" x14ac:dyDescent="0.25">
      <c r="B6352" s="10"/>
    </row>
    <row r="6353" spans="2:2" x14ac:dyDescent="0.25">
      <c r="B6353" s="10"/>
    </row>
    <row r="6354" spans="2:2" x14ac:dyDescent="0.25">
      <c r="B6354" s="10"/>
    </row>
    <row r="6355" spans="2:2" x14ac:dyDescent="0.25">
      <c r="B6355" s="10"/>
    </row>
    <row r="6356" spans="2:2" x14ac:dyDescent="0.25">
      <c r="B6356" s="10"/>
    </row>
    <row r="6357" spans="2:2" x14ac:dyDescent="0.25">
      <c r="B6357" s="10"/>
    </row>
    <row r="6358" spans="2:2" x14ac:dyDescent="0.25">
      <c r="B6358" s="10"/>
    </row>
    <row r="6359" spans="2:2" x14ac:dyDescent="0.25">
      <c r="B6359" s="10"/>
    </row>
    <row r="6360" spans="2:2" x14ac:dyDescent="0.25">
      <c r="B6360" s="10"/>
    </row>
    <row r="6361" spans="2:2" x14ac:dyDescent="0.25">
      <c r="B6361" s="10"/>
    </row>
    <row r="6362" spans="2:2" x14ac:dyDescent="0.25">
      <c r="B6362" s="10"/>
    </row>
    <row r="6363" spans="2:2" x14ac:dyDescent="0.25">
      <c r="B6363" s="10"/>
    </row>
    <row r="6364" spans="2:2" x14ac:dyDescent="0.25">
      <c r="B6364" s="10"/>
    </row>
    <row r="6365" spans="2:2" x14ac:dyDescent="0.25">
      <c r="B6365" s="10"/>
    </row>
    <row r="6366" spans="2:2" x14ac:dyDescent="0.25">
      <c r="B6366" s="10"/>
    </row>
    <row r="6367" spans="2:2" x14ac:dyDescent="0.25">
      <c r="B6367" s="10"/>
    </row>
    <row r="6368" spans="2:2" x14ac:dyDescent="0.25">
      <c r="B6368" s="10"/>
    </row>
    <row r="6369" spans="2:2" x14ac:dyDescent="0.25">
      <c r="B6369" s="10"/>
    </row>
    <row r="6370" spans="2:2" x14ac:dyDescent="0.25">
      <c r="B6370" s="10"/>
    </row>
    <row r="6371" spans="2:2" x14ac:dyDescent="0.25">
      <c r="B6371" s="10"/>
    </row>
    <row r="6372" spans="2:2" x14ac:dyDescent="0.25">
      <c r="B6372" s="10"/>
    </row>
    <row r="6373" spans="2:2" x14ac:dyDescent="0.25">
      <c r="B6373" s="10"/>
    </row>
    <row r="6374" spans="2:2" x14ac:dyDescent="0.25">
      <c r="B6374" s="10"/>
    </row>
    <row r="6375" spans="2:2" x14ac:dyDescent="0.25">
      <c r="B6375" s="10"/>
    </row>
    <row r="6376" spans="2:2" x14ac:dyDescent="0.25">
      <c r="B6376" s="10"/>
    </row>
    <row r="6377" spans="2:2" x14ac:dyDescent="0.25">
      <c r="B6377" s="10"/>
    </row>
    <row r="6378" spans="2:2" x14ac:dyDescent="0.25">
      <c r="B6378" s="10"/>
    </row>
    <row r="6379" spans="2:2" x14ac:dyDescent="0.25">
      <c r="B6379" s="10"/>
    </row>
    <row r="6380" spans="2:2" x14ac:dyDescent="0.25">
      <c r="B6380" s="10"/>
    </row>
    <row r="6381" spans="2:2" x14ac:dyDescent="0.25">
      <c r="B6381" s="10"/>
    </row>
    <row r="6382" spans="2:2" x14ac:dyDescent="0.25">
      <c r="B6382" s="10"/>
    </row>
    <row r="6383" spans="2:2" x14ac:dyDescent="0.25">
      <c r="B6383" s="10"/>
    </row>
    <row r="6384" spans="2:2" x14ac:dyDescent="0.25">
      <c r="B6384" s="10"/>
    </row>
    <row r="6385" spans="2:2" x14ac:dyDescent="0.25">
      <c r="B6385" s="10"/>
    </row>
    <row r="6386" spans="2:2" x14ac:dyDescent="0.25">
      <c r="B6386" s="10"/>
    </row>
    <row r="6387" spans="2:2" x14ac:dyDescent="0.25">
      <c r="B6387" s="10"/>
    </row>
    <row r="6388" spans="2:2" x14ac:dyDescent="0.25">
      <c r="B6388" s="10"/>
    </row>
    <row r="6389" spans="2:2" x14ac:dyDescent="0.25">
      <c r="B6389" s="10"/>
    </row>
    <row r="6390" spans="2:2" x14ac:dyDescent="0.25">
      <c r="B6390" s="10"/>
    </row>
    <row r="6391" spans="2:2" x14ac:dyDescent="0.25">
      <c r="B6391" s="10"/>
    </row>
    <row r="6392" spans="2:2" x14ac:dyDescent="0.25">
      <c r="B6392" s="10"/>
    </row>
    <row r="6393" spans="2:2" x14ac:dyDescent="0.25">
      <c r="B6393" s="10"/>
    </row>
    <row r="6394" spans="2:2" x14ac:dyDescent="0.25">
      <c r="B6394" s="10"/>
    </row>
    <row r="6395" spans="2:2" x14ac:dyDescent="0.25">
      <c r="B6395" s="10"/>
    </row>
    <row r="6396" spans="2:2" x14ac:dyDescent="0.25">
      <c r="B6396" s="10"/>
    </row>
    <row r="6397" spans="2:2" x14ac:dyDescent="0.25">
      <c r="B6397" s="10"/>
    </row>
    <row r="6398" spans="2:2" x14ac:dyDescent="0.25">
      <c r="B6398" s="10"/>
    </row>
    <row r="6399" spans="2:2" x14ac:dyDescent="0.25">
      <c r="B6399" s="10"/>
    </row>
    <row r="6400" spans="2:2" x14ac:dyDescent="0.25">
      <c r="B6400" s="10"/>
    </row>
    <row r="6401" spans="2:2" x14ac:dyDescent="0.25">
      <c r="B6401" s="10"/>
    </row>
    <row r="6402" spans="2:2" x14ac:dyDescent="0.25">
      <c r="B6402" s="10"/>
    </row>
    <row r="6403" spans="2:2" x14ac:dyDescent="0.25">
      <c r="B6403" s="10"/>
    </row>
    <row r="6404" spans="2:2" x14ac:dyDescent="0.25">
      <c r="B6404" s="10"/>
    </row>
    <row r="6405" spans="2:2" x14ac:dyDescent="0.25">
      <c r="B6405" s="10"/>
    </row>
    <row r="6406" spans="2:2" x14ac:dyDescent="0.25">
      <c r="B6406" s="10"/>
    </row>
    <row r="6407" spans="2:2" x14ac:dyDescent="0.25">
      <c r="B6407" s="10"/>
    </row>
    <row r="6408" spans="2:2" x14ac:dyDescent="0.25">
      <c r="B6408" s="10"/>
    </row>
    <row r="6409" spans="2:2" x14ac:dyDescent="0.25">
      <c r="B6409" s="10"/>
    </row>
    <row r="6410" spans="2:2" x14ac:dyDescent="0.25">
      <c r="B6410" s="10"/>
    </row>
    <row r="6411" spans="2:2" x14ac:dyDescent="0.25">
      <c r="B6411" s="10"/>
    </row>
    <row r="6412" spans="2:2" x14ac:dyDescent="0.25">
      <c r="B6412" s="10"/>
    </row>
    <row r="6413" spans="2:2" x14ac:dyDescent="0.25">
      <c r="B6413" s="10"/>
    </row>
    <row r="6414" spans="2:2" x14ac:dyDescent="0.25">
      <c r="B6414" s="10"/>
    </row>
    <row r="6415" spans="2:2" x14ac:dyDescent="0.25">
      <c r="B6415" s="10"/>
    </row>
    <row r="6416" spans="2:2" x14ac:dyDescent="0.25">
      <c r="B6416" s="10"/>
    </row>
    <row r="6417" spans="2:2" x14ac:dyDescent="0.25">
      <c r="B6417" s="10"/>
    </row>
    <row r="6418" spans="2:2" x14ac:dyDescent="0.25">
      <c r="B6418" s="10"/>
    </row>
    <row r="6419" spans="2:2" x14ac:dyDescent="0.25">
      <c r="B6419" s="10"/>
    </row>
    <row r="6420" spans="2:2" x14ac:dyDescent="0.25">
      <c r="B6420" s="10"/>
    </row>
    <row r="6421" spans="2:2" x14ac:dyDescent="0.25">
      <c r="B6421" s="10"/>
    </row>
    <row r="6422" spans="2:2" x14ac:dyDescent="0.25">
      <c r="B6422" s="10"/>
    </row>
    <row r="6423" spans="2:2" x14ac:dyDescent="0.25">
      <c r="B6423" s="10"/>
    </row>
    <row r="6424" spans="2:2" x14ac:dyDescent="0.25">
      <c r="B6424" s="10"/>
    </row>
    <row r="6425" spans="2:2" x14ac:dyDescent="0.25">
      <c r="B6425" s="10"/>
    </row>
    <row r="6426" spans="2:2" x14ac:dyDescent="0.25">
      <c r="B6426" s="10"/>
    </row>
    <row r="6427" spans="2:2" x14ac:dyDescent="0.25">
      <c r="B6427" s="10"/>
    </row>
    <row r="6428" spans="2:2" x14ac:dyDescent="0.25">
      <c r="B6428" s="10"/>
    </row>
    <row r="6429" spans="2:2" x14ac:dyDescent="0.25">
      <c r="B6429" s="10"/>
    </row>
    <row r="6430" spans="2:2" x14ac:dyDescent="0.25">
      <c r="B6430" s="10"/>
    </row>
    <row r="6431" spans="2:2" x14ac:dyDescent="0.25">
      <c r="B6431" s="10"/>
    </row>
    <row r="6432" spans="2:2" x14ac:dyDescent="0.25">
      <c r="B6432" s="10"/>
    </row>
    <row r="6433" spans="2:2" x14ac:dyDescent="0.25">
      <c r="B6433" s="10"/>
    </row>
    <row r="6434" spans="2:2" x14ac:dyDescent="0.25">
      <c r="B6434" s="10"/>
    </row>
    <row r="6435" spans="2:2" x14ac:dyDescent="0.25">
      <c r="B6435" s="10"/>
    </row>
    <row r="6436" spans="2:2" x14ac:dyDescent="0.25">
      <c r="B6436" s="10"/>
    </row>
    <row r="6437" spans="2:2" x14ac:dyDescent="0.25">
      <c r="B6437" s="10"/>
    </row>
    <row r="6438" spans="2:2" x14ac:dyDescent="0.25">
      <c r="B6438" s="10"/>
    </row>
    <row r="6439" spans="2:2" x14ac:dyDescent="0.25">
      <c r="B6439" s="10"/>
    </row>
    <row r="6440" spans="2:2" x14ac:dyDescent="0.25">
      <c r="B6440" s="10"/>
    </row>
    <row r="6441" spans="2:2" x14ac:dyDescent="0.25">
      <c r="B6441" s="10"/>
    </row>
    <row r="6442" spans="2:2" x14ac:dyDescent="0.25">
      <c r="B6442" s="10"/>
    </row>
    <row r="6443" spans="2:2" x14ac:dyDescent="0.25">
      <c r="B6443" s="10"/>
    </row>
    <row r="6444" spans="2:2" x14ac:dyDescent="0.25">
      <c r="B6444" s="10"/>
    </row>
    <row r="6445" spans="2:2" x14ac:dyDescent="0.25">
      <c r="B6445" s="10"/>
    </row>
    <row r="6446" spans="2:2" x14ac:dyDescent="0.25">
      <c r="B6446" s="10"/>
    </row>
    <row r="6447" spans="2:2" x14ac:dyDescent="0.25">
      <c r="B6447" s="10"/>
    </row>
    <row r="6448" spans="2:2" x14ac:dyDescent="0.25">
      <c r="B6448" s="10"/>
    </row>
    <row r="6449" spans="2:2" x14ac:dyDescent="0.25">
      <c r="B6449" s="10"/>
    </row>
    <row r="6450" spans="2:2" x14ac:dyDescent="0.25">
      <c r="B6450" s="10"/>
    </row>
    <row r="6451" spans="2:2" x14ac:dyDescent="0.25">
      <c r="B6451" s="10"/>
    </row>
    <row r="6452" spans="2:2" x14ac:dyDescent="0.25">
      <c r="B6452" s="10"/>
    </row>
    <row r="6453" spans="2:2" x14ac:dyDescent="0.25">
      <c r="B6453" s="10"/>
    </row>
    <row r="6454" spans="2:2" x14ac:dyDescent="0.25">
      <c r="B6454" s="10"/>
    </row>
    <row r="6455" spans="2:2" x14ac:dyDescent="0.25">
      <c r="B6455" s="10"/>
    </row>
    <row r="6456" spans="2:2" x14ac:dyDescent="0.25">
      <c r="B6456" s="10"/>
    </row>
    <row r="6457" spans="2:2" x14ac:dyDescent="0.25">
      <c r="B6457" s="10"/>
    </row>
    <row r="6458" spans="2:2" x14ac:dyDescent="0.25">
      <c r="B6458" s="10"/>
    </row>
    <row r="6459" spans="2:2" x14ac:dyDescent="0.25">
      <c r="B6459" s="10"/>
    </row>
    <row r="6460" spans="2:2" x14ac:dyDescent="0.25">
      <c r="B6460" s="10"/>
    </row>
    <row r="6461" spans="2:2" x14ac:dyDescent="0.25">
      <c r="B6461" s="10"/>
    </row>
    <row r="6462" spans="2:2" x14ac:dyDescent="0.25">
      <c r="B6462" s="10"/>
    </row>
    <row r="6463" spans="2:2" x14ac:dyDescent="0.25">
      <c r="B6463" s="10"/>
    </row>
    <row r="6464" spans="2:2" x14ac:dyDescent="0.25">
      <c r="B6464" s="10"/>
    </row>
    <row r="6465" spans="2:2" x14ac:dyDescent="0.25">
      <c r="B6465" s="10"/>
    </row>
    <row r="6466" spans="2:2" x14ac:dyDescent="0.25">
      <c r="B6466" s="10"/>
    </row>
    <row r="6467" spans="2:2" x14ac:dyDescent="0.25">
      <c r="B6467" s="10"/>
    </row>
    <row r="6468" spans="2:2" x14ac:dyDescent="0.25">
      <c r="B6468" s="10"/>
    </row>
    <row r="6469" spans="2:2" x14ac:dyDescent="0.25">
      <c r="B6469" s="10"/>
    </row>
    <row r="6470" spans="2:2" x14ac:dyDescent="0.25">
      <c r="B6470" s="10"/>
    </row>
    <row r="6471" spans="2:2" x14ac:dyDescent="0.25">
      <c r="B6471" s="10"/>
    </row>
    <row r="6472" spans="2:2" x14ac:dyDescent="0.25">
      <c r="B6472" s="10"/>
    </row>
    <row r="6473" spans="2:2" x14ac:dyDescent="0.25">
      <c r="B6473" s="10"/>
    </row>
    <row r="6474" spans="2:2" x14ac:dyDescent="0.25">
      <c r="B6474" s="10"/>
    </row>
    <row r="6475" spans="2:2" x14ac:dyDescent="0.25">
      <c r="B6475" s="10"/>
    </row>
    <row r="6476" spans="2:2" x14ac:dyDescent="0.25">
      <c r="B6476" s="10"/>
    </row>
    <row r="6477" spans="2:2" x14ac:dyDescent="0.25">
      <c r="B6477" s="10"/>
    </row>
    <row r="6478" spans="2:2" x14ac:dyDescent="0.25">
      <c r="B6478" s="10"/>
    </row>
    <row r="6479" spans="2:2" x14ac:dyDescent="0.25">
      <c r="B6479" s="10"/>
    </row>
    <row r="6480" spans="2:2" x14ac:dyDescent="0.25">
      <c r="B6480" s="10"/>
    </row>
    <row r="6481" spans="2:2" x14ac:dyDescent="0.25">
      <c r="B6481" s="10"/>
    </row>
    <row r="6482" spans="2:2" x14ac:dyDescent="0.25">
      <c r="B6482" s="10"/>
    </row>
    <row r="6483" spans="2:2" x14ac:dyDescent="0.25">
      <c r="B6483" s="10"/>
    </row>
    <row r="6484" spans="2:2" x14ac:dyDescent="0.25">
      <c r="B6484" s="10"/>
    </row>
    <row r="6485" spans="2:2" x14ac:dyDescent="0.25">
      <c r="B6485" s="10"/>
    </row>
    <row r="6486" spans="2:2" x14ac:dyDescent="0.25">
      <c r="B6486" s="10"/>
    </row>
    <row r="6487" spans="2:2" x14ac:dyDescent="0.25">
      <c r="B6487" s="10"/>
    </row>
    <row r="6488" spans="2:2" x14ac:dyDescent="0.25">
      <c r="B6488" s="10"/>
    </row>
    <row r="6489" spans="2:2" x14ac:dyDescent="0.25">
      <c r="B6489" s="10"/>
    </row>
    <row r="6490" spans="2:2" x14ac:dyDescent="0.25">
      <c r="B6490" s="10"/>
    </row>
    <row r="6491" spans="2:2" x14ac:dyDescent="0.25">
      <c r="B6491" s="10"/>
    </row>
    <row r="6492" spans="2:2" x14ac:dyDescent="0.25">
      <c r="B6492" s="10"/>
    </row>
    <row r="6493" spans="2:2" x14ac:dyDescent="0.25">
      <c r="B6493" s="10"/>
    </row>
    <row r="6494" spans="2:2" x14ac:dyDescent="0.25">
      <c r="B6494" s="10"/>
    </row>
    <row r="6495" spans="2:2" x14ac:dyDescent="0.25">
      <c r="B6495" s="10"/>
    </row>
    <row r="6496" spans="2:2" x14ac:dyDescent="0.25">
      <c r="B6496" s="10"/>
    </row>
    <row r="6497" spans="2:2" x14ac:dyDescent="0.25">
      <c r="B6497" s="10"/>
    </row>
    <row r="6498" spans="2:2" x14ac:dyDescent="0.25">
      <c r="B6498" s="10"/>
    </row>
    <row r="6499" spans="2:2" x14ac:dyDescent="0.25">
      <c r="B6499" s="10"/>
    </row>
    <row r="6500" spans="2:2" x14ac:dyDescent="0.25">
      <c r="B6500" s="10"/>
    </row>
    <row r="6501" spans="2:2" x14ac:dyDescent="0.25">
      <c r="B6501" s="10"/>
    </row>
    <row r="6502" spans="2:2" x14ac:dyDescent="0.25">
      <c r="B6502" s="10"/>
    </row>
    <row r="6503" spans="2:2" x14ac:dyDescent="0.25">
      <c r="B6503" s="10"/>
    </row>
    <row r="6504" spans="2:2" x14ac:dyDescent="0.25">
      <c r="B6504" s="10"/>
    </row>
    <row r="6505" spans="2:2" x14ac:dyDescent="0.25">
      <c r="B6505" s="10"/>
    </row>
    <row r="6506" spans="2:2" x14ac:dyDescent="0.25">
      <c r="B6506" s="10"/>
    </row>
    <row r="6507" spans="2:2" x14ac:dyDescent="0.25">
      <c r="B6507" s="10"/>
    </row>
    <row r="6508" spans="2:2" x14ac:dyDescent="0.25">
      <c r="B6508" s="10"/>
    </row>
    <row r="6509" spans="2:2" x14ac:dyDescent="0.25">
      <c r="B6509" s="10"/>
    </row>
    <row r="6510" spans="2:2" x14ac:dyDescent="0.25">
      <c r="B6510" s="10"/>
    </row>
    <row r="6511" spans="2:2" x14ac:dyDescent="0.25">
      <c r="B6511" s="10"/>
    </row>
    <row r="6512" spans="2:2" x14ac:dyDescent="0.25">
      <c r="B6512" s="10"/>
    </row>
    <row r="6513" spans="2:2" x14ac:dyDescent="0.25">
      <c r="B6513" s="10"/>
    </row>
    <row r="6514" spans="2:2" x14ac:dyDescent="0.25">
      <c r="B6514" s="10"/>
    </row>
    <row r="6515" spans="2:2" x14ac:dyDescent="0.25">
      <c r="B6515" s="10"/>
    </row>
    <row r="6516" spans="2:2" x14ac:dyDescent="0.25">
      <c r="B6516" s="10"/>
    </row>
    <row r="6517" spans="2:2" x14ac:dyDescent="0.25">
      <c r="B6517" s="10"/>
    </row>
    <row r="6518" spans="2:2" x14ac:dyDescent="0.25">
      <c r="B6518" s="10"/>
    </row>
    <row r="6519" spans="2:2" x14ac:dyDescent="0.25">
      <c r="B6519" s="10"/>
    </row>
    <row r="6520" spans="2:2" x14ac:dyDescent="0.25">
      <c r="B6520" s="10"/>
    </row>
    <row r="6521" spans="2:2" x14ac:dyDescent="0.25">
      <c r="B6521" s="10"/>
    </row>
    <row r="6522" spans="2:2" x14ac:dyDescent="0.25">
      <c r="B6522" s="10"/>
    </row>
    <row r="6523" spans="2:2" x14ac:dyDescent="0.25">
      <c r="B6523" s="10"/>
    </row>
    <row r="6524" spans="2:2" x14ac:dyDescent="0.25">
      <c r="B6524" s="10"/>
    </row>
    <row r="6525" spans="2:2" x14ac:dyDescent="0.25">
      <c r="B6525" s="10"/>
    </row>
    <row r="6526" spans="2:2" x14ac:dyDescent="0.25">
      <c r="B6526" s="10"/>
    </row>
    <row r="6527" spans="2:2" x14ac:dyDescent="0.25">
      <c r="B6527" s="10"/>
    </row>
    <row r="6528" spans="2:2" x14ac:dyDescent="0.25">
      <c r="B6528" s="10"/>
    </row>
    <row r="6529" spans="2:2" x14ac:dyDescent="0.25">
      <c r="B6529" s="10"/>
    </row>
    <row r="6530" spans="2:2" x14ac:dyDescent="0.25">
      <c r="B6530" s="10"/>
    </row>
    <row r="6531" spans="2:2" x14ac:dyDescent="0.25">
      <c r="B6531" s="10"/>
    </row>
    <row r="6532" spans="2:2" x14ac:dyDescent="0.25">
      <c r="B6532" s="10"/>
    </row>
    <row r="6533" spans="2:2" x14ac:dyDescent="0.25">
      <c r="B6533" s="10"/>
    </row>
    <row r="6534" spans="2:2" x14ac:dyDescent="0.25">
      <c r="B6534" s="10"/>
    </row>
    <row r="6535" spans="2:2" x14ac:dyDescent="0.25">
      <c r="B6535" s="10"/>
    </row>
    <row r="6536" spans="2:2" x14ac:dyDescent="0.25">
      <c r="B6536" s="10"/>
    </row>
    <row r="6537" spans="2:2" x14ac:dyDescent="0.25">
      <c r="B6537" s="10"/>
    </row>
    <row r="6538" spans="2:2" x14ac:dyDescent="0.25">
      <c r="B6538" s="10"/>
    </row>
    <row r="6539" spans="2:2" x14ac:dyDescent="0.25">
      <c r="B6539" s="10"/>
    </row>
    <row r="6540" spans="2:2" x14ac:dyDescent="0.25">
      <c r="B6540" s="10"/>
    </row>
    <row r="6541" spans="2:2" x14ac:dyDescent="0.25">
      <c r="B6541" s="10"/>
    </row>
    <row r="6542" spans="2:2" x14ac:dyDescent="0.25">
      <c r="B6542" s="10"/>
    </row>
    <row r="6543" spans="2:2" x14ac:dyDescent="0.25">
      <c r="B6543" s="10"/>
    </row>
    <row r="6544" spans="2:2" x14ac:dyDescent="0.25">
      <c r="B6544" s="10"/>
    </row>
    <row r="6545" spans="2:2" x14ac:dyDescent="0.25">
      <c r="B6545" s="10"/>
    </row>
    <row r="6546" spans="2:2" x14ac:dyDescent="0.25">
      <c r="B6546" s="10"/>
    </row>
    <row r="6547" spans="2:2" x14ac:dyDescent="0.25">
      <c r="B6547" s="10"/>
    </row>
    <row r="6548" spans="2:2" x14ac:dyDescent="0.25">
      <c r="B6548" s="10"/>
    </row>
    <row r="6549" spans="2:2" x14ac:dyDescent="0.25">
      <c r="B6549" s="10"/>
    </row>
    <row r="6550" spans="2:2" x14ac:dyDescent="0.25">
      <c r="B6550" s="10"/>
    </row>
    <row r="6551" spans="2:2" x14ac:dyDescent="0.25">
      <c r="B6551" s="10"/>
    </row>
    <row r="6552" spans="2:2" x14ac:dyDescent="0.25">
      <c r="B6552" s="10"/>
    </row>
    <row r="6553" spans="2:2" x14ac:dyDescent="0.25">
      <c r="B6553" s="10"/>
    </row>
    <row r="6554" spans="2:2" x14ac:dyDescent="0.25">
      <c r="B6554" s="10"/>
    </row>
    <row r="6555" spans="2:2" x14ac:dyDescent="0.25">
      <c r="B6555" s="10"/>
    </row>
    <row r="6556" spans="2:2" x14ac:dyDescent="0.25">
      <c r="B6556" s="10"/>
    </row>
    <row r="6557" spans="2:2" x14ac:dyDescent="0.25">
      <c r="B6557" s="10"/>
    </row>
    <row r="6558" spans="2:2" x14ac:dyDescent="0.25">
      <c r="B6558" s="10"/>
    </row>
    <row r="6559" spans="2:2" x14ac:dyDescent="0.25">
      <c r="B6559" s="10"/>
    </row>
    <row r="6560" spans="2:2" x14ac:dyDescent="0.25">
      <c r="B6560" s="10"/>
    </row>
    <row r="6561" spans="2:2" x14ac:dyDescent="0.25">
      <c r="B6561" s="10"/>
    </row>
    <row r="6562" spans="2:2" x14ac:dyDescent="0.25">
      <c r="B6562" s="10"/>
    </row>
    <row r="6563" spans="2:2" x14ac:dyDescent="0.25">
      <c r="B6563" s="10"/>
    </row>
    <row r="6564" spans="2:2" x14ac:dyDescent="0.25">
      <c r="B6564" s="10"/>
    </row>
    <row r="6565" spans="2:2" x14ac:dyDescent="0.25">
      <c r="B6565" s="10"/>
    </row>
    <row r="6566" spans="2:2" x14ac:dyDescent="0.25">
      <c r="B6566" s="10"/>
    </row>
    <row r="6567" spans="2:2" x14ac:dyDescent="0.25">
      <c r="B6567" s="10"/>
    </row>
    <row r="6568" spans="2:2" x14ac:dyDescent="0.25">
      <c r="B6568" s="10"/>
    </row>
    <row r="6569" spans="2:2" x14ac:dyDescent="0.25">
      <c r="B6569" s="10"/>
    </row>
    <row r="6570" spans="2:2" x14ac:dyDescent="0.25">
      <c r="B6570" s="10"/>
    </row>
    <row r="6571" spans="2:2" x14ac:dyDescent="0.25">
      <c r="B6571" s="10"/>
    </row>
    <row r="6572" spans="2:2" x14ac:dyDescent="0.25">
      <c r="B6572" s="10"/>
    </row>
    <row r="6573" spans="2:2" x14ac:dyDescent="0.25">
      <c r="B6573" s="10"/>
    </row>
    <row r="6574" spans="2:2" x14ac:dyDescent="0.25">
      <c r="B6574" s="10"/>
    </row>
    <row r="6575" spans="2:2" x14ac:dyDescent="0.25">
      <c r="B6575" s="10"/>
    </row>
    <row r="6576" spans="2:2" x14ac:dyDescent="0.25">
      <c r="B6576" s="10"/>
    </row>
    <row r="6577" spans="2:2" x14ac:dyDescent="0.25">
      <c r="B6577" s="10"/>
    </row>
    <row r="6578" spans="2:2" x14ac:dyDescent="0.25">
      <c r="B6578" s="10"/>
    </row>
    <row r="6579" spans="2:2" x14ac:dyDescent="0.25">
      <c r="B6579" s="10"/>
    </row>
    <row r="6580" spans="2:2" x14ac:dyDescent="0.25">
      <c r="B6580" s="10"/>
    </row>
    <row r="6581" spans="2:2" x14ac:dyDescent="0.25">
      <c r="B6581" s="10"/>
    </row>
    <row r="6582" spans="2:2" x14ac:dyDescent="0.25">
      <c r="B6582" s="10"/>
    </row>
    <row r="6583" spans="2:2" x14ac:dyDescent="0.25">
      <c r="B6583" s="10"/>
    </row>
    <row r="6584" spans="2:2" x14ac:dyDescent="0.25">
      <c r="B6584" s="10"/>
    </row>
    <row r="6585" spans="2:2" x14ac:dyDescent="0.25">
      <c r="B6585" s="10"/>
    </row>
    <row r="6586" spans="2:2" x14ac:dyDescent="0.25">
      <c r="B6586" s="10"/>
    </row>
    <row r="6587" spans="2:2" x14ac:dyDescent="0.25">
      <c r="B6587" s="10"/>
    </row>
    <row r="6588" spans="2:2" x14ac:dyDescent="0.25">
      <c r="B6588" s="10"/>
    </row>
    <row r="6589" spans="2:2" x14ac:dyDescent="0.25">
      <c r="B6589" s="10"/>
    </row>
    <row r="6590" spans="2:2" x14ac:dyDescent="0.25">
      <c r="B6590" s="10"/>
    </row>
    <row r="6591" spans="2:2" x14ac:dyDescent="0.25">
      <c r="B6591" s="10"/>
    </row>
    <row r="6592" spans="2:2" x14ac:dyDescent="0.25">
      <c r="B6592" s="10"/>
    </row>
    <row r="6593" spans="2:2" x14ac:dyDescent="0.25">
      <c r="B6593" s="10"/>
    </row>
    <row r="6594" spans="2:2" x14ac:dyDescent="0.25">
      <c r="B6594" s="10"/>
    </row>
    <row r="6595" spans="2:2" x14ac:dyDescent="0.25">
      <c r="B6595" s="10"/>
    </row>
    <row r="6596" spans="2:2" x14ac:dyDescent="0.25">
      <c r="B6596" s="10"/>
    </row>
    <row r="6597" spans="2:2" x14ac:dyDescent="0.25">
      <c r="B6597" s="10"/>
    </row>
    <row r="6598" spans="2:2" x14ac:dyDescent="0.25">
      <c r="B6598" s="10"/>
    </row>
    <row r="6599" spans="2:2" x14ac:dyDescent="0.25">
      <c r="B6599" s="10"/>
    </row>
    <row r="6600" spans="2:2" x14ac:dyDescent="0.25">
      <c r="B6600" s="10"/>
    </row>
    <row r="6601" spans="2:2" x14ac:dyDescent="0.25">
      <c r="B6601" s="10"/>
    </row>
    <row r="6602" spans="2:2" x14ac:dyDescent="0.25">
      <c r="B6602" s="10"/>
    </row>
    <row r="6603" spans="2:2" x14ac:dyDescent="0.25">
      <c r="B6603" s="10"/>
    </row>
    <row r="6604" spans="2:2" x14ac:dyDescent="0.25">
      <c r="B6604" s="10"/>
    </row>
    <row r="6605" spans="2:2" x14ac:dyDescent="0.25">
      <c r="B6605" s="10"/>
    </row>
    <row r="6606" spans="2:2" x14ac:dyDescent="0.25">
      <c r="B6606" s="10"/>
    </row>
    <row r="6607" spans="2:2" x14ac:dyDescent="0.25">
      <c r="B6607" s="10"/>
    </row>
    <row r="6608" spans="2:2" x14ac:dyDescent="0.25">
      <c r="B6608" s="10"/>
    </row>
    <row r="6609" spans="2:2" x14ac:dyDescent="0.25">
      <c r="B6609" s="10"/>
    </row>
    <row r="6610" spans="2:2" x14ac:dyDescent="0.25">
      <c r="B6610" s="10"/>
    </row>
    <row r="6611" spans="2:2" x14ac:dyDescent="0.25">
      <c r="B6611" s="10"/>
    </row>
    <row r="6612" spans="2:2" x14ac:dyDescent="0.25">
      <c r="B6612" s="10"/>
    </row>
    <row r="6613" spans="2:2" x14ac:dyDescent="0.25">
      <c r="B6613" s="10"/>
    </row>
    <row r="6614" spans="2:2" x14ac:dyDescent="0.25">
      <c r="B6614" s="10"/>
    </row>
    <row r="6615" spans="2:2" x14ac:dyDescent="0.25">
      <c r="B6615" s="10"/>
    </row>
    <row r="6616" spans="2:2" x14ac:dyDescent="0.25">
      <c r="B6616" s="10"/>
    </row>
    <row r="6617" spans="2:2" x14ac:dyDescent="0.25">
      <c r="B6617" s="10"/>
    </row>
    <row r="6618" spans="2:2" x14ac:dyDescent="0.25">
      <c r="B6618" s="10"/>
    </row>
    <row r="6619" spans="2:2" x14ac:dyDescent="0.25">
      <c r="B6619" s="10"/>
    </row>
    <row r="6620" spans="2:2" x14ac:dyDescent="0.25">
      <c r="B6620" s="10"/>
    </row>
    <row r="6621" spans="2:2" x14ac:dyDescent="0.25">
      <c r="B6621" s="10"/>
    </row>
    <row r="6622" spans="2:2" x14ac:dyDescent="0.25">
      <c r="B6622" s="10"/>
    </row>
    <row r="6623" spans="2:2" x14ac:dyDescent="0.25">
      <c r="B6623" s="10"/>
    </row>
    <row r="6624" spans="2:2" x14ac:dyDescent="0.25">
      <c r="B6624" s="10"/>
    </row>
    <row r="6625" spans="2:2" x14ac:dyDescent="0.25">
      <c r="B6625" s="10"/>
    </row>
    <row r="6626" spans="2:2" x14ac:dyDescent="0.25">
      <c r="B6626" s="10"/>
    </row>
    <row r="6627" spans="2:2" x14ac:dyDescent="0.25">
      <c r="B6627" s="10"/>
    </row>
    <row r="6628" spans="2:2" x14ac:dyDescent="0.25">
      <c r="B6628" s="10"/>
    </row>
    <row r="6629" spans="2:2" x14ac:dyDescent="0.25">
      <c r="B6629" s="10"/>
    </row>
    <row r="6630" spans="2:2" x14ac:dyDescent="0.25">
      <c r="B6630" s="10"/>
    </row>
    <row r="6631" spans="2:2" x14ac:dyDescent="0.25">
      <c r="B6631" s="10"/>
    </row>
    <row r="6632" spans="2:2" x14ac:dyDescent="0.25">
      <c r="B6632" s="10"/>
    </row>
    <row r="6633" spans="2:2" x14ac:dyDescent="0.25">
      <c r="B6633" s="10"/>
    </row>
    <row r="6634" spans="2:2" x14ac:dyDescent="0.25">
      <c r="B6634" s="10"/>
    </row>
    <row r="6635" spans="2:2" x14ac:dyDescent="0.25">
      <c r="B6635" s="10"/>
    </row>
    <row r="6636" spans="2:2" x14ac:dyDescent="0.25">
      <c r="B6636" s="10"/>
    </row>
    <row r="6637" spans="2:2" x14ac:dyDescent="0.25">
      <c r="B6637" s="10"/>
    </row>
    <row r="6638" spans="2:2" x14ac:dyDescent="0.25">
      <c r="B6638" s="10"/>
    </row>
    <row r="6639" spans="2:2" x14ac:dyDescent="0.25">
      <c r="B6639" s="10"/>
    </row>
    <row r="6640" spans="2:2" x14ac:dyDescent="0.25">
      <c r="B6640" s="10"/>
    </row>
    <row r="6641" spans="2:2" x14ac:dyDescent="0.25">
      <c r="B6641" s="10"/>
    </row>
    <row r="6642" spans="2:2" x14ac:dyDescent="0.25">
      <c r="B6642" s="10"/>
    </row>
    <row r="6643" spans="2:2" x14ac:dyDescent="0.25">
      <c r="B6643" s="10"/>
    </row>
    <row r="6644" spans="2:2" x14ac:dyDescent="0.25">
      <c r="B6644" s="10"/>
    </row>
    <row r="6645" spans="2:2" x14ac:dyDescent="0.25">
      <c r="B6645" s="10"/>
    </row>
    <row r="6646" spans="2:2" x14ac:dyDescent="0.25">
      <c r="B6646" s="10"/>
    </row>
    <row r="6647" spans="2:2" x14ac:dyDescent="0.25">
      <c r="B6647" s="10"/>
    </row>
    <row r="6648" spans="2:2" x14ac:dyDescent="0.25">
      <c r="B6648" s="10"/>
    </row>
    <row r="6649" spans="2:2" x14ac:dyDescent="0.25">
      <c r="B6649" s="10"/>
    </row>
    <row r="6650" spans="2:2" x14ac:dyDescent="0.25">
      <c r="B6650" s="10"/>
    </row>
    <row r="6651" spans="2:2" x14ac:dyDescent="0.25">
      <c r="B6651" s="10"/>
    </row>
    <row r="6652" spans="2:2" x14ac:dyDescent="0.25">
      <c r="B6652" s="10"/>
    </row>
    <row r="6653" spans="2:2" x14ac:dyDescent="0.25">
      <c r="B6653" s="10"/>
    </row>
    <row r="6654" spans="2:2" x14ac:dyDescent="0.25">
      <c r="B6654" s="10"/>
    </row>
    <row r="6655" spans="2:2" x14ac:dyDescent="0.25">
      <c r="B6655" s="10"/>
    </row>
    <row r="6656" spans="2:2" x14ac:dyDescent="0.25">
      <c r="B6656" s="10"/>
    </row>
    <row r="6657" spans="2:2" x14ac:dyDescent="0.25">
      <c r="B6657" s="10"/>
    </row>
    <row r="6658" spans="2:2" x14ac:dyDescent="0.25">
      <c r="B6658" s="10"/>
    </row>
    <row r="6659" spans="2:2" x14ac:dyDescent="0.25">
      <c r="B6659" s="10"/>
    </row>
    <row r="6660" spans="2:2" x14ac:dyDescent="0.25">
      <c r="B6660" s="10"/>
    </row>
    <row r="6661" spans="2:2" x14ac:dyDescent="0.25">
      <c r="B6661" s="10"/>
    </row>
    <row r="6662" spans="2:2" x14ac:dyDescent="0.25">
      <c r="B6662" s="10"/>
    </row>
    <row r="6663" spans="2:2" x14ac:dyDescent="0.25">
      <c r="B6663" s="10"/>
    </row>
    <row r="6664" spans="2:2" x14ac:dyDescent="0.25">
      <c r="B6664" s="10"/>
    </row>
    <row r="6665" spans="2:2" x14ac:dyDescent="0.25">
      <c r="B6665" s="10"/>
    </row>
    <row r="6666" spans="2:2" x14ac:dyDescent="0.25">
      <c r="B6666" s="10"/>
    </row>
    <row r="6667" spans="2:2" x14ac:dyDescent="0.25">
      <c r="B6667" s="10"/>
    </row>
    <row r="6668" spans="2:2" x14ac:dyDescent="0.25">
      <c r="B6668" s="10"/>
    </row>
    <row r="6669" spans="2:2" x14ac:dyDescent="0.25">
      <c r="B6669" s="10"/>
    </row>
    <row r="6670" spans="2:2" x14ac:dyDescent="0.25">
      <c r="B6670" s="10"/>
    </row>
    <row r="6671" spans="2:2" x14ac:dyDescent="0.25">
      <c r="B6671" s="10"/>
    </row>
    <row r="6672" spans="2:2" x14ac:dyDescent="0.25">
      <c r="B6672" s="10"/>
    </row>
    <row r="6673" spans="2:2" x14ac:dyDescent="0.25">
      <c r="B6673" s="10"/>
    </row>
    <row r="6674" spans="2:2" x14ac:dyDescent="0.25">
      <c r="B6674" s="10"/>
    </row>
    <row r="6675" spans="2:2" x14ac:dyDescent="0.25">
      <c r="B6675" s="10"/>
    </row>
    <row r="6676" spans="2:2" x14ac:dyDescent="0.25">
      <c r="B6676" s="10"/>
    </row>
    <row r="6677" spans="2:2" x14ac:dyDescent="0.25">
      <c r="B6677" s="10"/>
    </row>
    <row r="6678" spans="2:2" x14ac:dyDescent="0.25">
      <c r="B6678" s="10"/>
    </row>
    <row r="6679" spans="2:2" x14ac:dyDescent="0.25">
      <c r="B6679" s="10"/>
    </row>
    <row r="6680" spans="2:2" x14ac:dyDescent="0.25">
      <c r="B6680" s="10"/>
    </row>
    <row r="6681" spans="2:2" x14ac:dyDescent="0.25">
      <c r="B6681" s="10"/>
    </row>
    <row r="6682" spans="2:2" x14ac:dyDescent="0.25">
      <c r="B6682" s="10"/>
    </row>
    <row r="6683" spans="2:2" x14ac:dyDescent="0.25">
      <c r="B6683" s="10"/>
    </row>
    <row r="6684" spans="2:2" x14ac:dyDescent="0.25">
      <c r="B6684" s="10"/>
    </row>
    <row r="6685" spans="2:2" x14ac:dyDescent="0.25">
      <c r="B6685" s="10"/>
    </row>
    <row r="6686" spans="2:2" x14ac:dyDescent="0.25">
      <c r="B6686" s="10"/>
    </row>
    <row r="6687" spans="2:2" x14ac:dyDescent="0.25">
      <c r="B6687" s="10"/>
    </row>
    <row r="6688" spans="2:2" x14ac:dyDescent="0.25">
      <c r="B6688" s="10"/>
    </row>
    <row r="6689" spans="2:2" x14ac:dyDescent="0.25">
      <c r="B6689" s="10"/>
    </row>
    <row r="6690" spans="2:2" x14ac:dyDescent="0.25">
      <c r="B6690" s="10"/>
    </row>
    <row r="6691" spans="2:2" x14ac:dyDescent="0.25">
      <c r="B6691" s="10"/>
    </row>
    <row r="6692" spans="2:2" x14ac:dyDescent="0.25">
      <c r="B6692" s="10"/>
    </row>
    <row r="6693" spans="2:2" x14ac:dyDescent="0.25">
      <c r="B6693" s="10"/>
    </row>
    <row r="6694" spans="2:2" x14ac:dyDescent="0.25">
      <c r="B6694" s="10"/>
    </row>
    <row r="6695" spans="2:2" x14ac:dyDescent="0.25">
      <c r="B6695" s="10"/>
    </row>
    <row r="6696" spans="2:2" x14ac:dyDescent="0.25">
      <c r="B6696" s="10"/>
    </row>
    <row r="6697" spans="2:2" x14ac:dyDescent="0.25">
      <c r="B6697" s="10"/>
    </row>
    <row r="6698" spans="2:2" x14ac:dyDescent="0.25">
      <c r="B6698" s="10"/>
    </row>
    <row r="6699" spans="2:2" x14ac:dyDescent="0.25">
      <c r="B6699" s="10"/>
    </row>
    <row r="6700" spans="2:2" x14ac:dyDescent="0.25">
      <c r="B6700" s="10"/>
    </row>
    <row r="6701" spans="2:2" x14ac:dyDescent="0.25">
      <c r="B6701" s="10"/>
    </row>
    <row r="6702" spans="2:2" x14ac:dyDescent="0.25">
      <c r="B6702" s="10"/>
    </row>
    <row r="6703" spans="2:2" x14ac:dyDescent="0.25">
      <c r="B6703" s="10"/>
    </row>
    <row r="6704" spans="2:2" x14ac:dyDescent="0.25">
      <c r="B6704" s="10"/>
    </row>
    <row r="6705" spans="2:2" x14ac:dyDescent="0.25">
      <c r="B6705" s="10"/>
    </row>
    <row r="6706" spans="2:2" x14ac:dyDescent="0.25">
      <c r="B6706" s="10"/>
    </row>
    <row r="6707" spans="2:2" x14ac:dyDescent="0.25">
      <c r="B6707" s="10"/>
    </row>
    <row r="6708" spans="2:2" x14ac:dyDescent="0.25">
      <c r="B6708" s="10"/>
    </row>
    <row r="6709" spans="2:2" x14ac:dyDescent="0.25">
      <c r="B6709" s="10"/>
    </row>
    <row r="6710" spans="2:2" x14ac:dyDescent="0.25">
      <c r="B6710" s="10"/>
    </row>
    <row r="6711" spans="2:2" x14ac:dyDescent="0.25">
      <c r="B6711" s="10"/>
    </row>
    <row r="6712" spans="2:2" x14ac:dyDescent="0.25">
      <c r="B6712" s="10"/>
    </row>
    <row r="6713" spans="2:2" x14ac:dyDescent="0.25">
      <c r="B6713" s="10"/>
    </row>
    <row r="6714" spans="2:2" x14ac:dyDescent="0.25">
      <c r="B6714" s="10"/>
    </row>
    <row r="6715" spans="2:2" x14ac:dyDescent="0.25">
      <c r="B6715" s="10"/>
    </row>
    <row r="6716" spans="2:2" x14ac:dyDescent="0.25">
      <c r="B6716" s="10"/>
    </row>
    <row r="6717" spans="2:2" x14ac:dyDescent="0.25">
      <c r="B6717" s="10"/>
    </row>
    <row r="6718" spans="2:2" x14ac:dyDescent="0.25">
      <c r="B6718" s="10"/>
    </row>
    <row r="6719" spans="2:2" x14ac:dyDescent="0.25">
      <c r="B6719" s="10"/>
    </row>
    <row r="6720" spans="2:2" x14ac:dyDescent="0.25">
      <c r="B6720" s="10"/>
    </row>
    <row r="6721" spans="2:2" x14ac:dyDescent="0.25">
      <c r="B6721" s="10"/>
    </row>
    <row r="6722" spans="2:2" x14ac:dyDescent="0.25">
      <c r="B6722" s="10"/>
    </row>
    <row r="6723" spans="2:2" x14ac:dyDescent="0.25">
      <c r="B6723" s="10"/>
    </row>
    <row r="6724" spans="2:2" x14ac:dyDescent="0.25">
      <c r="B6724" s="10"/>
    </row>
    <row r="6725" spans="2:2" x14ac:dyDescent="0.25">
      <c r="B6725" s="10"/>
    </row>
    <row r="6726" spans="2:2" x14ac:dyDescent="0.25">
      <c r="B6726" s="10"/>
    </row>
    <row r="6727" spans="2:2" x14ac:dyDescent="0.25">
      <c r="B6727" s="10"/>
    </row>
    <row r="6728" spans="2:2" x14ac:dyDescent="0.25">
      <c r="B6728" s="10"/>
    </row>
    <row r="6729" spans="2:2" x14ac:dyDescent="0.25">
      <c r="B6729" s="10"/>
    </row>
    <row r="6730" spans="2:2" x14ac:dyDescent="0.25">
      <c r="B6730" s="10"/>
    </row>
    <row r="6731" spans="2:2" x14ac:dyDescent="0.25">
      <c r="B6731" s="10"/>
    </row>
    <row r="6732" spans="2:2" x14ac:dyDescent="0.25">
      <c r="B6732" s="10"/>
    </row>
    <row r="6733" spans="2:2" x14ac:dyDescent="0.25">
      <c r="B6733" s="10"/>
    </row>
    <row r="6734" spans="2:2" x14ac:dyDescent="0.25">
      <c r="B6734" s="10"/>
    </row>
    <row r="6735" spans="2:2" x14ac:dyDescent="0.25">
      <c r="B6735" s="10"/>
    </row>
    <row r="6736" spans="2:2" x14ac:dyDescent="0.25">
      <c r="B6736" s="10"/>
    </row>
    <row r="6737" spans="2:2" x14ac:dyDescent="0.25">
      <c r="B6737" s="10"/>
    </row>
    <row r="6738" spans="2:2" x14ac:dyDescent="0.25">
      <c r="B6738" s="10"/>
    </row>
    <row r="6739" spans="2:2" x14ac:dyDescent="0.25">
      <c r="B6739" s="10"/>
    </row>
    <row r="6740" spans="2:2" x14ac:dyDescent="0.25">
      <c r="B6740" s="10"/>
    </row>
    <row r="6741" spans="2:2" x14ac:dyDescent="0.25">
      <c r="B6741" s="10"/>
    </row>
    <row r="6742" spans="2:2" x14ac:dyDescent="0.25">
      <c r="B6742" s="10"/>
    </row>
    <row r="6743" spans="2:2" x14ac:dyDescent="0.25">
      <c r="B6743" s="10"/>
    </row>
    <row r="6744" spans="2:2" x14ac:dyDescent="0.25">
      <c r="B6744" s="10"/>
    </row>
    <row r="6745" spans="2:2" x14ac:dyDescent="0.25">
      <c r="B6745" s="10"/>
    </row>
    <row r="6746" spans="2:2" x14ac:dyDescent="0.25">
      <c r="B6746" s="10"/>
    </row>
    <row r="6747" spans="2:2" x14ac:dyDescent="0.25">
      <c r="B6747" s="10"/>
    </row>
    <row r="6748" spans="2:2" x14ac:dyDescent="0.25">
      <c r="B6748" s="10"/>
    </row>
    <row r="6749" spans="2:2" x14ac:dyDescent="0.25">
      <c r="B6749" s="10"/>
    </row>
    <row r="6750" spans="2:2" x14ac:dyDescent="0.25">
      <c r="B6750" s="10"/>
    </row>
    <row r="6751" spans="2:2" x14ac:dyDescent="0.25">
      <c r="B6751" s="10"/>
    </row>
    <row r="6752" spans="2:2" x14ac:dyDescent="0.25">
      <c r="B6752" s="10"/>
    </row>
    <row r="6753" spans="2:2" x14ac:dyDescent="0.25">
      <c r="B6753" s="10"/>
    </row>
    <row r="6754" spans="2:2" x14ac:dyDescent="0.25">
      <c r="B6754" s="10"/>
    </row>
    <row r="6755" spans="2:2" x14ac:dyDescent="0.25">
      <c r="B6755" s="10"/>
    </row>
    <row r="6756" spans="2:2" x14ac:dyDescent="0.25">
      <c r="B6756" s="10"/>
    </row>
    <row r="6757" spans="2:2" x14ac:dyDescent="0.25">
      <c r="B6757" s="10"/>
    </row>
    <row r="6758" spans="2:2" x14ac:dyDescent="0.25">
      <c r="B6758" s="10"/>
    </row>
    <row r="6759" spans="2:2" x14ac:dyDescent="0.25">
      <c r="B6759" s="10"/>
    </row>
    <row r="6760" spans="2:2" x14ac:dyDescent="0.25">
      <c r="B6760" s="10"/>
    </row>
    <row r="6761" spans="2:2" x14ac:dyDescent="0.25">
      <c r="B6761" s="10"/>
    </row>
    <row r="6762" spans="2:2" x14ac:dyDescent="0.25">
      <c r="B6762" s="10"/>
    </row>
    <row r="6763" spans="2:2" x14ac:dyDescent="0.25">
      <c r="B6763" s="10"/>
    </row>
    <row r="6764" spans="2:2" x14ac:dyDescent="0.25">
      <c r="B6764" s="10"/>
    </row>
    <row r="6765" spans="2:2" x14ac:dyDescent="0.25">
      <c r="B6765" s="10"/>
    </row>
    <row r="6766" spans="2:2" x14ac:dyDescent="0.25">
      <c r="B6766" s="10"/>
    </row>
    <row r="6767" spans="2:2" x14ac:dyDescent="0.25">
      <c r="B6767" s="10"/>
    </row>
    <row r="6768" spans="2:2" x14ac:dyDescent="0.25">
      <c r="B6768" s="10"/>
    </row>
    <row r="6769" spans="2:2" x14ac:dyDescent="0.25">
      <c r="B6769" s="10"/>
    </row>
    <row r="6770" spans="2:2" x14ac:dyDescent="0.25">
      <c r="B6770" s="10"/>
    </row>
    <row r="6771" spans="2:2" x14ac:dyDescent="0.25">
      <c r="B6771" s="10"/>
    </row>
    <row r="6772" spans="2:2" x14ac:dyDescent="0.25">
      <c r="B6772" s="10"/>
    </row>
    <row r="6773" spans="2:2" x14ac:dyDescent="0.25">
      <c r="B6773" s="10"/>
    </row>
    <row r="6774" spans="2:2" x14ac:dyDescent="0.25">
      <c r="B6774" s="10"/>
    </row>
    <row r="6775" spans="2:2" x14ac:dyDescent="0.25">
      <c r="B6775" s="10"/>
    </row>
    <row r="6776" spans="2:2" x14ac:dyDescent="0.25">
      <c r="B6776" s="10"/>
    </row>
    <row r="6777" spans="2:2" x14ac:dyDescent="0.25">
      <c r="B6777" s="10"/>
    </row>
    <row r="6778" spans="2:2" x14ac:dyDescent="0.25">
      <c r="B6778" s="10"/>
    </row>
    <row r="6779" spans="2:2" x14ac:dyDescent="0.25">
      <c r="B6779" s="10"/>
    </row>
    <row r="6780" spans="2:2" x14ac:dyDescent="0.25">
      <c r="B6780" s="10"/>
    </row>
    <row r="6781" spans="2:2" x14ac:dyDescent="0.25">
      <c r="B6781" s="10"/>
    </row>
    <row r="6782" spans="2:2" x14ac:dyDescent="0.25">
      <c r="B6782" s="10"/>
    </row>
    <row r="6783" spans="2:2" x14ac:dyDescent="0.25">
      <c r="B6783" s="10"/>
    </row>
    <row r="6784" spans="2:2" x14ac:dyDescent="0.25">
      <c r="B6784" s="10"/>
    </row>
    <row r="6785" spans="2:2" x14ac:dyDescent="0.25">
      <c r="B6785" s="10"/>
    </row>
    <row r="6786" spans="2:2" x14ac:dyDescent="0.25">
      <c r="B6786" s="10"/>
    </row>
    <row r="6787" spans="2:2" x14ac:dyDescent="0.25">
      <c r="B6787" s="10"/>
    </row>
    <row r="6788" spans="2:2" x14ac:dyDescent="0.25">
      <c r="B6788" s="10"/>
    </row>
    <row r="6789" spans="2:2" x14ac:dyDescent="0.25">
      <c r="B6789" s="10"/>
    </row>
    <row r="6790" spans="2:2" x14ac:dyDescent="0.25">
      <c r="B6790" s="10"/>
    </row>
    <row r="6791" spans="2:2" x14ac:dyDescent="0.25">
      <c r="B6791" s="10"/>
    </row>
    <row r="6792" spans="2:2" x14ac:dyDescent="0.25">
      <c r="B6792" s="10"/>
    </row>
    <row r="6793" spans="2:2" x14ac:dyDescent="0.25">
      <c r="B6793" s="10"/>
    </row>
    <row r="6794" spans="2:2" x14ac:dyDescent="0.25">
      <c r="B6794" s="10"/>
    </row>
    <row r="6795" spans="2:2" x14ac:dyDescent="0.25">
      <c r="B6795" s="10"/>
    </row>
    <row r="6796" spans="2:2" x14ac:dyDescent="0.25">
      <c r="B6796" s="10"/>
    </row>
    <row r="6797" spans="2:2" x14ac:dyDescent="0.25">
      <c r="B6797" s="10"/>
    </row>
    <row r="6798" spans="2:2" x14ac:dyDescent="0.25">
      <c r="B6798" s="10"/>
    </row>
    <row r="6799" spans="2:2" x14ac:dyDescent="0.25">
      <c r="B6799" s="10"/>
    </row>
    <row r="6800" spans="2:2" x14ac:dyDescent="0.25">
      <c r="B6800" s="10"/>
    </row>
    <row r="6801" spans="2:2" x14ac:dyDescent="0.25">
      <c r="B6801" s="10"/>
    </row>
    <row r="6802" spans="2:2" x14ac:dyDescent="0.25">
      <c r="B6802" s="10"/>
    </row>
    <row r="6803" spans="2:2" x14ac:dyDescent="0.25">
      <c r="B6803" s="10"/>
    </row>
    <row r="6804" spans="2:2" x14ac:dyDescent="0.25">
      <c r="B6804" s="10"/>
    </row>
    <row r="6805" spans="2:2" x14ac:dyDescent="0.25">
      <c r="B6805" s="10"/>
    </row>
    <row r="6806" spans="2:2" x14ac:dyDescent="0.25">
      <c r="B6806" s="10"/>
    </row>
    <row r="6807" spans="2:2" x14ac:dyDescent="0.25">
      <c r="B6807" s="10"/>
    </row>
    <row r="6808" spans="2:2" x14ac:dyDescent="0.25">
      <c r="B6808" s="10"/>
    </row>
    <row r="6809" spans="2:2" x14ac:dyDescent="0.25">
      <c r="B6809" s="10"/>
    </row>
    <row r="6810" spans="2:2" x14ac:dyDescent="0.25">
      <c r="B6810" s="10"/>
    </row>
    <row r="6811" spans="2:2" x14ac:dyDescent="0.25">
      <c r="B6811" s="10"/>
    </row>
    <row r="6812" spans="2:2" x14ac:dyDescent="0.25">
      <c r="B6812" s="10"/>
    </row>
    <row r="6813" spans="2:2" x14ac:dyDescent="0.25">
      <c r="B6813" s="10"/>
    </row>
    <row r="6814" spans="2:2" x14ac:dyDescent="0.25">
      <c r="B6814" s="10"/>
    </row>
    <row r="6815" spans="2:2" x14ac:dyDescent="0.25">
      <c r="B6815" s="10"/>
    </row>
    <row r="6816" spans="2:2" x14ac:dyDescent="0.25">
      <c r="B6816" s="10"/>
    </row>
    <row r="6817" spans="2:2" x14ac:dyDescent="0.25">
      <c r="B6817" s="10"/>
    </row>
    <row r="6818" spans="2:2" x14ac:dyDescent="0.25">
      <c r="B6818" s="10"/>
    </row>
    <row r="6819" spans="2:2" x14ac:dyDescent="0.25">
      <c r="B6819" s="10"/>
    </row>
    <row r="6820" spans="2:2" x14ac:dyDescent="0.25">
      <c r="B6820" s="10"/>
    </row>
    <row r="6821" spans="2:2" x14ac:dyDescent="0.25">
      <c r="B6821" s="10"/>
    </row>
    <row r="6822" spans="2:2" x14ac:dyDescent="0.25">
      <c r="B6822" s="10"/>
    </row>
    <row r="6823" spans="2:2" x14ac:dyDescent="0.25">
      <c r="B6823" s="10"/>
    </row>
    <row r="6824" spans="2:2" x14ac:dyDescent="0.25">
      <c r="B6824" s="10"/>
    </row>
    <row r="6825" spans="2:2" x14ac:dyDescent="0.25">
      <c r="B6825" s="10"/>
    </row>
    <row r="6826" spans="2:2" x14ac:dyDescent="0.25">
      <c r="B6826" s="10"/>
    </row>
    <row r="6827" spans="2:2" x14ac:dyDescent="0.25">
      <c r="B6827" s="10"/>
    </row>
    <row r="6828" spans="2:2" x14ac:dyDescent="0.25">
      <c r="B6828" s="10"/>
    </row>
    <row r="6829" spans="2:2" x14ac:dyDescent="0.25">
      <c r="B6829" s="10"/>
    </row>
    <row r="6830" spans="2:2" x14ac:dyDescent="0.25">
      <c r="B6830" s="10"/>
    </row>
    <row r="6831" spans="2:2" x14ac:dyDescent="0.25">
      <c r="B6831" s="10"/>
    </row>
    <row r="6832" spans="2:2" x14ac:dyDescent="0.25">
      <c r="B6832" s="10"/>
    </row>
    <row r="6833" spans="2:2" x14ac:dyDescent="0.25">
      <c r="B6833" s="10"/>
    </row>
    <row r="6834" spans="2:2" x14ac:dyDescent="0.25">
      <c r="B6834" s="10"/>
    </row>
    <row r="6835" spans="2:2" x14ac:dyDescent="0.25">
      <c r="B6835" s="10"/>
    </row>
    <row r="6836" spans="2:2" x14ac:dyDescent="0.25">
      <c r="B6836" s="10"/>
    </row>
    <row r="6837" spans="2:2" x14ac:dyDescent="0.25">
      <c r="B6837" s="10"/>
    </row>
    <row r="6838" spans="2:2" x14ac:dyDescent="0.25">
      <c r="B6838" s="10"/>
    </row>
    <row r="6839" spans="2:2" x14ac:dyDescent="0.25">
      <c r="B6839" s="10"/>
    </row>
    <row r="6840" spans="2:2" x14ac:dyDescent="0.25">
      <c r="B6840" s="10"/>
    </row>
    <row r="6841" spans="2:2" x14ac:dyDescent="0.25">
      <c r="B6841" s="10"/>
    </row>
    <row r="6842" spans="2:2" x14ac:dyDescent="0.25">
      <c r="B6842" s="10"/>
    </row>
    <row r="6843" spans="2:2" x14ac:dyDescent="0.25">
      <c r="B6843" s="10"/>
    </row>
    <row r="6844" spans="2:2" x14ac:dyDescent="0.25">
      <c r="B6844" s="10"/>
    </row>
    <row r="6845" spans="2:2" x14ac:dyDescent="0.25">
      <c r="B6845" s="10"/>
    </row>
    <row r="6846" spans="2:2" x14ac:dyDescent="0.25">
      <c r="B6846" s="10"/>
    </row>
    <row r="6847" spans="2:2" x14ac:dyDescent="0.25">
      <c r="B6847" s="10"/>
    </row>
    <row r="6848" spans="2:2" x14ac:dyDescent="0.25">
      <c r="B6848" s="10"/>
    </row>
    <row r="6849" spans="2:2" x14ac:dyDescent="0.25">
      <c r="B6849" s="10"/>
    </row>
    <row r="6850" spans="2:2" x14ac:dyDescent="0.25">
      <c r="B6850" s="10"/>
    </row>
    <row r="6851" spans="2:2" x14ac:dyDescent="0.25">
      <c r="B6851" s="10"/>
    </row>
    <row r="6852" spans="2:2" x14ac:dyDescent="0.25">
      <c r="B6852" s="10"/>
    </row>
    <row r="6853" spans="2:2" x14ac:dyDescent="0.25">
      <c r="B6853" s="10"/>
    </row>
    <row r="6854" spans="2:2" x14ac:dyDescent="0.25">
      <c r="B6854" s="10"/>
    </row>
    <row r="6855" spans="2:2" x14ac:dyDescent="0.25">
      <c r="B6855" s="10"/>
    </row>
    <row r="6856" spans="2:2" x14ac:dyDescent="0.25">
      <c r="B6856" s="10"/>
    </row>
    <row r="6857" spans="2:2" x14ac:dyDescent="0.25">
      <c r="B6857" s="10"/>
    </row>
    <row r="6858" spans="2:2" x14ac:dyDescent="0.25">
      <c r="B6858" s="10"/>
    </row>
    <row r="6859" spans="2:2" x14ac:dyDescent="0.25">
      <c r="B6859" s="10"/>
    </row>
    <row r="6860" spans="2:2" x14ac:dyDescent="0.25">
      <c r="B6860" s="10"/>
    </row>
    <row r="6861" spans="2:2" x14ac:dyDescent="0.25">
      <c r="B6861" s="10"/>
    </row>
    <row r="6862" spans="2:2" x14ac:dyDescent="0.25">
      <c r="B6862" s="10"/>
    </row>
    <row r="6863" spans="2:2" x14ac:dyDescent="0.25">
      <c r="B6863" s="10"/>
    </row>
    <row r="6864" spans="2:2" x14ac:dyDescent="0.25">
      <c r="B6864" s="10"/>
    </row>
    <row r="6865" spans="2:2" x14ac:dyDescent="0.25">
      <c r="B6865" s="10"/>
    </row>
    <row r="6866" spans="2:2" x14ac:dyDescent="0.25">
      <c r="B6866" s="10"/>
    </row>
    <row r="6867" spans="2:2" x14ac:dyDescent="0.25">
      <c r="B6867" s="10"/>
    </row>
    <row r="6868" spans="2:2" x14ac:dyDescent="0.25">
      <c r="B6868" s="10"/>
    </row>
    <row r="6869" spans="2:2" x14ac:dyDescent="0.25">
      <c r="B6869" s="10"/>
    </row>
    <row r="6870" spans="2:2" x14ac:dyDescent="0.25">
      <c r="B6870" s="10"/>
    </row>
    <row r="6871" spans="2:2" x14ac:dyDescent="0.25">
      <c r="B6871" s="10"/>
    </row>
    <row r="6872" spans="2:2" x14ac:dyDescent="0.25">
      <c r="B6872" s="10"/>
    </row>
    <row r="6873" spans="2:2" x14ac:dyDescent="0.25">
      <c r="B6873" s="10"/>
    </row>
    <row r="6874" spans="2:2" x14ac:dyDescent="0.25">
      <c r="B6874" s="10"/>
    </row>
    <row r="6875" spans="2:2" x14ac:dyDescent="0.25">
      <c r="B6875" s="10"/>
    </row>
    <row r="6876" spans="2:2" x14ac:dyDescent="0.25">
      <c r="B6876" s="10"/>
    </row>
    <row r="6877" spans="2:2" x14ac:dyDescent="0.25">
      <c r="B6877" s="10"/>
    </row>
    <row r="6878" spans="2:2" x14ac:dyDescent="0.25">
      <c r="B6878" s="10"/>
    </row>
    <row r="6879" spans="2:2" x14ac:dyDescent="0.25">
      <c r="B6879" s="10"/>
    </row>
    <row r="6880" spans="2:2" x14ac:dyDescent="0.25">
      <c r="B6880" s="10"/>
    </row>
    <row r="6881" spans="2:2" x14ac:dyDescent="0.25">
      <c r="B6881" s="10"/>
    </row>
    <row r="6882" spans="2:2" x14ac:dyDescent="0.25">
      <c r="B6882" s="10"/>
    </row>
    <row r="6883" spans="2:2" x14ac:dyDescent="0.25">
      <c r="B6883" s="10"/>
    </row>
    <row r="6884" spans="2:2" x14ac:dyDescent="0.25">
      <c r="B6884" s="10"/>
    </row>
    <row r="6885" spans="2:2" x14ac:dyDescent="0.25">
      <c r="B6885" s="10"/>
    </row>
    <row r="6886" spans="2:2" x14ac:dyDescent="0.25">
      <c r="B6886" s="10"/>
    </row>
    <row r="6887" spans="2:2" x14ac:dyDescent="0.25">
      <c r="B6887" s="10"/>
    </row>
    <row r="6888" spans="2:2" x14ac:dyDescent="0.25">
      <c r="B6888" s="10"/>
    </row>
    <row r="6889" spans="2:2" x14ac:dyDescent="0.25">
      <c r="B6889" s="10"/>
    </row>
    <row r="6890" spans="2:2" x14ac:dyDescent="0.25">
      <c r="B6890" s="10"/>
    </row>
    <row r="6891" spans="2:2" x14ac:dyDescent="0.25">
      <c r="B6891" s="10"/>
    </row>
    <row r="6892" spans="2:2" x14ac:dyDescent="0.25">
      <c r="B6892" s="10"/>
    </row>
    <row r="6893" spans="2:2" x14ac:dyDescent="0.25">
      <c r="B6893" s="10"/>
    </row>
    <row r="6894" spans="2:2" x14ac:dyDescent="0.25">
      <c r="B6894" s="10"/>
    </row>
    <row r="6895" spans="2:2" x14ac:dyDescent="0.25">
      <c r="B6895" s="10"/>
    </row>
    <row r="6896" spans="2:2" x14ac:dyDescent="0.25">
      <c r="B6896" s="10"/>
    </row>
    <row r="6897" spans="2:2" x14ac:dyDescent="0.25">
      <c r="B6897" s="10"/>
    </row>
    <row r="6898" spans="2:2" x14ac:dyDescent="0.25">
      <c r="B6898" s="10"/>
    </row>
    <row r="6899" spans="2:2" x14ac:dyDescent="0.25">
      <c r="B6899" s="10"/>
    </row>
    <row r="6900" spans="2:2" x14ac:dyDescent="0.25">
      <c r="B6900" s="10"/>
    </row>
    <row r="6901" spans="2:2" x14ac:dyDescent="0.25">
      <c r="B6901" s="10"/>
    </row>
    <row r="6902" spans="2:2" x14ac:dyDescent="0.25">
      <c r="B6902" s="10"/>
    </row>
    <row r="6903" spans="2:2" x14ac:dyDescent="0.25">
      <c r="B6903" s="10"/>
    </row>
    <row r="6904" spans="2:2" x14ac:dyDescent="0.25">
      <c r="B6904" s="10"/>
    </row>
    <row r="6905" spans="2:2" x14ac:dyDescent="0.25">
      <c r="B6905" s="10"/>
    </row>
    <row r="6906" spans="2:2" x14ac:dyDescent="0.25">
      <c r="B6906" s="10"/>
    </row>
    <row r="6907" spans="2:2" x14ac:dyDescent="0.25">
      <c r="B6907" s="10"/>
    </row>
    <row r="6908" spans="2:2" x14ac:dyDescent="0.25">
      <c r="B6908" s="10"/>
    </row>
    <row r="6909" spans="2:2" x14ac:dyDescent="0.25">
      <c r="B6909" s="10"/>
    </row>
    <row r="6910" spans="2:2" x14ac:dyDescent="0.25">
      <c r="B6910" s="10"/>
    </row>
    <row r="6911" spans="2:2" x14ac:dyDescent="0.25">
      <c r="B6911" s="10"/>
    </row>
    <row r="6912" spans="2:2" x14ac:dyDescent="0.25">
      <c r="B6912" s="10"/>
    </row>
    <row r="6913" spans="2:2" x14ac:dyDescent="0.25">
      <c r="B6913" s="10"/>
    </row>
    <row r="6914" spans="2:2" x14ac:dyDescent="0.25">
      <c r="B6914" s="10"/>
    </row>
    <row r="6915" spans="2:2" x14ac:dyDescent="0.25">
      <c r="B6915" s="10"/>
    </row>
    <row r="6916" spans="2:2" x14ac:dyDescent="0.25">
      <c r="B6916" s="10"/>
    </row>
    <row r="6917" spans="2:2" x14ac:dyDescent="0.25">
      <c r="B6917" s="10"/>
    </row>
    <row r="6918" spans="2:2" x14ac:dyDescent="0.25">
      <c r="B6918" s="10"/>
    </row>
    <row r="6919" spans="2:2" x14ac:dyDescent="0.25">
      <c r="B6919" s="10"/>
    </row>
    <row r="6920" spans="2:2" x14ac:dyDescent="0.25">
      <c r="B6920" s="10"/>
    </row>
    <row r="6921" spans="2:2" x14ac:dyDescent="0.25">
      <c r="B6921" s="10"/>
    </row>
    <row r="6922" spans="2:2" x14ac:dyDescent="0.25">
      <c r="B6922" s="10"/>
    </row>
    <row r="6923" spans="2:2" x14ac:dyDescent="0.25">
      <c r="B6923" s="10"/>
    </row>
    <row r="6924" spans="2:2" x14ac:dyDescent="0.25">
      <c r="B6924" s="10"/>
    </row>
    <row r="6925" spans="2:2" x14ac:dyDescent="0.25">
      <c r="B6925" s="10"/>
    </row>
    <row r="6926" spans="2:2" x14ac:dyDescent="0.25">
      <c r="B6926" s="10"/>
    </row>
    <row r="6927" spans="2:2" x14ac:dyDescent="0.25">
      <c r="B6927" s="10"/>
    </row>
    <row r="6928" spans="2:2" x14ac:dyDescent="0.25">
      <c r="B6928" s="10"/>
    </row>
    <row r="6929" spans="2:2" x14ac:dyDescent="0.25">
      <c r="B6929" s="10"/>
    </row>
    <row r="6930" spans="2:2" x14ac:dyDescent="0.25">
      <c r="B6930" s="10"/>
    </row>
    <row r="6931" spans="2:2" x14ac:dyDescent="0.25">
      <c r="B6931" s="10"/>
    </row>
    <row r="6932" spans="2:2" x14ac:dyDescent="0.25">
      <c r="B6932" s="10"/>
    </row>
    <row r="6933" spans="2:2" x14ac:dyDescent="0.25">
      <c r="B6933" s="10"/>
    </row>
    <row r="6934" spans="2:2" x14ac:dyDescent="0.25">
      <c r="B6934" s="10"/>
    </row>
    <row r="6935" spans="2:2" x14ac:dyDescent="0.25">
      <c r="B6935" s="10"/>
    </row>
    <row r="6936" spans="2:2" x14ac:dyDescent="0.25">
      <c r="B6936" s="10"/>
    </row>
    <row r="6937" spans="2:2" x14ac:dyDescent="0.25">
      <c r="B6937" s="10"/>
    </row>
    <row r="6938" spans="2:2" x14ac:dyDescent="0.25">
      <c r="B6938" s="10"/>
    </row>
    <row r="6939" spans="2:2" x14ac:dyDescent="0.25">
      <c r="B6939" s="10"/>
    </row>
    <row r="6940" spans="2:2" x14ac:dyDescent="0.25">
      <c r="B6940" s="10"/>
    </row>
    <row r="6941" spans="2:2" x14ac:dyDescent="0.25">
      <c r="B6941" s="10"/>
    </row>
    <row r="6942" spans="2:2" x14ac:dyDescent="0.25">
      <c r="B6942" s="10"/>
    </row>
    <row r="6943" spans="2:2" x14ac:dyDescent="0.25">
      <c r="B6943" s="10"/>
    </row>
    <row r="6944" spans="2:2" x14ac:dyDescent="0.25">
      <c r="B6944" s="10"/>
    </row>
    <row r="6945" spans="2:2" x14ac:dyDescent="0.25">
      <c r="B6945" s="10"/>
    </row>
    <row r="6946" spans="2:2" x14ac:dyDescent="0.25">
      <c r="B6946" s="10"/>
    </row>
    <row r="6947" spans="2:2" x14ac:dyDescent="0.25">
      <c r="B6947" s="10"/>
    </row>
    <row r="6948" spans="2:2" x14ac:dyDescent="0.25">
      <c r="B6948" s="10"/>
    </row>
    <row r="6949" spans="2:2" x14ac:dyDescent="0.25">
      <c r="B6949" s="10"/>
    </row>
    <row r="6950" spans="2:2" x14ac:dyDescent="0.25">
      <c r="B6950" s="10"/>
    </row>
    <row r="6951" spans="2:2" x14ac:dyDescent="0.25">
      <c r="B6951" s="10"/>
    </row>
    <row r="6952" spans="2:2" x14ac:dyDescent="0.25">
      <c r="B6952" s="10"/>
    </row>
    <row r="6953" spans="2:2" x14ac:dyDescent="0.25">
      <c r="B6953" s="10"/>
    </row>
    <row r="6954" spans="2:2" x14ac:dyDescent="0.25">
      <c r="B6954" s="10"/>
    </row>
    <row r="6955" spans="2:2" x14ac:dyDescent="0.25">
      <c r="B6955" s="10"/>
    </row>
    <row r="6956" spans="2:2" x14ac:dyDescent="0.25">
      <c r="B6956" s="10"/>
    </row>
    <row r="6957" spans="2:2" x14ac:dyDescent="0.25">
      <c r="B6957" s="10"/>
    </row>
    <row r="6958" spans="2:2" x14ac:dyDescent="0.25">
      <c r="B6958" s="10"/>
    </row>
    <row r="6959" spans="2:2" x14ac:dyDescent="0.25">
      <c r="B6959" s="10"/>
    </row>
    <row r="6960" spans="2:2" x14ac:dyDescent="0.25">
      <c r="B6960" s="10"/>
    </row>
    <row r="6961" spans="2:2" x14ac:dyDescent="0.25">
      <c r="B6961" s="10"/>
    </row>
    <row r="6962" spans="2:2" x14ac:dyDescent="0.25">
      <c r="B6962" s="10"/>
    </row>
    <row r="6963" spans="2:2" x14ac:dyDescent="0.25">
      <c r="B6963" s="10"/>
    </row>
    <row r="6964" spans="2:2" x14ac:dyDescent="0.25">
      <c r="B6964" s="10"/>
    </row>
    <row r="6965" spans="2:2" x14ac:dyDescent="0.25">
      <c r="B6965" s="10"/>
    </row>
    <row r="6966" spans="2:2" x14ac:dyDescent="0.25">
      <c r="B6966" s="10"/>
    </row>
    <row r="6967" spans="2:2" x14ac:dyDescent="0.25">
      <c r="B6967" s="10"/>
    </row>
    <row r="6968" spans="2:2" x14ac:dyDescent="0.25">
      <c r="B6968" s="10"/>
    </row>
    <row r="6969" spans="2:2" x14ac:dyDescent="0.25">
      <c r="B6969" s="10"/>
    </row>
    <row r="6970" spans="2:2" x14ac:dyDescent="0.25">
      <c r="B6970" s="10"/>
    </row>
    <row r="6971" spans="2:2" x14ac:dyDescent="0.25">
      <c r="B6971" s="10"/>
    </row>
    <row r="6972" spans="2:2" x14ac:dyDescent="0.25">
      <c r="B6972" s="10"/>
    </row>
    <row r="6973" spans="2:2" x14ac:dyDescent="0.25">
      <c r="B6973" s="10"/>
    </row>
    <row r="6974" spans="2:2" x14ac:dyDescent="0.25">
      <c r="B6974" s="10"/>
    </row>
    <row r="6975" spans="2:2" x14ac:dyDescent="0.25">
      <c r="B6975" s="10"/>
    </row>
    <row r="6976" spans="2:2" x14ac:dyDescent="0.25">
      <c r="B6976" s="10"/>
    </row>
    <row r="6977" spans="2:2" x14ac:dyDescent="0.25">
      <c r="B6977" s="10"/>
    </row>
    <row r="6978" spans="2:2" x14ac:dyDescent="0.25">
      <c r="B6978" s="10"/>
    </row>
    <row r="6979" spans="2:2" x14ac:dyDescent="0.25">
      <c r="B6979" s="10"/>
    </row>
    <row r="6980" spans="2:2" x14ac:dyDescent="0.25">
      <c r="B6980" s="10"/>
    </row>
    <row r="6981" spans="2:2" x14ac:dyDescent="0.25">
      <c r="B6981" s="10"/>
    </row>
    <row r="6982" spans="2:2" x14ac:dyDescent="0.25">
      <c r="B6982" s="10"/>
    </row>
    <row r="6983" spans="2:2" x14ac:dyDescent="0.25">
      <c r="B6983" s="10"/>
    </row>
    <row r="6984" spans="2:2" x14ac:dyDescent="0.25">
      <c r="B6984" s="10"/>
    </row>
    <row r="6985" spans="2:2" x14ac:dyDescent="0.25">
      <c r="B6985" s="10"/>
    </row>
    <row r="6986" spans="2:2" x14ac:dyDescent="0.25">
      <c r="B6986" s="10"/>
    </row>
    <row r="6987" spans="2:2" x14ac:dyDescent="0.25">
      <c r="B6987" s="10"/>
    </row>
    <row r="6988" spans="2:2" x14ac:dyDescent="0.25">
      <c r="B6988" s="10"/>
    </row>
    <row r="6989" spans="2:2" x14ac:dyDescent="0.25">
      <c r="B6989" s="10"/>
    </row>
    <row r="6990" spans="2:2" x14ac:dyDescent="0.25">
      <c r="B6990" s="10"/>
    </row>
    <row r="6991" spans="2:2" x14ac:dyDescent="0.25">
      <c r="B6991" s="10"/>
    </row>
    <row r="6992" spans="2:2" x14ac:dyDescent="0.25">
      <c r="B6992" s="10"/>
    </row>
    <row r="6993" spans="2:2" x14ac:dyDescent="0.25">
      <c r="B6993" s="10"/>
    </row>
    <row r="6994" spans="2:2" x14ac:dyDescent="0.25">
      <c r="B6994" s="10"/>
    </row>
    <row r="6995" spans="2:2" x14ac:dyDescent="0.25">
      <c r="B6995" s="10"/>
    </row>
    <row r="6996" spans="2:2" x14ac:dyDescent="0.25">
      <c r="B6996" s="10"/>
    </row>
    <row r="6997" spans="2:2" x14ac:dyDescent="0.25">
      <c r="B6997" s="10"/>
    </row>
    <row r="6998" spans="2:2" x14ac:dyDescent="0.25">
      <c r="B6998" s="10"/>
    </row>
    <row r="6999" spans="2:2" x14ac:dyDescent="0.25">
      <c r="B6999" s="10"/>
    </row>
    <row r="7000" spans="2:2" x14ac:dyDescent="0.25">
      <c r="B7000" s="10"/>
    </row>
    <row r="7001" spans="2:2" x14ac:dyDescent="0.25">
      <c r="B7001" s="10"/>
    </row>
    <row r="7002" spans="2:2" x14ac:dyDescent="0.25">
      <c r="B7002" s="10"/>
    </row>
    <row r="7003" spans="2:2" x14ac:dyDescent="0.25">
      <c r="B7003" s="10"/>
    </row>
    <row r="7004" spans="2:2" x14ac:dyDescent="0.25">
      <c r="B7004" s="10"/>
    </row>
    <row r="7005" spans="2:2" x14ac:dyDescent="0.25">
      <c r="B7005" s="10"/>
    </row>
    <row r="7006" spans="2:2" x14ac:dyDescent="0.25">
      <c r="B7006" s="10"/>
    </row>
    <row r="7007" spans="2:2" x14ac:dyDescent="0.25">
      <c r="B7007" s="10"/>
    </row>
    <row r="7008" spans="2:2" x14ac:dyDescent="0.25">
      <c r="B7008" s="10"/>
    </row>
    <row r="7009" spans="2:2" x14ac:dyDescent="0.25">
      <c r="B7009" s="10"/>
    </row>
    <row r="7010" spans="2:2" x14ac:dyDescent="0.25">
      <c r="B7010" s="10"/>
    </row>
    <row r="7011" spans="2:2" x14ac:dyDescent="0.25">
      <c r="B7011" s="10"/>
    </row>
    <row r="7012" spans="2:2" x14ac:dyDescent="0.25">
      <c r="B7012" s="10"/>
    </row>
    <row r="7013" spans="2:2" x14ac:dyDescent="0.25">
      <c r="B7013" s="10"/>
    </row>
    <row r="7014" spans="2:2" x14ac:dyDescent="0.25">
      <c r="B7014" s="10"/>
    </row>
    <row r="7015" spans="2:2" x14ac:dyDescent="0.25">
      <c r="B7015" s="10"/>
    </row>
    <row r="7016" spans="2:2" x14ac:dyDescent="0.25">
      <c r="B7016" s="10"/>
    </row>
    <row r="7017" spans="2:2" x14ac:dyDescent="0.25">
      <c r="B7017" s="10"/>
    </row>
    <row r="7018" spans="2:2" x14ac:dyDescent="0.25">
      <c r="B7018" s="10"/>
    </row>
    <row r="7019" spans="2:2" x14ac:dyDescent="0.25">
      <c r="B7019" s="10"/>
    </row>
    <row r="7020" spans="2:2" x14ac:dyDescent="0.25">
      <c r="B7020" s="10"/>
    </row>
    <row r="7021" spans="2:2" x14ac:dyDescent="0.25">
      <c r="B7021" s="10"/>
    </row>
    <row r="7022" spans="2:2" x14ac:dyDescent="0.25">
      <c r="B7022" s="10"/>
    </row>
    <row r="7023" spans="2:2" x14ac:dyDescent="0.25">
      <c r="B7023" s="10"/>
    </row>
    <row r="7024" spans="2:2" x14ac:dyDescent="0.25">
      <c r="B7024" s="10"/>
    </row>
    <row r="7025" spans="2:2" x14ac:dyDescent="0.25">
      <c r="B7025" s="10"/>
    </row>
    <row r="7026" spans="2:2" x14ac:dyDescent="0.25">
      <c r="B7026" s="10"/>
    </row>
    <row r="7027" spans="2:2" x14ac:dyDescent="0.25">
      <c r="B7027" s="10"/>
    </row>
    <row r="7028" spans="2:2" x14ac:dyDescent="0.25">
      <c r="B7028" s="10"/>
    </row>
    <row r="7029" spans="2:2" x14ac:dyDescent="0.25">
      <c r="B7029" s="10"/>
    </row>
    <row r="7030" spans="2:2" x14ac:dyDescent="0.25">
      <c r="B7030" s="10"/>
    </row>
    <row r="7031" spans="2:2" x14ac:dyDescent="0.25">
      <c r="B7031" s="10"/>
    </row>
    <row r="7032" spans="2:2" x14ac:dyDescent="0.25">
      <c r="B7032" s="10"/>
    </row>
    <row r="7033" spans="2:2" x14ac:dyDescent="0.25">
      <c r="B7033" s="10"/>
    </row>
    <row r="7034" spans="2:2" x14ac:dyDescent="0.25">
      <c r="B7034" s="10"/>
    </row>
    <row r="7035" spans="2:2" x14ac:dyDescent="0.25">
      <c r="B7035" s="10"/>
    </row>
    <row r="7036" spans="2:2" x14ac:dyDescent="0.25">
      <c r="B7036" s="10"/>
    </row>
    <row r="7037" spans="2:2" x14ac:dyDescent="0.25">
      <c r="B7037" s="10"/>
    </row>
    <row r="7038" spans="2:2" x14ac:dyDescent="0.25">
      <c r="B7038" s="10"/>
    </row>
    <row r="7039" spans="2:2" x14ac:dyDescent="0.25">
      <c r="B7039" s="10"/>
    </row>
    <row r="7040" spans="2:2" x14ac:dyDescent="0.25">
      <c r="B7040" s="10"/>
    </row>
    <row r="7041" spans="2:2" x14ac:dyDescent="0.25">
      <c r="B7041" s="10"/>
    </row>
    <row r="7042" spans="2:2" x14ac:dyDescent="0.25">
      <c r="B7042" s="10"/>
    </row>
    <row r="7043" spans="2:2" x14ac:dyDescent="0.25">
      <c r="B7043" s="10"/>
    </row>
    <row r="7044" spans="2:2" x14ac:dyDescent="0.25">
      <c r="B7044" s="10"/>
    </row>
    <row r="7045" spans="2:2" x14ac:dyDescent="0.25">
      <c r="B7045" s="10"/>
    </row>
    <row r="7046" spans="2:2" x14ac:dyDescent="0.25">
      <c r="B7046" s="10"/>
    </row>
    <row r="7047" spans="2:2" x14ac:dyDescent="0.25">
      <c r="B7047" s="10"/>
    </row>
    <row r="7048" spans="2:2" x14ac:dyDescent="0.25">
      <c r="B7048" s="10"/>
    </row>
    <row r="7049" spans="2:2" x14ac:dyDescent="0.25">
      <c r="B7049" s="10"/>
    </row>
    <row r="7050" spans="2:2" x14ac:dyDescent="0.25">
      <c r="B7050" s="10"/>
    </row>
    <row r="7051" spans="2:2" x14ac:dyDescent="0.25">
      <c r="B7051" s="10"/>
    </row>
    <row r="7052" spans="2:2" x14ac:dyDescent="0.25">
      <c r="B7052" s="10"/>
    </row>
    <row r="7053" spans="2:2" x14ac:dyDescent="0.25">
      <c r="B7053" s="10"/>
    </row>
    <row r="7054" spans="2:2" x14ac:dyDescent="0.25">
      <c r="B7054" s="10"/>
    </row>
    <row r="7055" spans="2:2" x14ac:dyDescent="0.25">
      <c r="B7055" s="10"/>
    </row>
    <row r="7056" spans="2:2" x14ac:dyDescent="0.25">
      <c r="B7056" s="10"/>
    </row>
    <row r="7057" spans="2:2" x14ac:dyDescent="0.25">
      <c r="B7057" s="10"/>
    </row>
    <row r="7058" spans="2:2" x14ac:dyDescent="0.25">
      <c r="B7058" s="10"/>
    </row>
    <row r="7059" spans="2:2" x14ac:dyDescent="0.25">
      <c r="B7059" s="10"/>
    </row>
    <row r="7060" spans="2:2" x14ac:dyDescent="0.25">
      <c r="B7060" s="10"/>
    </row>
    <row r="7061" spans="2:2" x14ac:dyDescent="0.25">
      <c r="B7061" s="10"/>
    </row>
    <row r="7062" spans="2:2" x14ac:dyDescent="0.25">
      <c r="B7062" s="10"/>
    </row>
    <row r="7063" spans="2:2" x14ac:dyDescent="0.25">
      <c r="B7063" s="10"/>
    </row>
    <row r="7064" spans="2:2" x14ac:dyDescent="0.25">
      <c r="B7064" s="10"/>
    </row>
    <row r="7065" spans="2:2" x14ac:dyDescent="0.25">
      <c r="B7065" s="10"/>
    </row>
    <row r="7066" spans="2:2" x14ac:dyDescent="0.25">
      <c r="B7066" s="10"/>
    </row>
    <row r="7067" spans="2:2" x14ac:dyDescent="0.25">
      <c r="B7067" s="10"/>
    </row>
    <row r="7068" spans="2:2" x14ac:dyDescent="0.25">
      <c r="B7068" s="10"/>
    </row>
    <row r="7069" spans="2:2" x14ac:dyDescent="0.25">
      <c r="B7069" s="10"/>
    </row>
    <row r="7070" spans="2:2" x14ac:dyDescent="0.25">
      <c r="B7070" s="10"/>
    </row>
    <row r="7071" spans="2:2" x14ac:dyDescent="0.25">
      <c r="B7071" s="10"/>
    </row>
    <row r="7072" spans="2:2" x14ac:dyDescent="0.25">
      <c r="B7072" s="10"/>
    </row>
    <row r="7073" spans="2:2" x14ac:dyDescent="0.25">
      <c r="B7073" s="10"/>
    </row>
    <row r="7074" spans="2:2" x14ac:dyDescent="0.25">
      <c r="B7074" s="10"/>
    </row>
    <row r="7075" spans="2:2" x14ac:dyDescent="0.25">
      <c r="B7075" s="10"/>
    </row>
    <row r="7076" spans="2:2" x14ac:dyDescent="0.25">
      <c r="B7076" s="10"/>
    </row>
    <row r="7077" spans="2:2" x14ac:dyDescent="0.25">
      <c r="B7077" s="10"/>
    </row>
    <row r="7078" spans="2:2" x14ac:dyDescent="0.25">
      <c r="B7078" s="10"/>
    </row>
    <row r="7079" spans="2:2" x14ac:dyDescent="0.25">
      <c r="B7079" s="10"/>
    </row>
    <row r="7080" spans="2:2" x14ac:dyDescent="0.25">
      <c r="B7080" s="10"/>
    </row>
    <row r="7081" spans="2:2" x14ac:dyDescent="0.25">
      <c r="B7081" s="10"/>
    </row>
    <row r="7082" spans="2:2" x14ac:dyDescent="0.25">
      <c r="B7082" s="10"/>
    </row>
    <row r="7083" spans="2:2" x14ac:dyDescent="0.25">
      <c r="B7083" s="10"/>
    </row>
    <row r="7084" spans="2:2" x14ac:dyDescent="0.25">
      <c r="B7084" s="10"/>
    </row>
    <row r="7085" spans="2:2" x14ac:dyDescent="0.25">
      <c r="B7085" s="10"/>
    </row>
    <row r="7086" spans="2:2" x14ac:dyDescent="0.25">
      <c r="B7086" s="10"/>
    </row>
    <row r="7087" spans="2:2" x14ac:dyDescent="0.25">
      <c r="B7087" s="10"/>
    </row>
    <row r="7088" spans="2:2" x14ac:dyDescent="0.25">
      <c r="B7088" s="10"/>
    </row>
    <row r="7089" spans="2:2" x14ac:dyDescent="0.25">
      <c r="B7089" s="10"/>
    </row>
    <row r="7090" spans="2:2" x14ac:dyDescent="0.25">
      <c r="B7090" s="10"/>
    </row>
    <row r="7091" spans="2:2" x14ac:dyDescent="0.25">
      <c r="B7091" s="10"/>
    </row>
    <row r="7092" spans="2:2" x14ac:dyDescent="0.25">
      <c r="B7092" s="10"/>
    </row>
    <row r="7093" spans="2:2" x14ac:dyDescent="0.25">
      <c r="B7093" s="10"/>
    </row>
    <row r="7094" spans="2:2" x14ac:dyDescent="0.25">
      <c r="B7094" s="10"/>
    </row>
    <row r="7095" spans="2:2" x14ac:dyDescent="0.25">
      <c r="B7095" s="10"/>
    </row>
    <row r="7096" spans="2:2" x14ac:dyDescent="0.25">
      <c r="B7096" s="10"/>
    </row>
    <row r="7097" spans="2:2" x14ac:dyDescent="0.25">
      <c r="B7097" s="10"/>
    </row>
    <row r="7098" spans="2:2" x14ac:dyDescent="0.25">
      <c r="B7098" s="10"/>
    </row>
    <row r="7099" spans="2:2" x14ac:dyDescent="0.25">
      <c r="B7099" s="10"/>
    </row>
    <row r="7100" spans="2:2" x14ac:dyDescent="0.25">
      <c r="B7100" s="10"/>
    </row>
    <row r="7101" spans="2:2" x14ac:dyDescent="0.25">
      <c r="B7101" s="10"/>
    </row>
    <row r="7102" spans="2:2" x14ac:dyDescent="0.25">
      <c r="B7102" s="10"/>
    </row>
    <row r="7103" spans="2:2" x14ac:dyDescent="0.25">
      <c r="B7103" s="10"/>
    </row>
    <row r="7104" spans="2:2" x14ac:dyDescent="0.25">
      <c r="B7104" s="10"/>
    </row>
    <row r="7105" spans="2:2" x14ac:dyDescent="0.25">
      <c r="B7105" s="10"/>
    </row>
    <row r="7106" spans="2:2" x14ac:dyDescent="0.25">
      <c r="B7106" s="10"/>
    </row>
    <row r="7107" spans="2:2" x14ac:dyDescent="0.25">
      <c r="B7107" s="10"/>
    </row>
    <row r="7108" spans="2:2" x14ac:dyDescent="0.25">
      <c r="B7108" s="10"/>
    </row>
    <row r="7109" spans="2:2" x14ac:dyDescent="0.25">
      <c r="B7109" s="10"/>
    </row>
    <row r="7110" spans="2:2" x14ac:dyDescent="0.25">
      <c r="B7110" s="10"/>
    </row>
    <row r="7111" spans="2:2" x14ac:dyDescent="0.25">
      <c r="B7111" s="10"/>
    </row>
    <row r="7112" spans="2:2" x14ac:dyDescent="0.25">
      <c r="B7112" s="10"/>
    </row>
    <row r="7113" spans="2:2" x14ac:dyDescent="0.25">
      <c r="B7113" s="10"/>
    </row>
    <row r="7114" spans="2:2" x14ac:dyDescent="0.25">
      <c r="B7114" s="10"/>
    </row>
    <row r="7115" spans="2:2" x14ac:dyDescent="0.25">
      <c r="B7115" s="10"/>
    </row>
    <row r="7116" spans="2:2" x14ac:dyDescent="0.25">
      <c r="B7116" s="10"/>
    </row>
    <row r="7117" spans="2:2" x14ac:dyDescent="0.25">
      <c r="B7117" s="10"/>
    </row>
    <row r="7118" spans="2:2" x14ac:dyDescent="0.25">
      <c r="B7118" s="10"/>
    </row>
    <row r="7119" spans="2:2" x14ac:dyDescent="0.25">
      <c r="B7119" s="10"/>
    </row>
    <row r="7120" spans="2:2" x14ac:dyDescent="0.25">
      <c r="B7120" s="10"/>
    </row>
    <row r="7121" spans="2:2" x14ac:dyDescent="0.25">
      <c r="B7121" s="10"/>
    </row>
    <row r="7122" spans="2:2" x14ac:dyDescent="0.25">
      <c r="B7122" s="10"/>
    </row>
    <row r="7123" spans="2:2" x14ac:dyDescent="0.25">
      <c r="B7123" s="10"/>
    </row>
    <row r="7124" spans="2:2" x14ac:dyDescent="0.25">
      <c r="B7124" s="10"/>
    </row>
    <row r="7125" spans="2:2" x14ac:dyDescent="0.25">
      <c r="B7125" s="10"/>
    </row>
    <row r="7126" spans="2:2" x14ac:dyDescent="0.25">
      <c r="B7126" s="10"/>
    </row>
    <row r="7127" spans="2:2" x14ac:dyDescent="0.25">
      <c r="B7127" s="10"/>
    </row>
    <row r="7128" spans="2:2" x14ac:dyDescent="0.25">
      <c r="B7128" s="10"/>
    </row>
    <row r="7129" spans="2:2" x14ac:dyDescent="0.25">
      <c r="B7129" s="10"/>
    </row>
    <row r="7130" spans="2:2" x14ac:dyDescent="0.25">
      <c r="B7130" s="10"/>
    </row>
    <row r="7131" spans="2:2" x14ac:dyDescent="0.25">
      <c r="B7131" s="10"/>
    </row>
    <row r="7132" spans="2:2" x14ac:dyDescent="0.25">
      <c r="B7132" s="10"/>
    </row>
    <row r="7133" spans="2:2" x14ac:dyDescent="0.25">
      <c r="B7133" s="10"/>
    </row>
    <row r="7134" spans="2:2" x14ac:dyDescent="0.25">
      <c r="B7134" s="10"/>
    </row>
    <row r="7135" spans="2:2" x14ac:dyDescent="0.25">
      <c r="B7135" s="10"/>
    </row>
    <row r="7136" spans="2:2" x14ac:dyDescent="0.25">
      <c r="B7136" s="10"/>
    </row>
    <row r="7137" spans="2:2" x14ac:dyDescent="0.25">
      <c r="B7137" s="10"/>
    </row>
    <row r="7138" spans="2:2" x14ac:dyDescent="0.25">
      <c r="B7138" s="10"/>
    </row>
    <row r="7139" spans="2:2" x14ac:dyDescent="0.25">
      <c r="B7139" s="10"/>
    </row>
    <row r="7140" spans="2:2" x14ac:dyDescent="0.25">
      <c r="B7140" s="10"/>
    </row>
    <row r="7141" spans="2:2" x14ac:dyDescent="0.25">
      <c r="B7141" s="10"/>
    </row>
    <row r="7142" spans="2:2" x14ac:dyDescent="0.25">
      <c r="B7142" s="10"/>
    </row>
    <row r="7143" spans="2:2" x14ac:dyDescent="0.25">
      <c r="B7143" s="10"/>
    </row>
    <row r="7144" spans="2:2" x14ac:dyDescent="0.25">
      <c r="B7144" s="10"/>
    </row>
    <row r="7145" spans="2:2" x14ac:dyDescent="0.25">
      <c r="B7145" s="10"/>
    </row>
    <row r="7146" spans="2:2" x14ac:dyDescent="0.25">
      <c r="B7146" s="10"/>
    </row>
    <row r="7147" spans="2:2" x14ac:dyDescent="0.25">
      <c r="B7147" s="10"/>
    </row>
    <row r="7148" spans="2:2" x14ac:dyDescent="0.25">
      <c r="B7148" s="10"/>
    </row>
    <row r="7149" spans="2:2" x14ac:dyDescent="0.25">
      <c r="B7149" s="10"/>
    </row>
    <row r="7150" spans="2:2" x14ac:dyDescent="0.25">
      <c r="B7150" s="10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4BFB5-FE9E-4541-B261-63EDF8C49BDA}">
  <dimension ref="A1:AH7145"/>
  <sheetViews>
    <sheetView zoomScale="87" zoomScaleNormal="87" workbookViewId="0">
      <selection activeCell="Q2" sqref="Q2"/>
    </sheetView>
  </sheetViews>
  <sheetFormatPr defaultRowHeight="15.75" x14ac:dyDescent="0.25"/>
  <cols>
    <col min="4" max="4" width="6" style="13" customWidth="1"/>
    <col min="5" max="5" width="9" style="1"/>
    <col min="6" max="6" width="14.5" style="4" bestFit="1" customWidth="1"/>
    <col min="7" max="7" width="6.625" style="13" customWidth="1"/>
    <col min="9" max="9" width="19.25" style="6" customWidth="1"/>
    <col min="10" max="10" width="12.375" bestFit="1" customWidth="1"/>
    <col min="11" max="11" width="6.625" style="13" customWidth="1"/>
    <col min="15" max="15" width="9" style="13"/>
  </cols>
  <sheetData>
    <row r="1" spans="1:34" x14ac:dyDescent="0.25">
      <c r="A1" t="s">
        <v>18</v>
      </c>
      <c r="F1" s="4" t="s">
        <v>1</v>
      </c>
      <c r="H1" s="6" t="s">
        <v>2</v>
      </c>
      <c r="I1" s="6" t="s">
        <v>20</v>
      </c>
      <c r="J1" t="s">
        <v>21</v>
      </c>
      <c r="M1" t="s">
        <v>0</v>
      </c>
      <c r="N1" t="s">
        <v>10</v>
      </c>
      <c r="Q1" t="s">
        <v>22</v>
      </c>
    </row>
    <row r="2" spans="1:34" x14ac:dyDescent="0.25">
      <c r="A2">
        <v>1674.2346</v>
      </c>
      <c r="B2" s="10">
        <v>4.6210000000000003E-30</v>
      </c>
      <c r="C2" s="10">
        <f>B2*0.1775</f>
        <v>8.2022750000000003E-31</v>
      </c>
      <c r="E2" s="1">
        <v>1682</v>
      </c>
      <c r="F2" s="4">
        <v>2.7370939000000002E-3</v>
      </c>
      <c r="H2">
        <v>1681</v>
      </c>
      <c r="I2" s="6">
        <v>8.35239556988702E-4</v>
      </c>
      <c r="J2" s="4">
        <v>8.5795867030499296E-4</v>
      </c>
      <c r="K2" s="16"/>
      <c r="L2">
        <v>1682</v>
      </c>
      <c r="M2">
        <v>2.2850000000000001E-3</v>
      </c>
      <c r="N2">
        <v>2.2929999999999999E-3</v>
      </c>
      <c r="P2">
        <v>1682</v>
      </c>
      <c r="Q2">
        <v>7680970.4656254696</v>
      </c>
      <c r="R2">
        <f>Q2/100000000</f>
        <v>7.6809704656254696E-2</v>
      </c>
      <c r="AH2" s="10"/>
    </row>
    <row r="3" spans="1:34" x14ac:dyDescent="0.25">
      <c r="A3">
        <v>1674.2846300000001</v>
      </c>
      <c r="B3" s="10">
        <v>3.35E-29</v>
      </c>
      <c r="C3" s="10">
        <f t="shared" ref="C3:C66" si="0">B3*0.1775</f>
        <v>5.94625E-30</v>
      </c>
      <c r="E3" s="1">
        <v>1682.05</v>
      </c>
      <c r="F3" s="4">
        <v>3.0524591E-3</v>
      </c>
      <c r="H3">
        <v>1681.05</v>
      </c>
      <c r="I3" s="6">
        <v>8.7127963241903205E-4</v>
      </c>
      <c r="J3" s="4">
        <v>8.9588758889360895E-4</v>
      </c>
      <c r="K3" s="16"/>
      <c r="L3">
        <v>1682.05</v>
      </c>
      <c r="M3">
        <v>2.5279999999999999E-3</v>
      </c>
      <c r="N3">
        <v>2.5330000000000001E-3</v>
      </c>
      <c r="P3">
        <v>1682.05</v>
      </c>
      <c r="Q3">
        <v>9593620.8799513895</v>
      </c>
      <c r="R3">
        <f t="shared" ref="R3:R66" si="1">Q3/100000000</f>
        <v>9.5936208799513895E-2</v>
      </c>
      <c r="AH3" s="10"/>
    </row>
    <row r="4" spans="1:34" x14ac:dyDescent="0.25">
      <c r="A4">
        <v>1674.33466</v>
      </c>
      <c r="B4" s="10">
        <v>1.3839999999999999E-28</v>
      </c>
      <c r="C4" s="10">
        <f t="shared" si="0"/>
        <v>2.4565999999999995E-29</v>
      </c>
      <c r="E4" s="1">
        <v>1682.1</v>
      </c>
      <c r="F4" s="4">
        <v>3.4754708999999999E-3</v>
      </c>
      <c r="H4">
        <v>1681.1</v>
      </c>
      <c r="I4" s="6">
        <v>9.0925972884138703E-4</v>
      </c>
      <c r="J4" s="4">
        <v>9.3599246366972302E-4</v>
      </c>
      <c r="K4" s="16"/>
      <c r="L4">
        <v>1682.1</v>
      </c>
      <c r="M4">
        <v>2.8419999999999999E-3</v>
      </c>
      <c r="N4">
        <v>2.8479999999999998E-3</v>
      </c>
      <c r="P4">
        <v>1682.1</v>
      </c>
      <c r="Q4">
        <v>11155302.5551889</v>
      </c>
      <c r="R4">
        <f t="shared" si="1"/>
        <v>0.11155302555188899</v>
      </c>
      <c r="AH4" s="10"/>
    </row>
    <row r="5" spans="1:34" x14ac:dyDescent="0.25">
      <c r="A5">
        <v>1674.3847000000001</v>
      </c>
      <c r="B5" s="10">
        <v>4.8550000000000002E-28</v>
      </c>
      <c r="C5" s="10">
        <f t="shared" si="0"/>
        <v>8.6176249999999995E-29</v>
      </c>
      <c r="E5" s="1">
        <v>1682.15</v>
      </c>
      <c r="F5" s="4">
        <v>4.0102499000000003E-3</v>
      </c>
      <c r="H5">
        <v>1681.15</v>
      </c>
      <c r="I5" s="6">
        <v>9.4934471626188105E-4</v>
      </c>
      <c r="J5" s="4">
        <v>9.7847933633642397E-4</v>
      </c>
      <c r="K5" s="16"/>
      <c r="L5">
        <v>1682.15</v>
      </c>
      <c r="M5">
        <v>3.2490000000000002E-3</v>
      </c>
      <c r="N5">
        <v>3.2560000000000002E-3</v>
      </c>
      <c r="P5">
        <v>1682.15</v>
      </c>
      <c r="Q5">
        <v>11971558.4285409</v>
      </c>
      <c r="R5">
        <f t="shared" si="1"/>
        <v>0.119715584285409</v>
      </c>
      <c r="AH5" s="10"/>
    </row>
    <row r="6" spans="1:34" x14ac:dyDescent="0.25">
      <c r="A6">
        <v>1674.4347299999999</v>
      </c>
      <c r="B6" s="10">
        <v>1.5969999999999999E-27</v>
      </c>
      <c r="C6" s="10">
        <f t="shared" si="0"/>
        <v>2.8346749999999998E-28</v>
      </c>
      <c r="E6" s="1">
        <v>1682.2</v>
      </c>
      <c r="F6" s="4">
        <v>4.6990863000000004E-3</v>
      </c>
      <c r="H6">
        <v>1681.2</v>
      </c>
      <c r="I6" s="6">
        <v>9.91719580401063E-4</v>
      </c>
      <c r="J6" s="4">
        <v>1.0235877388301601E-3</v>
      </c>
      <c r="K6" s="16"/>
      <c r="L6">
        <v>1682.2</v>
      </c>
      <c r="M6">
        <v>3.764E-3</v>
      </c>
      <c r="N6">
        <v>3.771E-3</v>
      </c>
      <c r="P6">
        <v>1682.2</v>
      </c>
      <c r="Q6">
        <v>13552270.6306272</v>
      </c>
      <c r="R6">
        <f t="shared" si="1"/>
        <v>0.135522706306272</v>
      </c>
      <c r="AH6" s="10"/>
    </row>
    <row r="7" spans="1:34" x14ac:dyDescent="0.25">
      <c r="A7">
        <v>1674.4847600000001</v>
      </c>
      <c r="B7" s="10">
        <v>5.0889999999999998E-27</v>
      </c>
      <c r="C7" s="10">
        <f t="shared" si="0"/>
        <v>9.0329749999999984E-28</v>
      </c>
      <c r="E7" s="1">
        <v>1682.25</v>
      </c>
      <c r="F7" s="4">
        <v>5.5869403E-3</v>
      </c>
      <c r="H7">
        <v>1681.25</v>
      </c>
      <c r="I7" s="6">
        <v>1.0365929269842201E-3</v>
      </c>
      <c r="J7" s="4">
        <v>1.07159546846418E-3</v>
      </c>
      <c r="K7" s="16"/>
      <c r="L7">
        <v>1682.25</v>
      </c>
      <c r="M7">
        <v>4.4219999999999997E-3</v>
      </c>
      <c r="N7">
        <v>4.4299999999999999E-3</v>
      </c>
      <c r="P7">
        <v>1682.25</v>
      </c>
      <c r="Q7">
        <v>15645001.252273099</v>
      </c>
      <c r="R7">
        <f t="shared" si="1"/>
        <v>0.156450012522731</v>
      </c>
      <c r="AH7" s="10"/>
    </row>
    <row r="8" spans="1:34" x14ac:dyDescent="0.25">
      <c r="A8">
        <v>1674.5347899999999</v>
      </c>
      <c r="B8" s="10">
        <v>1.5900000000000001E-26</v>
      </c>
      <c r="C8" s="10">
        <f t="shared" si="0"/>
        <v>2.8222499999999999E-27</v>
      </c>
      <c r="E8" s="1">
        <v>1682.3</v>
      </c>
      <c r="F8" s="4">
        <v>6.7232302000000002E-3</v>
      </c>
      <c r="H8">
        <v>1681.3</v>
      </c>
      <c r="I8" s="6">
        <v>1.0841995888372E-3</v>
      </c>
      <c r="J8" s="4">
        <v>1.1228277236217301E-3</v>
      </c>
      <c r="K8" s="16"/>
      <c r="L8">
        <v>1682.3</v>
      </c>
      <c r="M8">
        <v>5.2630000000000003E-3</v>
      </c>
      <c r="N8">
        <v>5.2719999999999998E-3</v>
      </c>
      <c r="P8">
        <v>1682.3</v>
      </c>
      <c r="Q8">
        <v>16583760.2743898</v>
      </c>
      <c r="R8">
        <f t="shared" si="1"/>
        <v>0.165837602743898</v>
      </c>
      <c r="AH8" s="10"/>
    </row>
    <row r="9" spans="1:34" x14ac:dyDescent="0.25">
      <c r="A9">
        <v>1674.58482</v>
      </c>
      <c r="B9" s="10">
        <v>4.8930000000000002E-26</v>
      </c>
      <c r="C9" s="10">
        <f t="shared" si="0"/>
        <v>8.685075E-27</v>
      </c>
      <c r="E9" s="1">
        <v>1682.35</v>
      </c>
      <c r="F9" s="4">
        <v>8.1897759999999993E-3</v>
      </c>
      <c r="H9">
        <v>1681.35</v>
      </c>
      <c r="I9" s="6">
        <v>1.1348055750620401E-3</v>
      </c>
      <c r="J9" s="4">
        <v>1.17766977055487E-3</v>
      </c>
      <c r="K9" s="16"/>
      <c r="L9">
        <v>1682.35</v>
      </c>
      <c r="M9">
        <v>6.3270000000000002E-3</v>
      </c>
      <c r="N9">
        <v>6.3369999999999998E-3</v>
      </c>
      <c r="P9">
        <v>1682.35</v>
      </c>
      <c r="Q9">
        <v>18197344.890724301</v>
      </c>
      <c r="R9">
        <f t="shared" si="1"/>
        <v>0.18197344890724301</v>
      </c>
      <c r="AH9" s="10"/>
    </row>
    <row r="10" spans="1:34" x14ac:dyDescent="0.25">
      <c r="A10">
        <v>1674.6348499999999</v>
      </c>
      <c r="B10" s="10">
        <v>1.4849999999999999E-25</v>
      </c>
      <c r="C10" s="10">
        <f t="shared" si="0"/>
        <v>2.6358749999999995E-26</v>
      </c>
      <c r="E10" s="1">
        <v>1682.4</v>
      </c>
      <c r="F10" s="4">
        <v>1.0013273E-2</v>
      </c>
      <c r="H10">
        <v>1681.4</v>
      </c>
      <c r="I10" s="6">
        <v>1.1887165105571699E-3</v>
      </c>
      <c r="J10" s="4">
        <v>1.2365806361068501E-3</v>
      </c>
      <c r="K10" s="16"/>
      <c r="L10">
        <v>1682.4</v>
      </c>
      <c r="M10">
        <v>7.5890000000000003E-3</v>
      </c>
      <c r="N10">
        <v>7.5989999999999999E-3</v>
      </c>
      <c r="P10">
        <v>1682.4</v>
      </c>
      <c r="Q10">
        <v>20501914.521909099</v>
      </c>
      <c r="R10">
        <f t="shared" si="1"/>
        <v>0.20501914521909098</v>
      </c>
      <c r="AH10" s="10"/>
    </row>
    <row r="11" spans="1:34" x14ac:dyDescent="0.25">
      <c r="A11">
        <v>1674.68489</v>
      </c>
      <c r="B11" s="10">
        <v>4.4470000000000003E-25</v>
      </c>
      <c r="C11" s="10">
        <f t="shared" si="0"/>
        <v>7.8934249999999997E-26</v>
      </c>
      <c r="E11" s="1">
        <v>1682.45</v>
      </c>
      <c r="F11" s="4">
        <v>1.2274212E-2</v>
      </c>
      <c r="H11">
        <v>1681.45</v>
      </c>
      <c r="I11" s="6">
        <v>1.2462842950851801E-3</v>
      </c>
      <c r="J11" s="4">
        <v>1.3001118328323201E-3</v>
      </c>
      <c r="K11" s="16"/>
      <c r="L11">
        <v>1682.45</v>
      </c>
      <c r="M11">
        <v>9.1690000000000001E-3</v>
      </c>
      <c r="N11">
        <v>9.1780000000000004E-3</v>
      </c>
      <c r="P11">
        <v>1682.45</v>
      </c>
      <c r="Q11">
        <v>22965426.4761048</v>
      </c>
      <c r="R11">
        <f t="shared" si="1"/>
        <v>0.229654264761048</v>
      </c>
      <c r="AH11" s="10"/>
    </row>
    <row r="12" spans="1:34" x14ac:dyDescent="0.25">
      <c r="A12">
        <v>1674.7349200000001</v>
      </c>
      <c r="B12" s="10">
        <v>1.315E-24</v>
      </c>
      <c r="C12" s="10">
        <f t="shared" si="0"/>
        <v>2.3341249999999999E-25</v>
      </c>
      <c r="E12" s="1">
        <v>1682.5</v>
      </c>
      <c r="F12" s="4">
        <v>1.5064162000000001E-2</v>
      </c>
      <c r="H12">
        <v>1681.5</v>
      </c>
      <c r="I12" s="6">
        <v>1.30791756170697E-3</v>
      </c>
      <c r="J12" s="4">
        <v>1.3689400312836299E-3</v>
      </c>
      <c r="K12" s="16"/>
      <c r="L12">
        <v>1682.5</v>
      </c>
      <c r="M12">
        <v>1.1015E-2</v>
      </c>
      <c r="N12">
        <v>1.1023E-2</v>
      </c>
      <c r="P12">
        <v>1682.5</v>
      </c>
      <c r="Q12">
        <v>25219310.257768501</v>
      </c>
      <c r="R12">
        <f t="shared" si="1"/>
        <v>0.25219310257768501</v>
      </c>
      <c r="AH12" s="10"/>
    </row>
    <row r="13" spans="1:34" x14ac:dyDescent="0.25">
      <c r="A13">
        <v>1674.78495</v>
      </c>
      <c r="B13" s="10">
        <v>3.8360000000000002E-24</v>
      </c>
      <c r="C13" s="10">
        <f t="shared" si="0"/>
        <v>6.8088999999999997E-25</v>
      </c>
      <c r="E13" s="1">
        <v>1682.55</v>
      </c>
      <c r="F13" s="4">
        <v>1.8513373999999999E-2</v>
      </c>
      <c r="H13">
        <v>1681.55</v>
      </c>
      <c r="I13" s="6">
        <v>1.37409572201772E-3</v>
      </c>
      <c r="J13" s="4">
        <v>1.44390165621931E-3</v>
      </c>
      <c r="K13" s="16"/>
      <c r="L13">
        <v>1682.55</v>
      </c>
      <c r="M13">
        <v>1.3278E-2</v>
      </c>
      <c r="N13">
        <v>1.329E-2</v>
      </c>
      <c r="P13">
        <v>1682.55</v>
      </c>
      <c r="Q13">
        <v>29477405.459902901</v>
      </c>
      <c r="R13">
        <f t="shared" si="1"/>
        <v>0.294774054599029</v>
      </c>
      <c r="AH13" s="10"/>
    </row>
    <row r="14" spans="1:34" x14ac:dyDescent="0.25">
      <c r="A14">
        <v>1674.8349800000001</v>
      </c>
      <c r="B14" s="10">
        <v>1.105E-23</v>
      </c>
      <c r="C14" s="10">
        <f t="shared" si="0"/>
        <v>1.9613749999999998E-24</v>
      </c>
      <c r="E14" s="1">
        <v>1682.6</v>
      </c>
      <c r="F14" s="4">
        <v>2.2551112000000002E-2</v>
      </c>
      <c r="H14">
        <v>1681.6</v>
      </c>
      <c r="I14" s="6">
        <v>1.4453838309079999E-3</v>
      </c>
      <c r="J14" s="4">
        <v>1.5260405287713899E-3</v>
      </c>
      <c r="K14" s="16"/>
      <c r="L14">
        <v>1682.6</v>
      </c>
      <c r="M14">
        <v>1.5810000000000001E-2</v>
      </c>
      <c r="N14">
        <v>1.5821999999999999E-2</v>
      </c>
      <c r="P14">
        <v>1682.6</v>
      </c>
      <c r="Q14">
        <v>31675247.5515486</v>
      </c>
      <c r="R14">
        <f t="shared" si="1"/>
        <v>0.31675247551548602</v>
      </c>
      <c r="AH14" s="10"/>
    </row>
    <row r="15" spans="1:34" x14ac:dyDescent="0.25">
      <c r="A15">
        <v>1674.88501</v>
      </c>
      <c r="B15" s="10">
        <v>3.143E-23</v>
      </c>
      <c r="C15" s="10">
        <f t="shared" si="0"/>
        <v>5.5788249999999999E-24</v>
      </c>
      <c r="E15" s="1">
        <v>1682.65</v>
      </c>
      <c r="F15" s="4">
        <v>2.7459839E-2</v>
      </c>
      <c r="H15">
        <v>1681.65</v>
      </c>
      <c r="I15" s="6">
        <v>1.5224558887805099E-3</v>
      </c>
      <c r="J15" s="4">
        <v>1.61667155067158E-3</v>
      </c>
      <c r="K15" s="16"/>
      <c r="L15">
        <v>1682.65</v>
      </c>
      <c r="M15">
        <v>1.8950000000000002E-2</v>
      </c>
      <c r="N15">
        <v>1.8960000000000001E-2</v>
      </c>
      <c r="P15">
        <v>1682.65</v>
      </c>
      <c r="Q15">
        <v>35234732.328442402</v>
      </c>
      <c r="R15">
        <f t="shared" si="1"/>
        <v>0.35234732328442403</v>
      </c>
      <c r="AH15" s="10"/>
    </row>
    <row r="16" spans="1:34" x14ac:dyDescent="0.25">
      <c r="A16">
        <v>1674.9350400000001</v>
      </c>
      <c r="B16" s="10">
        <v>8.8240000000000006E-23</v>
      </c>
      <c r="C16" s="10">
        <f t="shared" si="0"/>
        <v>1.5662600000000001E-23</v>
      </c>
      <c r="E16" s="1">
        <v>1682.7</v>
      </c>
      <c r="F16" s="4">
        <v>3.3179183000000001E-2</v>
      </c>
      <c r="H16">
        <v>1681.7</v>
      </c>
      <c r="I16" s="6">
        <v>1.6061305392969501E-3</v>
      </c>
      <c r="J16" s="4">
        <v>1.71747396021892E-3</v>
      </c>
      <c r="K16" s="16"/>
      <c r="L16">
        <v>1682.7</v>
      </c>
      <c r="M16">
        <v>2.2592000000000001E-2</v>
      </c>
      <c r="N16">
        <v>2.2603999999999999E-2</v>
      </c>
      <c r="P16">
        <v>1682.7</v>
      </c>
      <c r="Q16">
        <v>39067175.2581966</v>
      </c>
      <c r="R16">
        <f t="shared" si="1"/>
        <v>0.39067175258196601</v>
      </c>
      <c r="AH16" s="10"/>
    </row>
    <row r="17" spans="1:34" x14ac:dyDescent="0.25">
      <c r="A17">
        <v>1674.98507</v>
      </c>
      <c r="B17" s="10">
        <v>2.4460000000000001E-22</v>
      </c>
      <c r="C17" s="10">
        <f t="shared" si="0"/>
        <v>4.3416499999999998E-23</v>
      </c>
      <c r="E17" s="1">
        <v>1682.75</v>
      </c>
      <c r="F17" s="4">
        <v>3.9814572999999999E-2</v>
      </c>
      <c r="H17">
        <v>1681.75</v>
      </c>
      <c r="I17" s="6">
        <v>1.6974119071067599E-3</v>
      </c>
      <c r="J17" s="4">
        <v>1.83060914164311E-3</v>
      </c>
      <c r="K17" s="16"/>
      <c r="L17">
        <v>1682.75</v>
      </c>
      <c r="M17">
        <v>2.6901999999999999E-2</v>
      </c>
      <c r="N17">
        <v>2.6912999999999999E-2</v>
      </c>
      <c r="P17">
        <v>1682.75</v>
      </c>
      <c r="Q17">
        <v>41185559.028661601</v>
      </c>
      <c r="R17">
        <f t="shared" si="1"/>
        <v>0.411855590286616</v>
      </c>
      <c r="AH17" s="10"/>
    </row>
    <row r="18" spans="1:34" x14ac:dyDescent="0.25">
      <c r="A18">
        <v>1675.03511</v>
      </c>
      <c r="B18" s="10">
        <v>6.6930000000000004E-22</v>
      </c>
      <c r="C18" s="10">
        <f t="shared" si="0"/>
        <v>1.1880075E-22</v>
      </c>
      <c r="E18" s="1">
        <v>1682.8</v>
      </c>
      <c r="F18" s="4">
        <v>4.7403421000000001E-2</v>
      </c>
      <c r="H18">
        <v>1681.8</v>
      </c>
      <c r="I18" s="6">
        <v>1.7975485895810701E-3</v>
      </c>
      <c r="J18" s="4">
        <v>1.9588871543314399E-3</v>
      </c>
      <c r="K18" s="16"/>
      <c r="L18">
        <v>1682.8</v>
      </c>
      <c r="M18">
        <v>3.1584000000000001E-2</v>
      </c>
      <c r="N18">
        <v>3.1602999999999999E-2</v>
      </c>
      <c r="P18">
        <v>1682.8</v>
      </c>
      <c r="Q18">
        <v>46274125.257007502</v>
      </c>
      <c r="R18">
        <f t="shared" si="1"/>
        <v>0.46274125257007503</v>
      </c>
      <c r="AH18" s="10"/>
    </row>
    <row r="19" spans="1:34" x14ac:dyDescent="0.25">
      <c r="A19">
        <v>1675.0851399999999</v>
      </c>
      <c r="B19" s="10">
        <v>1.8080000000000001E-21</v>
      </c>
      <c r="C19" s="10">
        <f t="shared" si="0"/>
        <v>3.2091999999999999E-22</v>
      </c>
      <c r="E19" s="1">
        <v>1682.85</v>
      </c>
      <c r="F19" s="4">
        <v>5.5631558999999997E-2</v>
      </c>
      <c r="H19">
        <v>1681.85</v>
      </c>
      <c r="I19" s="6">
        <v>1.90811613558101E-3</v>
      </c>
      <c r="J19" s="4">
        <v>2.1059925243881801E-3</v>
      </c>
      <c r="K19" s="16"/>
      <c r="L19">
        <v>1682.85</v>
      </c>
      <c r="M19">
        <v>3.687E-2</v>
      </c>
      <c r="N19">
        <v>3.6875999999999999E-2</v>
      </c>
      <c r="P19">
        <v>1682.85</v>
      </c>
      <c r="Q19">
        <v>50012754.7998183</v>
      </c>
      <c r="R19">
        <f t="shared" si="1"/>
        <v>0.50012754799818304</v>
      </c>
      <c r="AH19" s="10"/>
    </row>
    <row r="20" spans="1:34" x14ac:dyDescent="0.25">
      <c r="A20">
        <v>1675.13517</v>
      </c>
      <c r="B20" s="10">
        <v>4.8219999999999997E-21</v>
      </c>
      <c r="C20" s="10">
        <f t="shared" si="0"/>
        <v>8.5590499999999987E-22</v>
      </c>
      <c r="E20" s="1">
        <v>1682.9</v>
      </c>
      <c r="F20" s="4">
        <v>6.4110473000000001E-2</v>
      </c>
      <c r="H20">
        <v>1681.9</v>
      </c>
      <c r="I20" s="6">
        <v>2.0311299336521101E-3</v>
      </c>
      <c r="J20" s="4">
        <v>2.2767955959327102E-3</v>
      </c>
      <c r="K20" s="16"/>
      <c r="L20">
        <v>1682.9</v>
      </c>
      <c r="M20">
        <v>4.3064999999999999E-2</v>
      </c>
      <c r="N20">
        <v>4.3083000000000003E-2</v>
      </c>
      <c r="P20">
        <v>1682.9</v>
      </c>
      <c r="Q20">
        <v>54885757.450198501</v>
      </c>
      <c r="R20">
        <f t="shared" si="1"/>
        <v>0.54885757450198502</v>
      </c>
      <c r="AH20" s="10"/>
    </row>
    <row r="21" spans="1:34" x14ac:dyDescent="0.25">
      <c r="A21">
        <v>1675.1851999999999</v>
      </c>
      <c r="B21" s="10">
        <v>1.27E-20</v>
      </c>
      <c r="C21" s="10">
        <f t="shared" si="0"/>
        <v>2.2542499999999999E-21</v>
      </c>
      <c r="E21" s="1">
        <v>1682.95</v>
      </c>
      <c r="F21" s="4">
        <v>7.2848774000000005E-2</v>
      </c>
      <c r="H21">
        <v>1681.95</v>
      </c>
      <c r="I21" s="6">
        <v>2.1691990592895699E-3</v>
      </c>
      <c r="J21" s="4">
        <v>2.4777805599160599E-3</v>
      </c>
      <c r="K21" s="16"/>
      <c r="L21">
        <v>1682.95</v>
      </c>
      <c r="M21">
        <v>4.9831E-2</v>
      </c>
      <c r="N21">
        <v>4.9846000000000001E-2</v>
      </c>
      <c r="P21">
        <v>1682.95</v>
      </c>
      <c r="Q21">
        <v>57769702.975321703</v>
      </c>
      <c r="R21">
        <f t="shared" si="1"/>
        <v>0.57769702975321702</v>
      </c>
      <c r="AH21" s="10"/>
    </row>
    <row r="22" spans="1:34" x14ac:dyDescent="0.25">
      <c r="A22">
        <v>1675.23523</v>
      </c>
      <c r="B22" s="10">
        <v>3.3E-20</v>
      </c>
      <c r="C22" s="10">
        <f t="shared" si="0"/>
        <v>5.8574999999999995E-21</v>
      </c>
      <c r="E22" s="1">
        <v>1683</v>
      </c>
      <c r="F22" s="4">
        <v>8.2017295000000004E-2</v>
      </c>
      <c r="H22">
        <v>1682</v>
      </c>
      <c r="I22" s="6">
        <v>2.32575779256707E-3</v>
      </c>
      <c r="J22" s="4">
        <v>2.7176290599868198E-3</v>
      </c>
      <c r="K22" s="16"/>
      <c r="L22">
        <v>1683</v>
      </c>
      <c r="M22">
        <v>5.7159000000000001E-2</v>
      </c>
      <c r="N22">
        <v>5.7176999999999999E-2</v>
      </c>
      <c r="P22">
        <v>1683</v>
      </c>
      <c r="Q22">
        <v>63848573.527255103</v>
      </c>
      <c r="R22">
        <f t="shared" si="1"/>
        <v>0.63848573527255104</v>
      </c>
      <c r="AH22" s="10"/>
    </row>
    <row r="23" spans="1:34" x14ac:dyDescent="0.25">
      <c r="A23">
        <v>1675.2852600000001</v>
      </c>
      <c r="B23" s="10">
        <v>8.4690000000000002E-20</v>
      </c>
      <c r="C23" s="10">
        <f t="shared" si="0"/>
        <v>1.5032474999999999E-20</v>
      </c>
      <c r="E23" s="1">
        <v>1683.05</v>
      </c>
      <c r="F23" s="4">
        <v>9.1680355000000005E-2</v>
      </c>
      <c r="H23">
        <v>1682.05</v>
      </c>
      <c r="I23" s="6">
        <v>2.5053869041782098E-3</v>
      </c>
      <c r="J23" s="4">
        <v>3.0080122770875998E-3</v>
      </c>
      <c r="K23" s="16"/>
      <c r="L23">
        <v>1683.05</v>
      </c>
      <c r="M23">
        <v>6.4391000000000004E-2</v>
      </c>
      <c r="N23">
        <v>6.4393000000000006E-2</v>
      </c>
      <c r="P23">
        <v>1683.05</v>
      </c>
      <c r="Q23">
        <v>69247749.6267239</v>
      </c>
      <c r="R23">
        <f t="shared" si="1"/>
        <v>0.69247749626723898</v>
      </c>
      <c r="AH23" s="10"/>
    </row>
    <row r="24" spans="1:34" x14ac:dyDescent="0.25">
      <c r="A24">
        <v>1675.33529</v>
      </c>
      <c r="B24" s="10">
        <v>2.146E-19</v>
      </c>
      <c r="C24" s="10">
        <f t="shared" si="0"/>
        <v>3.8091499999999998E-20</v>
      </c>
      <c r="E24" s="1">
        <v>1683.1</v>
      </c>
      <c r="F24" s="4">
        <v>0.10195029999999999</v>
      </c>
      <c r="H24">
        <v>1682.1</v>
      </c>
      <c r="I24" s="6">
        <v>2.7142766417609502E-3</v>
      </c>
      <c r="J24" s="4">
        <v>3.36464927557613E-3</v>
      </c>
      <c r="K24" s="16"/>
      <c r="L24">
        <v>1683.1</v>
      </c>
      <c r="M24">
        <v>7.3030999999999999E-2</v>
      </c>
      <c r="N24">
        <v>7.3042999999999997E-2</v>
      </c>
      <c r="P24">
        <v>1683.1</v>
      </c>
      <c r="Q24">
        <v>72404555.006890804</v>
      </c>
      <c r="R24">
        <f t="shared" si="1"/>
        <v>0.72404555006890803</v>
      </c>
      <c r="AH24" s="10"/>
    </row>
    <row r="25" spans="1:34" x14ac:dyDescent="0.25">
      <c r="A25">
        <v>1675.3853300000001</v>
      </c>
      <c r="B25" s="10">
        <v>5.367E-19</v>
      </c>
      <c r="C25" s="10">
        <f t="shared" si="0"/>
        <v>9.5264249999999997E-20</v>
      </c>
      <c r="E25" s="1">
        <v>1683.15</v>
      </c>
      <c r="F25" s="4">
        <v>0.1119132</v>
      </c>
      <c r="H25">
        <v>1682.15</v>
      </c>
      <c r="I25" s="6">
        <v>2.9609120384885301E-3</v>
      </c>
      <c r="J25" s="4">
        <v>3.80869404246582E-3</v>
      </c>
      <c r="K25" s="16"/>
      <c r="L25">
        <v>1683.15</v>
      </c>
      <c r="M25">
        <v>8.1681000000000004E-2</v>
      </c>
      <c r="N25">
        <v>8.1673999999999997E-2</v>
      </c>
      <c r="P25">
        <v>1683.15</v>
      </c>
      <c r="Q25">
        <v>75673522.613004506</v>
      </c>
      <c r="R25">
        <f t="shared" si="1"/>
        <v>0.75673522613004507</v>
      </c>
      <c r="AH25" s="10"/>
    </row>
    <row r="26" spans="1:34" x14ac:dyDescent="0.25">
      <c r="A26">
        <v>1675.4353599999999</v>
      </c>
      <c r="B26" s="10">
        <v>1.3259999999999999E-18</v>
      </c>
      <c r="C26" s="10">
        <f t="shared" si="0"/>
        <v>2.3536499999999996E-19</v>
      </c>
      <c r="E26" s="1">
        <v>1683.2</v>
      </c>
      <c r="F26" s="4">
        <v>0.12131079</v>
      </c>
      <c r="H26">
        <v>1682.2</v>
      </c>
      <c r="I26" s="6">
        <v>3.25706455762793E-3</v>
      </c>
      <c r="J26" s="4">
        <v>4.3685042187738502E-3</v>
      </c>
      <c r="K26" s="16"/>
      <c r="L26">
        <v>1683.2</v>
      </c>
      <c r="M26">
        <v>9.0978000000000003E-2</v>
      </c>
      <c r="N26">
        <v>9.1032000000000002E-2</v>
      </c>
      <c r="P26">
        <v>1683.2</v>
      </c>
      <c r="Q26">
        <v>81228657.546533301</v>
      </c>
      <c r="R26">
        <f t="shared" si="1"/>
        <v>0.81228657546533301</v>
      </c>
      <c r="AH26" s="10"/>
    </row>
    <row r="27" spans="1:34" x14ac:dyDescent="0.25">
      <c r="A27">
        <v>1675.4853900000001</v>
      </c>
      <c r="B27" s="10">
        <v>3.2319999999999998E-18</v>
      </c>
      <c r="C27" s="10">
        <f t="shared" si="0"/>
        <v>5.7367999999999992E-19</v>
      </c>
      <c r="E27" s="1">
        <v>1683.25</v>
      </c>
      <c r="F27" s="4">
        <v>0.13020799</v>
      </c>
      <c r="H27">
        <v>1682.25</v>
      </c>
      <c r="I27" s="6">
        <v>3.6192369781207598E-3</v>
      </c>
      <c r="J27" s="4">
        <v>5.08180855133089E-3</v>
      </c>
      <c r="K27" s="16"/>
      <c r="L27">
        <v>1683.25</v>
      </c>
      <c r="M27">
        <v>9.9136000000000002E-2</v>
      </c>
      <c r="N27">
        <v>9.912E-2</v>
      </c>
      <c r="P27">
        <v>1683.25</v>
      </c>
      <c r="Q27">
        <v>85036934.463624105</v>
      </c>
      <c r="R27">
        <f t="shared" si="1"/>
        <v>0.85036934463624103</v>
      </c>
      <c r="AH27" s="10"/>
    </row>
    <row r="28" spans="1:34" x14ac:dyDescent="0.25">
      <c r="A28">
        <v>1675.5354199999999</v>
      </c>
      <c r="B28" s="10">
        <v>7.7810000000000004E-18</v>
      </c>
      <c r="C28" s="10">
        <f t="shared" si="0"/>
        <v>1.3811275E-18</v>
      </c>
      <c r="E28" s="1">
        <v>1683.3</v>
      </c>
      <c r="F28" s="4">
        <v>0.13859434000000001</v>
      </c>
      <c r="H28">
        <v>1682.3</v>
      </c>
      <c r="I28" s="6">
        <v>4.0707523171846496E-3</v>
      </c>
      <c r="J28" s="4">
        <v>5.9982050183214897E-3</v>
      </c>
      <c r="K28" s="16"/>
      <c r="L28">
        <v>1683.3</v>
      </c>
      <c r="M28">
        <v>0.108503</v>
      </c>
      <c r="N28">
        <v>0.108545</v>
      </c>
      <c r="P28">
        <v>1683.3</v>
      </c>
      <c r="Q28">
        <v>88941010.574777603</v>
      </c>
      <c r="R28">
        <f t="shared" si="1"/>
        <v>0.88941010574777601</v>
      </c>
      <c r="AH28" s="10"/>
    </row>
    <row r="29" spans="1:34" x14ac:dyDescent="0.25">
      <c r="A29">
        <v>1675.58545</v>
      </c>
      <c r="B29" s="10">
        <v>1.8499999999999999E-17</v>
      </c>
      <c r="C29" s="10">
        <f t="shared" si="0"/>
        <v>3.2837499999999996E-18</v>
      </c>
      <c r="E29" s="1">
        <v>1683.35</v>
      </c>
      <c r="F29" s="4">
        <v>0.14634345000000001</v>
      </c>
      <c r="H29">
        <v>1682.35</v>
      </c>
      <c r="I29" s="6">
        <v>4.6447448141404297E-3</v>
      </c>
      <c r="J29" s="4">
        <v>7.1817512308634101E-3</v>
      </c>
      <c r="K29" s="16"/>
      <c r="L29">
        <v>1683.35</v>
      </c>
      <c r="M29">
        <v>0.11745800000000001</v>
      </c>
      <c r="N29">
        <v>0.11749999999999999</v>
      </c>
      <c r="P29">
        <v>1683.35</v>
      </c>
      <c r="Q29">
        <v>94333206.476477593</v>
      </c>
      <c r="R29">
        <f t="shared" si="1"/>
        <v>0.94333206476477593</v>
      </c>
      <c r="AH29" s="10"/>
    </row>
    <row r="30" spans="1:34" x14ac:dyDescent="0.25">
      <c r="A30">
        <v>1675.6354799999999</v>
      </c>
      <c r="B30" s="10">
        <v>4.3409999999999999E-17</v>
      </c>
      <c r="C30" s="10">
        <f t="shared" si="0"/>
        <v>7.705275E-18</v>
      </c>
      <c r="E30" s="1">
        <v>1683.4</v>
      </c>
      <c r="F30" s="4">
        <v>0.15329222000000001</v>
      </c>
      <c r="H30">
        <v>1682.4</v>
      </c>
      <c r="I30" s="6">
        <v>5.3884022712208501E-3</v>
      </c>
      <c r="J30" s="4">
        <v>8.7131180831282792E-3</v>
      </c>
      <c r="K30" s="16"/>
      <c r="L30">
        <v>1683.4</v>
      </c>
      <c r="M30">
        <v>0.12700700000000001</v>
      </c>
      <c r="N30">
        <v>0.12695600000000001</v>
      </c>
      <c r="P30">
        <v>1683.4</v>
      </c>
      <c r="Q30">
        <v>96207498.964943707</v>
      </c>
      <c r="R30">
        <f t="shared" si="1"/>
        <v>0.96207498964943705</v>
      </c>
      <c r="AH30" s="10"/>
    </row>
    <row r="31" spans="1:34" x14ac:dyDescent="0.25">
      <c r="A31">
        <v>1675.68551</v>
      </c>
      <c r="B31" s="10">
        <v>1.006E-16</v>
      </c>
      <c r="C31" s="10">
        <f t="shared" si="0"/>
        <v>1.7856499999999997E-17</v>
      </c>
      <c r="E31" s="1">
        <v>1683.45</v>
      </c>
      <c r="F31" s="4">
        <v>0.15941312999999999</v>
      </c>
      <c r="H31">
        <v>1682.45</v>
      </c>
      <c r="I31" s="6">
        <v>6.3688804206117298E-3</v>
      </c>
      <c r="J31" s="4">
        <v>1.0690368397334201E-2</v>
      </c>
      <c r="K31" s="16"/>
      <c r="L31">
        <v>1683.45</v>
      </c>
      <c r="M31">
        <v>0.134439</v>
      </c>
      <c r="N31">
        <v>0.13447200000000001</v>
      </c>
      <c r="P31">
        <v>1683.45</v>
      </c>
      <c r="Q31">
        <v>101405151.65443499</v>
      </c>
      <c r="R31">
        <f t="shared" si="1"/>
        <v>1.01405151654435</v>
      </c>
      <c r="AH31" s="10"/>
    </row>
    <row r="32" spans="1:34" x14ac:dyDescent="0.25">
      <c r="A32">
        <v>1675.7355500000001</v>
      </c>
      <c r="B32" s="10">
        <v>2.3009999999999998E-16</v>
      </c>
      <c r="C32" s="10">
        <f t="shared" si="0"/>
        <v>4.0842749999999993E-17</v>
      </c>
      <c r="E32" s="1">
        <v>1683.5</v>
      </c>
      <c r="F32" s="4">
        <v>0.16428645</v>
      </c>
      <c r="H32">
        <v>1682.5</v>
      </c>
      <c r="I32" s="6">
        <v>7.6812645316553397E-3</v>
      </c>
      <c r="J32" s="4">
        <v>1.32269969693815E-2</v>
      </c>
      <c r="K32" s="16"/>
      <c r="L32">
        <v>1683.5</v>
      </c>
      <c r="M32">
        <v>0.14252600000000001</v>
      </c>
      <c r="N32">
        <v>0.14250299999999999</v>
      </c>
      <c r="P32">
        <v>1683.5</v>
      </c>
      <c r="Q32">
        <v>102528573.088819</v>
      </c>
      <c r="R32">
        <f t="shared" si="1"/>
        <v>1.02528573088819</v>
      </c>
      <c r="AH32" s="10"/>
    </row>
    <row r="33" spans="1:34" x14ac:dyDescent="0.25">
      <c r="A33">
        <v>1675.78558</v>
      </c>
      <c r="B33" s="10">
        <v>5.1979999999999999E-16</v>
      </c>
      <c r="C33" s="10">
        <f t="shared" si="0"/>
        <v>9.2264499999999998E-17</v>
      </c>
      <c r="E33" s="1">
        <v>1683.55</v>
      </c>
      <c r="F33" s="4">
        <v>0.16807900000000001</v>
      </c>
      <c r="H33">
        <v>1682.55</v>
      </c>
      <c r="I33" s="6">
        <v>9.4584019704718504E-3</v>
      </c>
      <c r="J33" s="4">
        <v>1.6445688104000399E-2</v>
      </c>
      <c r="K33" s="16"/>
      <c r="L33">
        <v>1683.55</v>
      </c>
      <c r="M33">
        <v>0.149644</v>
      </c>
      <c r="N33">
        <v>0.14974899999999999</v>
      </c>
      <c r="P33">
        <v>1683.55</v>
      </c>
      <c r="Q33">
        <v>107142685.860576</v>
      </c>
      <c r="R33">
        <f t="shared" si="1"/>
        <v>1.07142685860576</v>
      </c>
      <c r="AH33" s="10"/>
    </row>
    <row r="34" spans="1:34" x14ac:dyDescent="0.25">
      <c r="A34">
        <v>1675.8356100000001</v>
      </c>
      <c r="B34" s="10">
        <v>1.1590000000000001E-15</v>
      </c>
      <c r="C34" s="10">
        <f t="shared" si="0"/>
        <v>2.0572250000000001E-16</v>
      </c>
      <c r="E34" s="1">
        <v>1683.6</v>
      </c>
      <c r="F34" s="4">
        <v>0.17151153</v>
      </c>
      <c r="H34">
        <v>1682.6</v>
      </c>
      <c r="I34" s="6">
        <v>1.18805999689081E-2</v>
      </c>
      <c r="J34" s="4">
        <v>2.04666842781701E-2</v>
      </c>
      <c r="K34" s="16"/>
      <c r="L34">
        <v>1683.6</v>
      </c>
      <c r="M34">
        <v>0.15723599999999999</v>
      </c>
      <c r="N34">
        <v>0.15726100000000001</v>
      </c>
      <c r="P34">
        <v>1683.6</v>
      </c>
      <c r="Q34">
        <v>111498333.728025</v>
      </c>
      <c r="R34">
        <f t="shared" si="1"/>
        <v>1.11498333728025</v>
      </c>
      <c r="AH34" s="10"/>
    </row>
    <row r="35" spans="1:34" x14ac:dyDescent="0.25">
      <c r="A35">
        <v>1675.88564</v>
      </c>
      <c r="B35" s="10">
        <v>2.5529999999999999E-15</v>
      </c>
      <c r="C35" s="10">
        <f t="shared" si="0"/>
        <v>4.5315749999999991E-16</v>
      </c>
      <c r="E35" s="1">
        <v>1683.65</v>
      </c>
      <c r="F35" s="4">
        <v>0.17441438000000001</v>
      </c>
      <c r="H35">
        <v>1682.65</v>
      </c>
      <c r="I35" s="6">
        <v>1.51793063612199E-2</v>
      </c>
      <c r="J35" s="4">
        <v>2.5390983747401698E-2</v>
      </c>
      <c r="K35" s="16"/>
      <c r="L35">
        <v>1683.65</v>
      </c>
      <c r="M35">
        <v>0.16292699999999999</v>
      </c>
      <c r="N35">
        <v>0.162909</v>
      </c>
      <c r="P35">
        <v>1683.65</v>
      </c>
      <c r="Q35">
        <v>111052706.42830899</v>
      </c>
      <c r="R35">
        <f t="shared" si="1"/>
        <v>1.11052706428309</v>
      </c>
      <c r="AH35" s="10"/>
    </row>
    <row r="36" spans="1:34" x14ac:dyDescent="0.25">
      <c r="A36">
        <v>1675.9356700000001</v>
      </c>
      <c r="B36" s="10">
        <v>5.5530000000000001E-15</v>
      </c>
      <c r="C36" s="10">
        <f t="shared" si="0"/>
        <v>9.8565749999999998E-16</v>
      </c>
      <c r="E36" s="1">
        <v>1683.7</v>
      </c>
      <c r="F36" s="4">
        <v>0.17664406999999999</v>
      </c>
      <c r="H36">
        <v>1682.7</v>
      </c>
      <c r="I36" s="6">
        <v>1.96240007436062E-2</v>
      </c>
      <c r="J36" s="4">
        <v>3.1280646568212903E-2</v>
      </c>
      <c r="K36" s="16"/>
      <c r="L36">
        <v>1683.7</v>
      </c>
      <c r="M36">
        <v>0.167965</v>
      </c>
      <c r="N36">
        <v>0.16805600000000001</v>
      </c>
      <c r="P36">
        <v>1683.7</v>
      </c>
      <c r="Q36">
        <v>113225294.72249199</v>
      </c>
      <c r="R36">
        <f t="shared" si="1"/>
        <v>1.1322529472249199</v>
      </c>
      <c r="AH36" s="10"/>
    </row>
    <row r="37" spans="1:34" x14ac:dyDescent="0.25">
      <c r="A37">
        <v>1675.9857</v>
      </c>
      <c r="B37" s="10">
        <v>1.1929999999999999E-14</v>
      </c>
      <c r="C37" s="10">
        <f t="shared" si="0"/>
        <v>2.1175749999999997E-15</v>
      </c>
      <c r="E37" s="1">
        <v>1683.75</v>
      </c>
      <c r="F37" s="4">
        <v>0.17803273</v>
      </c>
      <c r="H37">
        <v>1682.75</v>
      </c>
      <c r="I37" s="6">
        <v>2.5480708106691299E-2</v>
      </c>
      <c r="J37" s="4">
        <v>3.8140548268593803E-2</v>
      </c>
      <c r="K37" s="16"/>
      <c r="L37">
        <v>1683.75</v>
      </c>
      <c r="M37">
        <v>0.17236599999999999</v>
      </c>
      <c r="N37">
        <v>0.17250099999999999</v>
      </c>
      <c r="P37">
        <v>1683.75</v>
      </c>
      <c r="Q37">
        <v>113334168.166466</v>
      </c>
      <c r="R37">
        <f t="shared" si="1"/>
        <v>1.13334168166466</v>
      </c>
      <c r="AH37" s="10"/>
    </row>
    <row r="38" spans="1:34" x14ac:dyDescent="0.25">
      <c r="A38">
        <v>1676.03574</v>
      </c>
      <c r="B38" s="10">
        <v>2.5289999999999999E-14</v>
      </c>
      <c r="C38" s="10">
        <f t="shared" si="0"/>
        <v>4.4889749999999999E-15</v>
      </c>
      <c r="E38" s="1">
        <v>1683.8</v>
      </c>
      <c r="F38" s="4">
        <v>0.17852177</v>
      </c>
      <c r="H38">
        <v>1682.8</v>
      </c>
      <c r="I38" s="6">
        <v>3.2940919279102997E-2</v>
      </c>
      <c r="J38" s="4">
        <v>4.5906884666007397E-2</v>
      </c>
      <c r="K38" s="16"/>
      <c r="L38">
        <v>1683.8</v>
      </c>
      <c r="M38">
        <v>0.17691200000000001</v>
      </c>
      <c r="N38">
        <v>0.17682100000000001</v>
      </c>
      <c r="P38">
        <v>1683.8</v>
      </c>
      <c r="Q38">
        <v>118350465.28920899</v>
      </c>
      <c r="R38">
        <f t="shared" si="1"/>
        <v>1.1835046528920898</v>
      </c>
      <c r="AH38" s="10"/>
    </row>
    <row r="39" spans="1:34" x14ac:dyDescent="0.25">
      <c r="A39">
        <v>1676.0857699999999</v>
      </c>
      <c r="B39" s="10">
        <v>5.2960000000000002E-14</v>
      </c>
      <c r="C39" s="10">
        <f t="shared" si="0"/>
        <v>9.4004000000000003E-15</v>
      </c>
      <c r="E39" s="1">
        <v>1683.85</v>
      </c>
      <c r="F39" s="4">
        <v>0.17841741</v>
      </c>
      <c r="H39">
        <v>1682.85</v>
      </c>
      <c r="I39" s="6">
        <v>4.2041150885602202E-2</v>
      </c>
      <c r="J39" s="4">
        <v>5.4446771826331897E-2</v>
      </c>
      <c r="K39" s="16"/>
      <c r="L39">
        <v>1683.85</v>
      </c>
      <c r="M39">
        <v>0.180089</v>
      </c>
      <c r="N39">
        <v>0.180092</v>
      </c>
      <c r="P39">
        <v>1683.85</v>
      </c>
      <c r="Q39">
        <v>117908417.433025</v>
      </c>
      <c r="R39">
        <f t="shared" si="1"/>
        <v>1.17908417433025</v>
      </c>
      <c r="AH39" s="10"/>
    </row>
    <row r="40" spans="1:34" x14ac:dyDescent="0.25">
      <c r="A40">
        <v>1676.1358</v>
      </c>
      <c r="B40" s="10">
        <v>1.095E-13</v>
      </c>
      <c r="C40" s="10">
        <f t="shared" si="0"/>
        <v>1.943625E-14</v>
      </c>
      <c r="E40" s="1">
        <v>1683.9</v>
      </c>
      <c r="F40" s="4">
        <v>0.17827045999999999</v>
      </c>
      <c r="H40">
        <v>1682.9</v>
      </c>
      <c r="I40" s="6">
        <v>5.2611345224152103E-2</v>
      </c>
      <c r="J40" s="4">
        <v>6.3570452243565598E-2</v>
      </c>
      <c r="K40" s="16"/>
      <c r="L40">
        <v>1683.9</v>
      </c>
      <c r="M40">
        <v>0.18249099999999999</v>
      </c>
      <c r="N40">
        <v>0.18242700000000001</v>
      </c>
      <c r="P40">
        <v>1683.9</v>
      </c>
      <c r="Q40">
        <v>118350860.237616</v>
      </c>
      <c r="R40">
        <f t="shared" si="1"/>
        <v>1.1835086023761601</v>
      </c>
      <c r="AH40" s="10"/>
    </row>
    <row r="41" spans="1:34" x14ac:dyDescent="0.25">
      <c r="A41">
        <v>1676.1858299999999</v>
      </c>
      <c r="B41" s="10">
        <v>2.236E-13</v>
      </c>
      <c r="C41" s="10">
        <f t="shared" si="0"/>
        <v>3.9688999999999996E-14</v>
      </c>
      <c r="E41" s="1">
        <v>1683.95</v>
      </c>
      <c r="F41" s="4">
        <v>0.17794119999999999</v>
      </c>
      <c r="H41">
        <v>1682.95</v>
      </c>
      <c r="I41" s="6">
        <v>6.4285429464773503E-2</v>
      </c>
      <c r="J41" s="4">
        <v>7.3053951786320695E-2</v>
      </c>
      <c r="K41" s="16"/>
      <c r="L41">
        <v>1683.95</v>
      </c>
      <c r="M41">
        <v>0.18410899999999999</v>
      </c>
      <c r="N41">
        <v>0.184336</v>
      </c>
      <c r="P41">
        <v>1683.95</v>
      </c>
      <c r="Q41">
        <v>121176840.662811</v>
      </c>
      <c r="R41">
        <f t="shared" si="1"/>
        <v>1.21176840662811</v>
      </c>
      <c r="AH41" s="10"/>
    </row>
    <row r="42" spans="1:34" x14ac:dyDescent="0.25">
      <c r="A42">
        <v>1676.23586</v>
      </c>
      <c r="B42" s="10">
        <v>4.5089999999999998E-13</v>
      </c>
      <c r="C42" s="10">
        <f t="shared" si="0"/>
        <v>8.0034749999999991E-14</v>
      </c>
      <c r="E42" s="1">
        <v>1684</v>
      </c>
      <c r="F42" s="4">
        <v>0.17751847000000001</v>
      </c>
      <c r="H42">
        <v>1683</v>
      </c>
      <c r="I42" s="6">
        <v>7.6576975950533796E-2</v>
      </c>
      <c r="J42" s="4">
        <v>8.2667016989477399E-2</v>
      </c>
      <c r="K42" s="16"/>
      <c r="L42">
        <v>1684</v>
      </c>
      <c r="M42">
        <v>0.18573700000000001</v>
      </c>
      <c r="N42">
        <v>0.18576699999999999</v>
      </c>
      <c r="P42">
        <v>1684</v>
      </c>
      <c r="Q42">
        <v>120852691.811042</v>
      </c>
      <c r="R42">
        <f t="shared" si="1"/>
        <v>1.2085269181104199</v>
      </c>
      <c r="AH42" s="10"/>
    </row>
    <row r="43" spans="1:34" x14ac:dyDescent="0.25">
      <c r="A43">
        <v>1676.2858900000001</v>
      </c>
      <c r="B43" s="10">
        <v>8.9779999999999997E-13</v>
      </c>
      <c r="C43" s="10">
        <f t="shared" si="0"/>
        <v>1.5935949999999998E-13</v>
      </c>
      <c r="E43" s="1">
        <v>1684.05</v>
      </c>
      <c r="F43" s="4">
        <v>0.17716961000000001</v>
      </c>
      <c r="H43">
        <v>1683.05</v>
      </c>
      <c r="I43" s="6">
        <v>8.8987663963635694E-2</v>
      </c>
      <c r="J43" s="4">
        <v>9.2199882380901002E-2</v>
      </c>
      <c r="K43" s="16"/>
      <c r="L43">
        <v>1684.05</v>
      </c>
      <c r="M43">
        <v>0.18678600000000001</v>
      </c>
      <c r="N43">
        <v>0.18693199999999999</v>
      </c>
      <c r="P43">
        <v>1684.05</v>
      </c>
      <c r="Q43">
        <v>123973295.94304401</v>
      </c>
      <c r="R43">
        <f t="shared" si="1"/>
        <v>1.23973295943044</v>
      </c>
    </row>
    <row r="44" spans="1:34" x14ac:dyDescent="0.25">
      <c r="A44">
        <v>1676.33592</v>
      </c>
      <c r="B44" s="10">
        <v>1.7659999999999999E-12</v>
      </c>
      <c r="C44" s="10">
        <f t="shared" si="0"/>
        <v>3.1346499999999997E-13</v>
      </c>
      <c r="E44" s="1">
        <v>1684.1</v>
      </c>
      <c r="F44" s="4">
        <v>0.17672081000000001</v>
      </c>
      <c r="H44">
        <v>1683.1</v>
      </c>
      <c r="I44" s="6">
        <v>0.10109979621246901</v>
      </c>
      <c r="J44" s="4">
        <v>0.10148289719693</v>
      </c>
      <c r="K44" s="16"/>
      <c r="L44">
        <v>1684.1</v>
      </c>
      <c r="M44">
        <v>0.187477</v>
      </c>
      <c r="N44">
        <v>0.187469</v>
      </c>
      <c r="P44">
        <v>1684.1</v>
      </c>
      <c r="Q44">
        <v>124704616.684672</v>
      </c>
      <c r="R44">
        <f t="shared" si="1"/>
        <v>1.2470461668467199</v>
      </c>
    </row>
    <row r="45" spans="1:34" x14ac:dyDescent="0.25">
      <c r="A45">
        <v>1676.3859600000001</v>
      </c>
      <c r="B45" s="10">
        <v>3.429E-12</v>
      </c>
      <c r="C45" s="10">
        <f t="shared" si="0"/>
        <v>6.0864750000000001E-13</v>
      </c>
      <c r="E45" s="1">
        <v>1684.15</v>
      </c>
      <c r="F45" s="4">
        <v>0.17629126000000001</v>
      </c>
      <c r="H45">
        <v>1683.15</v>
      </c>
      <c r="I45" s="6">
        <v>0.112607559163247</v>
      </c>
      <c r="J45" s="4">
        <v>0.11039382075968</v>
      </c>
      <c r="K45" s="16"/>
      <c r="L45">
        <v>1684.15</v>
      </c>
      <c r="M45">
        <v>0.18781400000000001</v>
      </c>
      <c r="N45">
        <v>0.18773799999999999</v>
      </c>
      <c r="P45">
        <v>1684.15</v>
      </c>
      <c r="Q45">
        <v>122600259.993201</v>
      </c>
      <c r="R45">
        <f t="shared" si="1"/>
        <v>1.2260025999320101</v>
      </c>
    </row>
    <row r="46" spans="1:34" x14ac:dyDescent="0.25">
      <c r="A46">
        <v>1676.4359899999999</v>
      </c>
      <c r="B46" s="10">
        <v>6.5760000000000003E-12</v>
      </c>
      <c r="C46" s="10">
        <f t="shared" si="0"/>
        <v>1.16724E-12</v>
      </c>
      <c r="E46" s="1">
        <v>1684.2</v>
      </c>
      <c r="F46" s="4">
        <v>0.17587838</v>
      </c>
      <c r="H46">
        <v>1683.2</v>
      </c>
      <c r="I46" s="6">
        <v>0.123265032895164</v>
      </c>
      <c r="J46" s="4">
        <v>0.118844644579958</v>
      </c>
      <c r="K46" s="16"/>
      <c r="L46">
        <v>1684.2</v>
      </c>
      <c r="M46">
        <v>0.187309</v>
      </c>
      <c r="N46">
        <v>0.187615</v>
      </c>
      <c r="P46">
        <v>1684.2</v>
      </c>
      <c r="Q46">
        <v>126585181.37108301</v>
      </c>
      <c r="R46">
        <f t="shared" si="1"/>
        <v>1.2658518137108301</v>
      </c>
    </row>
    <row r="47" spans="1:34" x14ac:dyDescent="0.25">
      <c r="A47">
        <v>1676.4860200000001</v>
      </c>
      <c r="B47" s="10">
        <v>1.246E-11</v>
      </c>
      <c r="C47" s="10">
        <f t="shared" si="0"/>
        <v>2.2116499999999998E-12</v>
      </c>
      <c r="E47" s="1">
        <v>1684.25</v>
      </c>
      <c r="F47" s="4">
        <v>0.17552669000000001</v>
      </c>
      <c r="H47">
        <v>1683.25</v>
      </c>
      <c r="I47" s="6">
        <v>0.132850396077176</v>
      </c>
      <c r="J47" s="4">
        <v>0.12674110581255199</v>
      </c>
      <c r="K47" s="16"/>
      <c r="L47">
        <v>1684.25</v>
      </c>
      <c r="M47">
        <v>0.187496</v>
      </c>
      <c r="N47">
        <v>0.18744</v>
      </c>
      <c r="P47">
        <v>1684.25</v>
      </c>
      <c r="Q47">
        <v>125976689.119681</v>
      </c>
      <c r="R47">
        <f t="shared" si="1"/>
        <v>1.2597668911968101</v>
      </c>
    </row>
    <row r="48" spans="1:34" x14ac:dyDescent="0.25">
      <c r="A48">
        <v>1676.5360499999999</v>
      </c>
      <c r="B48" s="10">
        <v>2.33E-11</v>
      </c>
      <c r="C48" s="10">
        <f t="shared" si="0"/>
        <v>4.1357499999999996E-12</v>
      </c>
      <c r="E48" s="1">
        <v>1684.3</v>
      </c>
      <c r="F48" s="4">
        <v>0.17519355</v>
      </c>
      <c r="H48">
        <v>1683.3</v>
      </c>
      <c r="I48" s="6">
        <v>0.14126223101270799</v>
      </c>
      <c r="J48" s="4">
        <v>0.13396953879801801</v>
      </c>
      <c r="K48" s="16"/>
      <c r="L48">
        <v>1684.3</v>
      </c>
      <c r="M48">
        <v>0.187166</v>
      </c>
      <c r="N48">
        <v>0.18710199999999999</v>
      </c>
      <c r="P48">
        <v>1684.3</v>
      </c>
      <c r="Q48">
        <v>124070160.362674</v>
      </c>
      <c r="R48">
        <f t="shared" si="1"/>
        <v>1.24070160362674</v>
      </c>
    </row>
    <row r="49" spans="1:18" x14ac:dyDescent="0.25">
      <c r="A49">
        <v>1676.58608</v>
      </c>
      <c r="B49" s="10">
        <v>4.3050000000000003E-11</v>
      </c>
      <c r="C49" s="10">
        <f t="shared" si="0"/>
        <v>7.6413749999999994E-12</v>
      </c>
      <c r="E49" s="1">
        <v>1684.35</v>
      </c>
      <c r="F49" s="4">
        <v>0.17493705000000001</v>
      </c>
      <c r="H49">
        <v>1683.35</v>
      </c>
      <c r="I49" s="6">
        <v>0.14850936588289501</v>
      </c>
      <c r="J49" s="4">
        <v>0.14046710356207101</v>
      </c>
      <c r="K49" s="16"/>
      <c r="L49">
        <v>1684.35</v>
      </c>
      <c r="M49">
        <v>0.18634600000000001</v>
      </c>
      <c r="N49">
        <v>0.18659899999999999</v>
      </c>
      <c r="P49">
        <v>1684.35</v>
      </c>
      <c r="Q49">
        <v>125761132.48400401</v>
      </c>
      <c r="R49">
        <f t="shared" si="1"/>
        <v>1.25761132484004</v>
      </c>
    </row>
    <row r="50" spans="1:18" x14ac:dyDescent="0.25">
      <c r="A50">
        <v>1676.6361099999999</v>
      </c>
      <c r="B50" s="10">
        <v>7.8559999999999998E-11</v>
      </c>
      <c r="C50" s="10">
        <f t="shared" si="0"/>
        <v>1.3944399999999999E-11</v>
      </c>
      <c r="E50" s="1">
        <v>1684.4</v>
      </c>
      <c r="F50" s="4">
        <v>0.17473833</v>
      </c>
      <c r="H50">
        <v>1683.4</v>
      </c>
      <c r="I50" s="6">
        <v>0.15466284404462899</v>
      </c>
      <c r="J50" s="4">
        <v>0.14623369540964401</v>
      </c>
      <c r="K50" s="16"/>
      <c r="L50">
        <v>1684.4</v>
      </c>
      <c r="M50">
        <v>0.18567900000000001</v>
      </c>
      <c r="N50">
        <v>0.18599099999999999</v>
      </c>
      <c r="P50">
        <v>1684.4</v>
      </c>
      <c r="Q50">
        <v>125202507.192055</v>
      </c>
      <c r="R50">
        <f t="shared" si="1"/>
        <v>1.2520250719205501</v>
      </c>
    </row>
    <row r="51" spans="1:18" x14ac:dyDescent="0.25">
      <c r="A51">
        <v>1676.68614</v>
      </c>
      <c r="B51" s="10">
        <v>1.4160000000000001E-10</v>
      </c>
      <c r="C51" s="10">
        <f t="shared" si="0"/>
        <v>2.5134E-11</v>
      </c>
      <c r="E51" s="1">
        <v>1684.45</v>
      </c>
      <c r="F51" s="4">
        <v>0.17453416999999999</v>
      </c>
      <c r="H51">
        <v>1683.45</v>
      </c>
      <c r="I51" s="6">
        <v>0.15982255330793299</v>
      </c>
      <c r="J51" s="4">
        <v>0.151302984436164</v>
      </c>
      <c r="K51" s="16"/>
      <c r="L51">
        <v>1684.45</v>
      </c>
      <c r="M51">
        <v>0.18517500000000001</v>
      </c>
      <c r="N51">
        <v>0.185389</v>
      </c>
      <c r="P51">
        <v>1684.45</v>
      </c>
      <c r="Q51">
        <v>122905549.961578</v>
      </c>
      <c r="R51">
        <f t="shared" si="1"/>
        <v>1.2290554996157799</v>
      </c>
    </row>
    <row r="52" spans="1:18" x14ac:dyDescent="0.25">
      <c r="A52">
        <v>1676.7361800000001</v>
      </c>
      <c r="B52" s="10">
        <v>2.5209999999999999E-10</v>
      </c>
      <c r="C52" s="10">
        <f t="shared" si="0"/>
        <v>4.4747749999999994E-11</v>
      </c>
      <c r="E52" s="1">
        <v>1684.5</v>
      </c>
      <c r="F52" s="4">
        <v>0.17441699999999999</v>
      </c>
      <c r="H52">
        <v>1683.5</v>
      </c>
      <c r="I52" s="6">
        <v>0.164098006194105</v>
      </c>
      <c r="J52" s="4">
        <v>0.155721864204556</v>
      </c>
      <c r="K52" s="16"/>
      <c r="L52">
        <v>1684.5</v>
      </c>
      <c r="M52">
        <v>0.18415500000000001</v>
      </c>
      <c r="N52">
        <v>0.184726</v>
      </c>
      <c r="P52">
        <v>1684.5</v>
      </c>
      <c r="Q52">
        <v>125520098.961193</v>
      </c>
      <c r="R52">
        <f t="shared" si="1"/>
        <v>1.2552009896119301</v>
      </c>
    </row>
    <row r="53" spans="1:18" x14ac:dyDescent="0.25">
      <c r="A53">
        <v>1676.78621</v>
      </c>
      <c r="B53" s="10">
        <v>4.4330000000000001E-10</v>
      </c>
      <c r="C53" s="10">
        <f t="shared" si="0"/>
        <v>7.8685750000000004E-11</v>
      </c>
      <c r="E53" s="1">
        <v>1684.55</v>
      </c>
      <c r="F53" s="4">
        <v>0.17426474</v>
      </c>
      <c r="H53">
        <v>1683.55</v>
      </c>
      <c r="I53" s="6">
        <v>0.16759879359117699</v>
      </c>
      <c r="J53" s="4">
        <v>0.15954272124254201</v>
      </c>
      <c r="K53" s="16"/>
      <c r="L53">
        <v>1684.55</v>
      </c>
      <c r="M53">
        <v>0.18374799999999999</v>
      </c>
      <c r="N53">
        <v>0.18406800000000001</v>
      </c>
      <c r="P53">
        <v>1684.55</v>
      </c>
      <c r="Q53">
        <v>128228344.306641</v>
      </c>
      <c r="R53">
        <f t="shared" si="1"/>
        <v>1.2822834430664101</v>
      </c>
    </row>
    <row r="54" spans="1:18" x14ac:dyDescent="0.25">
      <c r="A54">
        <v>1676.8362400000001</v>
      </c>
      <c r="B54" s="10">
        <v>7.7019999999999999E-10</v>
      </c>
      <c r="C54" s="10">
        <f t="shared" si="0"/>
        <v>1.3671049999999999E-10</v>
      </c>
      <c r="E54" s="1">
        <v>1684.6</v>
      </c>
      <c r="F54" s="4">
        <v>0.17417803000000001</v>
      </c>
      <c r="H54">
        <v>1683.6</v>
      </c>
      <c r="I54" s="6">
        <v>0.17042983533897499</v>
      </c>
      <c r="J54" s="4">
        <v>0.16281995778609501</v>
      </c>
      <c r="K54" s="16"/>
      <c r="L54">
        <v>1684.6</v>
      </c>
      <c r="M54">
        <v>0.183615</v>
      </c>
      <c r="N54">
        <v>0.183451</v>
      </c>
      <c r="P54">
        <v>1684.6</v>
      </c>
      <c r="Q54">
        <v>125880236.423007</v>
      </c>
      <c r="R54">
        <f t="shared" si="1"/>
        <v>1.2588023642300699</v>
      </c>
    </row>
    <row r="55" spans="1:18" x14ac:dyDescent="0.25">
      <c r="A55">
        <v>1676.88627</v>
      </c>
      <c r="B55" s="10">
        <v>1.322E-9</v>
      </c>
      <c r="C55" s="10">
        <f t="shared" si="0"/>
        <v>2.34655E-10</v>
      </c>
      <c r="E55" s="1">
        <v>1684.65</v>
      </c>
      <c r="F55" s="4">
        <v>0.17418742000000001</v>
      </c>
      <c r="H55">
        <v>1683.65</v>
      </c>
      <c r="I55" s="6">
        <v>0.17268870049683599</v>
      </c>
      <c r="J55" s="4">
        <v>0.165607960028785</v>
      </c>
      <c r="K55" s="16"/>
      <c r="L55">
        <v>1684.65</v>
      </c>
      <c r="M55">
        <v>0.18282899999999999</v>
      </c>
      <c r="N55">
        <v>0.18282999999999999</v>
      </c>
      <c r="P55">
        <v>1684.65</v>
      </c>
      <c r="Q55">
        <v>125807954.953063</v>
      </c>
      <c r="R55">
        <f t="shared" si="1"/>
        <v>1.2580795495306301</v>
      </c>
    </row>
    <row r="56" spans="1:18" x14ac:dyDescent="0.25">
      <c r="A56">
        <v>1676.9363000000001</v>
      </c>
      <c r="B56" s="10">
        <v>2.2400000000000001E-9</v>
      </c>
      <c r="C56" s="10">
        <f t="shared" si="0"/>
        <v>3.976E-10</v>
      </c>
      <c r="E56" s="1">
        <v>1684.7</v>
      </c>
      <c r="F56" s="4">
        <v>0.17412730000000001</v>
      </c>
      <c r="H56">
        <v>1683.7</v>
      </c>
      <c r="I56" s="6">
        <v>0.17446384626647299</v>
      </c>
      <c r="J56" s="4">
        <v>0.1679598102015</v>
      </c>
      <c r="K56" s="16"/>
      <c r="L56">
        <v>1684.7</v>
      </c>
      <c r="M56">
        <v>0.181585</v>
      </c>
      <c r="N56">
        <v>0.182251</v>
      </c>
      <c r="P56">
        <v>1684.7</v>
      </c>
      <c r="Q56">
        <v>126458177.075161</v>
      </c>
      <c r="R56">
        <f t="shared" si="1"/>
        <v>1.26458177075161</v>
      </c>
    </row>
    <row r="57" spans="1:18" x14ac:dyDescent="0.25">
      <c r="A57">
        <v>1676.98633</v>
      </c>
      <c r="B57" s="10">
        <v>3.7520000000000003E-9</v>
      </c>
      <c r="C57" s="10">
        <f t="shared" si="0"/>
        <v>6.6598000000000001E-10</v>
      </c>
      <c r="E57" s="1">
        <v>1684.75</v>
      </c>
      <c r="F57" s="4">
        <v>0.17415041000000001</v>
      </c>
      <c r="H57">
        <v>1683.75</v>
      </c>
      <c r="I57" s="6">
        <v>0.17583455481070001</v>
      </c>
      <c r="J57" s="4">
        <v>0.16992615813746001</v>
      </c>
      <c r="K57" s="16"/>
      <c r="L57">
        <v>1684.75</v>
      </c>
      <c r="M57">
        <v>0.180616</v>
      </c>
      <c r="N57">
        <v>0.18164</v>
      </c>
      <c r="P57">
        <v>1684.75</v>
      </c>
      <c r="Q57">
        <v>126027050.677058</v>
      </c>
      <c r="R57">
        <f t="shared" si="1"/>
        <v>1.2602705067705799</v>
      </c>
    </row>
    <row r="58" spans="1:18" x14ac:dyDescent="0.25">
      <c r="A58">
        <v>1677.0363600000001</v>
      </c>
      <c r="B58" s="10">
        <v>6.2080000000000001E-9</v>
      </c>
      <c r="C58" s="10">
        <f t="shared" si="0"/>
        <v>1.1019200000000001E-9</v>
      </c>
      <c r="E58" s="1">
        <v>1684.8</v>
      </c>
      <c r="F58" s="4">
        <v>0.17410444999999999</v>
      </c>
      <c r="H58">
        <v>1683.8</v>
      </c>
      <c r="I58" s="6">
        <v>0.176870381470286</v>
      </c>
      <c r="J58" s="4">
        <v>0.17155457730141699</v>
      </c>
      <c r="K58" s="16"/>
      <c r="L58">
        <v>1684.8</v>
      </c>
      <c r="M58">
        <v>0.18010699999999999</v>
      </c>
      <c r="N58">
        <v>0.181199</v>
      </c>
      <c r="P58">
        <v>1684.8</v>
      </c>
      <c r="Q58">
        <v>125912500.748556</v>
      </c>
      <c r="R58">
        <f t="shared" si="1"/>
        <v>1.25912500748556</v>
      </c>
    </row>
    <row r="59" spans="1:18" x14ac:dyDescent="0.25">
      <c r="A59">
        <v>1677.0863999999999</v>
      </c>
      <c r="B59" s="10">
        <v>1.015E-8</v>
      </c>
      <c r="C59" s="10">
        <f t="shared" si="0"/>
        <v>1.801625E-9</v>
      </c>
      <c r="E59" s="1">
        <v>1684.85</v>
      </c>
      <c r="F59" s="4">
        <v>0.17410967999999999</v>
      </c>
      <c r="H59">
        <v>1683.85</v>
      </c>
      <c r="I59" s="6">
        <v>0.177632109559305</v>
      </c>
      <c r="J59" s="4">
        <v>0.172889280065775</v>
      </c>
      <c r="K59" s="16"/>
      <c r="L59">
        <v>1684.85</v>
      </c>
      <c r="M59">
        <v>0.179919</v>
      </c>
      <c r="N59">
        <v>0.180751</v>
      </c>
      <c r="P59">
        <v>1684.85</v>
      </c>
      <c r="Q59">
        <v>127733693.373347</v>
      </c>
      <c r="R59">
        <f t="shared" si="1"/>
        <v>1.2773369337334699</v>
      </c>
    </row>
    <row r="60" spans="1:18" x14ac:dyDescent="0.25">
      <c r="A60">
        <v>1677.13643</v>
      </c>
      <c r="B60" s="10">
        <v>1.639E-8</v>
      </c>
      <c r="C60" s="10">
        <f t="shared" si="0"/>
        <v>2.9092249999999999E-9</v>
      </c>
      <c r="E60" s="1">
        <v>1684.9</v>
      </c>
      <c r="F60" s="4">
        <v>0.17416243000000001</v>
      </c>
      <c r="H60">
        <v>1683.9</v>
      </c>
      <c r="I60" s="6">
        <v>0.178171669261323</v>
      </c>
      <c r="J60" s="4">
        <v>0.17397077784585299</v>
      </c>
      <c r="K60" s="16"/>
      <c r="L60">
        <v>1684.9</v>
      </c>
      <c r="M60">
        <v>0.17963899999999999</v>
      </c>
      <c r="N60">
        <v>0.18029700000000001</v>
      </c>
      <c r="P60">
        <v>1684.9</v>
      </c>
      <c r="Q60">
        <v>127819583.049307</v>
      </c>
      <c r="R60">
        <f t="shared" si="1"/>
        <v>1.2781958304930701</v>
      </c>
    </row>
    <row r="61" spans="1:18" x14ac:dyDescent="0.25">
      <c r="A61">
        <v>1677.1864599999999</v>
      </c>
      <c r="B61" s="10">
        <v>2.6160000000000001E-8</v>
      </c>
      <c r="C61" s="10">
        <f t="shared" si="0"/>
        <v>4.6433999999999999E-9</v>
      </c>
      <c r="E61" s="1">
        <v>1684.95</v>
      </c>
      <c r="F61" s="4">
        <v>0.17417161</v>
      </c>
      <c r="H61">
        <v>1683.95</v>
      </c>
      <c r="I61" s="6">
        <v>0.178533494736903</v>
      </c>
      <c r="J61" s="4">
        <v>0.174835729798966</v>
      </c>
      <c r="K61" s="16"/>
      <c r="L61">
        <v>1684.95</v>
      </c>
      <c r="M61">
        <v>0.17936099999999999</v>
      </c>
      <c r="N61">
        <v>0.17985799999999999</v>
      </c>
      <c r="P61">
        <v>1684.95</v>
      </c>
      <c r="Q61">
        <v>127911041.14664499</v>
      </c>
      <c r="R61">
        <f t="shared" si="1"/>
        <v>1.27911041146645</v>
      </c>
    </row>
    <row r="62" spans="1:18" x14ac:dyDescent="0.25">
      <c r="A62">
        <v>1677.23649</v>
      </c>
      <c r="B62" s="10">
        <v>4.1250000000000002E-8</v>
      </c>
      <c r="C62" s="10">
        <f t="shared" si="0"/>
        <v>7.321875E-9</v>
      </c>
      <c r="E62" s="1">
        <v>1685</v>
      </c>
      <c r="F62" s="4">
        <v>0.17417605</v>
      </c>
      <c r="H62">
        <v>1684</v>
      </c>
      <c r="I62" s="6">
        <v>0.17875495401484001</v>
      </c>
      <c r="J62" s="4">
        <v>0.17551705291976599</v>
      </c>
      <c r="K62" s="16"/>
      <c r="L62">
        <v>1685</v>
      </c>
      <c r="M62">
        <v>0.17826</v>
      </c>
      <c r="N62">
        <v>0.179591</v>
      </c>
      <c r="P62">
        <v>1685</v>
      </c>
      <c r="Q62">
        <v>127548362.47566</v>
      </c>
      <c r="R62">
        <f t="shared" si="1"/>
        <v>1.2754836247565999</v>
      </c>
    </row>
    <row r="63" spans="1:18" x14ac:dyDescent="0.25">
      <c r="A63">
        <v>1677.2865200000001</v>
      </c>
      <c r="B63" s="10">
        <v>6.4290000000000002E-8</v>
      </c>
      <c r="C63" s="10">
        <f t="shared" si="0"/>
        <v>1.1411475E-8</v>
      </c>
      <c r="E63" s="1">
        <v>1685.05</v>
      </c>
      <c r="F63" s="4">
        <v>0.1742108</v>
      </c>
      <c r="H63">
        <v>1684.05</v>
      </c>
      <c r="I63" s="6">
        <v>0.178867088806105</v>
      </c>
      <c r="J63" s="4">
        <v>0.176044024880809</v>
      </c>
      <c r="K63" s="16"/>
      <c r="L63">
        <v>1685.05</v>
      </c>
      <c r="M63">
        <v>0.17746700000000001</v>
      </c>
      <c r="N63">
        <v>0.17922399999999999</v>
      </c>
      <c r="P63">
        <v>1685.05</v>
      </c>
      <c r="Q63">
        <v>126717318.071917</v>
      </c>
      <c r="R63">
        <f t="shared" si="1"/>
        <v>1.26717318071917</v>
      </c>
    </row>
    <row r="64" spans="1:18" x14ac:dyDescent="0.25">
      <c r="A64">
        <v>1677.33655</v>
      </c>
      <c r="B64" s="10">
        <v>9.9009999999999998E-8</v>
      </c>
      <c r="C64" s="10">
        <f t="shared" si="0"/>
        <v>1.7574274999999997E-8</v>
      </c>
      <c r="E64" s="1">
        <v>1685.1</v>
      </c>
      <c r="F64" s="4">
        <v>0.1742484</v>
      </c>
      <c r="H64">
        <v>1684.1</v>
      </c>
      <c r="I64" s="6">
        <v>0.178895465128385</v>
      </c>
      <c r="J64" s="4">
        <v>0.17644240339195699</v>
      </c>
      <c r="K64" s="16"/>
      <c r="L64">
        <v>1685.1</v>
      </c>
      <c r="M64">
        <v>0.17700399999999999</v>
      </c>
      <c r="N64">
        <v>0.17904600000000001</v>
      </c>
      <c r="P64">
        <v>1685.1</v>
      </c>
      <c r="Q64">
        <v>126842799.123262</v>
      </c>
      <c r="R64">
        <f t="shared" si="1"/>
        <v>1.26842799123262</v>
      </c>
    </row>
    <row r="65" spans="1:18" x14ac:dyDescent="0.25">
      <c r="A65">
        <v>1677.3865900000001</v>
      </c>
      <c r="B65" s="10">
        <v>1.5069999999999999E-7</v>
      </c>
      <c r="C65" s="10">
        <f t="shared" si="0"/>
        <v>2.6749249999999997E-8</v>
      </c>
      <c r="E65" s="1">
        <v>1685.15</v>
      </c>
      <c r="F65" s="4">
        <v>0.17428927</v>
      </c>
      <c r="H65">
        <v>1684.15</v>
      </c>
      <c r="I65" s="6">
        <v>0.17886103084416699</v>
      </c>
      <c r="J65" s="4">
        <v>0.17673465796589</v>
      </c>
      <c r="K65" s="16"/>
      <c r="L65">
        <v>1685.15</v>
      </c>
      <c r="M65">
        <v>0.17719799999999999</v>
      </c>
      <c r="N65">
        <v>0.178783</v>
      </c>
      <c r="P65">
        <v>1685.15</v>
      </c>
      <c r="Q65">
        <v>124470747.410221</v>
      </c>
      <c r="R65">
        <f t="shared" si="1"/>
        <v>1.2447074741022099</v>
      </c>
    </row>
    <row r="66" spans="1:18" x14ac:dyDescent="0.25">
      <c r="A66">
        <v>1677.4366199999999</v>
      </c>
      <c r="B66" s="10">
        <v>2.2670000000000001E-7</v>
      </c>
      <c r="C66" s="10">
        <f t="shared" si="0"/>
        <v>4.0239250000000001E-8</v>
      </c>
      <c r="E66" s="1">
        <v>1685.2</v>
      </c>
      <c r="F66" s="4">
        <v>0.17431190999999999</v>
      </c>
      <c r="H66">
        <v>1684.2</v>
      </c>
      <c r="I66" s="6">
        <v>0.178780575989792</v>
      </c>
      <c r="J66" s="4">
        <v>0.176940194210847</v>
      </c>
      <c r="K66" s="16"/>
      <c r="L66">
        <v>1685.2</v>
      </c>
      <c r="M66">
        <v>0.176956</v>
      </c>
      <c r="N66">
        <v>0.17866799999999999</v>
      </c>
      <c r="P66">
        <v>1685.2</v>
      </c>
      <c r="Q66">
        <v>127315232.356125</v>
      </c>
      <c r="R66">
        <f t="shared" si="1"/>
        <v>1.2731523235612501</v>
      </c>
    </row>
    <row r="67" spans="1:18" x14ac:dyDescent="0.25">
      <c r="A67">
        <v>1677.4866500000001</v>
      </c>
      <c r="B67" s="10">
        <v>3.3710000000000002E-7</v>
      </c>
      <c r="C67" s="10">
        <f t="shared" ref="C67:C130" si="2">B67*0.1775</f>
        <v>5.983525E-8</v>
      </c>
      <c r="E67" s="1">
        <v>1685.25</v>
      </c>
      <c r="F67" s="4">
        <v>0.17434031</v>
      </c>
      <c r="H67">
        <v>1684.25</v>
      </c>
      <c r="I67" s="6">
        <v>0.17866737980617001</v>
      </c>
      <c r="J67" s="4">
        <v>0.17707561515282599</v>
      </c>
      <c r="K67" s="16"/>
      <c r="L67">
        <v>1685.25</v>
      </c>
      <c r="M67">
        <v>0.175762</v>
      </c>
      <c r="N67">
        <v>0.17855699999999999</v>
      </c>
      <c r="P67">
        <v>1685.25</v>
      </c>
      <c r="Q67">
        <v>126970142.693808</v>
      </c>
      <c r="R67">
        <f t="shared" ref="R67:R121" si="3">Q67/100000000</f>
        <v>1.26970142693808</v>
      </c>
    </row>
    <row r="68" spans="1:18" x14ac:dyDescent="0.25">
      <c r="A68">
        <v>1677.5366799999999</v>
      </c>
      <c r="B68" s="10">
        <v>4.9559999999999996E-7</v>
      </c>
      <c r="C68" s="10">
        <f t="shared" si="2"/>
        <v>8.7968999999999985E-8</v>
      </c>
      <c r="E68" s="1">
        <v>1685.3</v>
      </c>
      <c r="F68" s="4">
        <v>0.17438139</v>
      </c>
      <c r="H68">
        <v>1684.3</v>
      </c>
      <c r="I68" s="6">
        <v>0.178531951444689</v>
      </c>
      <c r="J68" s="4">
        <v>0.17715500321594299</v>
      </c>
      <c r="K68" s="16"/>
      <c r="L68">
        <v>1685.3</v>
      </c>
      <c r="M68">
        <v>0.175175</v>
      </c>
      <c r="N68">
        <v>0.17834800000000001</v>
      </c>
      <c r="P68">
        <v>1685.3</v>
      </c>
      <c r="Q68">
        <v>127511853.527775</v>
      </c>
      <c r="R68">
        <f t="shared" si="3"/>
        <v>1.2751185352777501</v>
      </c>
    </row>
    <row r="69" spans="1:18" x14ac:dyDescent="0.25">
      <c r="A69">
        <v>1677.58671</v>
      </c>
      <c r="B69" s="10">
        <v>7.202E-7</v>
      </c>
      <c r="C69" s="10">
        <f t="shared" si="2"/>
        <v>1.2783549999999999E-7</v>
      </c>
      <c r="E69" s="1">
        <v>1685.35</v>
      </c>
      <c r="F69" s="4">
        <v>0.17442439000000001</v>
      </c>
      <c r="H69">
        <v>1684.35</v>
      </c>
      <c r="I69" s="6">
        <v>0.17838239697623701</v>
      </c>
      <c r="J69" s="4">
        <v>0.17719019163165101</v>
      </c>
      <c r="K69" s="16"/>
      <c r="L69">
        <v>1685.35</v>
      </c>
      <c r="M69">
        <v>0.175428</v>
      </c>
      <c r="N69">
        <v>0.178288</v>
      </c>
      <c r="P69">
        <v>1685.35</v>
      </c>
      <c r="Q69">
        <v>129368912.79928499</v>
      </c>
      <c r="R69">
        <f t="shared" si="3"/>
        <v>1.29368912799285</v>
      </c>
    </row>
    <row r="70" spans="1:18" x14ac:dyDescent="0.25">
      <c r="A70">
        <v>1677.6367399999999</v>
      </c>
      <c r="B70" s="10">
        <v>1.035E-6</v>
      </c>
      <c r="C70" s="10">
        <f t="shared" si="2"/>
        <v>1.8371250000000001E-7</v>
      </c>
      <c r="E70" s="1">
        <v>1685.4</v>
      </c>
      <c r="F70" s="4">
        <v>0.17444836999999999</v>
      </c>
      <c r="H70">
        <v>1684.4</v>
      </c>
      <c r="I70" s="6">
        <v>0.178224941707916</v>
      </c>
      <c r="J70" s="4">
        <v>0.177191033897109</v>
      </c>
      <c r="K70" s="16"/>
      <c r="L70">
        <v>1685.4</v>
      </c>
      <c r="M70">
        <v>0.17626900000000001</v>
      </c>
      <c r="N70">
        <v>0.17824100000000001</v>
      </c>
      <c r="P70">
        <v>1685.4</v>
      </c>
      <c r="Q70">
        <v>126559236.687774</v>
      </c>
      <c r="R70">
        <f t="shared" si="3"/>
        <v>1.26559236687774</v>
      </c>
    </row>
    <row r="71" spans="1:18" x14ac:dyDescent="0.25">
      <c r="A71">
        <v>1677.68677</v>
      </c>
      <c r="B71" s="10">
        <v>1.4699999999999999E-6</v>
      </c>
      <c r="C71" s="10">
        <f t="shared" si="2"/>
        <v>2.6092499999999996E-7</v>
      </c>
      <c r="E71" s="1">
        <v>1685.45</v>
      </c>
      <c r="F71" s="4">
        <v>0.17449586</v>
      </c>
      <c r="H71">
        <v>1684.45</v>
      </c>
      <c r="I71" s="6">
        <v>0.178064219523316</v>
      </c>
      <c r="J71" s="4">
        <v>0.17716564872405199</v>
      </c>
      <c r="K71" s="16"/>
      <c r="L71">
        <v>1685.45</v>
      </c>
      <c r="M71">
        <v>0.175287</v>
      </c>
      <c r="N71">
        <v>0.17827000000000001</v>
      </c>
      <c r="P71">
        <v>1685.45</v>
      </c>
      <c r="Q71">
        <v>127324302.05807599</v>
      </c>
      <c r="R71">
        <f t="shared" si="3"/>
        <v>1.2732430205807599</v>
      </c>
    </row>
    <row r="72" spans="1:18" x14ac:dyDescent="0.25">
      <c r="A72">
        <v>1677.7368100000001</v>
      </c>
      <c r="B72" s="10">
        <v>2.0650000000000001E-6</v>
      </c>
      <c r="C72" s="10">
        <f t="shared" si="2"/>
        <v>3.6653749999999998E-7</v>
      </c>
      <c r="E72" s="1">
        <v>1685.5</v>
      </c>
      <c r="F72" s="4">
        <v>0.17452546999999999</v>
      </c>
      <c r="H72">
        <v>1684.5</v>
      </c>
      <c r="I72" s="6">
        <v>0.17790365022736801</v>
      </c>
      <c r="J72" s="4">
        <v>0.17712066605799501</v>
      </c>
      <c r="K72" s="16"/>
      <c r="L72">
        <v>1685.5</v>
      </c>
      <c r="M72">
        <v>0.17397799999999999</v>
      </c>
      <c r="N72">
        <v>0.178313</v>
      </c>
      <c r="P72">
        <v>1685.5</v>
      </c>
      <c r="Q72">
        <v>127162931.13009299</v>
      </c>
      <c r="R72">
        <f t="shared" si="3"/>
        <v>1.27162931130093</v>
      </c>
    </row>
    <row r="73" spans="1:18" x14ac:dyDescent="0.25">
      <c r="A73">
        <v>1677.78684</v>
      </c>
      <c r="B73" s="10">
        <v>2.869E-6</v>
      </c>
      <c r="C73" s="10">
        <f t="shared" si="2"/>
        <v>5.0924749999999997E-7</v>
      </c>
      <c r="E73" s="1">
        <v>1685.55</v>
      </c>
      <c r="F73" s="4">
        <v>0.17454185999999999</v>
      </c>
      <c r="H73">
        <v>1684.55</v>
      </c>
      <c r="I73" s="6">
        <v>0.17774568862849399</v>
      </c>
      <c r="J73" s="4">
        <v>0.177061446919166</v>
      </c>
      <c r="K73" s="16"/>
      <c r="L73">
        <v>1685.55</v>
      </c>
      <c r="M73">
        <v>0.174233</v>
      </c>
      <c r="N73">
        <v>0.178263</v>
      </c>
      <c r="P73">
        <v>1685.55</v>
      </c>
      <c r="Q73">
        <v>126360379.842079</v>
      </c>
      <c r="R73">
        <f t="shared" si="3"/>
        <v>1.26360379842079</v>
      </c>
    </row>
    <row r="74" spans="1:18" x14ac:dyDescent="0.25">
      <c r="A74">
        <v>1677.8368700000001</v>
      </c>
      <c r="B74" s="10">
        <v>3.941E-6</v>
      </c>
      <c r="C74" s="10">
        <f t="shared" si="2"/>
        <v>6.9952749999999995E-7</v>
      </c>
      <c r="E74" s="1">
        <v>1685.6</v>
      </c>
      <c r="F74" s="4">
        <v>0.17458604</v>
      </c>
      <c r="H74">
        <v>1684.6</v>
      </c>
      <c r="I74" s="6">
        <v>0.177592036802246</v>
      </c>
      <c r="J74" s="4">
        <v>0.17699226917909</v>
      </c>
      <c r="K74" s="16"/>
      <c r="L74">
        <v>1685.6</v>
      </c>
      <c r="M74">
        <v>0.17519100000000001</v>
      </c>
      <c r="N74">
        <v>0.178318</v>
      </c>
      <c r="P74">
        <v>1685.6</v>
      </c>
      <c r="Q74">
        <v>126704118.16803201</v>
      </c>
      <c r="R74">
        <f t="shared" si="3"/>
        <v>1.26704118168032</v>
      </c>
    </row>
    <row r="75" spans="1:18" x14ac:dyDescent="0.25">
      <c r="A75">
        <v>1677.8869</v>
      </c>
      <c r="B75" s="10">
        <v>5.3569999999999997E-6</v>
      </c>
      <c r="C75" s="10">
        <f t="shared" si="2"/>
        <v>9.5086749999999992E-7</v>
      </c>
      <c r="E75" s="1">
        <v>1685.65</v>
      </c>
      <c r="F75" s="4">
        <v>0.17460084000000001</v>
      </c>
      <c r="H75">
        <v>1684.65</v>
      </c>
      <c r="I75" s="6">
        <v>0.17744382889052299</v>
      </c>
      <c r="J75" s="4">
        <v>0.176916509317361</v>
      </c>
      <c r="K75" s="16"/>
      <c r="L75">
        <v>1685.65</v>
      </c>
      <c r="M75">
        <v>0.17419899999999999</v>
      </c>
      <c r="N75">
        <v>0.178374</v>
      </c>
      <c r="P75">
        <v>1685.65</v>
      </c>
      <c r="Q75">
        <v>128109918.459334</v>
      </c>
      <c r="R75">
        <f t="shared" si="3"/>
        <v>1.2810991845933399</v>
      </c>
    </row>
    <row r="76" spans="1:18" x14ac:dyDescent="0.25">
      <c r="A76">
        <v>1677.9369300000001</v>
      </c>
      <c r="B76" s="10">
        <v>7.2030000000000003E-6</v>
      </c>
      <c r="C76" s="10">
        <f t="shared" si="2"/>
        <v>1.2785325000000001E-6</v>
      </c>
      <c r="E76" s="1">
        <v>1685.7</v>
      </c>
      <c r="F76" s="4">
        <v>0.17462697999999999</v>
      </c>
      <c r="H76">
        <v>1684.7</v>
      </c>
      <c r="I76" s="6">
        <v>0.17730177769497099</v>
      </c>
      <c r="J76" s="4">
        <v>0.17683681589907499</v>
      </c>
      <c r="K76" s="16"/>
      <c r="L76">
        <v>1685.7</v>
      </c>
      <c r="M76">
        <v>0.173183</v>
      </c>
      <c r="N76">
        <v>0.17832200000000001</v>
      </c>
      <c r="P76">
        <v>1685.7</v>
      </c>
      <c r="Q76">
        <v>127661825.74826001</v>
      </c>
      <c r="R76">
        <f t="shared" si="3"/>
        <v>1.2766182574826002</v>
      </c>
    </row>
    <row r="77" spans="1:18" x14ac:dyDescent="0.25">
      <c r="A77">
        <v>1677.98696</v>
      </c>
      <c r="B77" s="10">
        <v>9.5820000000000008E-6</v>
      </c>
      <c r="C77" s="10">
        <f t="shared" si="2"/>
        <v>1.700805E-6</v>
      </c>
      <c r="E77" s="1">
        <v>1685.75</v>
      </c>
      <c r="F77" s="4">
        <v>0.17464880999999999</v>
      </c>
      <c r="H77">
        <v>1684.75</v>
      </c>
      <c r="I77" s="6">
        <v>0.17716628851817001</v>
      </c>
      <c r="J77" s="4">
        <v>0.17675522296249699</v>
      </c>
      <c r="K77" s="16"/>
      <c r="L77">
        <v>1685.75</v>
      </c>
      <c r="M77">
        <v>0.17410800000000001</v>
      </c>
      <c r="N77">
        <v>0.17863699999999999</v>
      </c>
      <c r="P77">
        <v>1685.75</v>
      </c>
      <c r="Q77">
        <v>127174028.698524</v>
      </c>
      <c r="R77">
        <f t="shared" si="3"/>
        <v>1.2717402869852399</v>
      </c>
    </row>
    <row r="78" spans="1:18" x14ac:dyDescent="0.25">
      <c r="A78">
        <v>1678.0369900000001</v>
      </c>
      <c r="B78" s="10">
        <v>1.261E-5</v>
      </c>
      <c r="C78" s="10">
        <f t="shared" si="2"/>
        <v>2.2382749999999998E-6</v>
      </c>
      <c r="E78" s="1">
        <v>1685.8</v>
      </c>
      <c r="F78" s="4">
        <v>0.17467329000000001</v>
      </c>
      <c r="H78">
        <v>1684.8</v>
      </c>
      <c r="I78" s="6">
        <v>0.17703752155482699</v>
      </c>
      <c r="J78" s="4">
        <v>0.17667328844623401</v>
      </c>
      <c r="K78" s="16"/>
      <c r="L78">
        <v>1685.8</v>
      </c>
      <c r="M78">
        <v>0.17452699999999999</v>
      </c>
      <c r="N78">
        <v>0.178456</v>
      </c>
      <c r="P78">
        <v>1685.8</v>
      </c>
      <c r="Q78">
        <v>126958776.430195</v>
      </c>
      <c r="R78">
        <f t="shared" si="3"/>
        <v>1.26958776430195</v>
      </c>
    </row>
    <row r="79" spans="1:18" x14ac:dyDescent="0.25">
      <c r="A79">
        <v>1678.0870299999999</v>
      </c>
      <c r="B79" s="10">
        <v>1.643E-5</v>
      </c>
      <c r="C79" s="10">
        <f t="shared" si="2"/>
        <v>2.916325E-6</v>
      </c>
      <c r="E79" s="1">
        <v>1685.85</v>
      </c>
      <c r="F79" s="4">
        <v>0.17470911</v>
      </c>
      <c r="H79">
        <v>1684.85</v>
      </c>
      <c r="I79" s="6">
        <v>0.17691548432097201</v>
      </c>
      <c r="J79" s="4">
        <v>0.17659217226528101</v>
      </c>
      <c r="K79" s="16"/>
      <c r="L79">
        <v>1685.85</v>
      </c>
      <c r="M79">
        <v>0.17333999999999999</v>
      </c>
      <c r="N79">
        <v>0.17860200000000001</v>
      </c>
      <c r="P79">
        <v>1685.85</v>
      </c>
      <c r="Q79">
        <v>125546558.016057</v>
      </c>
      <c r="R79">
        <f t="shared" si="3"/>
        <v>1.2554655801605701</v>
      </c>
    </row>
    <row r="80" spans="1:18" x14ac:dyDescent="0.25">
      <c r="A80">
        <v>1678.13706</v>
      </c>
      <c r="B80" s="10">
        <v>2.1189999999999999E-5</v>
      </c>
      <c r="C80" s="10">
        <f t="shared" si="2"/>
        <v>3.7612249999999997E-6</v>
      </c>
      <c r="E80" s="1">
        <v>1685.9</v>
      </c>
      <c r="F80" s="4">
        <v>0.17472373999999999</v>
      </c>
      <c r="H80">
        <v>1684.9</v>
      </c>
      <c r="I80" s="6">
        <v>0.17680008111265599</v>
      </c>
      <c r="J80" s="4">
        <v>0.17651271910571001</v>
      </c>
      <c r="K80" s="16"/>
      <c r="L80">
        <v>1685.9</v>
      </c>
      <c r="M80">
        <v>0.17299400000000001</v>
      </c>
      <c r="N80">
        <v>0.17875099999999999</v>
      </c>
      <c r="P80">
        <v>1685.9</v>
      </c>
      <c r="Q80">
        <v>127253908.59079801</v>
      </c>
      <c r="R80">
        <f t="shared" si="3"/>
        <v>1.2725390859079801</v>
      </c>
    </row>
    <row r="81" spans="1:18" x14ac:dyDescent="0.25">
      <c r="A81">
        <v>1678.1870899999999</v>
      </c>
      <c r="B81" s="10">
        <v>2.705E-5</v>
      </c>
      <c r="C81" s="10">
        <f t="shared" si="2"/>
        <v>4.8013749999999994E-6</v>
      </c>
      <c r="E81" s="1">
        <v>1685.95</v>
      </c>
      <c r="F81" s="4">
        <v>0.17474824</v>
      </c>
      <c r="H81">
        <v>1684.95</v>
      </c>
      <c r="I81" s="6">
        <v>0.17669113286820701</v>
      </c>
      <c r="J81" s="4">
        <v>0.17643551915327901</v>
      </c>
      <c r="K81" s="16"/>
      <c r="L81">
        <v>1685.95</v>
      </c>
      <c r="M81">
        <v>0.174928</v>
      </c>
      <c r="N81">
        <v>0.178871</v>
      </c>
      <c r="P81">
        <v>1685.95</v>
      </c>
      <c r="Q81">
        <v>127727986.509352</v>
      </c>
      <c r="R81">
        <f t="shared" si="3"/>
        <v>1.27727986509352</v>
      </c>
    </row>
    <row r="82" spans="1:18" x14ac:dyDescent="0.25">
      <c r="A82">
        <v>1678.23712</v>
      </c>
      <c r="B82" s="10">
        <v>3.4190000000000003E-5</v>
      </c>
      <c r="C82" s="10">
        <f t="shared" si="2"/>
        <v>6.0687250000000001E-6</v>
      </c>
      <c r="E82" s="1">
        <v>1686</v>
      </c>
      <c r="F82" s="4">
        <v>0.17475961000000001</v>
      </c>
      <c r="H82">
        <v>1685</v>
      </c>
      <c r="I82" s="6">
        <v>0.176588424540435</v>
      </c>
      <c r="J82" s="4">
        <v>0.17636097034663301</v>
      </c>
      <c r="K82" s="16"/>
      <c r="L82">
        <v>1686</v>
      </c>
      <c r="M82">
        <v>0.174013</v>
      </c>
      <c r="N82">
        <v>0.17886199999999999</v>
      </c>
      <c r="P82">
        <v>1686</v>
      </c>
      <c r="Q82">
        <v>126335797.570682</v>
      </c>
      <c r="R82">
        <f t="shared" si="3"/>
        <v>1.2633579757068201</v>
      </c>
    </row>
    <row r="83" spans="1:18" x14ac:dyDescent="0.25">
      <c r="A83">
        <v>1678.2871500000001</v>
      </c>
      <c r="B83" s="10">
        <v>4.2809999999999998E-5</v>
      </c>
      <c r="C83" s="10">
        <f t="shared" si="2"/>
        <v>7.5987749999999991E-6</v>
      </c>
      <c r="E83" s="1">
        <v>1686.05</v>
      </c>
      <c r="F83" s="4">
        <v>0.17476837000000001</v>
      </c>
      <c r="H83">
        <v>1685.05</v>
      </c>
      <c r="I83" s="6">
        <v>0.17649169419129801</v>
      </c>
      <c r="J83" s="4">
        <v>0.17628933918696599</v>
      </c>
      <c r="K83" s="16"/>
      <c r="L83">
        <v>1686.05</v>
      </c>
      <c r="M83">
        <v>0.17305599999999999</v>
      </c>
      <c r="N83">
        <v>0.178898</v>
      </c>
      <c r="P83">
        <v>1686.05</v>
      </c>
      <c r="Q83">
        <v>127151614.613637</v>
      </c>
      <c r="R83">
        <f t="shared" si="3"/>
        <v>1.27151614613637</v>
      </c>
    </row>
    <row r="84" spans="1:18" x14ac:dyDescent="0.25">
      <c r="A84">
        <v>1678.33718</v>
      </c>
      <c r="B84" s="10">
        <v>5.308E-5</v>
      </c>
      <c r="C84" s="10">
        <f t="shared" si="2"/>
        <v>9.4216999999999999E-6</v>
      </c>
      <c r="E84" s="1">
        <v>1686.1</v>
      </c>
      <c r="F84" s="4">
        <v>0.17479033999999999</v>
      </c>
      <c r="H84">
        <v>1685.1</v>
      </c>
      <c r="I84" s="6">
        <v>0.176400659315846</v>
      </c>
      <c r="J84" s="4">
        <v>0.17622078839608099</v>
      </c>
      <c r="K84" s="16"/>
      <c r="L84">
        <v>1686.1</v>
      </c>
      <c r="M84">
        <v>0.17425599999999999</v>
      </c>
      <c r="N84">
        <v>0.17893300000000001</v>
      </c>
      <c r="P84">
        <v>1686.1</v>
      </c>
      <c r="Q84">
        <v>128303818.498969</v>
      </c>
      <c r="R84">
        <f t="shared" si="3"/>
        <v>1.2830381849896901</v>
      </c>
    </row>
    <row r="85" spans="1:18" x14ac:dyDescent="0.25">
      <c r="A85">
        <v>1678.3872100000001</v>
      </c>
      <c r="B85" s="10">
        <v>6.5199999999999999E-5</v>
      </c>
      <c r="C85" s="10">
        <f t="shared" si="2"/>
        <v>1.1572999999999999E-5</v>
      </c>
      <c r="E85" s="1">
        <v>1686.15</v>
      </c>
      <c r="F85" s="4">
        <v>0.17480856</v>
      </c>
      <c r="H85">
        <v>1685.15</v>
      </c>
      <c r="I85" s="6">
        <v>0.176315033139026</v>
      </c>
      <c r="J85" s="4">
        <v>0.17615538759115801</v>
      </c>
      <c r="K85" s="16"/>
      <c r="L85">
        <v>1686.15</v>
      </c>
      <c r="M85">
        <v>0.174875</v>
      </c>
      <c r="N85">
        <v>0.17910899999999999</v>
      </c>
      <c r="P85">
        <v>1686.15</v>
      </c>
      <c r="Q85">
        <v>128164990.150484</v>
      </c>
      <c r="R85">
        <f t="shared" si="3"/>
        <v>1.2816499015048399</v>
      </c>
    </row>
    <row r="86" spans="1:18" x14ac:dyDescent="0.25">
      <c r="A86">
        <v>1678.4372499999999</v>
      </c>
      <c r="B86" s="10">
        <v>7.9369999999999994E-5</v>
      </c>
      <c r="C86" s="10">
        <f t="shared" si="2"/>
        <v>1.4088174999999998E-5</v>
      </c>
      <c r="E86" s="1">
        <v>1686.2</v>
      </c>
      <c r="F86" s="4">
        <v>0.17481828999999999</v>
      </c>
      <c r="H86">
        <v>1685.2</v>
      </c>
      <c r="I86" s="6">
        <v>0.17623453302925701</v>
      </c>
      <c r="J86" s="4">
        <v>0.176093136016582</v>
      </c>
      <c r="K86" s="16"/>
      <c r="L86">
        <v>1686.2</v>
      </c>
      <c r="M86">
        <v>0.17381099999999999</v>
      </c>
      <c r="N86">
        <v>0.17904200000000001</v>
      </c>
      <c r="P86">
        <v>1686.2</v>
      </c>
      <c r="Q86">
        <v>127788449.410291</v>
      </c>
      <c r="R86">
        <f t="shared" si="3"/>
        <v>1.2778844941029099</v>
      </c>
    </row>
    <row r="87" spans="1:18" x14ac:dyDescent="0.25">
      <c r="A87">
        <v>1678.4872800000001</v>
      </c>
      <c r="B87" s="10">
        <v>9.577E-5</v>
      </c>
      <c r="C87" s="10">
        <f t="shared" si="2"/>
        <v>1.6999175E-5</v>
      </c>
      <c r="E87" s="1">
        <v>1686.25</v>
      </c>
      <c r="F87" s="4">
        <v>0.17481959999999999</v>
      </c>
      <c r="H87">
        <v>1685.25</v>
      </c>
      <c r="I87" s="6">
        <v>0.17615889917064601</v>
      </c>
      <c r="J87" s="4">
        <v>0.17603399944168499</v>
      </c>
      <c r="K87" s="16"/>
      <c r="L87">
        <v>1686.25</v>
      </c>
      <c r="M87">
        <v>0.174368</v>
      </c>
      <c r="N87">
        <v>0.17911199999999999</v>
      </c>
      <c r="P87">
        <v>1686.25</v>
      </c>
      <c r="Q87">
        <v>127949686.73188999</v>
      </c>
      <c r="R87">
        <f t="shared" si="3"/>
        <v>1.2794968673189</v>
      </c>
    </row>
    <row r="88" spans="1:18" x14ac:dyDescent="0.25">
      <c r="A88">
        <v>1678.5373099999999</v>
      </c>
      <c r="B88" s="10">
        <v>1.145E-4</v>
      </c>
      <c r="C88" s="10">
        <f t="shared" si="2"/>
        <v>2.032375E-5</v>
      </c>
      <c r="E88" s="1">
        <v>1686.3</v>
      </c>
      <c r="F88" s="4">
        <v>0.17482734</v>
      </c>
      <c r="H88">
        <v>1685.3</v>
      </c>
      <c r="I88" s="6">
        <v>0.17608787284271399</v>
      </c>
      <c r="J88" s="4">
        <v>0.17597791718103301</v>
      </c>
      <c r="K88" s="16"/>
      <c r="L88">
        <v>1686.3</v>
      </c>
      <c r="M88">
        <v>0.175897</v>
      </c>
      <c r="N88">
        <v>0.179201</v>
      </c>
      <c r="P88">
        <v>1686.3</v>
      </c>
      <c r="Q88">
        <v>127454945.975366</v>
      </c>
      <c r="R88">
        <f t="shared" si="3"/>
        <v>1.27454945975366</v>
      </c>
    </row>
    <row r="89" spans="1:18" x14ac:dyDescent="0.25">
      <c r="A89">
        <v>1678.58734</v>
      </c>
      <c r="B89" s="10">
        <v>1.359E-4</v>
      </c>
      <c r="C89" s="10">
        <f t="shared" si="2"/>
        <v>2.4122249999999998E-5</v>
      </c>
      <c r="E89" s="1">
        <v>1686.35</v>
      </c>
      <c r="F89" s="4">
        <v>0.17483322000000001</v>
      </c>
      <c r="H89">
        <v>1685.35</v>
      </c>
      <c r="I89" s="6">
        <v>0.17602118297081701</v>
      </c>
      <c r="J89" s="4">
        <v>0.17592480354856699</v>
      </c>
      <c r="K89" s="16"/>
      <c r="L89">
        <v>1686.35</v>
      </c>
      <c r="M89">
        <v>0.17451900000000001</v>
      </c>
      <c r="N89">
        <v>0.17927899999999999</v>
      </c>
      <c r="P89">
        <v>1686.35</v>
      </c>
      <c r="Q89">
        <v>128552493.45454399</v>
      </c>
      <c r="R89">
        <f t="shared" si="3"/>
        <v>1.28552493454544</v>
      </c>
    </row>
    <row r="90" spans="1:18" x14ac:dyDescent="0.25">
      <c r="A90">
        <v>1678.6373699999999</v>
      </c>
      <c r="B90" s="10">
        <v>1.5990000000000001E-4</v>
      </c>
      <c r="C90" s="10">
        <f t="shared" si="2"/>
        <v>2.8382250000000001E-5</v>
      </c>
      <c r="E90" s="1">
        <v>1686.4</v>
      </c>
      <c r="F90" s="4">
        <v>0.17484568</v>
      </c>
      <c r="H90">
        <v>1685.4</v>
      </c>
      <c r="I90" s="6">
        <v>0.17595858187285501</v>
      </c>
      <c r="J90" s="4">
        <v>0.17587455335768301</v>
      </c>
      <c r="K90" s="16"/>
      <c r="L90">
        <v>1686.4</v>
      </c>
      <c r="M90">
        <v>0.174786</v>
      </c>
      <c r="N90">
        <v>0.17929500000000001</v>
      </c>
      <c r="P90">
        <v>1686.4</v>
      </c>
      <c r="Q90">
        <v>124109694.583316</v>
      </c>
      <c r="R90">
        <f t="shared" si="3"/>
        <v>1.24109694583316</v>
      </c>
    </row>
    <row r="91" spans="1:18" x14ac:dyDescent="0.25">
      <c r="A91">
        <v>1678.6874</v>
      </c>
      <c r="B91" s="10">
        <v>1.8660000000000001E-4</v>
      </c>
      <c r="C91" s="10">
        <f t="shared" si="2"/>
        <v>3.3121499999999998E-5</v>
      </c>
      <c r="E91" s="1">
        <v>1686.45</v>
      </c>
      <c r="F91" s="4">
        <v>0.17484417999999999</v>
      </c>
      <c r="H91">
        <v>1685.45</v>
      </c>
      <c r="I91" s="6">
        <v>0.17589984926617699</v>
      </c>
      <c r="J91" s="4">
        <v>0.175827053485551</v>
      </c>
      <c r="K91" s="16"/>
      <c r="L91">
        <v>1686.45</v>
      </c>
      <c r="M91">
        <v>0.17629400000000001</v>
      </c>
      <c r="N91">
        <v>0.179422</v>
      </c>
      <c r="P91">
        <v>1686.45</v>
      </c>
      <c r="Q91">
        <v>128070617.82432599</v>
      </c>
      <c r="R91">
        <f t="shared" si="3"/>
        <v>1.2807061782432598</v>
      </c>
    </row>
    <row r="92" spans="1:18" x14ac:dyDescent="0.25">
      <c r="A92">
        <v>1678.7374400000001</v>
      </c>
      <c r="B92" s="10">
        <v>2.162E-4</v>
      </c>
      <c r="C92" s="10">
        <f t="shared" si="2"/>
        <v>3.8375499999999999E-5</v>
      </c>
      <c r="E92" s="1">
        <v>1686.5</v>
      </c>
      <c r="F92" s="4">
        <v>0.17484197000000001</v>
      </c>
      <c r="H92">
        <v>1685.5</v>
      </c>
      <c r="I92" s="6">
        <v>0.17584476382348899</v>
      </c>
      <c r="J92" s="4">
        <v>0.17578219559001601</v>
      </c>
      <c r="K92" s="16"/>
      <c r="L92">
        <v>1686.5</v>
      </c>
      <c r="M92">
        <v>0.17555000000000001</v>
      </c>
      <c r="N92">
        <v>0.179648</v>
      </c>
      <c r="P92">
        <v>1686.5</v>
      </c>
      <c r="Q92">
        <v>130219901.862712</v>
      </c>
      <c r="R92">
        <f t="shared" si="3"/>
        <v>1.30219901862712</v>
      </c>
    </row>
    <row r="93" spans="1:18" x14ac:dyDescent="0.25">
      <c r="A93">
        <v>1678.78747</v>
      </c>
      <c r="B93" s="10">
        <v>2.4860000000000003E-4</v>
      </c>
      <c r="C93" s="10">
        <f t="shared" si="2"/>
        <v>4.4126500000000005E-5</v>
      </c>
      <c r="E93" s="1">
        <v>1686.55</v>
      </c>
      <c r="F93" s="4">
        <v>0.17484533999999999</v>
      </c>
      <c r="H93">
        <v>1685.55</v>
      </c>
      <c r="I93" s="6">
        <v>0.17579310931299</v>
      </c>
      <c r="J93" s="4">
        <v>0.17573985999953601</v>
      </c>
      <c r="K93" s="16"/>
      <c r="L93">
        <v>1686.55</v>
      </c>
      <c r="M93">
        <v>0.17566499999999999</v>
      </c>
      <c r="N93">
        <v>0.17985000000000001</v>
      </c>
      <c r="P93">
        <v>1686.55</v>
      </c>
      <c r="Q93">
        <v>128007253.363462</v>
      </c>
      <c r="R93">
        <f t="shared" si="3"/>
        <v>1.2800725336346199</v>
      </c>
    </row>
    <row r="94" spans="1:18" x14ac:dyDescent="0.25">
      <c r="A94">
        <v>1678.8375000000001</v>
      </c>
      <c r="B94" s="10">
        <v>2.8390000000000002E-4</v>
      </c>
      <c r="C94" s="10">
        <f t="shared" si="2"/>
        <v>5.0392249999999999E-5</v>
      </c>
      <c r="E94" s="1">
        <v>1686.6</v>
      </c>
      <c r="F94" s="4">
        <v>0.17483908000000001</v>
      </c>
      <c r="H94">
        <v>1685.6</v>
      </c>
      <c r="I94" s="6">
        <v>0.17574468740031199</v>
      </c>
      <c r="J94" s="4">
        <v>0.17569992753737099</v>
      </c>
      <c r="K94" s="16"/>
      <c r="L94">
        <v>1686.6</v>
      </c>
      <c r="M94">
        <v>0.177261</v>
      </c>
      <c r="N94">
        <v>0.17942900000000001</v>
      </c>
      <c r="P94">
        <v>1686.6</v>
      </c>
      <c r="Q94">
        <v>128338638.566084</v>
      </c>
      <c r="R94">
        <f t="shared" si="3"/>
        <v>1.2833863856608401</v>
      </c>
    </row>
    <row r="95" spans="1:18" x14ac:dyDescent="0.25">
      <c r="A95">
        <v>1678.88753</v>
      </c>
      <c r="B95" s="10">
        <v>3.2200000000000002E-4</v>
      </c>
      <c r="C95" s="10">
        <f t="shared" si="2"/>
        <v>5.7154999999999997E-5</v>
      </c>
      <c r="E95" s="1">
        <v>1686.65</v>
      </c>
      <c r="F95" s="4">
        <v>0.17484875</v>
      </c>
      <c r="H95">
        <v>1685.65</v>
      </c>
      <c r="I95" s="6">
        <v>0.175699319643114</v>
      </c>
      <c r="J95" s="4">
        <v>0.17566229160639199</v>
      </c>
      <c r="K95" s="16"/>
      <c r="L95">
        <v>1686.65</v>
      </c>
      <c r="M95">
        <v>0.17663699999999999</v>
      </c>
      <c r="N95">
        <v>0.17962800000000001</v>
      </c>
      <c r="P95">
        <v>1686.65</v>
      </c>
      <c r="Q95">
        <v>128019438.712219</v>
      </c>
      <c r="R95">
        <f t="shared" si="3"/>
        <v>1.2801943871221899</v>
      </c>
    </row>
    <row r="96" spans="1:18" x14ac:dyDescent="0.25">
      <c r="A96">
        <v>1678.9375600000001</v>
      </c>
      <c r="B96" s="10">
        <v>3.6299999999999999E-4</v>
      </c>
      <c r="C96" s="10">
        <f t="shared" si="2"/>
        <v>6.443249999999999E-5</v>
      </c>
      <c r="E96" s="1">
        <v>1686.7</v>
      </c>
      <c r="F96" s="4">
        <v>0.17484986999999999</v>
      </c>
      <c r="H96">
        <v>1685.7</v>
      </c>
      <c r="I96" s="6">
        <v>0.175656825350888</v>
      </c>
      <c r="J96" s="4">
        <v>0.17562683868946299</v>
      </c>
      <c r="K96" s="16"/>
      <c r="L96">
        <v>1686.7</v>
      </c>
      <c r="M96">
        <v>0.17662700000000001</v>
      </c>
      <c r="N96">
        <v>0.179809</v>
      </c>
      <c r="P96">
        <v>1686.7</v>
      </c>
      <c r="Q96">
        <v>127213694.63605399</v>
      </c>
      <c r="R96">
        <f t="shared" si="3"/>
        <v>1.2721369463605399</v>
      </c>
    </row>
    <row r="97" spans="1:18" x14ac:dyDescent="0.25">
      <c r="A97">
        <v>1678.98759</v>
      </c>
      <c r="B97" s="10">
        <v>4.0660000000000002E-4</v>
      </c>
      <c r="C97" s="10">
        <f t="shared" si="2"/>
        <v>7.2171500000000005E-5</v>
      </c>
      <c r="E97" s="1">
        <v>1686.75</v>
      </c>
      <c r="F97" s="4">
        <v>0.17483040999999999</v>
      </c>
      <c r="H97">
        <v>1685.75</v>
      </c>
      <c r="I97" s="6">
        <v>0.17561702807996199</v>
      </c>
      <c r="J97" s="4">
        <v>0.17559345461951001</v>
      </c>
      <c r="K97" s="16"/>
      <c r="L97">
        <v>1686.75</v>
      </c>
      <c r="M97">
        <v>0.178283</v>
      </c>
      <c r="N97">
        <v>0.17971100000000001</v>
      </c>
      <c r="P97">
        <v>1686.75</v>
      </c>
      <c r="Q97">
        <v>126401269.63863701</v>
      </c>
      <c r="R97">
        <f t="shared" si="3"/>
        <v>1.26401269638637</v>
      </c>
    </row>
    <row r="98" spans="1:18" x14ac:dyDescent="0.25">
      <c r="A98">
        <v>1679.0376200000001</v>
      </c>
      <c r="B98" s="10">
        <v>4.529E-4</v>
      </c>
      <c r="C98" s="10">
        <f t="shared" si="2"/>
        <v>8.038974999999999E-5</v>
      </c>
      <c r="E98" s="1">
        <v>1686.8</v>
      </c>
      <c r="F98" s="4">
        <v>0.17483209</v>
      </c>
      <c r="H98">
        <v>1685.8</v>
      </c>
      <c r="I98" s="6">
        <v>0.17557977964785201</v>
      </c>
      <c r="J98" s="4">
        <v>0.17556203804821199</v>
      </c>
      <c r="K98" s="16"/>
      <c r="L98">
        <v>1686.8</v>
      </c>
      <c r="M98">
        <v>0.17757100000000001</v>
      </c>
      <c r="N98">
        <v>0.179646</v>
      </c>
      <c r="P98">
        <v>1686.8</v>
      </c>
      <c r="Q98">
        <v>126443552.327896</v>
      </c>
      <c r="R98">
        <f t="shared" si="3"/>
        <v>1.2644355232789599</v>
      </c>
    </row>
    <row r="99" spans="1:18" x14ac:dyDescent="0.25">
      <c r="A99">
        <v>1679.0876599999999</v>
      </c>
      <c r="B99" s="10">
        <v>5.017E-4</v>
      </c>
      <c r="C99" s="10">
        <f t="shared" si="2"/>
        <v>8.9051749999999997E-5</v>
      </c>
      <c r="E99" s="1">
        <v>1686.85</v>
      </c>
      <c r="F99" s="4">
        <v>0.17482545999999999</v>
      </c>
      <c r="H99">
        <v>1685.85</v>
      </c>
      <c r="I99" s="6">
        <v>0.17554493425630899</v>
      </c>
      <c r="J99" s="4">
        <v>0.17553249337535701</v>
      </c>
      <c r="K99" s="16"/>
      <c r="L99">
        <v>1686.85</v>
      </c>
      <c r="M99">
        <v>0.178038</v>
      </c>
      <c r="N99">
        <v>0.179475</v>
      </c>
      <c r="P99">
        <v>1686.85</v>
      </c>
      <c r="Q99">
        <v>129318741.672464</v>
      </c>
      <c r="R99">
        <f t="shared" si="3"/>
        <v>1.29318741672464</v>
      </c>
    </row>
    <row r="100" spans="1:18" x14ac:dyDescent="0.25">
      <c r="A100">
        <v>1679.13769</v>
      </c>
      <c r="B100" s="10">
        <v>5.53E-4</v>
      </c>
      <c r="C100" s="10">
        <f t="shared" si="2"/>
        <v>9.8157499999999997E-5</v>
      </c>
      <c r="E100" s="1">
        <v>1686.9</v>
      </c>
      <c r="F100" s="4">
        <v>0.17482165</v>
      </c>
      <c r="H100">
        <v>1685.9</v>
      </c>
      <c r="I100" s="6">
        <v>0.1755123467487</v>
      </c>
      <c r="J100" s="4">
        <v>0.175504720676601</v>
      </c>
      <c r="K100" s="16"/>
      <c r="L100">
        <v>1686.9</v>
      </c>
      <c r="M100">
        <v>0.179697</v>
      </c>
      <c r="N100">
        <v>0.179978</v>
      </c>
      <c r="P100">
        <v>1686.9</v>
      </c>
      <c r="Q100">
        <v>127533249.643731</v>
      </c>
      <c r="R100">
        <f t="shared" si="3"/>
        <v>1.2753324964373101</v>
      </c>
    </row>
    <row r="101" spans="1:18" x14ac:dyDescent="0.25">
      <c r="A101">
        <v>1679.1877199999999</v>
      </c>
      <c r="B101" s="10">
        <v>6.066E-4</v>
      </c>
      <c r="C101" s="10">
        <f t="shared" si="2"/>
        <v>1.076715E-4</v>
      </c>
      <c r="E101" s="1">
        <v>1686.95</v>
      </c>
      <c r="F101" s="4">
        <v>0.17481352</v>
      </c>
      <c r="H101">
        <v>1685.95</v>
      </c>
      <c r="I101" s="6">
        <v>0.175481890091712</v>
      </c>
      <c r="J101" s="4">
        <v>0.17547863167081401</v>
      </c>
      <c r="K101" s="16"/>
      <c r="L101">
        <v>1686.95</v>
      </c>
      <c r="M101">
        <v>0.17846500000000001</v>
      </c>
      <c r="N101">
        <v>0.179897</v>
      </c>
      <c r="P101">
        <v>1686.95</v>
      </c>
      <c r="Q101">
        <v>127662286.275405</v>
      </c>
      <c r="R101">
        <f t="shared" si="3"/>
        <v>1.2766228627540501</v>
      </c>
    </row>
    <row r="102" spans="1:18" x14ac:dyDescent="0.25">
      <c r="A102">
        <v>1679.23775</v>
      </c>
      <c r="B102" s="10">
        <v>6.6239999999999995E-4</v>
      </c>
      <c r="C102" s="10">
        <f t="shared" si="2"/>
        <v>1.1757599999999999E-4</v>
      </c>
      <c r="E102" s="1">
        <v>1687</v>
      </c>
      <c r="F102" s="4">
        <v>0.17481147999999999</v>
      </c>
      <c r="H102">
        <v>1686</v>
      </c>
      <c r="I102" s="6">
        <v>0.17545344153921</v>
      </c>
      <c r="J102" s="4">
        <v>0.17545413757449699</v>
      </c>
      <c r="K102" s="16"/>
      <c r="L102">
        <v>1687</v>
      </c>
      <c r="M102">
        <v>0.179316</v>
      </c>
      <c r="N102">
        <v>0.17974200000000001</v>
      </c>
      <c r="P102">
        <v>1687</v>
      </c>
      <c r="Q102">
        <v>129236131.21673</v>
      </c>
      <c r="R102">
        <f t="shared" si="3"/>
        <v>1.2923613121672999</v>
      </c>
    </row>
    <row r="103" spans="1:18" x14ac:dyDescent="0.25">
      <c r="A103">
        <v>1679.2877800000001</v>
      </c>
      <c r="B103" s="10">
        <v>7.203E-4</v>
      </c>
      <c r="C103" s="10">
        <f t="shared" si="2"/>
        <v>1.2785324999999999E-4</v>
      </c>
      <c r="E103" s="1">
        <v>1687.05</v>
      </c>
      <c r="F103" s="4">
        <v>0.17480551999999999</v>
      </c>
      <c r="H103">
        <v>1686.05</v>
      </c>
      <c r="I103" s="6">
        <v>0.17542687932467799</v>
      </c>
      <c r="J103" s="4">
        <v>0.17543114991816899</v>
      </c>
      <c r="K103" s="16"/>
      <c r="L103">
        <v>1687.05</v>
      </c>
      <c r="M103">
        <v>0.179893</v>
      </c>
      <c r="N103">
        <v>0.179703</v>
      </c>
      <c r="P103">
        <v>1687.05</v>
      </c>
      <c r="Q103">
        <v>129069013.182117</v>
      </c>
      <c r="R103">
        <f t="shared" si="3"/>
        <v>1.2906901318211701</v>
      </c>
    </row>
    <row r="104" spans="1:18" x14ac:dyDescent="0.25">
      <c r="A104">
        <v>1679.33781</v>
      </c>
      <c r="B104" s="10">
        <v>7.8030000000000005E-4</v>
      </c>
      <c r="C104" s="10">
        <f t="shared" si="2"/>
        <v>1.3850325E-4</v>
      </c>
      <c r="E104" s="1">
        <v>1687.1</v>
      </c>
      <c r="F104" s="4">
        <v>0.17480560000000001</v>
      </c>
      <c r="H104">
        <v>1686.1</v>
      </c>
      <c r="I104" s="6">
        <v>0.17540209656140099</v>
      </c>
      <c r="J104" s="4">
        <v>0.175409593386361</v>
      </c>
      <c r="K104" s="16"/>
      <c r="L104">
        <v>1687.1</v>
      </c>
      <c r="M104">
        <v>0.17890300000000001</v>
      </c>
      <c r="N104">
        <v>0.17990500000000001</v>
      </c>
      <c r="P104">
        <v>1687.1</v>
      </c>
      <c r="Q104">
        <v>129073158.86860999</v>
      </c>
      <c r="R104">
        <f t="shared" si="3"/>
        <v>1.2907315886860999</v>
      </c>
    </row>
    <row r="105" spans="1:18" x14ac:dyDescent="0.25">
      <c r="A105">
        <v>1679.3878400000001</v>
      </c>
      <c r="B105" s="10">
        <v>8.4230000000000004E-4</v>
      </c>
      <c r="C105" s="10">
        <f t="shared" si="2"/>
        <v>1.4950825E-4</v>
      </c>
      <c r="E105" s="1">
        <v>1687.15</v>
      </c>
      <c r="F105" s="4">
        <v>0.17479285999999999</v>
      </c>
      <c r="H105">
        <v>1686.15</v>
      </c>
      <c r="I105" s="6">
        <v>0.17537899177598101</v>
      </c>
      <c r="J105" s="4">
        <v>0.17538938994778699</v>
      </c>
      <c r="K105" s="16"/>
      <c r="L105">
        <v>1687.15</v>
      </c>
      <c r="M105">
        <v>0.18085699999999999</v>
      </c>
      <c r="N105">
        <v>0.180198</v>
      </c>
      <c r="P105">
        <v>1687.15</v>
      </c>
      <c r="Q105">
        <v>129206201.374768</v>
      </c>
      <c r="R105">
        <f t="shared" si="3"/>
        <v>1.2920620137476801</v>
      </c>
    </row>
    <row r="106" spans="1:18" x14ac:dyDescent="0.25">
      <c r="A106">
        <v>1679.43788</v>
      </c>
      <c r="B106" s="10">
        <v>9.0620000000000002E-4</v>
      </c>
      <c r="C106" s="10">
        <f t="shared" si="2"/>
        <v>1.6085049999999999E-4</v>
      </c>
      <c r="E106" s="1">
        <v>1687.2</v>
      </c>
      <c r="F106" s="4">
        <v>0.1747988</v>
      </c>
      <c r="H106">
        <v>1686.2</v>
      </c>
      <c r="I106" s="6">
        <v>0.17535746305711</v>
      </c>
      <c r="J106" s="4">
        <v>0.17537047063679401</v>
      </c>
      <c r="K106" s="16"/>
      <c r="L106">
        <v>1687.2</v>
      </c>
      <c r="M106">
        <v>0.18021899999999999</v>
      </c>
      <c r="N106">
        <v>0.18024399999999999</v>
      </c>
      <c r="P106">
        <v>1687.2</v>
      </c>
      <c r="Q106">
        <v>130502314.681318</v>
      </c>
      <c r="R106">
        <f t="shared" si="3"/>
        <v>1.3050231468131801</v>
      </c>
    </row>
    <row r="107" spans="1:18" x14ac:dyDescent="0.25">
      <c r="A107">
        <v>1679.4879100000001</v>
      </c>
      <c r="B107" s="10">
        <v>9.7210000000000005E-4</v>
      </c>
      <c r="C107" s="10">
        <f t="shared" si="2"/>
        <v>1.7254775000000001E-4</v>
      </c>
      <c r="E107" s="1">
        <v>1687.25</v>
      </c>
      <c r="F107" s="4">
        <v>0.17478668999999999</v>
      </c>
      <c r="H107">
        <v>1686.25</v>
      </c>
      <c r="I107" s="6">
        <v>0.17533742240766301</v>
      </c>
      <c r="J107" s="4">
        <v>0.17535277039408301</v>
      </c>
      <c r="K107" s="16"/>
      <c r="L107">
        <v>1687.25</v>
      </c>
      <c r="M107">
        <v>0.18038199999999999</v>
      </c>
      <c r="N107">
        <v>0.180035</v>
      </c>
      <c r="P107">
        <v>1687.25</v>
      </c>
      <c r="Q107">
        <v>128736944.80069301</v>
      </c>
      <c r="R107">
        <f t="shared" si="3"/>
        <v>1.28736944800693</v>
      </c>
    </row>
    <row r="108" spans="1:18" x14ac:dyDescent="0.25">
      <c r="A108">
        <v>1679.5379399999999</v>
      </c>
      <c r="B108" s="10">
        <v>1.0399999999999999E-3</v>
      </c>
      <c r="C108" s="10">
        <f t="shared" si="2"/>
        <v>1.8459999999999999E-4</v>
      </c>
      <c r="E108" s="1">
        <v>1687.3</v>
      </c>
      <c r="F108" s="4">
        <v>0.17477672</v>
      </c>
      <c r="H108">
        <v>1686.3</v>
      </c>
      <c r="I108" s="6">
        <v>0.175318779028413</v>
      </c>
      <c r="J108" s="4">
        <v>0.17533622055025899</v>
      </c>
      <c r="K108" s="16"/>
      <c r="L108">
        <v>1687.3</v>
      </c>
      <c r="M108">
        <v>0.18202499999999999</v>
      </c>
      <c r="N108">
        <v>0.17993600000000001</v>
      </c>
      <c r="P108">
        <v>1687.3</v>
      </c>
      <c r="Q108">
        <v>127513641.275573</v>
      </c>
      <c r="R108">
        <f t="shared" si="3"/>
        <v>1.2751364127557301</v>
      </c>
    </row>
    <row r="109" spans="1:18" x14ac:dyDescent="0.25">
      <c r="A109">
        <v>1679.58797</v>
      </c>
      <c r="B109" s="10">
        <v>1.1100000000000001E-3</v>
      </c>
      <c r="C109" s="10">
        <f t="shared" si="2"/>
        <v>1.9702500000000001E-4</v>
      </c>
      <c r="E109" s="1">
        <v>1687.35</v>
      </c>
      <c r="F109" s="4">
        <v>0.17477012</v>
      </c>
      <c r="H109">
        <v>1686.35</v>
      </c>
      <c r="I109" s="6">
        <v>0.175301451863456</v>
      </c>
      <c r="J109" s="4">
        <v>0.175320760352039</v>
      </c>
      <c r="K109" s="16"/>
      <c r="L109">
        <v>1687.35</v>
      </c>
      <c r="M109">
        <v>0.18109700000000001</v>
      </c>
      <c r="N109">
        <v>0.18013299999999999</v>
      </c>
      <c r="P109">
        <v>1687.35</v>
      </c>
      <c r="Q109">
        <v>127763894.74739499</v>
      </c>
      <c r="R109">
        <f t="shared" si="3"/>
        <v>1.27763894747395</v>
      </c>
    </row>
    <row r="110" spans="1:18" x14ac:dyDescent="0.25">
      <c r="A110">
        <v>1679.6379999999999</v>
      </c>
      <c r="B110" s="10">
        <v>1.181E-3</v>
      </c>
      <c r="C110" s="10">
        <f t="shared" si="2"/>
        <v>2.096275E-4</v>
      </c>
      <c r="E110" s="1">
        <v>1687.4</v>
      </c>
      <c r="F110" s="4">
        <v>0.17476311</v>
      </c>
      <c r="H110">
        <v>1686.4</v>
      </c>
      <c r="I110" s="6">
        <v>0.175285366938082</v>
      </c>
      <c r="J110" s="4">
        <v>0.17530632982807801</v>
      </c>
      <c r="K110" s="16"/>
      <c r="L110">
        <v>1687.4</v>
      </c>
      <c r="M110">
        <v>0.18107400000000001</v>
      </c>
      <c r="N110">
        <v>0.180252</v>
      </c>
      <c r="P110">
        <v>1687.4</v>
      </c>
      <c r="Q110">
        <v>128096893.033575</v>
      </c>
      <c r="R110">
        <f t="shared" si="3"/>
        <v>1.2809689303357499</v>
      </c>
    </row>
    <row r="111" spans="1:18" x14ac:dyDescent="0.25">
      <c r="A111">
        <v>1679.68803</v>
      </c>
      <c r="B111" s="10">
        <v>1.255E-3</v>
      </c>
      <c r="C111" s="10">
        <f t="shared" si="2"/>
        <v>2.227625E-4</v>
      </c>
      <c r="E111" s="1">
        <v>1687.45</v>
      </c>
      <c r="F111" s="4">
        <v>0.17476778000000001</v>
      </c>
      <c r="H111">
        <v>1686.45</v>
      </c>
      <c r="I111" s="6">
        <v>0.17527045247048301</v>
      </c>
      <c r="J111" s="4">
        <v>0.17529287268881599</v>
      </c>
      <c r="K111" s="16"/>
      <c r="L111">
        <v>1687.45</v>
      </c>
      <c r="M111">
        <v>0.18198600000000001</v>
      </c>
      <c r="N111">
        <v>0.180614</v>
      </c>
      <c r="P111">
        <v>1687.45</v>
      </c>
      <c r="Q111">
        <v>128161899.844157</v>
      </c>
      <c r="R111">
        <f t="shared" si="3"/>
        <v>1.28161899844157</v>
      </c>
    </row>
    <row r="112" spans="1:18" x14ac:dyDescent="0.25">
      <c r="A112">
        <v>1679.7380599999999</v>
      </c>
      <c r="B112" s="10">
        <v>1.3309999999999999E-3</v>
      </c>
      <c r="C112" s="10">
        <f t="shared" si="2"/>
        <v>2.3625249999999998E-4</v>
      </c>
      <c r="E112" s="1">
        <v>1687.5</v>
      </c>
      <c r="F112" s="4">
        <v>0.1747908</v>
      </c>
      <c r="H112">
        <v>1686.5</v>
      </c>
      <c r="I112" s="6">
        <v>0.17525664287728701</v>
      </c>
      <c r="J112" s="4">
        <v>0.17528033791759801</v>
      </c>
      <c r="K112" s="16"/>
      <c r="L112">
        <v>1687.5</v>
      </c>
      <c r="M112">
        <v>0.18058199999999999</v>
      </c>
      <c r="N112">
        <v>0.18055299999999999</v>
      </c>
      <c r="P112">
        <v>1687.5</v>
      </c>
      <c r="Q112">
        <v>127278878.181145</v>
      </c>
      <c r="R112">
        <f t="shared" si="3"/>
        <v>1.2727887818114501</v>
      </c>
    </row>
    <row r="113" spans="1:18" x14ac:dyDescent="0.25">
      <c r="A113">
        <v>1679.7881</v>
      </c>
      <c r="B113" s="10">
        <v>1.408E-3</v>
      </c>
      <c r="C113" s="10">
        <f t="shared" si="2"/>
        <v>2.4991999999999999E-4</v>
      </c>
      <c r="E113" s="1">
        <v>1687.55</v>
      </c>
      <c r="F113" s="4">
        <v>0.17477264000000001</v>
      </c>
      <c r="H113">
        <v>1686.55</v>
      </c>
      <c r="I113" s="6">
        <v>0.175243870277519</v>
      </c>
      <c r="J113" s="4">
        <v>0.17526867363752299</v>
      </c>
      <c r="K113" s="16"/>
      <c r="L113">
        <v>1687.55</v>
      </c>
      <c r="M113">
        <v>0.18257999999999999</v>
      </c>
      <c r="N113">
        <v>0.18048900000000001</v>
      </c>
      <c r="P113">
        <v>1687.55</v>
      </c>
      <c r="Q113">
        <v>130144925.24551</v>
      </c>
      <c r="R113">
        <f t="shared" si="3"/>
        <v>1.3014492524551</v>
      </c>
    </row>
    <row r="114" spans="1:18" x14ac:dyDescent="0.25">
      <c r="A114">
        <v>1679.8381300000001</v>
      </c>
      <c r="B114" s="10">
        <v>1.4890000000000001E-3</v>
      </c>
      <c r="C114" s="10">
        <f t="shared" si="2"/>
        <v>2.6429749999999999E-4</v>
      </c>
      <c r="E114" s="1">
        <v>1687.6</v>
      </c>
      <c r="F114" s="4">
        <v>0.17476555999999999</v>
      </c>
      <c r="H114">
        <v>1686.6</v>
      </c>
      <c r="I114" s="6">
        <v>0.17523207388631201</v>
      </c>
      <c r="J114" s="4">
        <v>0.17525783632324199</v>
      </c>
      <c r="K114" s="16"/>
      <c r="L114">
        <v>1687.6</v>
      </c>
      <c r="M114">
        <v>0.182389</v>
      </c>
      <c r="N114">
        <v>0.18034800000000001</v>
      </c>
      <c r="P114">
        <v>1687.6</v>
      </c>
      <c r="Q114">
        <v>128093424.136507</v>
      </c>
      <c r="R114">
        <f t="shared" si="3"/>
        <v>1.2809342413650699</v>
      </c>
    </row>
    <row r="115" spans="1:18" x14ac:dyDescent="0.25">
      <c r="A115">
        <v>1679.88816</v>
      </c>
      <c r="B115" s="10">
        <v>1.5709999999999999E-3</v>
      </c>
      <c r="C115" s="10">
        <f t="shared" si="2"/>
        <v>2.7885249999999996E-4</v>
      </c>
      <c r="E115" s="1">
        <v>1687.65</v>
      </c>
      <c r="F115" s="4">
        <v>0.17476771999999999</v>
      </c>
      <c r="H115">
        <v>1686.65</v>
      </c>
      <c r="I115" s="6">
        <v>0.17522119751774801</v>
      </c>
      <c r="J115" s="4">
        <v>0.17524778162907501</v>
      </c>
      <c r="K115" s="16"/>
      <c r="L115">
        <v>1687.65</v>
      </c>
      <c r="M115">
        <v>0.18196200000000001</v>
      </c>
      <c r="N115">
        <v>0.18052599999999999</v>
      </c>
      <c r="P115">
        <v>1687.65</v>
      </c>
      <c r="Q115">
        <v>127470596.021786</v>
      </c>
      <c r="R115">
        <f t="shared" si="3"/>
        <v>1.2747059602178601</v>
      </c>
    </row>
    <row r="116" spans="1:18" x14ac:dyDescent="0.25">
      <c r="A116">
        <v>1679.9381900000001</v>
      </c>
      <c r="B116" s="10">
        <v>1.6559999999999999E-3</v>
      </c>
      <c r="C116" s="10">
        <f t="shared" si="2"/>
        <v>2.9393999999999997E-4</v>
      </c>
      <c r="E116" s="1">
        <v>1687.7</v>
      </c>
      <c r="F116" s="4">
        <v>0.17476082000000001</v>
      </c>
      <c r="H116">
        <v>1686.7</v>
      </c>
      <c r="I116" s="6">
        <v>0.17521118530464999</v>
      </c>
      <c r="J116" s="4">
        <v>0.17523846485531999</v>
      </c>
      <c r="K116" s="16"/>
      <c r="L116">
        <v>1687.7</v>
      </c>
      <c r="M116">
        <v>0.18262100000000001</v>
      </c>
      <c r="N116">
        <v>0.180783</v>
      </c>
      <c r="P116">
        <v>1687.7</v>
      </c>
      <c r="Q116">
        <v>127678210.33393499</v>
      </c>
      <c r="R116">
        <f t="shared" si="3"/>
        <v>1.2767821033393498</v>
      </c>
    </row>
    <row r="117" spans="1:18" x14ac:dyDescent="0.25">
      <c r="A117">
        <v>1679.98822</v>
      </c>
      <c r="B117" s="10">
        <v>1.7440000000000001E-3</v>
      </c>
      <c r="C117" s="10">
        <f t="shared" si="2"/>
        <v>3.0956000000000001E-4</v>
      </c>
      <c r="E117" s="1">
        <v>1687.75</v>
      </c>
      <c r="F117" s="4">
        <v>0.17476506999999999</v>
      </c>
      <c r="H117">
        <v>1686.75</v>
      </c>
      <c r="I117" s="6">
        <v>0.175201987460676</v>
      </c>
      <c r="J117" s="4">
        <v>0.175229846565053</v>
      </c>
      <c r="K117" s="16"/>
      <c r="L117">
        <v>1687.75</v>
      </c>
      <c r="M117">
        <v>0.18152799999999999</v>
      </c>
      <c r="N117">
        <v>0.18109800000000001</v>
      </c>
      <c r="P117">
        <v>1687.75</v>
      </c>
      <c r="Q117">
        <v>128611603.711559</v>
      </c>
      <c r="R117">
        <f t="shared" si="3"/>
        <v>1.28611603711559</v>
      </c>
    </row>
    <row r="118" spans="1:18" x14ac:dyDescent="0.25">
      <c r="A118">
        <v>1680.0382500000001</v>
      </c>
      <c r="B118" s="10">
        <v>1.8339999999999999E-3</v>
      </c>
      <c r="C118" s="10">
        <f t="shared" si="2"/>
        <v>3.2553499999999995E-4</v>
      </c>
      <c r="E118" s="1">
        <v>1687.8</v>
      </c>
      <c r="F118" s="4">
        <v>0.17476699000000001</v>
      </c>
      <c r="H118">
        <v>1686.8</v>
      </c>
      <c r="I118" s="6">
        <v>0.17519355499030601</v>
      </c>
      <c r="J118" s="4">
        <v>0.17522188615845999</v>
      </c>
      <c r="K118" s="16"/>
      <c r="L118">
        <v>1687.8</v>
      </c>
      <c r="M118">
        <v>0.18226000000000001</v>
      </c>
      <c r="N118">
        <v>0.18127399999999999</v>
      </c>
      <c r="P118">
        <v>1687.8</v>
      </c>
      <c r="Q118">
        <v>128667865.469754</v>
      </c>
      <c r="R118">
        <f t="shared" si="3"/>
        <v>1.2866786546975399</v>
      </c>
    </row>
    <row r="119" spans="1:18" x14ac:dyDescent="0.25">
      <c r="A119">
        <v>1680.0882899999999</v>
      </c>
      <c r="B119" s="10">
        <v>1.9269999999999999E-3</v>
      </c>
      <c r="C119" s="10">
        <f t="shared" si="2"/>
        <v>3.4204249999999998E-4</v>
      </c>
      <c r="E119" s="1">
        <v>1687.85</v>
      </c>
      <c r="F119" s="4">
        <v>0.17476347</v>
      </c>
      <c r="H119">
        <v>1686.85</v>
      </c>
      <c r="I119" s="6">
        <v>0.175185842222153</v>
      </c>
      <c r="J119" s="4">
        <v>0.17521454904411601</v>
      </c>
      <c r="K119" s="16"/>
      <c r="L119">
        <v>1687.85</v>
      </c>
      <c r="M119">
        <v>0.18243100000000001</v>
      </c>
      <c r="N119">
        <v>0.18126999999999999</v>
      </c>
      <c r="P119">
        <v>1687.85</v>
      </c>
      <c r="Q119">
        <v>127961308.30001999</v>
      </c>
      <c r="R119">
        <f t="shared" si="3"/>
        <v>1.2796130830001999</v>
      </c>
    </row>
    <row r="120" spans="1:18" x14ac:dyDescent="0.25">
      <c r="A120">
        <v>1680.13832</v>
      </c>
      <c r="B120" s="10">
        <v>2.0240000000000002E-3</v>
      </c>
      <c r="C120" s="10">
        <f t="shared" si="2"/>
        <v>3.5926000000000003E-4</v>
      </c>
      <c r="E120" s="1">
        <v>1687.9</v>
      </c>
      <c r="F120" s="4">
        <v>0.17476644999999999</v>
      </c>
      <c r="H120">
        <v>1686.9</v>
      </c>
      <c r="I120" s="6">
        <v>0.175178809433164</v>
      </c>
      <c r="J120" s="4">
        <v>0.17520779801554801</v>
      </c>
      <c r="K120" s="16"/>
      <c r="L120">
        <v>1687.9</v>
      </c>
      <c r="M120">
        <v>0.182449</v>
      </c>
      <c r="N120">
        <v>0.181094</v>
      </c>
      <c r="P120">
        <v>1687.9</v>
      </c>
      <c r="Q120">
        <v>111090468.31116299</v>
      </c>
      <c r="R120">
        <f t="shared" si="3"/>
        <v>1.11090468311163</v>
      </c>
    </row>
    <row r="121" spans="1:18" x14ac:dyDescent="0.25">
      <c r="A121">
        <v>1680.1883499999999</v>
      </c>
      <c r="B121" s="10">
        <v>2.124E-3</v>
      </c>
      <c r="C121" s="10">
        <f t="shared" si="2"/>
        <v>3.7701E-4</v>
      </c>
      <c r="E121" s="1">
        <v>1687.95</v>
      </c>
      <c r="F121" s="4">
        <v>0.17478518000000001</v>
      </c>
      <c r="H121">
        <v>1686.95</v>
      </c>
      <c r="I121" s="6">
        <v>0.17517241656676599</v>
      </c>
      <c r="J121" s="4">
        <v>0.17520160331998899</v>
      </c>
      <c r="K121" s="16"/>
      <c r="L121">
        <v>1687.95</v>
      </c>
      <c r="M121">
        <v>0.182758</v>
      </c>
      <c r="N121">
        <v>0.18116099999999999</v>
      </c>
      <c r="P121">
        <v>1687.95</v>
      </c>
      <c r="Q121">
        <v>16366631.9201333</v>
      </c>
      <c r="R121">
        <f t="shared" si="3"/>
        <v>0.16366631920133301</v>
      </c>
    </row>
    <row r="122" spans="1:18" x14ac:dyDescent="0.25">
      <c r="A122">
        <v>1680.23838</v>
      </c>
      <c r="B122" s="10">
        <v>2.2269999999999998E-3</v>
      </c>
      <c r="C122" s="10">
        <f t="shared" si="2"/>
        <v>3.9529249999999995E-4</v>
      </c>
      <c r="E122" s="1">
        <v>1688</v>
      </c>
      <c r="F122" s="4">
        <v>0.17478136999999999</v>
      </c>
      <c r="H122">
        <v>1687</v>
      </c>
      <c r="I122" s="6">
        <v>0.17516662632225</v>
      </c>
      <c r="J122" s="4">
        <v>0.17519593308189299</v>
      </c>
      <c r="K122" s="16"/>
      <c r="L122">
        <v>1688</v>
      </c>
      <c r="M122">
        <v>0.18187900000000001</v>
      </c>
      <c r="N122">
        <v>0.18119499999999999</v>
      </c>
    </row>
    <row r="123" spans="1:18" x14ac:dyDescent="0.25">
      <c r="A123">
        <v>1680.2884100000001</v>
      </c>
      <c r="B123" s="10">
        <v>2.3340000000000001E-3</v>
      </c>
      <c r="C123" s="10">
        <f t="shared" si="2"/>
        <v>4.1428500000000002E-4</v>
      </c>
      <c r="H123">
        <v>1687.05</v>
      </c>
      <c r="I123" s="6">
        <v>0.175161399906756</v>
      </c>
      <c r="J123" s="4">
        <v>0.175190757234232</v>
      </c>
      <c r="K123" s="16"/>
    </row>
    <row r="124" spans="1:18" x14ac:dyDescent="0.25">
      <c r="A124">
        <v>1680.33844</v>
      </c>
      <c r="B124" s="10">
        <v>2.4450000000000001E-3</v>
      </c>
      <c r="C124" s="10">
        <f t="shared" si="2"/>
        <v>4.339875E-4</v>
      </c>
      <c r="H124">
        <v>1687.1</v>
      </c>
      <c r="I124" s="6">
        <v>0.17515670473258399</v>
      </c>
      <c r="J124" s="4">
        <v>0.17518604612135799</v>
      </c>
      <c r="K124" s="16"/>
    </row>
    <row r="125" spans="1:18" x14ac:dyDescent="0.25">
      <c r="A125">
        <v>1680.3884700000001</v>
      </c>
      <c r="B125" s="10">
        <v>2.5600000000000002E-3</v>
      </c>
      <c r="C125" s="10">
        <f t="shared" si="2"/>
        <v>4.5440000000000004E-4</v>
      </c>
      <c r="H125">
        <v>1687.15</v>
      </c>
      <c r="I125" s="6">
        <v>0.175152507018072</v>
      </c>
      <c r="J125" s="4">
        <v>0.17518177165707299</v>
      </c>
      <c r="K125" s="16"/>
    </row>
    <row r="126" spans="1:18" x14ac:dyDescent="0.25">
      <c r="A126">
        <v>1680.43851</v>
      </c>
      <c r="B126" s="10">
        <v>2.6800000000000001E-3</v>
      </c>
      <c r="C126" s="10">
        <f t="shared" si="2"/>
        <v>4.7570000000000002E-4</v>
      </c>
      <c r="H126">
        <v>1687.2</v>
      </c>
      <c r="I126" s="6">
        <v>0.175148777042825</v>
      </c>
      <c r="J126" s="4">
        <v>0.175177908434303</v>
      </c>
      <c r="K126" s="16"/>
    </row>
    <row r="127" spans="1:18" x14ac:dyDescent="0.25">
      <c r="A127">
        <v>1680.4885400000001</v>
      </c>
      <c r="B127" s="10">
        <v>2.8040000000000001E-3</v>
      </c>
      <c r="C127" s="10">
        <f t="shared" si="2"/>
        <v>4.9770999999999995E-4</v>
      </c>
      <c r="H127">
        <v>1687.25</v>
      </c>
      <c r="I127" s="6">
        <v>0.17514548646112199</v>
      </c>
      <c r="J127" s="4">
        <v>0.17517442841491501</v>
      </c>
      <c r="K127" s="16"/>
    </row>
    <row r="128" spans="1:18" x14ac:dyDescent="0.25">
      <c r="A128">
        <v>1680.5385699999999</v>
      </c>
      <c r="B128" s="10">
        <v>2.9329999999999998E-3</v>
      </c>
      <c r="C128" s="10">
        <f t="shared" si="2"/>
        <v>5.2060749999999992E-4</v>
      </c>
      <c r="H128">
        <v>1687.3</v>
      </c>
      <c r="I128" s="6">
        <v>0.175142606063516</v>
      </c>
      <c r="J128" s="4">
        <v>0.175171306345977</v>
      </c>
      <c r="K128" s="16"/>
    </row>
    <row r="129" spans="1:11" x14ac:dyDescent="0.25">
      <c r="A129">
        <v>1680.5886</v>
      </c>
      <c r="B129" s="10">
        <v>3.068E-3</v>
      </c>
      <c r="C129" s="10">
        <f t="shared" si="2"/>
        <v>5.4456999999999997E-4</v>
      </c>
      <c r="H129">
        <v>1687.35</v>
      </c>
      <c r="I129" s="6">
        <v>0.17514010903396801</v>
      </c>
      <c r="J129" s="4">
        <v>0.17516851429143401</v>
      </c>
      <c r="K129" s="16"/>
    </row>
    <row r="130" spans="1:11" x14ac:dyDescent="0.25">
      <c r="A130">
        <v>1680.6386299999999</v>
      </c>
      <c r="B130" s="10">
        <v>3.209E-3</v>
      </c>
      <c r="C130" s="10">
        <f t="shared" si="2"/>
        <v>5.6959749999999998E-4</v>
      </c>
      <c r="H130">
        <v>1687.4</v>
      </c>
      <c r="I130" s="6">
        <v>0.17513796935517301</v>
      </c>
      <c r="J130" s="4">
        <v>0.17516602430699801</v>
      </c>
      <c r="K130" s="16"/>
    </row>
    <row r="131" spans="1:11" x14ac:dyDescent="0.25">
      <c r="A131">
        <v>1680.68866</v>
      </c>
      <c r="B131" s="10">
        <v>3.356E-3</v>
      </c>
      <c r="C131" s="10">
        <f t="shared" ref="C131:C194" si="4">B131*0.1775</f>
        <v>5.9568999999999996E-4</v>
      </c>
      <c r="H131">
        <v>1687.45</v>
      </c>
      <c r="I131" s="6">
        <v>0.17513616096752499</v>
      </c>
      <c r="J131" s="4">
        <v>0.175163803786552</v>
      </c>
      <c r="K131" s="16"/>
    </row>
    <row r="132" spans="1:11" x14ac:dyDescent="0.25">
      <c r="A132">
        <v>1680.7386899999999</v>
      </c>
      <c r="B132" s="10">
        <v>3.509E-3</v>
      </c>
      <c r="C132" s="10">
        <f t="shared" si="4"/>
        <v>6.228475E-4</v>
      </c>
      <c r="H132">
        <v>1687.5</v>
      </c>
      <c r="I132" s="6">
        <v>0.175134654758028</v>
      </c>
      <c r="J132" s="4">
        <v>0.175161819897383</v>
      </c>
      <c r="K132" s="16"/>
    </row>
    <row r="133" spans="1:11" x14ac:dyDescent="0.25">
      <c r="A133">
        <v>1680.78873</v>
      </c>
      <c r="B133" s="10">
        <v>3.6700000000000001E-3</v>
      </c>
      <c r="C133" s="10">
        <f t="shared" si="4"/>
        <v>6.5142499999999996E-4</v>
      </c>
      <c r="H133">
        <v>1687.55</v>
      </c>
      <c r="I133" s="6">
        <v>0.17513342139034799</v>
      </c>
      <c r="J133" s="4">
        <v>0.17516003685612899</v>
      </c>
      <c r="K133" s="16"/>
    </row>
    <row r="134" spans="1:11" x14ac:dyDescent="0.25">
      <c r="A134">
        <v>1680.8387600000001</v>
      </c>
      <c r="B134" s="10">
        <v>3.8379999999999998E-3</v>
      </c>
      <c r="C134" s="10">
        <f t="shared" si="4"/>
        <v>6.8124499999999992E-4</v>
      </c>
      <c r="H134">
        <v>1687.6</v>
      </c>
      <c r="I134" s="6">
        <v>0.175132425274446</v>
      </c>
      <c r="J134" s="4">
        <v>0.17515841369124799</v>
      </c>
      <c r="K134" s="16"/>
    </row>
    <row r="135" spans="1:11" x14ac:dyDescent="0.25">
      <c r="A135">
        <v>1680.88879</v>
      </c>
      <c r="B135" s="10">
        <v>4.0150000000000003E-3</v>
      </c>
      <c r="C135" s="10">
        <f t="shared" si="4"/>
        <v>7.1266250000000004E-4</v>
      </c>
      <c r="H135">
        <v>1687.65</v>
      </c>
      <c r="I135" s="6">
        <v>0.17513162818707101</v>
      </c>
      <c r="J135" s="4">
        <v>0.17515690323807601</v>
      </c>
      <c r="K135" s="16"/>
    </row>
    <row r="136" spans="1:11" x14ac:dyDescent="0.25">
      <c r="A136">
        <v>1680.9388200000001</v>
      </c>
      <c r="B136" s="10">
        <v>4.1999999999999997E-3</v>
      </c>
      <c r="C136" s="10">
        <f t="shared" si="4"/>
        <v>7.4549999999999996E-4</v>
      </c>
      <c r="H136">
        <v>1687.7</v>
      </c>
      <c r="I136" s="6">
        <v>0.175130980909776</v>
      </c>
      <c r="J136" s="4">
        <v>0.175155456751307</v>
      </c>
      <c r="K136" s="16"/>
    </row>
    <row r="137" spans="1:11" x14ac:dyDescent="0.25">
      <c r="A137">
        <v>1680.98885</v>
      </c>
      <c r="B137" s="10">
        <v>4.3959999999999997E-3</v>
      </c>
      <c r="C137" s="10">
        <f t="shared" si="4"/>
        <v>7.8028999999999989E-4</v>
      </c>
      <c r="H137">
        <v>1687.75</v>
      </c>
      <c r="I137" s="6">
        <v>0.17513042084960301</v>
      </c>
      <c r="J137" s="4">
        <v>0.17515402359787499</v>
      </c>
      <c r="K137" s="16"/>
    </row>
    <row r="138" spans="1:11" x14ac:dyDescent="0.25">
      <c r="A138">
        <v>1681.0388800000001</v>
      </c>
      <c r="B138" s="10">
        <v>4.6020000000000002E-3</v>
      </c>
      <c r="C138" s="10">
        <f t="shared" si="4"/>
        <v>8.1685500000000001E-4</v>
      </c>
      <c r="H138">
        <v>1687.8</v>
      </c>
      <c r="I138" s="6">
        <v>0.175129871174632</v>
      </c>
      <c r="J138" s="4">
        <v>0.175152555669355</v>
      </c>
      <c r="K138" s="16"/>
    </row>
    <row r="139" spans="1:11" x14ac:dyDescent="0.25">
      <c r="A139">
        <v>1681.0889099999999</v>
      </c>
      <c r="B139" s="10">
        <v>4.8190000000000004E-3</v>
      </c>
      <c r="C139" s="10">
        <f t="shared" si="4"/>
        <v>8.5537250000000003E-4</v>
      </c>
      <c r="H139">
        <v>1687.85</v>
      </c>
      <c r="I139" s="6">
        <v>0.17512925119878001</v>
      </c>
      <c r="J139" s="4">
        <v>0.17515101131591301</v>
      </c>
      <c r="K139" s="16"/>
    </row>
    <row r="140" spans="1:11" x14ac:dyDescent="0.25">
      <c r="A140">
        <v>1681.13895</v>
      </c>
      <c r="B140" s="10">
        <v>5.0489999999999997E-3</v>
      </c>
      <c r="C140" s="10">
        <f t="shared" si="4"/>
        <v>8.961974999999999E-4</v>
      </c>
      <c r="H140">
        <v>1687.9</v>
      </c>
      <c r="I140" s="6">
        <v>0.175128480547973</v>
      </c>
      <c r="J140" s="4">
        <v>0.17514935892094899</v>
      </c>
      <c r="K140" s="16"/>
    </row>
    <row r="141" spans="1:11" x14ac:dyDescent="0.25">
      <c r="A141">
        <v>1681.1889799999999</v>
      </c>
      <c r="B141" s="10">
        <v>5.293E-3</v>
      </c>
      <c r="C141" s="10">
        <f t="shared" si="4"/>
        <v>9.3950749999999997E-4</v>
      </c>
      <c r="H141">
        <v>1687.95</v>
      </c>
      <c r="I141" s="6">
        <v>0.17512749591092899</v>
      </c>
      <c r="J141" s="4">
        <v>0.17514757292602701</v>
      </c>
      <c r="K141" s="16"/>
    </row>
    <row r="142" spans="1:11" x14ac:dyDescent="0.25">
      <c r="A142">
        <v>1681.23901</v>
      </c>
      <c r="B142" s="10">
        <v>5.5529999999999998E-3</v>
      </c>
      <c r="C142" s="10">
        <f t="shared" si="4"/>
        <v>9.8565749999999998E-4</v>
      </c>
      <c r="H142">
        <v>1688</v>
      </c>
      <c r="I142" s="6">
        <v>0.17512625456099901</v>
      </c>
      <c r="J142" s="4">
        <v>0.17514563984322401</v>
      </c>
      <c r="K142" s="16"/>
    </row>
    <row r="143" spans="1:11" x14ac:dyDescent="0.25">
      <c r="A143">
        <v>1681.2890400000001</v>
      </c>
      <c r="B143" s="10">
        <v>5.8310000000000002E-3</v>
      </c>
      <c r="C143" s="10">
        <f t="shared" si="4"/>
        <v>1.0350025000000001E-3</v>
      </c>
    </row>
    <row r="144" spans="1:11" x14ac:dyDescent="0.25">
      <c r="A144">
        <v>1681.33907</v>
      </c>
      <c r="B144" s="10">
        <v>6.1279999999999998E-3</v>
      </c>
      <c r="C144" s="10">
        <f t="shared" si="4"/>
        <v>1.0877199999999999E-3</v>
      </c>
    </row>
    <row r="145" spans="1:3" x14ac:dyDescent="0.25">
      <c r="A145">
        <v>1681.3891000000001</v>
      </c>
      <c r="B145" s="10">
        <v>6.4469999999999996E-3</v>
      </c>
      <c r="C145" s="10">
        <f t="shared" si="4"/>
        <v>1.1443425E-3</v>
      </c>
    </row>
    <row r="146" spans="1:3" x14ac:dyDescent="0.25">
      <c r="A146">
        <v>1681.43914</v>
      </c>
      <c r="B146" s="10">
        <v>6.7930000000000004E-3</v>
      </c>
      <c r="C146" s="10">
        <f t="shared" si="4"/>
        <v>1.2057575E-3</v>
      </c>
    </row>
    <row r="147" spans="1:3" x14ac:dyDescent="0.25">
      <c r="A147">
        <v>1681.4891700000001</v>
      </c>
      <c r="B147" s="10">
        <v>7.169E-3</v>
      </c>
      <c r="C147" s="10">
        <f t="shared" si="4"/>
        <v>1.2724975E-3</v>
      </c>
    </row>
    <row r="148" spans="1:3" x14ac:dyDescent="0.25">
      <c r="A148">
        <v>1681.5391999999999</v>
      </c>
      <c r="B148" s="10">
        <v>7.5810000000000001E-3</v>
      </c>
      <c r="C148" s="10">
        <f t="shared" si="4"/>
        <v>1.3456275E-3</v>
      </c>
    </row>
    <row r="149" spans="1:3" x14ac:dyDescent="0.25">
      <c r="A149">
        <v>1681.58923</v>
      </c>
      <c r="B149" s="10">
        <v>8.0359999999999997E-3</v>
      </c>
      <c r="C149" s="10">
        <f t="shared" si="4"/>
        <v>1.4263899999999998E-3</v>
      </c>
    </row>
    <row r="150" spans="1:3" x14ac:dyDescent="0.25">
      <c r="A150">
        <v>1681.6392599999999</v>
      </c>
      <c r="B150" s="10">
        <v>8.5450000000000005E-3</v>
      </c>
      <c r="C150" s="10">
        <f t="shared" si="4"/>
        <v>1.5167374999999999E-3</v>
      </c>
    </row>
    <row r="151" spans="1:3" x14ac:dyDescent="0.25">
      <c r="A151">
        <v>1681.68929</v>
      </c>
      <c r="B151" s="10">
        <v>9.1199999999999996E-3</v>
      </c>
      <c r="C151" s="10">
        <f t="shared" si="4"/>
        <v>1.6187999999999999E-3</v>
      </c>
    </row>
    <row r="152" spans="1:3" x14ac:dyDescent="0.25">
      <c r="A152">
        <v>1681.7393199999999</v>
      </c>
      <c r="B152" s="10">
        <v>9.7769999999999992E-3</v>
      </c>
      <c r="C152" s="10">
        <f t="shared" si="4"/>
        <v>1.7354174999999997E-3</v>
      </c>
    </row>
    <row r="153" spans="1:3" x14ac:dyDescent="0.25">
      <c r="A153">
        <v>1681.78936</v>
      </c>
      <c r="B153" s="10">
        <v>1.0540000000000001E-2</v>
      </c>
      <c r="C153" s="10">
        <f t="shared" si="4"/>
        <v>1.8708500000000001E-3</v>
      </c>
    </row>
    <row r="154" spans="1:3" x14ac:dyDescent="0.25">
      <c r="A154">
        <v>1681.8393900000001</v>
      </c>
      <c r="B154" s="10">
        <v>1.1429999999999999E-2</v>
      </c>
      <c r="C154" s="10">
        <f t="shared" si="4"/>
        <v>2.0288249999999997E-3</v>
      </c>
    </row>
    <row r="155" spans="1:3" x14ac:dyDescent="0.25">
      <c r="A155">
        <v>1681.88942</v>
      </c>
      <c r="B155" s="10">
        <v>1.2489999999999999E-2</v>
      </c>
      <c r="C155" s="10">
        <f t="shared" si="4"/>
        <v>2.2169749999999999E-3</v>
      </c>
    </row>
    <row r="156" spans="1:3" x14ac:dyDescent="0.25">
      <c r="A156">
        <v>1681.9394500000001</v>
      </c>
      <c r="B156" s="10">
        <v>1.3769999999999999E-2</v>
      </c>
      <c r="C156" s="10">
        <f t="shared" si="4"/>
        <v>2.4441749999999998E-3</v>
      </c>
    </row>
    <row r="157" spans="1:3" x14ac:dyDescent="0.25">
      <c r="A157">
        <v>1681.98948</v>
      </c>
      <c r="B157" s="10">
        <v>1.533E-2</v>
      </c>
      <c r="C157" s="10">
        <f t="shared" si="4"/>
        <v>2.7210749999999999E-3</v>
      </c>
    </row>
    <row r="158" spans="1:3" x14ac:dyDescent="0.25">
      <c r="A158">
        <v>1682.0395100000001</v>
      </c>
      <c r="B158" s="10">
        <v>1.7239999999999998E-2</v>
      </c>
      <c r="C158" s="10">
        <f t="shared" si="4"/>
        <v>3.0600999999999996E-3</v>
      </c>
    </row>
    <row r="159" spans="1:3" x14ac:dyDescent="0.25">
      <c r="A159">
        <v>1682.0895399999999</v>
      </c>
      <c r="B159" s="10">
        <v>1.959E-2</v>
      </c>
      <c r="C159" s="10">
        <f t="shared" si="4"/>
        <v>3.4772249999999996E-3</v>
      </c>
    </row>
    <row r="160" spans="1:3" x14ac:dyDescent="0.25">
      <c r="A160">
        <v>1682.13958</v>
      </c>
      <c r="B160" s="10">
        <v>2.2499999999999999E-2</v>
      </c>
      <c r="C160" s="10">
        <f t="shared" si="4"/>
        <v>3.9937499999999999E-3</v>
      </c>
    </row>
    <row r="161" spans="1:3" x14ac:dyDescent="0.25">
      <c r="A161">
        <v>1682.1896099999999</v>
      </c>
      <c r="B161" s="10">
        <v>2.6110000000000001E-2</v>
      </c>
      <c r="C161" s="10">
        <f t="shared" si="4"/>
        <v>4.6345249999999996E-3</v>
      </c>
    </row>
    <row r="162" spans="1:3" x14ac:dyDescent="0.25">
      <c r="A162">
        <v>1682.23964</v>
      </c>
      <c r="B162" s="10">
        <v>3.057E-2</v>
      </c>
      <c r="C162" s="10">
        <f t="shared" si="4"/>
        <v>5.4261750000000001E-3</v>
      </c>
    </row>
    <row r="163" spans="1:3" x14ac:dyDescent="0.25">
      <c r="A163">
        <v>1682.2896699999999</v>
      </c>
      <c r="B163" s="10">
        <v>3.6089999999999997E-2</v>
      </c>
      <c r="C163" s="10">
        <f t="shared" si="4"/>
        <v>6.4059749999999995E-3</v>
      </c>
    </row>
    <row r="164" spans="1:3" x14ac:dyDescent="0.25">
      <c r="A164">
        <v>1682.3397</v>
      </c>
      <c r="B164" s="10">
        <v>4.2869999999999998E-2</v>
      </c>
      <c r="C164" s="10">
        <f t="shared" si="4"/>
        <v>7.6094249999999995E-3</v>
      </c>
    </row>
    <row r="165" spans="1:3" x14ac:dyDescent="0.25">
      <c r="A165">
        <v>1682.3897300000001</v>
      </c>
      <c r="B165" s="10">
        <v>5.1150000000000001E-2</v>
      </c>
      <c r="C165" s="10">
        <f t="shared" si="4"/>
        <v>9.0791250000000004E-3</v>
      </c>
    </row>
    <row r="166" spans="1:3" x14ac:dyDescent="0.25">
      <c r="A166">
        <v>1682.43977</v>
      </c>
      <c r="B166" s="10">
        <v>6.1199999999999997E-2</v>
      </c>
      <c r="C166" s="10">
        <f t="shared" si="4"/>
        <v>1.0862999999999999E-2</v>
      </c>
    </row>
    <row r="167" spans="1:3" x14ac:dyDescent="0.25">
      <c r="A167">
        <v>1682.4898000000001</v>
      </c>
      <c r="B167" s="10">
        <v>7.3289999999999994E-2</v>
      </c>
      <c r="C167" s="10">
        <f t="shared" si="4"/>
        <v>1.3008974999999999E-2</v>
      </c>
    </row>
    <row r="168" spans="1:3" x14ac:dyDescent="0.25">
      <c r="A168">
        <v>1682.5398299999999</v>
      </c>
      <c r="B168" s="10">
        <v>8.7709999999999996E-2</v>
      </c>
      <c r="C168" s="10">
        <f t="shared" si="4"/>
        <v>1.5568524999999998E-2</v>
      </c>
    </row>
    <row r="169" spans="1:3" x14ac:dyDescent="0.25">
      <c r="A169">
        <v>1682.58986</v>
      </c>
      <c r="B169" s="10">
        <v>0.1047</v>
      </c>
      <c r="C169" s="10">
        <f t="shared" si="4"/>
        <v>1.858425E-2</v>
      </c>
    </row>
    <row r="170" spans="1:3" x14ac:dyDescent="0.25">
      <c r="A170">
        <v>1682.6398899999999</v>
      </c>
      <c r="B170" s="10">
        <v>0.1246</v>
      </c>
      <c r="C170" s="10">
        <f t="shared" si="4"/>
        <v>2.2116500000000001E-2</v>
      </c>
    </row>
    <row r="171" spans="1:3" x14ac:dyDescent="0.25">
      <c r="A171">
        <v>1682.68992</v>
      </c>
      <c r="B171" s="10">
        <v>0.1477</v>
      </c>
      <c r="C171" s="10">
        <f t="shared" si="4"/>
        <v>2.6216749999999997E-2</v>
      </c>
    </row>
    <row r="172" spans="1:3" x14ac:dyDescent="0.25">
      <c r="A172">
        <v>1682.7399499999999</v>
      </c>
      <c r="B172" s="10">
        <v>0.17399999999999999</v>
      </c>
      <c r="C172" s="10">
        <f t="shared" si="4"/>
        <v>3.0884999999999996E-2</v>
      </c>
    </row>
    <row r="173" spans="1:3" x14ac:dyDescent="0.25">
      <c r="A173">
        <v>1682.78999</v>
      </c>
      <c r="B173" s="10">
        <v>0.20369999999999999</v>
      </c>
      <c r="C173" s="10">
        <f t="shared" si="4"/>
        <v>3.6156749999999994E-2</v>
      </c>
    </row>
    <row r="174" spans="1:3" x14ac:dyDescent="0.25">
      <c r="A174">
        <v>1682.8400200000001</v>
      </c>
      <c r="B174" s="10">
        <v>0.23699999999999999</v>
      </c>
      <c r="C174" s="10">
        <f t="shared" si="4"/>
        <v>4.2067499999999994E-2</v>
      </c>
    </row>
    <row r="175" spans="1:3" x14ac:dyDescent="0.25">
      <c r="A175">
        <v>1682.89005</v>
      </c>
      <c r="B175" s="10">
        <v>0.2737</v>
      </c>
      <c r="C175" s="10">
        <f t="shared" si="4"/>
        <v>4.858175E-2</v>
      </c>
    </row>
    <row r="176" spans="1:3" x14ac:dyDescent="0.25">
      <c r="A176">
        <v>1682.9400800000001</v>
      </c>
      <c r="B176" s="10">
        <v>0.31359999999999999</v>
      </c>
      <c r="C176" s="10">
        <f t="shared" si="4"/>
        <v>5.5663999999999998E-2</v>
      </c>
    </row>
    <row r="177" spans="1:3" x14ac:dyDescent="0.25">
      <c r="A177">
        <v>1682.99011</v>
      </c>
      <c r="B177" s="10">
        <v>0.35670000000000002</v>
      </c>
      <c r="C177" s="10">
        <f t="shared" si="4"/>
        <v>6.3314250000000002E-2</v>
      </c>
    </row>
    <row r="178" spans="1:3" x14ac:dyDescent="0.25">
      <c r="A178">
        <v>1683.0401400000001</v>
      </c>
      <c r="B178" s="10">
        <v>0.40239999999999998</v>
      </c>
      <c r="C178" s="10">
        <f t="shared" si="4"/>
        <v>7.1425999999999989E-2</v>
      </c>
    </row>
    <row r="179" spans="1:3" x14ac:dyDescent="0.25">
      <c r="A179">
        <v>1683.0901699999999</v>
      </c>
      <c r="B179" s="10">
        <v>0.45040000000000002</v>
      </c>
      <c r="C179" s="10">
        <f t="shared" si="4"/>
        <v>7.9946000000000003E-2</v>
      </c>
    </row>
    <row r="180" spans="1:3" x14ac:dyDescent="0.25">
      <c r="A180">
        <v>1683.14021</v>
      </c>
      <c r="B180" s="10">
        <v>0.5</v>
      </c>
      <c r="C180" s="10">
        <f t="shared" si="4"/>
        <v>8.8749999999999996E-2</v>
      </c>
    </row>
    <row r="181" spans="1:3" x14ac:dyDescent="0.25">
      <c r="A181">
        <v>1683.1902399999999</v>
      </c>
      <c r="B181" s="10">
        <v>0.55079999999999996</v>
      </c>
      <c r="C181" s="10">
        <f t="shared" si="4"/>
        <v>9.7766999999999993E-2</v>
      </c>
    </row>
    <row r="182" spans="1:3" x14ac:dyDescent="0.25">
      <c r="A182">
        <v>1683.24027</v>
      </c>
      <c r="B182" s="10">
        <v>0.6018</v>
      </c>
      <c r="C182" s="10">
        <f t="shared" si="4"/>
        <v>0.1068195</v>
      </c>
    </row>
    <row r="183" spans="1:3" x14ac:dyDescent="0.25">
      <c r="A183">
        <v>1683.2902999999999</v>
      </c>
      <c r="B183" s="10">
        <v>0.65259999999999996</v>
      </c>
      <c r="C183" s="10">
        <f t="shared" si="4"/>
        <v>0.11583649999999998</v>
      </c>
    </row>
    <row r="184" spans="1:3" x14ac:dyDescent="0.25">
      <c r="A184">
        <v>1683.34033</v>
      </c>
      <c r="B184" s="10">
        <v>0.70220000000000005</v>
      </c>
      <c r="C184" s="10">
        <f t="shared" si="4"/>
        <v>0.1246405</v>
      </c>
    </row>
    <row r="185" spans="1:3" x14ac:dyDescent="0.25">
      <c r="A185">
        <v>1683.3903600000001</v>
      </c>
      <c r="B185" s="10">
        <v>0.75019999999999998</v>
      </c>
      <c r="C185" s="10">
        <f t="shared" si="4"/>
        <v>0.13316049999999999</v>
      </c>
    </row>
    <row r="186" spans="1:3" x14ac:dyDescent="0.25">
      <c r="A186">
        <v>1683.44039</v>
      </c>
      <c r="B186" s="10">
        <v>0.79579999999999995</v>
      </c>
      <c r="C186" s="10">
        <f t="shared" si="4"/>
        <v>0.14125449999999998</v>
      </c>
    </row>
    <row r="187" spans="1:3" x14ac:dyDescent="0.25">
      <c r="A187">
        <v>1683.4904300000001</v>
      </c>
      <c r="B187" s="10">
        <v>0.83840000000000003</v>
      </c>
      <c r="C187" s="10">
        <f t="shared" si="4"/>
        <v>0.148816</v>
      </c>
    </row>
    <row r="188" spans="1:3" x14ac:dyDescent="0.25">
      <c r="A188">
        <v>1683.5404599999999</v>
      </c>
      <c r="B188" s="10">
        <v>0.87770000000000004</v>
      </c>
      <c r="C188" s="10">
        <f t="shared" si="4"/>
        <v>0.15579175000000001</v>
      </c>
    </row>
    <row r="189" spans="1:3" x14ac:dyDescent="0.25">
      <c r="A189">
        <v>1683.59049</v>
      </c>
      <c r="B189" s="10">
        <v>0.9133</v>
      </c>
      <c r="C189" s="10">
        <f t="shared" si="4"/>
        <v>0.16211075</v>
      </c>
    </row>
    <row r="190" spans="1:3" x14ac:dyDescent="0.25">
      <c r="A190">
        <v>1683.6405199999999</v>
      </c>
      <c r="B190" s="10">
        <v>0.94489999999999996</v>
      </c>
      <c r="C190" s="10">
        <f t="shared" si="4"/>
        <v>0.16771974999999997</v>
      </c>
    </row>
    <row r="191" spans="1:3" x14ac:dyDescent="0.25">
      <c r="A191">
        <v>1683.69055</v>
      </c>
      <c r="B191" s="10">
        <v>0.97240000000000004</v>
      </c>
      <c r="C191" s="10">
        <f t="shared" si="4"/>
        <v>0.172601</v>
      </c>
    </row>
    <row r="192" spans="1:3" x14ac:dyDescent="0.25">
      <c r="A192">
        <v>1683.7405799999999</v>
      </c>
      <c r="B192" s="10">
        <v>0.996</v>
      </c>
      <c r="C192" s="10">
        <f t="shared" si="4"/>
        <v>0.17679</v>
      </c>
    </row>
    <row r="193" spans="1:3" x14ac:dyDescent="0.25">
      <c r="A193">
        <v>1683.79062</v>
      </c>
      <c r="B193" s="10">
        <v>1.016</v>
      </c>
      <c r="C193" s="10">
        <f t="shared" si="4"/>
        <v>0.18034</v>
      </c>
    </row>
    <row r="194" spans="1:3" x14ac:dyDescent="0.25">
      <c r="A194">
        <v>1683.8406500000001</v>
      </c>
      <c r="B194" s="10">
        <v>1.0309999999999999</v>
      </c>
      <c r="C194" s="10">
        <f t="shared" si="4"/>
        <v>0.18300249999999998</v>
      </c>
    </row>
    <row r="195" spans="1:3" x14ac:dyDescent="0.25">
      <c r="A195">
        <v>1683.89068</v>
      </c>
      <c r="B195" s="10">
        <v>1.044</v>
      </c>
      <c r="C195" s="10">
        <f t="shared" ref="C195:C258" si="5">B195*0.1775</f>
        <v>0.18531</v>
      </c>
    </row>
    <row r="196" spans="1:3" x14ac:dyDescent="0.25">
      <c r="A196">
        <v>1683.9407100000001</v>
      </c>
      <c r="B196" s="10">
        <v>1.0529999999999999</v>
      </c>
      <c r="C196" s="10">
        <f t="shared" si="5"/>
        <v>0.18690749999999998</v>
      </c>
    </row>
    <row r="197" spans="1:3" x14ac:dyDescent="0.25">
      <c r="A197">
        <v>1683.99074</v>
      </c>
      <c r="B197" s="10">
        <v>1.06</v>
      </c>
      <c r="C197" s="10">
        <f t="shared" si="5"/>
        <v>0.18815000000000001</v>
      </c>
    </row>
    <row r="198" spans="1:3" x14ac:dyDescent="0.25">
      <c r="A198">
        <v>1684.0407700000001</v>
      </c>
      <c r="B198" s="10">
        <v>1.0640000000000001</v>
      </c>
      <c r="C198" s="10">
        <f t="shared" si="5"/>
        <v>0.18886</v>
      </c>
    </row>
    <row r="199" spans="1:3" x14ac:dyDescent="0.25">
      <c r="A199">
        <v>1684.0907999999999</v>
      </c>
      <c r="B199" s="10">
        <v>1.0660000000000001</v>
      </c>
      <c r="C199" s="10">
        <f t="shared" si="5"/>
        <v>0.18921499999999999</v>
      </c>
    </row>
    <row r="200" spans="1:3" x14ac:dyDescent="0.25">
      <c r="A200">
        <v>1684.14084</v>
      </c>
      <c r="B200" s="10">
        <v>1.0660000000000001</v>
      </c>
      <c r="C200" s="10">
        <f t="shared" si="5"/>
        <v>0.18921499999999999</v>
      </c>
    </row>
    <row r="201" spans="1:3" x14ac:dyDescent="0.25">
      <c r="A201">
        <v>1684.1908699999999</v>
      </c>
      <c r="B201" s="10">
        <v>1.0649999999999999</v>
      </c>
      <c r="C201" s="10">
        <f t="shared" si="5"/>
        <v>0.18903749999999997</v>
      </c>
    </row>
    <row r="202" spans="1:3" x14ac:dyDescent="0.25">
      <c r="A202">
        <v>1684.2409</v>
      </c>
      <c r="B202" s="10">
        <v>1.0629999999999999</v>
      </c>
      <c r="C202" s="10">
        <f t="shared" si="5"/>
        <v>0.18868249999999998</v>
      </c>
    </row>
    <row r="203" spans="1:3" x14ac:dyDescent="0.25">
      <c r="A203">
        <v>1684.2909299999999</v>
      </c>
      <c r="B203" s="10">
        <v>1.0609999999999999</v>
      </c>
      <c r="C203" s="10">
        <f t="shared" si="5"/>
        <v>0.18832749999999998</v>
      </c>
    </row>
    <row r="204" spans="1:3" x14ac:dyDescent="0.25">
      <c r="A204">
        <v>1684.34096</v>
      </c>
      <c r="B204" s="10">
        <v>1.0580000000000001</v>
      </c>
      <c r="C204" s="10">
        <f t="shared" si="5"/>
        <v>0.18779499999999999</v>
      </c>
    </row>
    <row r="205" spans="1:3" x14ac:dyDescent="0.25">
      <c r="A205">
        <v>1684.3909900000001</v>
      </c>
      <c r="B205" s="10">
        <v>1.054</v>
      </c>
      <c r="C205" s="10">
        <f t="shared" si="5"/>
        <v>0.187085</v>
      </c>
    </row>
    <row r="206" spans="1:3" x14ac:dyDescent="0.25">
      <c r="A206">
        <v>1684.44102</v>
      </c>
      <c r="B206" s="10">
        <v>1.05</v>
      </c>
      <c r="C206" s="10">
        <f t="shared" si="5"/>
        <v>0.18637499999999999</v>
      </c>
    </row>
    <row r="207" spans="1:3" x14ac:dyDescent="0.25">
      <c r="A207">
        <v>1684.4910600000001</v>
      </c>
      <c r="B207" s="10">
        <v>1.0469999999999999</v>
      </c>
      <c r="C207" s="10">
        <f t="shared" si="5"/>
        <v>0.18584249999999997</v>
      </c>
    </row>
    <row r="208" spans="1:3" x14ac:dyDescent="0.25">
      <c r="A208">
        <v>1684.5410899999999</v>
      </c>
      <c r="B208" s="10">
        <v>1.0429999999999999</v>
      </c>
      <c r="C208" s="10">
        <f t="shared" si="5"/>
        <v>0.18513249999999998</v>
      </c>
    </row>
    <row r="209" spans="1:3" x14ac:dyDescent="0.25">
      <c r="A209">
        <v>1684.59112</v>
      </c>
      <c r="B209" s="10">
        <v>1.0389999999999999</v>
      </c>
      <c r="C209" s="10">
        <f t="shared" si="5"/>
        <v>0.18442249999999999</v>
      </c>
    </row>
    <row r="210" spans="1:3" x14ac:dyDescent="0.25">
      <c r="A210">
        <v>1684.6411499999999</v>
      </c>
      <c r="B210" s="10">
        <v>1.036</v>
      </c>
      <c r="C210" s="10">
        <f t="shared" si="5"/>
        <v>0.18389</v>
      </c>
    </row>
    <row r="211" spans="1:3" x14ac:dyDescent="0.25">
      <c r="A211">
        <v>1684.69118</v>
      </c>
      <c r="B211" s="10">
        <v>1.0329999999999999</v>
      </c>
      <c r="C211" s="10">
        <f t="shared" si="5"/>
        <v>0.18335749999999998</v>
      </c>
    </row>
    <row r="212" spans="1:3" x14ac:dyDescent="0.25">
      <c r="A212">
        <v>1684.7412099999999</v>
      </c>
      <c r="B212" s="10">
        <v>1.0289999999999999</v>
      </c>
      <c r="C212" s="10">
        <f t="shared" si="5"/>
        <v>0.18264749999999996</v>
      </c>
    </row>
    <row r="213" spans="1:3" x14ac:dyDescent="0.25">
      <c r="A213">
        <v>1684.79124</v>
      </c>
      <c r="B213" s="10">
        <v>1.026</v>
      </c>
      <c r="C213" s="10">
        <f t="shared" si="5"/>
        <v>0.182115</v>
      </c>
    </row>
    <row r="214" spans="1:3" x14ac:dyDescent="0.25">
      <c r="A214">
        <v>1684.8412800000001</v>
      </c>
      <c r="B214" s="10">
        <v>1.024</v>
      </c>
      <c r="C214" s="10">
        <f t="shared" si="5"/>
        <v>0.18176</v>
      </c>
    </row>
    <row r="215" spans="1:3" x14ac:dyDescent="0.25">
      <c r="A215">
        <v>1684.89131</v>
      </c>
      <c r="B215" s="10">
        <v>1.0209999999999999</v>
      </c>
      <c r="C215" s="10">
        <f t="shared" si="5"/>
        <v>0.18122749999999999</v>
      </c>
    </row>
    <row r="216" spans="1:3" x14ac:dyDescent="0.25">
      <c r="A216">
        <v>1684.9413400000001</v>
      </c>
      <c r="B216" s="10">
        <v>1.0189999999999999</v>
      </c>
      <c r="C216" s="10">
        <f t="shared" si="5"/>
        <v>0.18087249999999996</v>
      </c>
    </row>
    <row r="217" spans="1:3" x14ac:dyDescent="0.25">
      <c r="A217">
        <v>1684.99137</v>
      </c>
      <c r="B217" s="10">
        <v>1.0169999999999999</v>
      </c>
      <c r="C217" s="10">
        <f t="shared" si="5"/>
        <v>0.18051749999999997</v>
      </c>
    </row>
    <row r="218" spans="1:3" x14ac:dyDescent="0.25">
      <c r="A218">
        <v>1685.0414000000001</v>
      </c>
      <c r="B218" s="10">
        <v>1.0149999999999999</v>
      </c>
      <c r="C218" s="10">
        <f t="shared" si="5"/>
        <v>0.18016249999999998</v>
      </c>
    </row>
    <row r="219" spans="1:3" x14ac:dyDescent="0.25">
      <c r="A219">
        <v>1685.0914299999999</v>
      </c>
      <c r="B219" s="10">
        <v>1.0129999999999999</v>
      </c>
      <c r="C219" s="10">
        <f t="shared" si="5"/>
        <v>0.17980749999999998</v>
      </c>
    </row>
    <row r="220" spans="1:3" x14ac:dyDescent="0.25">
      <c r="A220">
        <v>1685.14147</v>
      </c>
      <c r="B220" s="10">
        <v>1.0109999999999999</v>
      </c>
      <c r="C220" s="10">
        <f t="shared" si="5"/>
        <v>0.17945249999999996</v>
      </c>
    </row>
    <row r="221" spans="1:3" x14ac:dyDescent="0.25">
      <c r="A221">
        <v>1685.1914999999999</v>
      </c>
      <c r="B221" s="10">
        <v>1.0089999999999999</v>
      </c>
      <c r="C221" s="10">
        <f t="shared" si="5"/>
        <v>0.17909749999999997</v>
      </c>
    </row>
    <row r="222" spans="1:3" x14ac:dyDescent="0.25">
      <c r="A222">
        <v>1685.24153</v>
      </c>
      <c r="B222" s="10">
        <v>1.008</v>
      </c>
      <c r="C222" s="10">
        <f t="shared" si="5"/>
        <v>0.17892</v>
      </c>
    </row>
    <row r="223" spans="1:3" x14ac:dyDescent="0.25">
      <c r="A223">
        <v>1685.2915599999999</v>
      </c>
      <c r="B223" s="10">
        <v>1.0069999999999999</v>
      </c>
      <c r="C223" s="10">
        <f t="shared" si="5"/>
        <v>0.17874249999999997</v>
      </c>
    </row>
    <row r="224" spans="1:3" x14ac:dyDescent="0.25">
      <c r="A224">
        <v>1685.34159</v>
      </c>
      <c r="B224" s="10">
        <v>1.0049999999999999</v>
      </c>
      <c r="C224" s="10">
        <f t="shared" si="5"/>
        <v>0.17838749999999998</v>
      </c>
    </row>
    <row r="225" spans="1:3" x14ac:dyDescent="0.25">
      <c r="A225">
        <v>1685.3916200000001</v>
      </c>
      <c r="B225" s="10">
        <v>1.004</v>
      </c>
      <c r="C225" s="10">
        <f t="shared" si="5"/>
        <v>0.17820999999999998</v>
      </c>
    </row>
    <row r="226" spans="1:3" x14ac:dyDescent="0.25">
      <c r="A226">
        <v>1685.44165</v>
      </c>
      <c r="B226" s="10">
        <v>1.0029999999999999</v>
      </c>
      <c r="C226" s="10">
        <f t="shared" si="5"/>
        <v>0.17803249999999998</v>
      </c>
    </row>
    <row r="227" spans="1:3" x14ac:dyDescent="0.25">
      <c r="A227">
        <v>1685.4916900000001</v>
      </c>
      <c r="B227" s="10">
        <v>1.002</v>
      </c>
      <c r="C227" s="10">
        <f t="shared" si="5"/>
        <v>0.17785499999999999</v>
      </c>
    </row>
    <row r="228" spans="1:3" x14ac:dyDescent="0.25">
      <c r="A228">
        <v>1685.5417199999999</v>
      </c>
      <c r="B228" s="10">
        <v>1.0009999999999999</v>
      </c>
      <c r="C228" s="10">
        <f t="shared" si="5"/>
        <v>0.17767749999999996</v>
      </c>
    </row>
    <row r="229" spans="1:3" x14ac:dyDescent="0.25">
      <c r="A229">
        <v>1685.59175</v>
      </c>
      <c r="B229" s="10">
        <v>1.0009999999999999</v>
      </c>
      <c r="C229" s="10">
        <f t="shared" si="5"/>
        <v>0.17767749999999996</v>
      </c>
    </row>
    <row r="230" spans="1:3" x14ac:dyDescent="0.25">
      <c r="A230">
        <v>1685.6417799999999</v>
      </c>
      <c r="B230" s="10">
        <v>0.99990000000000001</v>
      </c>
      <c r="C230" s="10">
        <f t="shared" si="5"/>
        <v>0.17748224999999998</v>
      </c>
    </row>
    <row r="231" spans="1:3" x14ac:dyDescent="0.25">
      <c r="A231">
        <v>1685.69181</v>
      </c>
      <c r="B231" s="10">
        <v>0.99919999999999998</v>
      </c>
      <c r="C231" s="10">
        <f t="shared" si="5"/>
        <v>0.17735799999999999</v>
      </c>
    </row>
    <row r="232" spans="1:3" x14ac:dyDescent="0.25">
      <c r="A232">
        <v>1685.7418399999999</v>
      </c>
      <c r="B232" s="10">
        <v>0.99860000000000004</v>
      </c>
      <c r="C232" s="10">
        <f t="shared" si="5"/>
        <v>0.17725150000000001</v>
      </c>
    </row>
    <row r="233" spans="1:3" x14ac:dyDescent="0.25">
      <c r="A233">
        <v>1685.79187</v>
      </c>
      <c r="B233" s="10">
        <v>0.99809999999999999</v>
      </c>
      <c r="C233" s="10">
        <f t="shared" si="5"/>
        <v>0.17716274999999998</v>
      </c>
    </row>
    <row r="234" spans="1:3" x14ac:dyDescent="0.25">
      <c r="A234">
        <v>1685.8419100000001</v>
      </c>
      <c r="B234" s="10">
        <v>0.99760000000000004</v>
      </c>
      <c r="C234" s="10">
        <f t="shared" si="5"/>
        <v>0.17707400000000001</v>
      </c>
    </row>
    <row r="235" spans="1:3" x14ac:dyDescent="0.25">
      <c r="A235">
        <v>1685.89194</v>
      </c>
      <c r="B235" s="10">
        <v>0.99719999999999998</v>
      </c>
      <c r="C235" s="10">
        <f t="shared" si="5"/>
        <v>0.17700299999999999</v>
      </c>
    </row>
    <row r="236" spans="1:3" x14ac:dyDescent="0.25">
      <c r="A236">
        <v>1685.9419700000001</v>
      </c>
      <c r="B236" s="10">
        <v>0.99690000000000001</v>
      </c>
      <c r="C236" s="10">
        <f t="shared" si="5"/>
        <v>0.17694974999999999</v>
      </c>
    </row>
    <row r="237" spans="1:3" x14ac:dyDescent="0.25">
      <c r="A237">
        <v>1685.992</v>
      </c>
      <c r="B237" s="10">
        <v>0.99650000000000005</v>
      </c>
      <c r="C237" s="10">
        <f t="shared" si="5"/>
        <v>0.17687875</v>
      </c>
    </row>
    <row r="238" spans="1:3" x14ac:dyDescent="0.25">
      <c r="A238">
        <v>1686.0420300000001</v>
      </c>
      <c r="B238" s="10">
        <v>0.99629999999999996</v>
      </c>
      <c r="C238" s="10">
        <f t="shared" si="5"/>
        <v>0.17684324999999998</v>
      </c>
    </row>
    <row r="239" spans="1:3" x14ac:dyDescent="0.25">
      <c r="A239">
        <v>1686.0920599999999</v>
      </c>
      <c r="B239" s="10">
        <v>0.99609999999999999</v>
      </c>
      <c r="C239" s="10">
        <f t="shared" si="5"/>
        <v>0.17680774999999999</v>
      </c>
    </row>
    <row r="240" spans="1:3" x14ac:dyDescent="0.25">
      <c r="A240">
        <v>1686.1420900000001</v>
      </c>
      <c r="B240" s="10">
        <v>0.99590000000000001</v>
      </c>
      <c r="C240" s="10">
        <f t="shared" si="5"/>
        <v>0.17677224999999999</v>
      </c>
    </row>
    <row r="241" spans="1:3" x14ac:dyDescent="0.25">
      <c r="A241">
        <v>1686.1921299999999</v>
      </c>
      <c r="B241" s="10">
        <v>0.99570000000000003</v>
      </c>
      <c r="C241" s="10">
        <f t="shared" si="5"/>
        <v>0.17673675</v>
      </c>
    </row>
    <row r="242" spans="1:3" x14ac:dyDescent="0.25">
      <c r="A242">
        <v>1686.24216</v>
      </c>
      <c r="B242" s="10">
        <v>0.99560000000000004</v>
      </c>
      <c r="C242" s="10">
        <f t="shared" si="5"/>
        <v>0.17671899999999999</v>
      </c>
    </row>
    <row r="243" spans="1:3" x14ac:dyDescent="0.25">
      <c r="A243">
        <v>1686.2921899999999</v>
      </c>
      <c r="B243" s="10">
        <v>0.99560000000000004</v>
      </c>
      <c r="C243" s="10">
        <f t="shared" si="5"/>
        <v>0.17671899999999999</v>
      </c>
    </row>
    <row r="244" spans="1:3" x14ac:dyDescent="0.25">
      <c r="A244">
        <v>1686.34222</v>
      </c>
      <c r="B244" s="10">
        <v>0.99560000000000004</v>
      </c>
      <c r="C244" s="10">
        <f t="shared" si="5"/>
        <v>0.17671899999999999</v>
      </c>
    </row>
    <row r="245" spans="1:3" x14ac:dyDescent="0.25">
      <c r="A245">
        <v>1686.3922500000001</v>
      </c>
      <c r="B245" s="10">
        <v>0.99560000000000004</v>
      </c>
      <c r="C245" s="10">
        <f t="shared" si="5"/>
        <v>0.17671899999999999</v>
      </c>
    </row>
    <row r="246" spans="1:3" x14ac:dyDescent="0.25">
      <c r="A246">
        <v>1686.44228</v>
      </c>
      <c r="B246" s="10">
        <v>0.99560000000000004</v>
      </c>
      <c r="C246" s="10">
        <f t="shared" si="5"/>
        <v>0.17671899999999999</v>
      </c>
    </row>
    <row r="247" spans="1:3" x14ac:dyDescent="0.25">
      <c r="A247">
        <v>1686.4923200000001</v>
      </c>
      <c r="B247" s="10">
        <v>0.99560000000000004</v>
      </c>
      <c r="C247" s="10">
        <f t="shared" si="5"/>
        <v>0.17671899999999999</v>
      </c>
    </row>
    <row r="248" spans="1:3" x14ac:dyDescent="0.25">
      <c r="A248">
        <v>1686.5423499999999</v>
      </c>
      <c r="B248" s="10">
        <v>0.99570000000000003</v>
      </c>
      <c r="C248" s="10">
        <f t="shared" si="5"/>
        <v>0.17673675</v>
      </c>
    </row>
    <row r="249" spans="1:3" x14ac:dyDescent="0.25">
      <c r="A249">
        <v>1686.59238</v>
      </c>
      <c r="B249" s="10">
        <v>0.99580000000000002</v>
      </c>
      <c r="C249" s="10">
        <f t="shared" si="5"/>
        <v>0.17675449999999998</v>
      </c>
    </row>
    <row r="250" spans="1:3" x14ac:dyDescent="0.25">
      <c r="A250">
        <v>1686.6424099999999</v>
      </c>
      <c r="B250" s="10">
        <v>0.99590000000000001</v>
      </c>
      <c r="C250" s="10">
        <f t="shared" si="5"/>
        <v>0.17677224999999999</v>
      </c>
    </row>
    <row r="251" spans="1:3" x14ac:dyDescent="0.25">
      <c r="A251">
        <v>1686.69244</v>
      </c>
      <c r="B251" s="10">
        <v>0.99609999999999999</v>
      </c>
      <c r="C251" s="10">
        <f t="shared" si="5"/>
        <v>0.17680774999999999</v>
      </c>
    </row>
    <row r="252" spans="1:3" x14ac:dyDescent="0.25">
      <c r="A252">
        <v>1686.7424699999999</v>
      </c>
      <c r="B252" s="10">
        <v>0.99619999999999997</v>
      </c>
      <c r="C252" s="10">
        <f t="shared" si="5"/>
        <v>0.1768255</v>
      </c>
    </row>
    <row r="253" spans="1:3" x14ac:dyDescent="0.25">
      <c r="A253">
        <v>1686.7925</v>
      </c>
      <c r="B253" s="10">
        <v>0.99639999999999995</v>
      </c>
      <c r="C253" s="10">
        <f t="shared" si="5"/>
        <v>0.17686099999999999</v>
      </c>
    </row>
    <row r="254" spans="1:3" x14ac:dyDescent="0.25">
      <c r="A254">
        <v>1686.8425400000001</v>
      </c>
      <c r="B254" s="10">
        <v>0.99650000000000005</v>
      </c>
      <c r="C254" s="10">
        <f t="shared" si="5"/>
        <v>0.17687875</v>
      </c>
    </row>
    <row r="255" spans="1:3" x14ac:dyDescent="0.25">
      <c r="A255">
        <v>1686.89257</v>
      </c>
      <c r="B255" s="10">
        <v>0.99670000000000003</v>
      </c>
      <c r="C255" s="10">
        <f t="shared" si="5"/>
        <v>0.17691425</v>
      </c>
    </row>
    <row r="256" spans="1:3" x14ac:dyDescent="0.25">
      <c r="A256">
        <v>1686.9426000000001</v>
      </c>
      <c r="B256" s="10">
        <v>0.99690000000000001</v>
      </c>
      <c r="C256" s="10">
        <f t="shared" si="5"/>
        <v>0.17694974999999999</v>
      </c>
    </row>
    <row r="257" spans="1:3" x14ac:dyDescent="0.25">
      <c r="A257">
        <v>1686.99263</v>
      </c>
      <c r="B257" s="10">
        <v>0.997</v>
      </c>
      <c r="C257" s="10">
        <f t="shared" si="5"/>
        <v>0.1769675</v>
      </c>
    </row>
    <row r="258" spans="1:3" x14ac:dyDescent="0.25">
      <c r="A258">
        <v>1687.0426600000001</v>
      </c>
      <c r="B258" s="10">
        <v>0.99719999999999998</v>
      </c>
      <c r="C258" s="10">
        <f t="shared" si="5"/>
        <v>0.17700299999999999</v>
      </c>
    </row>
    <row r="259" spans="1:3" x14ac:dyDescent="0.25">
      <c r="A259">
        <v>1687.0926899999999</v>
      </c>
      <c r="B259" s="10">
        <v>0.99739999999999995</v>
      </c>
      <c r="C259" s="10">
        <f t="shared" ref="C259:C322" si="6">B259*0.1775</f>
        <v>0.17703849999999999</v>
      </c>
    </row>
    <row r="260" spans="1:3" x14ac:dyDescent="0.25">
      <c r="A260">
        <v>1687.1427200000001</v>
      </c>
      <c r="B260" s="10">
        <v>0.99750000000000005</v>
      </c>
      <c r="C260" s="10">
        <f t="shared" si="6"/>
        <v>0.17705625</v>
      </c>
    </row>
    <row r="261" spans="1:3" x14ac:dyDescent="0.25">
      <c r="A261">
        <v>1687.1927599999999</v>
      </c>
      <c r="B261" s="10">
        <v>0.99770000000000003</v>
      </c>
      <c r="C261" s="10">
        <f t="shared" si="6"/>
        <v>0.17709174999999999</v>
      </c>
    </row>
    <row r="262" spans="1:3" x14ac:dyDescent="0.25">
      <c r="A262">
        <v>1687.24279</v>
      </c>
      <c r="B262" s="10">
        <v>0.99790000000000001</v>
      </c>
      <c r="C262" s="10">
        <f t="shared" si="6"/>
        <v>0.17712724999999999</v>
      </c>
    </row>
    <row r="263" spans="1:3" x14ac:dyDescent="0.25">
      <c r="A263">
        <v>1687.2928199999999</v>
      </c>
      <c r="B263" s="10">
        <v>0.998</v>
      </c>
      <c r="C263" s="10">
        <f t="shared" si="6"/>
        <v>0.177145</v>
      </c>
    </row>
    <row r="264" spans="1:3" x14ac:dyDescent="0.25">
      <c r="A264">
        <v>1687.34285</v>
      </c>
      <c r="B264" s="10">
        <v>0.99809999999999999</v>
      </c>
      <c r="C264" s="10">
        <f t="shared" si="6"/>
        <v>0.17716274999999998</v>
      </c>
    </row>
    <row r="265" spans="1:3" x14ac:dyDescent="0.25">
      <c r="A265">
        <v>1687.3928800000001</v>
      </c>
      <c r="B265" s="10">
        <v>0.99829999999999997</v>
      </c>
      <c r="C265" s="10">
        <f t="shared" si="6"/>
        <v>0.17719824999999997</v>
      </c>
    </row>
    <row r="266" spans="1:3" x14ac:dyDescent="0.25">
      <c r="A266">
        <v>1687.44291</v>
      </c>
      <c r="B266" s="10">
        <v>0.99839999999999995</v>
      </c>
      <c r="C266" s="10">
        <f t="shared" si="6"/>
        <v>0.17721599999999998</v>
      </c>
    </row>
    <row r="267" spans="1:3" x14ac:dyDescent="0.25">
      <c r="A267">
        <v>1687.4929400000001</v>
      </c>
      <c r="B267" s="10">
        <v>0.99850000000000005</v>
      </c>
      <c r="C267" s="10">
        <f t="shared" si="6"/>
        <v>0.17723375</v>
      </c>
    </row>
    <row r="268" spans="1:3" x14ac:dyDescent="0.25">
      <c r="A268">
        <v>1687.5429799999999</v>
      </c>
      <c r="B268" s="10">
        <v>0.99860000000000004</v>
      </c>
      <c r="C268" s="10">
        <f t="shared" si="6"/>
        <v>0.17725150000000001</v>
      </c>
    </row>
    <row r="269" spans="1:3" x14ac:dyDescent="0.25">
      <c r="A269">
        <v>1687.59301</v>
      </c>
      <c r="B269" s="10">
        <v>0.99870000000000003</v>
      </c>
      <c r="C269" s="10">
        <f t="shared" si="6"/>
        <v>0.17726924999999999</v>
      </c>
    </row>
    <row r="270" spans="1:3" x14ac:dyDescent="0.25">
      <c r="A270">
        <v>1687.6430399999999</v>
      </c>
      <c r="B270" s="10">
        <v>0.99880000000000002</v>
      </c>
      <c r="C270" s="10">
        <f t="shared" si="6"/>
        <v>0.177287</v>
      </c>
    </row>
    <row r="271" spans="1:3" x14ac:dyDescent="0.25">
      <c r="A271">
        <v>1687.69307</v>
      </c>
      <c r="B271" s="10">
        <v>0.99890000000000001</v>
      </c>
      <c r="C271" s="10">
        <f t="shared" si="6"/>
        <v>0.17730474999999998</v>
      </c>
    </row>
    <row r="272" spans="1:3" x14ac:dyDescent="0.25">
      <c r="A272">
        <v>1687.7430999999999</v>
      </c>
      <c r="B272" s="10">
        <v>0.99890000000000001</v>
      </c>
      <c r="C272" s="10">
        <f t="shared" si="6"/>
        <v>0.17730474999999998</v>
      </c>
    </row>
    <row r="273" spans="1:3" x14ac:dyDescent="0.25">
      <c r="A273">
        <v>1687.79313</v>
      </c>
      <c r="B273" s="10">
        <v>0.999</v>
      </c>
      <c r="C273" s="10">
        <f t="shared" si="6"/>
        <v>0.17732249999999999</v>
      </c>
    </row>
    <row r="274" spans="1:3" x14ac:dyDescent="0.25">
      <c r="A274">
        <v>1687.8431700000001</v>
      </c>
      <c r="B274" s="10">
        <v>0.999</v>
      </c>
      <c r="C274" s="10">
        <f t="shared" si="6"/>
        <v>0.17732249999999999</v>
      </c>
    </row>
    <row r="275" spans="1:3" x14ac:dyDescent="0.25">
      <c r="A275">
        <v>1687.8932</v>
      </c>
      <c r="B275" s="10">
        <v>0.99909999999999999</v>
      </c>
      <c r="C275" s="10">
        <f t="shared" si="6"/>
        <v>0.17734024999999998</v>
      </c>
    </row>
    <row r="276" spans="1:3" x14ac:dyDescent="0.25">
      <c r="A276">
        <v>1687.9432300000001</v>
      </c>
      <c r="B276" s="10">
        <v>0.99909999999999999</v>
      </c>
      <c r="C276" s="10">
        <f t="shared" si="6"/>
        <v>0.17734024999999998</v>
      </c>
    </row>
    <row r="277" spans="1:3" x14ac:dyDescent="0.25">
      <c r="A277">
        <v>1687.99326</v>
      </c>
      <c r="B277" s="10">
        <v>0.99909999999999999</v>
      </c>
      <c r="C277" s="10">
        <f t="shared" si="6"/>
        <v>0.17734024999999998</v>
      </c>
    </row>
    <row r="278" spans="1:3" x14ac:dyDescent="0.25">
      <c r="A278">
        <v>1688.0432900000001</v>
      </c>
      <c r="B278" s="10">
        <v>0.99919999999999998</v>
      </c>
      <c r="C278" s="10">
        <f t="shared" si="6"/>
        <v>0.17735799999999999</v>
      </c>
    </row>
    <row r="279" spans="1:3" x14ac:dyDescent="0.25">
      <c r="A279">
        <v>1688.0933199999999</v>
      </c>
      <c r="B279" s="10">
        <v>0.99919999999999998</v>
      </c>
      <c r="C279" s="10">
        <f t="shared" si="6"/>
        <v>0.17735799999999999</v>
      </c>
    </row>
    <row r="280" spans="1:3" x14ac:dyDescent="0.25">
      <c r="A280">
        <v>1688.1433500000001</v>
      </c>
      <c r="B280" s="10">
        <v>0.99919999999999998</v>
      </c>
      <c r="C280" s="10">
        <f t="shared" si="6"/>
        <v>0.17735799999999999</v>
      </c>
    </row>
    <row r="281" spans="1:3" x14ac:dyDescent="0.25">
      <c r="A281">
        <v>1688.1933899999999</v>
      </c>
      <c r="B281" s="10">
        <v>0.99919999999999998</v>
      </c>
      <c r="C281" s="10">
        <f t="shared" si="6"/>
        <v>0.17735799999999999</v>
      </c>
    </row>
    <row r="282" spans="1:3" x14ac:dyDescent="0.25">
      <c r="A282">
        <v>1688.24342</v>
      </c>
      <c r="B282" s="10">
        <v>0.99919999999999998</v>
      </c>
      <c r="C282" s="10">
        <f t="shared" si="6"/>
        <v>0.17735799999999999</v>
      </c>
    </row>
    <row r="283" spans="1:3" x14ac:dyDescent="0.25">
      <c r="A283">
        <v>1688.2934499999999</v>
      </c>
      <c r="B283" s="10">
        <v>0.99919999999999998</v>
      </c>
      <c r="C283" s="10">
        <f t="shared" si="6"/>
        <v>0.17735799999999999</v>
      </c>
    </row>
    <row r="284" spans="1:3" x14ac:dyDescent="0.25">
      <c r="A284">
        <v>1688.34348</v>
      </c>
      <c r="B284" s="10">
        <v>0.99929999999999997</v>
      </c>
      <c r="C284" s="10">
        <f t="shared" si="6"/>
        <v>0.17737575</v>
      </c>
    </row>
    <row r="285" spans="1:3" x14ac:dyDescent="0.25">
      <c r="A285">
        <v>1688.3935100000001</v>
      </c>
      <c r="B285" s="10">
        <v>0.99929999999999997</v>
      </c>
      <c r="C285" s="10">
        <f t="shared" si="6"/>
        <v>0.17737575</v>
      </c>
    </row>
    <row r="286" spans="1:3" x14ac:dyDescent="0.25">
      <c r="A286">
        <v>1688.44354</v>
      </c>
      <c r="B286" s="10">
        <v>0.99929999999999997</v>
      </c>
      <c r="C286" s="10">
        <f t="shared" si="6"/>
        <v>0.17737575</v>
      </c>
    </row>
    <row r="287" spans="1:3" x14ac:dyDescent="0.25">
      <c r="A287">
        <v>1688.4935700000001</v>
      </c>
      <c r="B287" s="10">
        <v>0.99929999999999997</v>
      </c>
      <c r="C287" s="10">
        <f t="shared" si="6"/>
        <v>0.17737575</v>
      </c>
    </row>
    <row r="288" spans="1:3" x14ac:dyDescent="0.25">
      <c r="A288">
        <v>1688.5436099999999</v>
      </c>
      <c r="B288" s="10">
        <v>0.99929999999999997</v>
      </c>
      <c r="C288" s="10">
        <f t="shared" si="6"/>
        <v>0.17737575</v>
      </c>
    </row>
    <row r="289" spans="1:3" x14ac:dyDescent="0.25">
      <c r="A289">
        <v>1688.5936400000001</v>
      </c>
      <c r="B289" s="10">
        <v>0.99929999999999997</v>
      </c>
      <c r="C289" s="10">
        <f t="shared" si="6"/>
        <v>0.17737575</v>
      </c>
    </row>
    <row r="290" spans="1:3" x14ac:dyDescent="0.25">
      <c r="A290">
        <v>1688.6436699999999</v>
      </c>
      <c r="B290" s="10">
        <v>0.99929999999999997</v>
      </c>
      <c r="C290" s="10">
        <f t="shared" si="6"/>
        <v>0.17737575</v>
      </c>
    </row>
    <row r="291" spans="1:3" x14ac:dyDescent="0.25">
      <c r="A291">
        <v>1688.6937</v>
      </c>
      <c r="B291" s="10">
        <v>0.99929999999999997</v>
      </c>
      <c r="C291" s="10">
        <f t="shared" si="6"/>
        <v>0.17737575</v>
      </c>
    </row>
    <row r="292" spans="1:3" x14ac:dyDescent="0.25">
      <c r="A292">
        <v>1688.7437299999999</v>
      </c>
      <c r="B292" s="10">
        <v>0.99929999999999997</v>
      </c>
      <c r="C292" s="10">
        <f t="shared" si="6"/>
        <v>0.17737575</v>
      </c>
    </row>
    <row r="293" spans="1:3" x14ac:dyDescent="0.25">
      <c r="A293">
        <v>1688.79376</v>
      </c>
      <c r="B293" s="10">
        <v>0.99929999999999997</v>
      </c>
      <c r="C293" s="10">
        <f t="shared" si="6"/>
        <v>0.17737575</v>
      </c>
    </row>
    <row r="294" spans="1:3" x14ac:dyDescent="0.25">
      <c r="A294">
        <v>1688.8437899999999</v>
      </c>
      <c r="B294" s="10">
        <v>0.99919999999999998</v>
      </c>
      <c r="C294" s="10">
        <f t="shared" si="6"/>
        <v>0.17735799999999999</v>
      </c>
    </row>
    <row r="295" spans="1:3" x14ac:dyDescent="0.25">
      <c r="A295">
        <v>1688.89383</v>
      </c>
      <c r="B295" s="10">
        <v>0.99919999999999998</v>
      </c>
      <c r="C295" s="10">
        <f t="shared" si="6"/>
        <v>0.17735799999999999</v>
      </c>
    </row>
    <row r="296" spans="1:3" x14ac:dyDescent="0.25">
      <c r="A296">
        <v>1688.9438600000001</v>
      </c>
      <c r="B296" s="10">
        <v>0.99919999999999998</v>
      </c>
      <c r="C296" s="10">
        <f t="shared" si="6"/>
        <v>0.17735799999999999</v>
      </c>
    </row>
    <row r="297" spans="1:3" x14ac:dyDescent="0.25">
      <c r="A297">
        <v>1688.99389</v>
      </c>
      <c r="B297" s="10">
        <v>0.99919999999999998</v>
      </c>
      <c r="C297" s="10">
        <f t="shared" si="6"/>
        <v>0.17735799999999999</v>
      </c>
    </row>
    <row r="298" spans="1:3" x14ac:dyDescent="0.25">
      <c r="A298">
        <v>1689.0439200000001</v>
      </c>
      <c r="B298" s="10">
        <v>0.99919999999999998</v>
      </c>
      <c r="C298" s="10">
        <f t="shared" si="6"/>
        <v>0.17735799999999999</v>
      </c>
    </row>
    <row r="299" spans="1:3" x14ac:dyDescent="0.25">
      <c r="A299">
        <v>1689.0939499999999</v>
      </c>
      <c r="B299" s="10">
        <v>0.99919999999999998</v>
      </c>
      <c r="C299" s="10">
        <f t="shared" si="6"/>
        <v>0.17735799999999999</v>
      </c>
    </row>
    <row r="300" spans="1:3" x14ac:dyDescent="0.25">
      <c r="A300">
        <v>1689.1439800000001</v>
      </c>
      <c r="B300" s="10">
        <v>0.99919999999999998</v>
      </c>
      <c r="C300" s="10">
        <f t="shared" si="6"/>
        <v>0.17735799999999999</v>
      </c>
    </row>
    <row r="301" spans="1:3" x14ac:dyDescent="0.25">
      <c r="A301">
        <v>1689.1940199999999</v>
      </c>
      <c r="B301" s="10">
        <v>0.99919999999999998</v>
      </c>
      <c r="C301" s="10">
        <f t="shared" si="6"/>
        <v>0.17735799999999999</v>
      </c>
    </row>
    <row r="302" spans="1:3" x14ac:dyDescent="0.25">
      <c r="A302">
        <v>1689.24405</v>
      </c>
      <c r="B302" s="10">
        <v>0.99919999999999998</v>
      </c>
      <c r="C302" s="10">
        <f t="shared" si="6"/>
        <v>0.17735799999999999</v>
      </c>
    </row>
    <row r="303" spans="1:3" x14ac:dyDescent="0.25">
      <c r="A303">
        <v>1689.2940799999999</v>
      </c>
      <c r="B303" s="10">
        <v>0.99919999999999998</v>
      </c>
      <c r="C303" s="10">
        <f t="shared" si="6"/>
        <v>0.17735799999999999</v>
      </c>
    </row>
    <row r="304" spans="1:3" x14ac:dyDescent="0.25">
      <c r="A304">
        <v>1689.34411</v>
      </c>
      <c r="B304" s="10">
        <v>0.99919999999999998</v>
      </c>
      <c r="C304" s="10">
        <f t="shared" si="6"/>
        <v>0.17735799999999999</v>
      </c>
    </row>
    <row r="305" spans="1:3" x14ac:dyDescent="0.25">
      <c r="A305">
        <v>1689.3941400000001</v>
      </c>
      <c r="B305" s="10">
        <v>0.99919999999999998</v>
      </c>
      <c r="C305" s="10">
        <f t="shared" si="6"/>
        <v>0.17735799999999999</v>
      </c>
    </row>
    <row r="306" spans="1:3" x14ac:dyDescent="0.25">
      <c r="A306">
        <v>1689.44417</v>
      </c>
      <c r="B306" s="10">
        <v>0.99919999999999998</v>
      </c>
      <c r="C306" s="10">
        <f t="shared" si="6"/>
        <v>0.17735799999999999</v>
      </c>
    </row>
    <row r="307" spans="1:3" x14ac:dyDescent="0.25">
      <c r="A307">
        <v>1689.4942000000001</v>
      </c>
      <c r="B307" s="10">
        <v>0.99919999999999998</v>
      </c>
      <c r="C307" s="10">
        <f t="shared" si="6"/>
        <v>0.17735799999999999</v>
      </c>
    </row>
    <row r="308" spans="1:3" x14ac:dyDescent="0.25">
      <c r="A308">
        <v>1689.5442399999999</v>
      </c>
      <c r="B308" s="10">
        <v>0.99919999999999998</v>
      </c>
      <c r="C308" s="10">
        <f t="shared" si="6"/>
        <v>0.17735799999999999</v>
      </c>
    </row>
    <row r="309" spans="1:3" x14ac:dyDescent="0.25">
      <c r="A309">
        <v>1689.5942700000001</v>
      </c>
      <c r="B309" s="10">
        <v>0.99919999999999998</v>
      </c>
      <c r="C309" s="10">
        <f t="shared" si="6"/>
        <v>0.17735799999999999</v>
      </c>
    </row>
    <row r="310" spans="1:3" x14ac:dyDescent="0.25">
      <c r="A310">
        <v>1689.6442999999999</v>
      </c>
      <c r="B310" s="10">
        <v>0.99919999999999998</v>
      </c>
      <c r="C310" s="10">
        <f t="shared" si="6"/>
        <v>0.17735799999999999</v>
      </c>
    </row>
    <row r="311" spans="1:3" x14ac:dyDescent="0.25">
      <c r="A311">
        <v>1689.69433</v>
      </c>
      <c r="B311" s="10">
        <v>0.99919999999999998</v>
      </c>
      <c r="C311" s="10">
        <f t="shared" si="6"/>
        <v>0.17735799999999999</v>
      </c>
    </row>
    <row r="312" spans="1:3" x14ac:dyDescent="0.25">
      <c r="A312">
        <v>1689.7443599999999</v>
      </c>
      <c r="B312" s="10">
        <v>0.99919999999999998</v>
      </c>
      <c r="C312" s="10">
        <f t="shared" si="6"/>
        <v>0.17735799999999999</v>
      </c>
    </row>
    <row r="313" spans="1:3" x14ac:dyDescent="0.25">
      <c r="A313">
        <v>1689.79439</v>
      </c>
      <c r="B313" s="10">
        <v>0.99919999999999998</v>
      </c>
      <c r="C313" s="10">
        <f t="shared" si="6"/>
        <v>0.17735799999999999</v>
      </c>
    </row>
    <row r="314" spans="1:3" x14ac:dyDescent="0.25">
      <c r="A314">
        <v>1689.8444199999999</v>
      </c>
      <c r="B314" s="10">
        <v>0.99919999999999998</v>
      </c>
      <c r="C314" s="10">
        <f t="shared" si="6"/>
        <v>0.17735799999999999</v>
      </c>
    </row>
    <row r="315" spans="1:3" x14ac:dyDescent="0.25">
      <c r="A315">
        <v>1689.89446</v>
      </c>
      <c r="B315" s="10">
        <v>0.99919999999999998</v>
      </c>
      <c r="C315" s="10">
        <f t="shared" si="6"/>
        <v>0.17735799999999999</v>
      </c>
    </row>
    <row r="316" spans="1:3" x14ac:dyDescent="0.25">
      <c r="A316">
        <v>1689.9444900000001</v>
      </c>
      <c r="B316" s="10">
        <v>0.99919999999999998</v>
      </c>
      <c r="C316" s="10">
        <f t="shared" si="6"/>
        <v>0.17735799999999999</v>
      </c>
    </row>
    <row r="317" spans="1:3" x14ac:dyDescent="0.25">
      <c r="A317">
        <v>1689.99452</v>
      </c>
      <c r="B317" s="10">
        <v>0.99919999999999998</v>
      </c>
      <c r="C317" s="10">
        <f t="shared" si="6"/>
        <v>0.17735799999999999</v>
      </c>
    </row>
    <row r="318" spans="1:3" x14ac:dyDescent="0.25">
      <c r="A318">
        <v>1690.0445500000001</v>
      </c>
      <c r="B318" s="10">
        <v>0.99919999999999998</v>
      </c>
      <c r="C318" s="10">
        <f t="shared" si="6"/>
        <v>0.17735799999999999</v>
      </c>
    </row>
    <row r="319" spans="1:3" x14ac:dyDescent="0.25">
      <c r="A319">
        <v>1690.09458</v>
      </c>
      <c r="B319" s="10">
        <v>0.99919999999999998</v>
      </c>
      <c r="C319" s="10">
        <f t="shared" si="6"/>
        <v>0.17735799999999999</v>
      </c>
    </row>
    <row r="320" spans="1:3" x14ac:dyDescent="0.25">
      <c r="A320">
        <v>1690.1446100000001</v>
      </c>
      <c r="B320" s="10">
        <v>0.99919999999999998</v>
      </c>
      <c r="C320" s="10">
        <f t="shared" si="6"/>
        <v>0.17735799999999999</v>
      </c>
    </row>
    <row r="321" spans="1:3" x14ac:dyDescent="0.25">
      <c r="A321">
        <v>1690.1946399999999</v>
      </c>
      <c r="B321" s="10">
        <v>0.99919999999999998</v>
      </c>
      <c r="C321" s="10">
        <f t="shared" si="6"/>
        <v>0.17735799999999999</v>
      </c>
    </row>
    <row r="322" spans="1:3" x14ac:dyDescent="0.25">
      <c r="A322">
        <v>1690.24468</v>
      </c>
      <c r="B322" s="10">
        <v>0.99919999999999998</v>
      </c>
      <c r="C322" s="10">
        <f t="shared" si="6"/>
        <v>0.17735799999999999</v>
      </c>
    </row>
    <row r="323" spans="1:3" x14ac:dyDescent="0.25">
      <c r="A323">
        <v>1690.2947099999999</v>
      </c>
      <c r="B323" s="10">
        <v>0.99919999999999998</v>
      </c>
      <c r="C323" s="10">
        <f t="shared" ref="C323:C386" si="7">B323*0.1775</f>
        <v>0.17735799999999999</v>
      </c>
    </row>
    <row r="324" spans="1:3" x14ac:dyDescent="0.25">
      <c r="A324">
        <v>1690.34474</v>
      </c>
      <c r="B324" s="10">
        <v>0.99919999999999998</v>
      </c>
      <c r="C324" s="10">
        <f t="shared" si="7"/>
        <v>0.17735799999999999</v>
      </c>
    </row>
    <row r="325" spans="1:3" x14ac:dyDescent="0.25">
      <c r="A325">
        <v>1690.3947700000001</v>
      </c>
      <c r="B325" s="10">
        <v>0.99919999999999998</v>
      </c>
      <c r="C325" s="10">
        <f t="shared" si="7"/>
        <v>0.17735799999999999</v>
      </c>
    </row>
    <row r="326" spans="1:3" x14ac:dyDescent="0.25">
      <c r="A326">
        <v>1690.4448</v>
      </c>
      <c r="B326" s="10">
        <v>0.99919999999999998</v>
      </c>
      <c r="C326" s="10">
        <f t="shared" si="7"/>
        <v>0.17735799999999999</v>
      </c>
    </row>
    <row r="327" spans="1:3" x14ac:dyDescent="0.25">
      <c r="A327">
        <v>1690.4948300000001</v>
      </c>
      <c r="B327" s="10">
        <v>0.99919999999999998</v>
      </c>
      <c r="C327" s="10">
        <f t="shared" si="7"/>
        <v>0.17735799999999999</v>
      </c>
    </row>
    <row r="328" spans="1:3" x14ac:dyDescent="0.25">
      <c r="A328">
        <v>1690.5448699999999</v>
      </c>
      <c r="B328" s="10">
        <v>0.99919999999999998</v>
      </c>
      <c r="C328" s="10">
        <f t="shared" si="7"/>
        <v>0.17735799999999999</v>
      </c>
    </row>
    <row r="329" spans="1:3" x14ac:dyDescent="0.25">
      <c r="A329">
        <v>1690.5949000000001</v>
      </c>
      <c r="B329" s="10">
        <v>0.99919999999999998</v>
      </c>
      <c r="C329" s="10">
        <f t="shared" si="7"/>
        <v>0.17735799999999999</v>
      </c>
    </row>
    <row r="330" spans="1:3" x14ac:dyDescent="0.25">
      <c r="A330">
        <v>1690.6449299999999</v>
      </c>
      <c r="B330" s="10">
        <v>0.99919999999999998</v>
      </c>
      <c r="C330" s="10">
        <f t="shared" si="7"/>
        <v>0.17735799999999999</v>
      </c>
    </row>
    <row r="331" spans="1:3" x14ac:dyDescent="0.25">
      <c r="A331">
        <v>1690.69496</v>
      </c>
      <c r="B331" s="10">
        <v>0.99919999999999998</v>
      </c>
      <c r="C331" s="10">
        <f t="shared" si="7"/>
        <v>0.17735799999999999</v>
      </c>
    </row>
    <row r="332" spans="1:3" x14ac:dyDescent="0.25">
      <c r="A332">
        <v>1690.7449899999999</v>
      </c>
      <c r="B332" s="10">
        <v>0.99919999999999998</v>
      </c>
      <c r="C332" s="10">
        <f t="shared" si="7"/>
        <v>0.17735799999999999</v>
      </c>
    </row>
    <row r="333" spans="1:3" x14ac:dyDescent="0.25">
      <c r="A333">
        <v>1690.79502</v>
      </c>
      <c r="B333" s="10">
        <v>0.99919999999999998</v>
      </c>
      <c r="C333" s="10">
        <f t="shared" si="7"/>
        <v>0.17735799999999999</v>
      </c>
    </row>
    <row r="334" spans="1:3" x14ac:dyDescent="0.25">
      <c r="A334">
        <v>1690.8450499999999</v>
      </c>
      <c r="B334" s="10">
        <v>0.99919999999999998</v>
      </c>
      <c r="C334" s="10">
        <f t="shared" si="7"/>
        <v>0.17735799999999999</v>
      </c>
    </row>
    <row r="335" spans="1:3" x14ac:dyDescent="0.25">
      <c r="A335">
        <v>1690.89509</v>
      </c>
      <c r="B335" s="10">
        <v>0.99919999999999998</v>
      </c>
      <c r="C335" s="10">
        <f t="shared" si="7"/>
        <v>0.17735799999999999</v>
      </c>
    </row>
    <row r="336" spans="1:3" x14ac:dyDescent="0.25">
      <c r="A336">
        <v>1690.9451200000001</v>
      </c>
      <c r="B336" s="10">
        <v>0.99919999999999998</v>
      </c>
      <c r="C336" s="10">
        <f t="shared" si="7"/>
        <v>0.17735799999999999</v>
      </c>
    </row>
    <row r="337" spans="1:3" x14ac:dyDescent="0.25">
      <c r="A337">
        <v>1690.99515</v>
      </c>
      <c r="B337" s="10">
        <v>0.99919999999999998</v>
      </c>
      <c r="C337" s="10">
        <f t="shared" si="7"/>
        <v>0.17735799999999999</v>
      </c>
    </row>
    <row r="338" spans="1:3" x14ac:dyDescent="0.25">
      <c r="A338">
        <v>1691.0451800000001</v>
      </c>
      <c r="B338" s="10">
        <v>0.99919999999999998</v>
      </c>
      <c r="C338" s="10">
        <f t="shared" si="7"/>
        <v>0.17735799999999999</v>
      </c>
    </row>
    <row r="339" spans="1:3" x14ac:dyDescent="0.25">
      <c r="A339">
        <v>1691.09521</v>
      </c>
      <c r="B339" s="10">
        <v>0.99919999999999998</v>
      </c>
      <c r="C339" s="10">
        <f t="shared" si="7"/>
        <v>0.17735799999999999</v>
      </c>
    </row>
    <row r="340" spans="1:3" x14ac:dyDescent="0.25">
      <c r="A340">
        <v>1691.1452400000001</v>
      </c>
      <c r="B340" s="10">
        <v>0.99919999999999998</v>
      </c>
      <c r="C340" s="10">
        <f t="shared" si="7"/>
        <v>0.17735799999999999</v>
      </c>
    </row>
    <row r="341" spans="1:3" x14ac:dyDescent="0.25">
      <c r="A341">
        <v>1691.1952699999999</v>
      </c>
      <c r="B341" s="10">
        <v>0.99919999999999998</v>
      </c>
      <c r="C341" s="10">
        <f t="shared" si="7"/>
        <v>0.17735799999999999</v>
      </c>
    </row>
    <row r="342" spans="1:3" x14ac:dyDescent="0.25">
      <c r="A342">
        <v>1691.24531</v>
      </c>
      <c r="B342" s="10">
        <v>0.99919999999999998</v>
      </c>
      <c r="C342" s="10">
        <f t="shared" si="7"/>
        <v>0.17735799999999999</v>
      </c>
    </row>
    <row r="343" spans="1:3" x14ac:dyDescent="0.25">
      <c r="A343">
        <v>1691.2953399999999</v>
      </c>
      <c r="B343" s="10">
        <v>0.99919999999999998</v>
      </c>
      <c r="C343" s="10">
        <f t="shared" si="7"/>
        <v>0.17735799999999999</v>
      </c>
    </row>
    <row r="344" spans="1:3" x14ac:dyDescent="0.25">
      <c r="A344">
        <v>1691.34537</v>
      </c>
      <c r="B344" s="10">
        <v>0.99919999999999998</v>
      </c>
      <c r="C344" s="10">
        <f t="shared" si="7"/>
        <v>0.17735799999999999</v>
      </c>
    </row>
    <row r="345" spans="1:3" x14ac:dyDescent="0.25">
      <c r="A345">
        <v>1691.3954000000001</v>
      </c>
      <c r="B345" s="10">
        <v>0.99919999999999998</v>
      </c>
      <c r="C345" s="10">
        <f t="shared" si="7"/>
        <v>0.17735799999999999</v>
      </c>
    </row>
    <row r="346" spans="1:3" x14ac:dyDescent="0.25">
      <c r="A346">
        <v>1691.44543</v>
      </c>
      <c r="B346" s="10">
        <v>0.99919999999999998</v>
      </c>
      <c r="C346" s="10">
        <f t="shared" si="7"/>
        <v>0.17735799999999999</v>
      </c>
    </row>
    <row r="347" spans="1:3" x14ac:dyDescent="0.25">
      <c r="A347">
        <v>1691.4954600000001</v>
      </c>
      <c r="B347" s="10">
        <v>0.99919999999999998</v>
      </c>
      <c r="C347" s="10">
        <f t="shared" si="7"/>
        <v>0.17735799999999999</v>
      </c>
    </row>
    <row r="348" spans="1:3" x14ac:dyDescent="0.25">
      <c r="A348">
        <v>1691.54549</v>
      </c>
      <c r="B348" s="10">
        <v>0.99919999999999998</v>
      </c>
      <c r="C348" s="10">
        <f t="shared" si="7"/>
        <v>0.17735799999999999</v>
      </c>
    </row>
    <row r="349" spans="1:3" x14ac:dyDescent="0.25">
      <c r="A349">
        <v>1691.5955300000001</v>
      </c>
      <c r="B349" s="10">
        <v>0.99919999999999998</v>
      </c>
      <c r="C349" s="10">
        <f t="shared" si="7"/>
        <v>0.17735799999999999</v>
      </c>
    </row>
    <row r="350" spans="1:3" x14ac:dyDescent="0.25">
      <c r="A350">
        <v>1691.6455599999999</v>
      </c>
      <c r="B350" s="10">
        <v>0.99919999999999998</v>
      </c>
      <c r="C350" s="10">
        <f t="shared" si="7"/>
        <v>0.17735799999999999</v>
      </c>
    </row>
    <row r="351" spans="1:3" x14ac:dyDescent="0.25">
      <c r="A351">
        <v>1691.69559</v>
      </c>
      <c r="B351" s="10">
        <v>0.99919999999999998</v>
      </c>
      <c r="C351" s="10">
        <f t="shared" si="7"/>
        <v>0.17735799999999999</v>
      </c>
    </row>
    <row r="352" spans="1:3" x14ac:dyDescent="0.25">
      <c r="A352">
        <v>1691.7456199999999</v>
      </c>
      <c r="B352" s="10">
        <v>0.99919999999999998</v>
      </c>
      <c r="C352" s="10">
        <f t="shared" si="7"/>
        <v>0.17735799999999999</v>
      </c>
    </row>
    <row r="353" spans="1:3" x14ac:dyDescent="0.25">
      <c r="A353">
        <v>1691.79565</v>
      </c>
      <c r="B353" s="10">
        <v>0.99919999999999998</v>
      </c>
      <c r="C353" s="10">
        <f t="shared" si="7"/>
        <v>0.17735799999999999</v>
      </c>
    </row>
    <row r="354" spans="1:3" x14ac:dyDescent="0.25">
      <c r="A354">
        <v>1691.8456799999999</v>
      </c>
      <c r="B354" s="10">
        <v>0.99919999999999998</v>
      </c>
      <c r="C354" s="10">
        <f t="shared" si="7"/>
        <v>0.17735799999999999</v>
      </c>
    </row>
    <row r="355" spans="1:3" x14ac:dyDescent="0.25">
      <c r="A355">
        <v>1691.89572</v>
      </c>
      <c r="B355" s="10">
        <v>0.99919999999999998</v>
      </c>
      <c r="C355" s="10">
        <f t="shared" si="7"/>
        <v>0.17735799999999999</v>
      </c>
    </row>
    <row r="356" spans="1:3" x14ac:dyDescent="0.25">
      <c r="A356">
        <v>1691.9457500000001</v>
      </c>
      <c r="B356" s="10">
        <v>0.99919999999999998</v>
      </c>
      <c r="C356" s="10">
        <f t="shared" si="7"/>
        <v>0.17735799999999999</v>
      </c>
    </row>
    <row r="357" spans="1:3" x14ac:dyDescent="0.25">
      <c r="A357">
        <v>1691.99578</v>
      </c>
      <c r="B357" s="10">
        <v>0.99929999999999997</v>
      </c>
      <c r="C357" s="10">
        <f t="shared" si="7"/>
        <v>0.17737575</v>
      </c>
    </row>
    <row r="358" spans="1:3" x14ac:dyDescent="0.25">
      <c r="A358">
        <v>1692.0458100000001</v>
      </c>
      <c r="B358" s="10">
        <v>0.99929999999999997</v>
      </c>
      <c r="C358" s="10">
        <f t="shared" si="7"/>
        <v>0.17737575</v>
      </c>
    </row>
    <row r="359" spans="1:3" x14ac:dyDescent="0.25">
      <c r="A359">
        <v>1692.09584</v>
      </c>
      <c r="B359" s="10">
        <v>0.99929999999999997</v>
      </c>
      <c r="C359" s="10">
        <f t="shared" si="7"/>
        <v>0.17737575</v>
      </c>
    </row>
    <row r="360" spans="1:3" x14ac:dyDescent="0.25">
      <c r="A360">
        <v>1692.1458700000001</v>
      </c>
      <c r="B360" s="10">
        <v>0.99929999999999997</v>
      </c>
      <c r="C360" s="10">
        <f t="shared" si="7"/>
        <v>0.17737575</v>
      </c>
    </row>
    <row r="361" spans="1:3" x14ac:dyDescent="0.25">
      <c r="A361">
        <v>1692.1958999999999</v>
      </c>
      <c r="B361" s="10">
        <v>0.99929999999999997</v>
      </c>
      <c r="C361" s="10">
        <f t="shared" si="7"/>
        <v>0.17737575</v>
      </c>
    </row>
    <row r="362" spans="1:3" x14ac:dyDescent="0.25">
      <c r="A362">
        <v>1692.24594</v>
      </c>
      <c r="B362" s="10">
        <v>0.99929999999999997</v>
      </c>
      <c r="C362" s="10">
        <f t="shared" si="7"/>
        <v>0.17737575</v>
      </c>
    </row>
    <row r="363" spans="1:3" x14ac:dyDescent="0.25">
      <c r="A363">
        <v>1692.2959699999999</v>
      </c>
      <c r="B363" s="10">
        <v>0.99929999999999997</v>
      </c>
      <c r="C363" s="10">
        <f t="shared" si="7"/>
        <v>0.17737575</v>
      </c>
    </row>
    <row r="364" spans="1:3" x14ac:dyDescent="0.25">
      <c r="A364">
        <v>1692.346</v>
      </c>
      <c r="B364" s="10">
        <v>0.99929999999999997</v>
      </c>
      <c r="C364" s="10">
        <f t="shared" si="7"/>
        <v>0.17737575</v>
      </c>
    </row>
    <row r="365" spans="1:3" x14ac:dyDescent="0.25">
      <c r="A365">
        <v>1692.3960300000001</v>
      </c>
      <c r="B365" s="10">
        <v>0.99929999999999997</v>
      </c>
      <c r="C365" s="10">
        <f t="shared" si="7"/>
        <v>0.17737575</v>
      </c>
    </row>
    <row r="366" spans="1:3" x14ac:dyDescent="0.25">
      <c r="A366">
        <v>1692.44606</v>
      </c>
      <c r="B366" s="10">
        <v>0.99929999999999997</v>
      </c>
      <c r="C366" s="10">
        <f t="shared" si="7"/>
        <v>0.17737575</v>
      </c>
    </row>
    <row r="367" spans="1:3" x14ac:dyDescent="0.25">
      <c r="A367">
        <v>1692.4960900000001</v>
      </c>
      <c r="B367" s="10">
        <v>0.99929999999999997</v>
      </c>
      <c r="C367" s="10">
        <f t="shared" si="7"/>
        <v>0.17737575</v>
      </c>
    </row>
    <row r="368" spans="1:3" x14ac:dyDescent="0.25">
      <c r="A368">
        <v>1692.54612</v>
      </c>
      <c r="B368" s="10">
        <v>0.99929999999999997</v>
      </c>
      <c r="C368" s="10">
        <f t="shared" si="7"/>
        <v>0.17737575</v>
      </c>
    </row>
    <row r="369" spans="1:3" x14ac:dyDescent="0.25">
      <c r="A369">
        <v>1692.5961600000001</v>
      </c>
      <c r="B369" s="10">
        <v>0.99929999999999997</v>
      </c>
      <c r="C369" s="10">
        <f t="shared" si="7"/>
        <v>0.17737575</v>
      </c>
    </row>
    <row r="370" spans="1:3" x14ac:dyDescent="0.25">
      <c r="A370">
        <v>1692.6461899999999</v>
      </c>
      <c r="B370" s="10">
        <v>0.99929999999999997</v>
      </c>
      <c r="C370" s="10">
        <f t="shared" si="7"/>
        <v>0.17737575</v>
      </c>
    </row>
    <row r="371" spans="1:3" x14ac:dyDescent="0.25">
      <c r="A371">
        <v>1692.69622</v>
      </c>
      <c r="B371" s="10">
        <v>0.99929999999999997</v>
      </c>
      <c r="C371" s="10">
        <f t="shared" si="7"/>
        <v>0.17737575</v>
      </c>
    </row>
    <row r="372" spans="1:3" x14ac:dyDescent="0.25">
      <c r="A372">
        <v>1692.7462499999999</v>
      </c>
      <c r="B372" s="10">
        <v>0.99929999999999997</v>
      </c>
      <c r="C372" s="10">
        <f t="shared" si="7"/>
        <v>0.17737575</v>
      </c>
    </row>
    <row r="373" spans="1:3" x14ac:dyDescent="0.25">
      <c r="A373">
        <v>1692.79628</v>
      </c>
      <c r="B373" s="10">
        <v>0.99929999999999997</v>
      </c>
      <c r="C373" s="10">
        <f t="shared" si="7"/>
        <v>0.17737575</v>
      </c>
    </row>
    <row r="374" spans="1:3" x14ac:dyDescent="0.25">
      <c r="A374">
        <v>1692.8463099999999</v>
      </c>
      <c r="B374" s="10">
        <v>0.99929999999999997</v>
      </c>
      <c r="C374" s="10">
        <f t="shared" si="7"/>
        <v>0.17737575</v>
      </c>
    </row>
    <row r="375" spans="1:3" x14ac:dyDescent="0.25">
      <c r="A375">
        <v>1692.89635</v>
      </c>
      <c r="B375" s="10">
        <v>0.99929999999999997</v>
      </c>
      <c r="C375" s="10">
        <f t="shared" si="7"/>
        <v>0.17737575</v>
      </c>
    </row>
    <row r="376" spans="1:3" x14ac:dyDescent="0.25">
      <c r="A376">
        <v>1692.9463800000001</v>
      </c>
      <c r="B376" s="10">
        <v>0.99929999999999997</v>
      </c>
      <c r="C376" s="10">
        <f t="shared" si="7"/>
        <v>0.17737575</v>
      </c>
    </row>
    <row r="377" spans="1:3" x14ac:dyDescent="0.25">
      <c r="A377">
        <v>1692.99641</v>
      </c>
      <c r="B377" s="10">
        <v>0.99929999999999997</v>
      </c>
      <c r="C377" s="10">
        <f t="shared" si="7"/>
        <v>0.17737575</v>
      </c>
    </row>
    <row r="378" spans="1:3" x14ac:dyDescent="0.25">
      <c r="A378">
        <v>1693.0464400000001</v>
      </c>
      <c r="B378" s="10">
        <v>0.99929999999999997</v>
      </c>
      <c r="C378" s="10">
        <f t="shared" si="7"/>
        <v>0.17737575</v>
      </c>
    </row>
    <row r="379" spans="1:3" x14ac:dyDescent="0.25">
      <c r="A379">
        <v>1693.09647</v>
      </c>
      <c r="B379" s="10">
        <v>0.99929999999999997</v>
      </c>
      <c r="C379" s="10">
        <f t="shared" si="7"/>
        <v>0.17737575</v>
      </c>
    </row>
    <row r="380" spans="1:3" x14ac:dyDescent="0.25">
      <c r="A380">
        <v>1693.1465000000001</v>
      </c>
      <c r="B380" s="10">
        <v>0.99929999999999997</v>
      </c>
      <c r="C380" s="10">
        <f t="shared" si="7"/>
        <v>0.17737575</v>
      </c>
    </row>
    <row r="381" spans="1:3" x14ac:dyDescent="0.25">
      <c r="A381">
        <v>1693.1965299999999</v>
      </c>
      <c r="B381" s="10">
        <v>0.99929999999999997</v>
      </c>
      <c r="C381" s="10">
        <f t="shared" si="7"/>
        <v>0.17737575</v>
      </c>
    </row>
    <row r="382" spans="1:3" x14ac:dyDescent="0.25">
      <c r="A382">
        <v>1693.24657</v>
      </c>
      <c r="B382" s="10">
        <v>0.99929999999999997</v>
      </c>
      <c r="C382" s="10">
        <f t="shared" si="7"/>
        <v>0.17737575</v>
      </c>
    </row>
    <row r="383" spans="1:3" x14ac:dyDescent="0.25">
      <c r="A383">
        <v>1693.2965999999999</v>
      </c>
      <c r="B383" s="10">
        <v>0.99929999999999997</v>
      </c>
      <c r="C383" s="10">
        <f t="shared" si="7"/>
        <v>0.17737575</v>
      </c>
    </row>
    <row r="384" spans="1:3" x14ac:dyDescent="0.25">
      <c r="A384">
        <v>1693.34663</v>
      </c>
      <c r="B384" s="10">
        <v>0.99929999999999997</v>
      </c>
      <c r="C384" s="10">
        <f t="shared" si="7"/>
        <v>0.17737575</v>
      </c>
    </row>
    <row r="385" spans="1:3" x14ac:dyDescent="0.25">
      <c r="A385">
        <v>1693.3966600000001</v>
      </c>
      <c r="B385" s="10">
        <v>0.99929999999999997</v>
      </c>
      <c r="C385" s="10">
        <f t="shared" si="7"/>
        <v>0.17737575</v>
      </c>
    </row>
    <row r="386" spans="1:3" x14ac:dyDescent="0.25">
      <c r="A386">
        <v>1693.44669</v>
      </c>
      <c r="B386" s="10">
        <v>0.99929999999999997</v>
      </c>
      <c r="C386" s="10">
        <f t="shared" si="7"/>
        <v>0.17737575</v>
      </c>
    </row>
    <row r="387" spans="1:3" x14ac:dyDescent="0.25">
      <c r="A387">
        <v>1693.4967200000001</v>
      </c>
      <c r="B387" s="10">
        <v>0.99929999999999997</v>
      </c>
      <c r="C387" s="10">
        <f t="shared" ref="C387:C450" si="8">B387*0.1775</f>
        <v>0.17737575</v>
      </c>
    </row>
    <row r="388" spans="1:3" x14ac:dyDescent="0.25">
      <c r="A388">
        <v>1693.54675</v>
      </c>
      <c r="B388" s="10">
        <v>0.99929999999999997</v>
      </c>
      <c r="C388" s="10">
        <f t="shared" si="8"/>
        <v>0.17737575</v>
      </c>
    </row>
    <row r="389" spans="1:3" x14ac:dyDescent="0.25">
      <c r="A389">
        <v>1693.5967900000001</v>
      </c>
      <c r="B389" s="10">
        <v>0.99929999999999997</v>
      </c>
      <c r="C389" s="10">
        <f t="shared" si="8"/>
        <v>0.17737575</v>
      </c>
    </row>
    <row r="390" spans="1:3" x14ac:dyDescent="0.25">
      <c r="A390">
        <v>1693.6468199999999</v>
      </c>
      <c r="B390" s="10">
        <v>0.99929999999999997</v>
      </c>
      <c r="C390" s="10">
        <f t="shared" si="8"/>
        <v>0.17737575</v>
      </c>
    </row>
    <row r="391" spans="1:3" x14ac:dyDescent="0.25">
      <c r="A391">
        <v>1693.69685</v>
      </c>
      <c r="B391" s="10">
        <v>0.99929999999999997</v>
      </c>
      <c r="C391" s="10">
        <f t="shared" si="8"/>
        <v>0.17737575</v>
      </c>
    </row>
    <row r="392" spans="1:3" x14ac:dyDescent="0.25">
      <c r="A392">
        <v>1693.7468799999999</v>
      </c>
      <c r="B392" s="10">
        <v>0.99929999999999997</v>
      </c>
      <c r="C392" s="10">
        <f t="shared" si="8"/>
        <v>0.17737575</v>
      </c>
    </row>
    <row r="393" spans="1:3" x14ac:dyDescent="0.25">
      <c r="A393">
        <v>1693.79691</v>
      </c>
      <c r="B393" s="10">
        <v>0.99929999999999997</v>
      </c>
      <c r="C393" s="10">
        <f t="shared" si="8"/>
        <v>0.17737575</v>
      </c>
    </row>
    <row r="394" spans="1:3" x14ac:dyDescent="0.25">
      <c r="A394">
        <v>1693.8469399999999</v>
      </c>
      <c r="B394" s="10">
        <v>0.99929999999999997</v>
      </c>
      <c r="C394" s="10">
        <f t="shared" si="8"/>
        <v>0.17737575</v>
      </c>
    </row>
    <row r="395" spans="1:3" x14ac:dyDescent="0.25">
      <c r="A395">
        <v>1693.89697</v>
      </c>
      <c r="B395" s="10">
        <v>0.99929999999999997</v>
      </c>
      <c r="C395" s="10">
        <f t="shared" si="8"/>
        <v>0.17737575</v>
      </c>
    </row>
    <row r="396" spans="1:3" x14ac:dyDescent="0.25">
      <c r="A396">
        <v>1693.9470100000001</v>
      </c>
      <c r="B396" s="10">
        <v>0.99929999999999997</v>
      </c>
      <c r="C396" s="10">
        <f t="shared" si="8"/>
        <v>0.17737575</v>
      </c>
    </row>
    <row r="397" spans="1:3" x14ac:dyDescent="0.25">
      <c r="A397">
        <v>1693.99704</v>
      </c>
      <c r="B397" s="10">
        <v>0.99929999999999997</v>
      </c>
      <c r="C397" s="10">
        <f t="shared" si="8"/>
        <v>0.17737575</v>
      </c>
    </row>
    <row r="398" spans="1:3" x14ac:dyDescent="0.25">
      <c r="A398">
        <v>1694.0470700000001</v>
      </c>
      <c r="B398" s="10">
        <v>0.99929999999999997</v>
      </c>
      <c r="C398" s="10">
        <f t="shared" si="8"/>
        <v>0.17737575</v>
      </c>
    </row>
    <row r="399" spans="1:3" x14ac:dyDescent="0.25">
      <c r="A399">
        <v>1694.0971</v>
      </c>
      <c r="B399" s="10">
        <v>0.99929999999999997</v>
      </c>
      <c r="C399" s="10">
        <f t="shared" si="8"/>
        <v>0.17737575</v>
      </c>
    </row>
    <row r="400" spans="1:3" x14ac:dyDescent="0.25">
      <c r="A400">
        <v>1694.1471300000001</v>
      </c>
      <c r="B400" s="10">
        <v>0.99929999999999997</v>
      </c>
      <c r="C400" s="10">
        <f t="shared" si="8"/>
        <v>0.17737575</v>
      </c>
    </row>
    <row r="401" spans="1:3" x14ac:dyDescent="0.25">
      <c r="A401">
        <v>1694.1971599999999</v>
      </c>
      <c r="B401" s="10">
        <v>0.99929999999999997</v>
      </c>
      <c r="C401" s="10">
        <f t="shared" si="8"/>
        <v>0.17737575</v>
      </c>
    </row>
    <row r="402" spans="1:3" x14ac:dyDescent="0.25">
      <c r="A402">
        <v>1694.2472</v>
      </c>
      <c r="B402" s="10">
        <v>0.99929999999999997</v>
      </c>
      <c r="C402" s="10">
        <f t="shared" si="8"/>
        <v>0.17737575</v>
      </c>
    </row>
    <row r="403" spans="1:3" x14ac:dyDescent="0.25">
      <c r="A403">
        <v>1694.2972299999999</v>
      </c>
      <c r="B403" s="10">
        <v>0.99929999999999997</v>
      </c>
      <c r="C403" s="10">
        <f t="shared" si="8"/>
        <v>0.17737575</v>
      </c>
    </row>
    <row r="404" spans="1:3" x14ac:dyDescent="0.25">
      <c r="A404">
        <v>1694.34726</v>
      </c>
      <c r="B404" s="10">
        <v>0.99929999999999997</v>
      </c>
      <c r="C404" s="10">
        <f t="shared" si="8"/>
        <v>0.17737575</v>
      </c>
    </row>
    <row r="405" spans="1:3" x14ac:dyDescent="0.25">
      <c r="A405">
        <v>1694.3972900000001</v>
      </c>
      <c r="B405" s="10">
        <v>0.99929999999999997</v>
      </c>
      <c r="C405" s="10">
        <f t="shared" si="8"/>
        <v>0.17737575</v>
      </c>
    </row>
    <row r="406" spans="1:3" x14ac:dyDescent="0.25">
      <c r="A406">
        <v>1694.44732</v>
      </c>
      <c r="B406" s="10">
        <v>0.99929999999999997</v>
      </c>
      <c r="C406" s="10">
        <f t="shared" si="8"/>
        <v>0.17737575</v>
      </c>
    </row>
    <row r="407" spans="1:3" x14ac:dyDescent="0.25">
      <c r="A407">
        <v>1694.4973500000001</v>
      </c>
      <c r="B407" s="10">
        <v>0.99929999999999997</v>
      </c>
      <c r="C407" s="10">
        <f t="shared" si="8"/>
        <v>0.17737575</v>
      </c>
    </row>
    <row r="408" spans="1:3" x14ac:dyDescent="0.25">
      <c r="A408">
        <v>1694.54738</v>
      </c>
      <c r="B408" s="10">
        <v>0.99929999999999997</v>
      </c>
      <c r="C408" s="10">
        <f t="shared" si="8"/>
        <v>0.17737575</v>
      </c>
    </row>
    <row r="409" spans="1:3" x14ac:dyDescent="0.25">
      <c r="A409">
        <v>1694.5974200000001</v>
      </c>
      <c r="B409" s="10">
        <v>0.99929999999999997</v>
      </c>
      <c r="C409" s="10">
        <f t="shared" si="8"/>
        <v>0.17737575</v>
      </c>
    </row>
    <row r="410" spans="1:3" x14ac:dyDescent="0.25">
      <c r="A410">
        <v>1694.6474499999999</v>
      </c>
      <c r="B410" s="10">
        <v>0.99929999999999997</v>
      </c>
      <c r="C410" s="10">
        <f t="shared" si="8"/>
        <v>0.17737575</v>
      </c>
    </row>
    <row r="411" spans="1:3" x14ac:dyDescent="0.25">
      <c r="A411">
        <v>1694.69748</v>
      </c>
      <c r="B411" s="10">
        <v>0.99929999999999997</v>
      </c>
      <c r="C411" s="10">
        <f t="shared" si="8"/>
        <v>0.17737575</v>
      </c>
    </row>
    <row r="412" spans="1:3" x14ac:dyDescent="0.25">
      <c r="A412">
        <v>1694.7475099999999</v>
      </c>
      <c r="B412" s="10">
        <v>0.99929999999999997</v>
      </c>
      <c r="C412" s="10">
        <f t="shared" si="8"/>
        <v>0.17737575</v>
      </c>
    </row>
    <row r="413" spans="1:3" x14ac:dyDescent="0.25">
      <c r="A413">
        <v>1694.79754</v>
      </c>
      <c r="B413" s="10">
        <v>0.99929999999999997</v>
      </c>
      <c r="C413" s="10">
        <f t="shared" si="8"/>
        <v>0.17737575</v>
      </c>
    </row>
    <row r="414" spans="1:3" x14ac:dyDescent="0.25">
      <c r="A414">
        <v>1694.8475699999999</v>
      </c>
      <c r="B414" s="10">
        <v>0.99929999999999997</v>
      </c>
      <c r="C414" s="10">
        <f t="shared" si="8"/>
        <v>0.17737575</v>
      </c>
    </row>
    <row r="415" spans="1:3" x14ac:dyDescent="0.25">
      <c r="A415">
        <v>1694.8976</v>
      </c>
      <c r="B415" s="10">
        <v>0.99929999999999997</v>
      </c>
      <c r="C415" s="10">
        <f t="shared" si="8"/>
        <v>0.17737575</v>
      </c>
    </row>
    <row r="416" spans="1:3" x14ac:dyDescent="0.25">
      <c r="A416">
        <v>1694.9476400000001</v>
      </c>
      <c r="B416" s="10">
        <v>0.99929999999999997</v>
      </c>
      <c r="C416" s="10">
        <f t="shared" si="8"/>
        <v>0.17737575</v>
      </c>
    </row>
    <row r="417" spans="1:3" x14ac:dyDescent="0.25">
      <c r="A417">
        <v>1694.99767</v>
      </c>
      <c r="B417" s="10">
        <v>0.99929999999999997</v>
      </c>
      <c r="C417" s="10">
        <f t="shared" si="8"/>
        <v>0.17737575</v>
      </c>
    </row>
    <row r="418" spans="1:3" x14ac:dyDescent="0.25">
      <c r="A418">
        <v>1695.0477000000001</v>
      </c>
      <c r="B418" s="10">
        <v>0.99929999999999997</v>
      </c>
      <c r="C418" s="10">
        <f t="shared" si="8"/>
        <v>0.17737575</v>
      </c>
    </row>
    <row r="419" spans="1:3" x14ac:dyDescent="0.25">
      <c r="A419">
        <v>1695.09773</v>
      </c>
      <c r="B419" s="10">
        <v>0.99929999999999997</v>
      </c>
      <c r="C419" s="10">
        <f t="shared" si="8"/>
        <v>0.17737575</v>
      </c>
    </row>
    <row r="420" spans="1:3" x14ac:dyDescent="0.25">
      <c r="A420">
        <v>1695.1477600000001</v>
      </c>
      <c r="B420" s="10">
        <v>0.99929999999999997</v>
      </c>
      <c r="C420" s="10">
        <f t="shared" si="8"/>
        <v>0.17737575</v>
      </c>
    </row>
    <row r="421" spans="1:3" x14ac:dyDescent="0.25">
      <c r="A421">
        <v>1695.1977899999999</v>
      </c>
      <c r="B421" s="10">
        <v>0.99929999999999997</v>
      </c>
      <c r="C421" s="10">
        <f t="shared" si="8"/>
        <v>0.17737575</v>
      </c>
    </row>
    <row r="422" spans="1:3" x14ac:dyDescent="0.25">
      <c r="A422">
        <v>1695.24782</v>
      </c>
      <c r="B422" s="10">
        <v>0.99929999999999997</v>
      </c>
      <c r="C422" s="10">
        <f t="shared" si="8"/>
        <v>0.17737575</v>
      </c>
    </row>
    <row r="423" spans="1:3" x14ac:dyDescent="0.25">
      <c r="A423">
        <v>1695.2978599999999</v>
      </c>
      <c r="B423" s="10">
        <v>0.99929999999999997</v>
      </c>
      <c r="C423" s="10">
        <f t="shared" si="8"/>
        <v>0.17737575</v>
      </c>
    </row>
    <row r="424" spans="1:3" x14ac:dyDescent="0.25">
      <c r="A424">
        <v>1695.34789</v>
      </c>
      <c r="B424" s="10">
        <v>0.99929999999999997</v>
      </c>
      <c r="C424" s="10">
        <f t="shared" si="8"/>
        <v>0.17737575</v>
      </c>
    </row>
    <row r="425" spans="1:3" x14ac:dyDescent="0.25">
      <c r="A425">
        <v>1695.3979200000001</v>
      </c>
      <c r="B425" s="10">
        <v>0.99929999999999997</v>
      </c>
      <c r="C425" s="10">
        <f t="shared" si="8"/>
        <v>0.17737575</v>
      </c>
    </row>
    <row r="426" spans="1:3" x14ac:dyDescent="0.25">
      <c r="A426">
        <v>1695.44795</v>
      </c>
      <c r="B426" s="10">
        <v>0.99929999999999997</v>
      </c>
      <c r="C426" s="10">
        <f t="shared" si="8"/>
        <v>0.17737575</v>
      </c>
    </row>
    <row r="427" spans="1:3" x14ac:dyDescent="0.25">
      <c r="A427">
        <v>1695.4979800000001</v>
      </c>
      <c r="B427" s="10">
        <v>0.99929999999999997</v>
      </c>
      <c r="C427" s="10">
        <f t="shared" si="8"/>
        <v>0.17737575</v>
      </c>
    </row>
    <row r="428" spans="1:3" x14ac:dyDescent="0.25">
      <c r="A428">
        <v>1695.54801</v>
      </c>
      <c r="B428" s="10">
        <v>0.99929999999999997</v>
      </c>
      <c r="C428" s="10">
        <f t="shared" si="8"/>
        <v>0.17737575</v>
      </c>
    </row>
    <row r="429" spans="1:3" x14ac:dyDescent="0.25">
      <c r="A429">
        <v>1695.5980500000001</v>
      </c>
      <c r="B429" s="10">
        <v>0.99929999999999997</v>
      </c>
      <c r="C429" s="10">
        <f t="shared" si="8"/>
        <v>0.17737575</v>
      </c>
    </row>
    <row r="430" spans="1:3" x14ac:dyDescent="0.25">
      <c r="A430">
        <v>1695.6480799999999</v>
      </c>
      <c r="B430" s="10">
        <v>0.99929999999999997</v>
      </c>
      <c r="C430" s="10">
        <f t="shared" si="8"/>
        <v>0.17737575</v>
      </c>
    </row>
    <row r="431" spans="1:3" x14ac:dyDescent="0.25">
      <c r="A431">
        <v>1695.69811</v>
      </c>
      <c r="B431" s="10">
        <v>0.99929999999999997</v>
      </c>
      <c r="C431" s="10">
        <f t="shared" si="8"/>
        <v>0.17737575</v>
      </c>
    </row>
    <row r="432" spans="1:3" x14ac:dyDescent="0.25">
      <c r="A432">
        <v>1695.7481399999999</v>
      </c>
      <c r="B432" s="10">
        <v>0.99929999999999997</v>
      </c>
      <c r="C432" s="10">
        <f t="shared" si="8"/>
        <v>0.17737575</v>
      </c>
    </row>
    <row r="433" spans="1:3" x14ac:dyDescent="0.25">
      <c r="A433">
        <v>1695.79817</v>
      </c>
      <c r="B433" s="10">
        <v>0.99929999999999997</v>
      </c>
      <c r="C433" s="10">
        <f t="shared" si="8"/>
        <v>0.17737575</v>
      </c>
    </row>
    <row r="434" spans="1:3" x14ac:dyDescent="0.25">
      <c r="A434">
        <v>1695.8481999999999</v>
      </c>
      <c r="B434" s="10">
        <v>0.99929999999999997</v>
      </c>
      <c r="C434" s="10">
        <f t="shared" si="8"/>
        <v>0.17737575</v>
      </c>
    </row>
    <row r="435" spans="1:3" x14ac:dyDescent="0.25">
      <c r="A435">
        <v>1695.89823</v>
      </c>
      <c r="B435" s="10">
        <v>0.99929999999999997</v>
      </c>
      <c r="C435" s="10">
        <f t="shared" si="8"/>
        <v>0.17737575</v>
      </c>
    </row>
    <row r="436" spans="1:3" x14ac:dyDescent="0.25">
      <c r="A436">
        <v>1695.9482700000001</v>
      </c>
      <c r="B436" s="10">
        <v>0.99929999999999997</v>
      </c>
      <c r="C436" s="10">
        <f t="shared" si="8"/>
        <v>0.17737575</v>
      </c>
    </row>
    <row r="437" spans="1:3" x14ac:dyDescent="0.25">
      <c r="A437">
        <v>1695.9983</v>
      </c>
      <c r="B437" s="10">
        <v>0.99929999999999997</v>
      </c>
      <c r="C437" s="10">
        <f t="shared" si="8"/>
        <v>0.17737575</v>
      </c>
    </row>
    <row r="438" spans="1:3" x14ac:dyDescent="0.25">
      <c r="A438">
        <v>1696.0483300000001</v>
      </c>
      <c r="B438" s="10">
        <v>0.99929999999999997</v>
      </c>
      <c r="C438" s="10">
        <f t="shared" si="8"/>
        <v>0.17737575</v>
      </c>
    </row>
    <row r="439" spans="1:3" x14ac:dyDescent="0.25">
      <c r="A439">
        <v>1696.09836</v>
      </c>
      <c r="B439" s="10">
        <v>0.99929999999999997</v>
      </c>
      <c r="C439" s="10">
        <f t="shared" si="8"/>
        <v>0.17737575</v>
      </c>
    </row>
    <row r="440" spans="1:3" x14ac:dyDescent="0.25">
      <c r="A440">
        <v>1696.1483900000001</v>
      </c>
      <c r="B440" s="10">
        <v>0.99929999999999997</v>
      </c>
      <c r="C440" s="10">
        <f t="shared" si="8"/>
        <v>0.17737575</v>
      </c>
    </row>
    <row r="441" spans="1:3" x14ac:dyDescent="0.25">
      <c r="A441">
        <v>1696.1984199999999</v>
      </c>
      <c r="B441" s="10">
        <v>0.99929999999999997</v>
      </c>
      <c r="C441" s="10">
        <f t="shared" si="8"/>
        <v>0.17737575</v>
      </c>
    </row>
    <row r="442" spans="1:3" x14ac:dyDescent="0.25">
      <c r="A442">
        <v>1696.24845</v>
      </c>
      <c r="B442" s="10">
        <v>0.99929999999999997</v>
      </c>
      <c r="C442" s="10">
        <f t="shared" si="8"/>
        <v>0.17737575</v>
      </c>
    </row>
    <row r="443" spans="1:3" x14ac:dyDescent="0.25">
      <c r="A443">
        <v>1696.2984899999999</v>
      </c>
      <c r="B443" s="10">
        <v>0.99929999999999997</v>
      </c>
      <c r="C443" s="10">
        <f t="shared" si="8"/>
        <v>0.17737575</v>
      </c>
    </row>
    <row r="444" spans="1:3" x14ac:dyDescent="0.25">
      <c r="A444">
        <v>1696.34852</v>
      </c>
      <c r="B444" s="10">
        <v>0.99929999999999997</v>
      </c>
      <c r="C444" s="10">
        <f t="shared" si="8"/>
        <v>0.17737575</v>
      </c>
    </row>
    <row r="445" spans="1:3" x14ac:dyDescent="0.25">
      <c r="A445">
        <v>1696.3985499999999</v>
      </c>
      <c r="B445" s="10">
        <v>0.99929999999999997</v>
      </c>
      <c r="C445" s="10">
        <f t="shared" si="8"/>
        <v>0.17737575</v>
      </c>
    </row>
    <row r="446" spans="1:3" x14ac:dyDescent="0.25">
      <c r="A446">
        <v>1696.44858</v>
      </c>
      <c r="B446" s="10">
        <v>0.99929999999999997</v>
      </c>
      <c r="C446" s="10">
        <f t="shared" si="8"/>
        <v>0.17737575</v>
      </c>
    </row>
    <row r="447" spans="1:3" x14ac:dyDescent="0.25">
      <c r="A447">
        <v>1696.4986100000001</v>
      </c>
      <c r="B447" s="10">
        <v>0.99929999999999997</v>
      </c>
      <c r="C447" s="10">
        <f t="shared" si="8"/>
        <v>0.17737575</v>
      </c>
    </row>
    <row r="448" spans="1:3" x14ac:dyDescent="0.25">
      <c r="A448">
        <v>1696.54864</v>
      </c>
      <c r="B448" s="10">
        <v>0.99929999999999997</v>
      </c>
      <c r="C448" s="10">
        <f t="shared" si="8"/>
        <v>0.17737575</v>
      </c>
    </row>
    <row r="449" spans="1:3" x14ac:dyDescent="0.25">
      <c r="A449">
        <v>1696.5986700000001</v>
      </c>
      <c r="B449" s="10">
        <v>0.99929999999999997</v>
      </c>
      <c r="C449" s="10">
        <f t="shared" si="8"/>
        <v>0.17737575</v>
      </c>
    </row>
    <row r="450" spans="1:3" x14ac:dyDescent="0.25">
      <c r="A450">
        <v>1696.6487099999999</v>
      </c>
      <c r="B450" s="10">
        <v>0.99929999999999997</v>
      </c>
      <c r="C450" s="10">
        <f t="shared" si="8"/>
        <v>0.17737575</v>
      </c>
    </row>
    <row r="451" spans="1:3" x14ac:dyDescent="0.25">
      <c r="A451">
        <v>1696.69874</v>
      </c>
      <c r="B451" s="10">
        <v>0.99929999999999997</v>
      </c>
      <c r="C451" s="10">
        <f t="shared" ref="C451:C514" si="9">B451*0.1775</f>
        <v>0.17737575</v>
      </c>
    </row>
    <row r="452" spans="1:3" x14ac:dyDescent="0.25">
      <c r="A452">
        <v>1696.7487699999999</v>
      </c>
      <c r="B452" s="10">
        <v>0.99929999999999997</v>
      </c>
      <c r="C452" s="10">
        <f t="shared" si="9"/>
        <v>0.17737575</v>
      </c>
    </row>
    <row r="453" spans="1:3" x14ac:dyDescent="0.25">
      <c r="A453">
        <v>1696.7988</v>
      </c>
      <c r="B453" s="10">
        <v>0.99929999999999997</v>
      </c>
      <c r="C453" s="10">
        <f t="shared" si="9"/>
        <v>0.17737575</v>
      </c>
    </row>
    <row r="454" spans="1:3" x14ac:dyDescent="0.25">
      <c r="A454">
        <v>1696.8488299999999</v>
      </c>
      <c r="B454" s="10">
        <v>0.99929999999999997</v>
      </c>
      <c r="C454" s="10">
        <f t="shared" si="9"/>
        <v>0.17737575</v>
      </c>
    </row>
    <row r="455" spans="1:3" x14ac:dyDescent="0.25">
      <c r="A455">
        <v>1696.89886</v>
      </c>
      <c r="B455" s="10">
        <v>0.99929999999999997</v>
      </c>
      <c r="C455" s="10">
        <f t="shared" si="9"/>
        <v>0.17737575</v>
      </c>
    </row>
    <row r="456" spans="1:3" x14ac:dyDescent="0.25">
      <c r="A456">
        <v>1696.9489000000001</v>
      </c>
      <c r="B456" s="10">
        <v>0.99929999999999997</v>
      </c>
      <c r="C456" s="10">
        <f t="shared" si="9"/>
        <v>0.17737575</v>
      </c>
    </row>
    <row r="457" spans="1:3" x14ac:dyDescent="0.25">
      <c r="A457">
        <v>1696.99893</v>
      </c>
      <c r="B457" s="10">
        <v>0.99929999999999997</v>
      </c>
      <c r="C457" s="10">
        <f t="shared" si="9"/>
        <v>0.17737575</v>
      </c>
    </row>
    <row r="458" spans="1:3" x14ac:dyDescent="0.25">
      <c r="A458">
        <v>1697.0489600000001</v>
      </c>
      <c r="B458" s="10">
        <v>0.99929999999999997</v>
      </c>
      <c r="C458" s="10">
        <f t="shared" si="9"/>
        <v>0.17737575</v>
      </c>
    </row>
    <row r="459" spans="1:3" x14ac:dyDescent="0.25">
      <c r="A459">
        <v>1697.09899</v>
      </c>
      <c r="B459" s="10">
        <v>0.99929999999999997</v>
      </c>
      <c r="C459" s="10">
        <f t="shared" si="9"/>
        <v>0.17737575</v>
      </c>
    </row>
    <row r="460" spans="1:3" x14ac:dyDescent="0.25">
      <c r="A460">
        <v>1697.1490200000001</v>
      </c>
      <c r="B460" s="10">
        <v>0.99929999999999997</v>
      </c>
      <c r="C460" s="10">
        <f t="shared" si="9"/>
        <v>0.17737575</v>
      </c>
    </row>
    <row r="461" spans="1:3" x14ac:dyDescent="0.25">
      <c r="A461">
        <v>1697.1990499999999</v>
      </c>
      <c r="B461" s="10">
        <v>0.99929999999999997</v>
      </c>
      <c r="C461" s="10">
        <f t="shared" si="9"/>
        <v>0.17737575</v>
      </c>
    </row>
    <row r="462" spans="1:3" x14ac:dyDescent="0.25">
      <c r="A462">
        <v>1697.24908</v>
      </c>
      <c r="B462" s="10">
        <v>0.99929999999999997</v>
      </c>
      <c r="C462" s="10">
        <f t="shared" si="9"/>
        <v>0.17737575</v>
      </c>
    </row>
    <row r="463" spans="1:3" x14ac:dyDescent="0.25">
      <c r="A463">
        <v>1697.2991199999999</v>
      </c>
      <c r="B463" s="10">
        <v>0.99929999999999997</v>
      </c>
      <c r="C463" s="10">
        <f t="shared" si="9"/>
        <v>0.17737575</v>
      </c>
    </row>
    <row r="464" spans="1:3" x14ac:dyDescent="0.25">
      <c r="A464">
        <v>1697.34915</v>
      </c>
      <c r="B464" s="10">
        <v>0.99929999999999997</v>
      </c>
      <c r="C464" s="10">
        <f t="shared" si="9"/>
        <v>0.17737575</v>
      </c>
    </row>
    <row r="465" spans="1:3" x14ac:dyDescent="0.25">
      <c r="A465">
        <v>1697.3991799999999</v>
      </c>
      <c r="B465" s="10">
        <v>0.99929999999999997</v>
      </c>
      <c r="C465" s="10">
        <f t="shared" si="9"/>
        <v>0.17737575</v>
      </c>
    </row>
    <row r="466" spans="1:3" x14ac:dyDescent="0.25">
      <c r="A466">
        <v>1697.44921</v>
      </c>
      <c r="B466" s="10">
        <v>0.99929999999999997</v>
      </c>
      <c r="C466" s="10">
        <f t="shared" si="9"/>
        <v>0.17737575</v>
      </c>
    </row>
    <row r="467" spans="1:3" x14ac:dyDescent="0.25">
      <c r="A467">
        <v>1697.4992400000001</v>
      </c>
      <c r="B467" s="10">
        <v>0.99929999999999997</v>
      </c>
      <c r="C467" s="10">
        <f t="shared" si="9"/>
        <v>0.17737575</v>
      </c>
    </row>
    <row r="468" spans="1:3" x14ac:dyDescent="0.25">
      <c r="A468">
        <v>1697.54927</v>
      </c>
      <c r="B468" s="10">
        <v>0.99929999999999997</v>
      </c>
      <c r="C468" s="10">
        <f t="shared" si="9"/>
        <v>0.17737575</v>
      </c>
    </row>
    <row r="469" spans="1:3" x14ac:dyDescent="0.25">
      <c r="A469">
        <v>1697.5993000000001</v>
      </c>
      <c r="B469" s="10">
        <v>0.99929999999999997</v>
      </c>
      <c r="C469" s="10">
        <f t="shared" si="9"/>
        <v>0.17737575</v>
      </c>
    </row>
    <row r="470" spans="1:3" x14ac:dyDescent="0.25">
      <c r="A470">
        <v>1697.6493399999999</v>
      </c>
      <c r="B470" s="10">
        <v>0.99929999999999997</v>
      </c>
      <c r="C470" s="10">
        <f t="shared" si="9"/>
        <v>0.17737575</v>
      </c>
    </row>
    <row r="471" spans="1:3" x14ac:dyDescent="0.25">
      <c r="A471">
        <v>1697.69937</v>
      </c>
      <c r="B471" s="10">
        <v>0.99929999999999997</v>
      </c>
      <c r="C471" s="10">
        <f t="shared" si="9"/>
        <v>0.17737575</v>
      </c>
    </row>
    <row r="472" spans="1:3" x14ac:dyDescent="0.25">
      <c r="A472">
        <v>1697.7493999999999</v>
      </c>
      <c r="B472" s="10">
        <v>0.99929999999999997</v>
      </c>
      <c r="C472" s="10">
        <f t="shared" si="9"/>
        <v>0.17737575</v>
      </c>
    </row>
    <row r="473" spans="1:3" x14ac:dyDescent="0.25">
      <c r="A473">
        <v>1697.79943</v>
      </c>
      <c r="B473" s="10">
        <v>0.99929999999999997</v>
      </c>
      <c r="C473" s="10">
        <f t="shared" si="9"/>
        <v>0.17737575</v>
      </c>
    </row>
    <row r="474" spans="1:3" x14ac:dyDescent="0.25">
      <c r="A474">
        <v>1697.8494599999999</v>
      </c>
      <c r="B474" s="10">
        <v>0.99929999999999997</v>
      </c>
      <c r="C474" s="10">
        <f t="shared" si="9"/>
        <v>0.17737575</v>
      </c>
    </row>
    <row r="475" spans="1:3" x14ac:dyDescent="0.25">
      <c r="A475">
        <v>1697.89949</v>
      </c>
      <c r="B475" s="10">
        <v>0.99929999999999997</v>
      </c>
      <c r="C475" s="10">
        <f t="shared" si="9"/>
        <v>0.17737575</v>
      </c>
    </row>
    <row r="476" spans="1:3" x14ac:dyDescent="0.25">
      <c r="A476">
        <v>1697.9495199999999</v>
      </c>
      <c r="B476" s="10">
        <v>0.99929999999999997</v>
      </c>
      <c r="C476" s="10">
        <f t="shared" si="9"/>
        <v>0.17737575</v>
      </c>
    </row>
    <row r="477" spans="1:3" x14ac:dyDescent="0.25">
      <c r="A477">
        <v>1697.99956</v>
      </c>
      <c r="B477" s="10">
        <v>0.99929999999999997</v>
      </c>
      <c r="C477" s="10">
        <f t="shared" si="9"/>
        <v>0.17737575</v>
      </c>
    </row>
    <row r="478" spans="1:3" x14ac:dyDescent="0.25">
      <c r="A478">
        <v>1698.0495900000001</v>
      </c>
      <c r="B478" s="10">
        <v>0.99929999999999997</v>
      </c>
      <c r="C478" s="10">
        <f t="shared" si="9"/>
        <v>0.17737575</v>
      </c>
    </row>
    <row r="479" spans="1:3" x14ac:dyDescent="0.25">
      <c r="A479">
        <v>1698.09962</v>
      </c>
      <c r="B479" s="10">
        <v>0.99929999999999997</v>
      </c>
      <c r="C479" s="10">
        <f t="shared" si="9"/>
        <v>0.17737575</v>
      </c>
    </row>
    <row r="480" spans="1:3" x14ac:dyDescent="0.25">
      <c r="A480">
        <v>1698.1496500000001</v>
      </c>
      <c r="B480" s="10">
        <v>0.99929999999999997</v>
      </c>
      <c r="C480" s="10">
        <f t="shared" si="9"/>
        <v>0.17737575</v>
      </c>
    </row>
    <row r="481" spans="1:3" x14ac:dyDescent="0.25">
      <c r="A481">
        <v>1698.1996799999999</v>
      </c>
      <c r="B481" s="10">
        <v>0.99929999999999997</v>
      </c>
      <c r="C481" s="10">
        <f t="shared" si="9"/>
        <v>0.17737575</v>
      </c>
    </row>
    <row r="482" spans="1:3" x14ac:dyDescent="0.25">
      <c r="A482">
        <v>1698.2497100000001</v>
      </c>
      <c r="B482" s="10">
        <v>0.99929999999999997</v>
      </c>
      <c r="C482" s="10">
        <f t="shared" si="9"/>
        <v>0.17737575</v>
      </c>
    </row>
    <row r="483" spans="1:3" x14ac:dyDescent="0.25">
      <c r="A483">
        <v>1698.2997499999999</v>
      </c>
      <c r="B483" s="10">
        <v>0.99929999999999997</v>
      </c>
      <c r="C483" s="10">
        <f t="shared" si="9"/>
        <v>0.17737575</v>
      </c>
    </row>
    <row r="484" spans="1:3" x14ac:dyDescent="0.25">
      <c r="A484">
        <v>1698.34978</v>
      </c>
      <c r="B484" s="10">
        <v>0.99929999999999997</v>
      </c>
      <c r="C484" s="10">
        <f t="shared" si="9"/>
        <v>0.17737575</v>
      </c>
    </row>
    <row r="485" spans="1:3" x14ac:dyDescent="0.25">
      <c r="A485">
        <v>1698.3998099999999</v>
      </c>
      <c r="B485" s="10">
        <v>0.99929999999999997</v>
      </c>
      <c r="C485" s="10">
        <f t="shared" si="9"/>
        <v>0.17737575</v>
      </c>
    </row>
    <row r="486" spans="1:3" x14ac:dyDescent="0.25">
      <c r="A486">
        <v>1698.44984</v>
      </c>
      <c r="B486" s="10">
        <v>0.99929999999999997</v>
      </c>
      <c r="C486" s="10">
        <f t="shared" si="9"/>
        <v>0.17737575</v>
      </c>
    </row>
    <row r="487" spans="1:3" x14ac:dyDescent="0.25">
      <c r="A487">
        <v>1698.4998700000001</v>
      </c>
      <c r="B487" s="10">
        <v>0.99929999999999997</v>
      </c>
      <c r="C487" s="10">
        <f t="shared" si="9"/>
        <v>0.17737575</v>
      </c>
    </row>
    <row r="488" spans="1:3" x14ac:dyDescent="0.25">
      <c r="A488">
        <v>1698.5499</v>
      </c>
      <c r="B488" s="10">
        <v>0.99929999999999997</v>
      </c>
      <c r="C488" s="10">
        <f t="shared" si="9"/>
        <v>0.17737575</v>
      </c>
    </row>
    <row r="489" spans="1:3" x14ac:dyDescent="0.25">
      <c r="A489">
        <v>1698.5999300000001</v>
      </c>
      <c r="B489" s="10">
        <v>0.99929999999999997</v>
      </c>
      <c r="C489" s="10">
        <f t="shared" si="9"/>
        <v>0.17737575</v>
      </c>
    </row>
    <row r="490" spans="1:3" x14ac:dyDescent="0.25">
      <c r="A490">
        <v>1698.6499699999999</v>
      </c>
      <c r="B490" s="10">
        <v>0.99929999999999997</v>
      </c>
      <c r="C490" s="10">
        <f t="shared" si="9"/>
        <v>0.17737575</v>
      </c>
    </row>
    <row r="491" spans="1:3" x14ac:dyDescent="0.25">
      <c r="A491">
        <v>1698.7</v>
      </c>
      <c r="B491" s="10">
        <v>0.99929999999999997</v>
      </c>
      <c r="C491" s="10">
        <f t="shared" si="9"/>
        <v>0.17737575</v>
      </c>
    </row>
    <row r="492" spans="1:3" x14ac:dyDescent="0.25">
      <c r="A492">
        <v>1698.7500299999999</v>
      </c>
      <c r="B492" s="10">
        <v>0.99929999999999997</v>
      </c>
      <c r="C492" s="10">
        <f t="shared" si="9"/>
        <v>0.17737575</v>
      </c>
    </row>
    <row r="493" spans="1:3" x14ac:dyDescent="0.25">
      <c r="A493">
        <v>1698.80006</v>
      </c>
      <c r="B493" s="10">
        <v>0.99929999999999997</v>
      </c>
      <c r="C493" s="10">
        <f t="shared" si="9"/>
        <v>0.17737575</v>
      </c>
    </row>
    <row r="494" spans="1:3" x14ac:dyDescent="0.25">
      <c r="A494">
        <v>1698.8500899999999</v>
      </c>
      <c r="B494" s="10">
        <v>0.99929999999999997</v>
      </c>
      <c r="C494" s="10">
        <f t="shared" si="9"/>
        <v>0.17737575</v>
      </c>
    </row>
    <row r="495" spans="1:3" x14ac:dyDescent="0.25">
      <c r="A495">
        <v>1698.90012</v>
      </c>
      <c r="B495" s="10">
        <v>0.99929999999999997</v>
      </c>
      <c r="C495" s="10">
        <f t="shared" si="9"/>
        <v>0.17737575</v>
      </c>
    </row>
    <row r="496" spans="1:3" x14ac:dyDescent="0.25">
      <c r="A496">
        <v>1698.9501499999999</v>
      </c>
      <c r="B496" s="10">
        <v>0.99929999999999997</v>
      </c>
      <c r="C496" s="10">
        <f t="shared" si="9"/>
        <v>0.17737575</v>
      </c>
    </row>
    <row r="497" spans="1:3" x14ac:dyDescent="0.25">
      <c r="A497">
        <v>1699.00019</v>
      </c>
      <c r="B497" s="10">
        <v>0.99929999999999997</v>
      </c>
      <c r="C497" s="10">
        <f t="shared" si="9"/>
        <v>0.17737575</v>
      </c>
    </row>
    <row r="498" spans="1:3" x14ac:dyDescent="0.25">
      <c r="A498">
        <v>1699.0502200000001</v>
      </c>
      <c r="B498" s="10">
        <v>0.99929999999999997</v>
      </c>
      <c r="C498" s="10">
        <f t="shared" si="9"/>
        <v>0.17737575</v>
      </c>
    </row>
    <row r="499" spans="1:3" x14ac:dyDescent="0.25">
      <c r="A499">
        <v>1699.10025</v>
      </c>
      <c r="B499" s="10">
        <v>0.99929999999999997</v>
      </c>
      <c r="C499" s="10">
        <f t="shared" si="9"/>
        <v>0.17737575</v>
      </c>
    </row>
    <row r="500" spans="1:3" x14ac:dyDescent="0.25">
      <c r="A500">
        <v>1699.1502800000001</v>
      </c>
      <c r="B500" s="10">
        <v>0.99929999999999997</v>
      </c>
      <c r="C500" s="10">
        <f t="shared" si="9"/>
        <v>0.17737575</v>
      </c>
    </row>
    <row r="501" spans="1:3" x14ac:dyDescent="0.25">
      <c r="A501">
        <v>1699.2003099999999</v>
      </c>
      <c r="B501" s="10">
        <v>0.99929999999999997</v>
      </c>
      <c r="C501" s="10">
        <f t="shared" si="9"/>
        <v>0.17737575</v>
      </c>
    </row>
    <row r="502" spans="1:3" x14ac:dyDescent="0.25">
      <c r="A502">
        <v>1699.2503400000001</v>
      </c>
      <c r="B502" s="10">
        <v>0.99929999999999997</v>
      </c>
      <c r="C502" s="10">
        <f t="shared" si="9"/>
        <v>0.17737575</v>
      </c>
    </row>
    <row r="503" spans="1:3" x14ac:dyDescent="0.25">
      <c r="A503">
        <v>1699.3003699999999</v>
      </c>
      <c r="B503" s="10">
        <v>0.99929999999999997</v>
      </c>
      <c r="C503" s="10">
        <f t="shared" si="9"/>
        <v>0.17737575</v>
      </c>
    </row>
    <row r="504" spans="1:3" x14ac:dyDescent="0.25">
      <c r="A504">
        <v>1699.35041</v>
      </c>
      <c r="B504" s="10">
        <v>0.99929999999999997</v>
      </c>
      <c r="C504" s="10">
        <f t="shared" si="9"/>
        <v>0.17737575</v>
      </c>
    </row>
    <row r="505" spans="1:3" x14ac:dyDescent="0.25">
      <c r="A505">
        <v>1699.4004399999999</v>
      </c>
      <c r="B505" s="10">
        <v>0.99929999999999997</v>
      </c>
      <c r="C505" s="10">
        <f t="shared" si="9"/>
        <v>0.17737575</v>
      </c>
    </row>
    <row r="506" spans="1:3" x14ac:dyDescent="0.25">
      <c r="A506">
        <v>1699.45047</v>
      </c>
      <c r="B506" s="10">
        <v>0.99929999999999997</v>
      </c>
      <c r="C506" s="10">
        <f t="shared" si="9"/>
        <v>0.17737575</v>
      </c>
    </row>
    <row r="507" spans="1:3" x14ac:dyDescent="0.25">
      <c r="A507">
        <v>1699.5005000000001</v>
      </c>
      <c r="B507" s="10">
        <v>0.99929999999999997</v>
      </c>
      <c r="C507" s="10">
        <f t="shared" si="9"/>
        <v>0.17737575</v>
      </c>
    </row>
    <row r="508" spans="1:3" x14ac:dyDescent="0.25">
      <c r="A508">
        <v>1699.55053</v>
      </c>
      <c r="B508" s="10">
        <v>0.99929999999999997</v>
      </c>
      <c r="C508" s="10">
        <f t="shared" si="9"/>
        <v>0.17737575</v>
      </c>
    </row>
    <row r="509" spans="1:3" x14ac:dyDescent="0.25">
      <c r="A509">
        <v>1699.6005600000001</v>
      </c>
      <c r="B509" s="10">
        <v>0.99929999999999997</v>
      </c>
      <c r="C509" s="10">
        <f t="shared" si="9"/>
        <v>0.17737575</v>
      </c>
    </row>
    <row r="510" spans="1:3" x14ac:dyDescent="0.25">
      <c r="A510">
        <v>1699.6505999999999</v>
      </c>
      <c r="B510" s="10">
        <v>0.99929999999999997</v>
      </c>
      <c r="C510" s="10">
        <f t="shared" si="9"/>
        <v>0.17737575</v>
      </c>
    </row>
    <row r="511" spans="1:3" x14ac:dyDescent="0.25">
      <c r="A511">
        <v>1699.70063</v>
      </c>
      <c r="B511" s="10">
        <v>0.99929999999999997</v>
      </c>
      <c r="C511" s="10">
        <f t="shared" si="9"/>
        <v>0.17737575</v>
      </c>
    </row>
    <row r="512" spans="1:3" x14ac:dyDescent="0.25">
      <c r="A512">
        <v>1699.7506599999999</v>
      </c>
      <c r="B512" s="10">
        <v>0.99929999999999997</v>
      </c>
      <c r="C512" s="10">
        <f t="shared" si="9"/>
        <v>0.17737575</v>
      </c>
    </row>
    <row r="513" spans="1:3" x14ac:dyDescent="0.25">
      <c r="A513">
        <v>1699.80069</v>
      </c>
      <c r="B513" s="10">
        <v>0.99929999999999997</v>
      </c>
      <c r="C513" s="10">
        <f t="shared" si="9"/>
        <v>0.17737575</v>
      </c>
    </row>
    <row r="514" spans="1:3" x14ac:dyDescent="0.25">
      <c r="A514">
        <v>1699.8507199999999</v>
      </c>
      <c r="B514" s="10">
        <v>0.99929999999999997</v>
      </c>
      <c r="C514" s="10">
        <f t="shared" si="9"/>
        <v>0.17737575</v>
      </c>
    </row>
    <row r="515" spans="1:3" x14ac:dyDescent="0.25">
      <c r="A515">
        <v>1699.90075</v>
      </c>
      <c r="B515" s="10">
        <v>0.99929999999999997</v>
      </c>
      <c r="C515" s="10">
        <f t="shared" ref="C515:C578" si="10">B515*0.1775</f>
        <v>0.17737575</v>
      </c>
    </row>
    <row r="516" spans="1:3" x14ac:dyDescent="0.25">
      <c r="A516">
        <v>1699.9507799999999</v>
      </c>
      <c r="B516" s="10">
        <v>0.99929999999999997</v>
      </c>
      <c r="C516" s="10">
        <f t="shared" si="10"/>
        <v>0.17737575</v>
      </c>
    </row>
    <row r="517" spans="1:3" x14ac:dyDescent="0.25">
      <c r="A517">
        <v>1700.00082</v>
      </c>
      <c r="B517" s="10">
        <v>0.99929999999999997</v>
      </c>
      <c r="C517" s="10">
        <f t="shared" si="10"/>
        <v>0.17737575</v>
      </c>
    </row>
    <row r="518" spans="1:3" x14ac:dyDescent="0.25">
      <c r="A518">
        <v>1700.0508500000001</v>
      </c>
      <c r="B518" s="10">
        <v>0.99929999999999997</v>
      </c>
      <c r="C518" s="10">
        <f t="shared" si="10"/>
        <v>0.17737575</v>
      </c>
    </row>
    <row r="519" spans="1:3" x14ac:dyDescent="0.25">
      <c r="A519">
        <v>1700.10088</v>
      </c>
      <c r="B519" s="10">
        <v>0.99929999999999997</v>
      </c>
      <c r="C519" s="10">
        <f t="shared" si="10"/>
        <v>0.17737575</v>
      </c>
    </row>
    <row r="520" spans="1:3" x14ac:dyDescent="0.25">
      <c r="A520">
        <v>1700.1509100000001</v>
      </c>
      <c r="B520" s="10">
        <v>0.99929999999999997</v>
      </c>
      <c r="C520" s="10">
        <f t="shared" si="10"/>
        <v>0.17737575</v>
      </c>
    </row>
    <row r="521" spans="1:3" x14ac:dyDescent="0.25">
      <c r="A521">
        <v>1700.2009399999999</v>
      </c>
      <c r="B521" s="10">
        <v>0.99929999999999997</v>
      </c>
      <c r="C521" s="10">
        <f t="shared" si="10"/>
        <v>0.17737575</v>
      </c>
    </row>
    <row r="522" spans="1:3" x14ac:dyDescent="0.25">
      <c r="A522">
        <v>1700.2509700000001</v>
      </c>
      <c r="B522" s="10">
        <v>0.99929999999999997</v>
      </c>
      <c r="C522" s="10">
        <f t="shared" si="10"/>
        <v>0.17737575</v>
      </c>
    </row>
    <row r="523" spans="1:3" x14ac:dyDescent="0.25">
      <c r="A523">
        <v>1700.3009999999999</v>
      </c>
      <c r="B523" s="10">
        <v>0.99929999999999997</v>
      </c>
      <c r="C523" s="10">
        <f t="shared" si="10"/>
        <v>0.17737575</v>
      </c>
    </row>
    <row r="524" spans="1:3" x14ac:dyDescent="0.25">
      <c r="A524">
        <v>1700.35104</v>
      </c>
      <c r="B524" s="10">
        <v>0.99929999999999997</v>
      </c>
      <c r="C524" s="10">
        <f t="shared" si="10"/>
        <v>0.17737575</v>
      </c>
    </row>
    <row r="525" spans="1:3" x14ac:dyDescent="0.25">
      <c r="A525">
        <v>1700.4010699999999</v>
      </c>
      <c r="B525" s="10">
        <v>0.99929999999999997</v>
      </c>
      <c r="C525" s="10">
        <f t="shared" si="10"/>
        <v>0.17737575</v>
      </c>
    </row>
    <row r="526" spans="1:3" x14ac:dyDescent="0.25">
      <c r="A526">
        <v>1700.4511</v>
      </c>
      <c r="B526" s="10">
        <v>0.99929999999999997</v>
      </c>
      <c r="C526" s="10">
        <f t="shared" si="10"/>
        <v>0.17737575</v>
      </c>
    </row>
    <row r="527" spans="1:3" x14ac:dyDescent="0.25">
      <c r="A527">
        <v>1700.5011300000001</v>
      </c>
      <c r="B527" s="10">
        <v>0.99929999999999997</v>
      </c>
      <c r="C527" s="10">
        <f t="shared" si="10"/>
        <v>0.17737575</v>
      </c>
    </row>
    <row r="528" spans="1:3" x14ac:dyDescent="0.25">
      <c r="A528">
        <v>1700.55116</v>
      </c>
      <c r="B528" s="10">
        <v>0.99929999999999997</v>
      </c>
      <c r="C528" s="10">
        <f t="shared" si="10"/>
        <v>0.17737575</v>
      </c>
    </row>
    <row r="529" spans="1:3" x14ac:dyDescent="0.25">
      <c r="A529">
        <v>1700.6011900000001</v>
      </c>
      <c r="B529" s="10">
        <v>0.99929999999999997</v>
      </c>
      <c r="C529" s="10">
        <f t="shared" si="10"/>
        <v>0.17737575</v>
      </c>
    </row>
    <row r="530" spans="1:3" x14ac:dyDescent="0.25">
      <c r="A530">
        <v>1700.65122</v>
      </c>
      <c r="B530" s="10">
        <v>0.99929999999999997</v>
      </c>
      <c r="C530" s="10">
        <f t="shared" si="10"/>
        <v>0.17737575</v>
      </c>
    </row>
    <row r="531" spans="1:3" x14ac:dyDescent="0.25">
      <c r="A531">
        <v>1700.70126</v>
      </c>
      <c r="B531" s="10">
        <v>0.99929999999999997</v>
      </c>
      <c r="C531" s="10">
        <f t="shared" si="10"/>
        <v>0.17737575</v>
      </c>
    </row>
    <row r="532" spans="1:3" x14ac:dyDescent="0.25">
      <c r="A532">
        <v>1700.7512899999999</v>
      </c>
      <c r="B532" s="10">
        <v>0.99929999999999997</v>
      </c>
      <c r="C532" s="10">
        <f t="shared" si="10"/>
        <v>0.17737575</v>
      </c>
    </row>
    <row r="533" spans="1:3" x14ac:dyDescent="0.25">
      <c r="A533">
        <v>1700.80132</v>
      </c>
      <c r="B533" s="10">
        <v>0.99929999999999997</v>
      </c>
      <c r="C533" s="10">
        <f t="shared" si="10"/>
        <v>0.17737575</v>
      </c>
    </row>
    <row r="534" spans="1:3" x14ac:dyDescent="0.25">
      <c r="A534">
        <v>1700.8513499999999</v>
      </c>
      <c r="B534" s="10">
        <v>0.99929999999999997</v>
      </c>
      <c r="C534" s="10">
        <f t="shared" si="10"/>
        <v>0.17737575</v>
      </c>
    </row>
    <row r="535" spans="1:3" x14ac:dyDescent="0.25">
      <c r="A535">
        <v>1700.90138</v>
      </c>
      <c r="B535" s="10">
        <v>0.99929999999999997</v>
      </c>
      <c r="C535" s="10">
        <f t="shared" si="10"/>
        <v>0.17737575</v>
      </c>
    </row>
    <row r="536" spans="1:3" x14ac:dyDescent="0.25">
      <c r="A536">
        <v>1700.9514099999999</v>
      </c>
      <c r="B536" s="10">
        <v>0.99929999999999997</v>
      </c>
      <c r="C536" s="10">
        <f t="shared" si="10"/>
        <v>0.17737575</v>
      </c>
    </row>
    <row r="537" spans="1:3" x14ac:dyDescent="0.25">
      <c r="A537">
        <v>1701.00145</v>
      </c>
      <c r="B537" s="10">
        <v>0.99929999999999997</v>
      </c>
      <c r="C537" s="10">
        <f t="shared" si="10"/>
        <v>0.17737575</v>
      </c>
    </row>
    <row r="538" spans="1:3" x14ac:dyDescent="0.25">
      <c r="A538">
        <v>1701.0514800000001</v>
      </c>
      <c r="B538" s="10">
        <v>0.99929999999999997</v>
      </c>
      <c r="C538" s="10">
        <f t="shared" si="10"/>
        <v>0.17737575</v>
      </c>
    </row>
    <row r="539" spans="1:3" x14ac:dyDescent="0.25">
      <c r="A539">
        <v>1701.10151</v>
      </c>
      <c r="B539" s="10">
        <v>0.99929999999999997</v>
      </c>
      <c r="C539" s="10">
        <f t="shared" si="10"/>
        <v>0.17737575</v>
      </c>
    </row>
    <row r="540" spans="1:3" x14ac:dyDescent="0.25">
      <c r="A540">
        <v>1701.1515400000001</v>
      </c>
      <c r="B540" s="10">
        <v>0.99929999999999997</v>
      </c>
      <c r="C540" s="10">
        <f t="shared" si="10"/>
        <v>0.17737575</v>
      </c>
    </row>
    <row r="541" spans="1:3" x14ac:dyDescent="0.25">
      <c r="A541">
        <v>1701.2015699999999</v>
      </c>
      <c r="B541" s="10">
        <v>0.99929999999999997</v>
      </c>
      <c r="C541" s="10">
        <f t="shared" si="10"/>
        <v>0.17737575</v>
      </c>
    </row>
    <row r="542" spans="1:3" x14ac:dyDescent="0.25">
      <c r="A542">
        <v>1701.2516000000001</v>
      </c>
      <c r="B542" s="10">
        <v>0.99929999999999997</v>
      </c>
      <c r="C542" s="10">
        <f t="shared" si="10"/>
        <v>0.17737575</v>
      </c>
    </row>
    <row r="543" spans="1:3" x14ac:dyDescent="0.25">
      <c r="A543">
        <v>1701.3016299999999</v>
      </c>
      <c r="B543" s="10">
        <v>0.99929999999999997</v>
      </c>
      <c r="C543" s="10">
        <f t="shared" si="10"/>
        <v>0.17737575</v>
      </c>
    </row>
    <row r="544" spans="1:3" x14ac:dyDescent="0.25">
      <c r="A544">
        <v>1701.35167</v>
      </c>
      <c r="B544" s="10">
        <v>0.99929999999999997</v>
      </c>
      <c r="C544" s="10">
        <f t="shared" si="10"/>
        <v>0.17737575</v>
      </c>
    </row>
    <row r="545" spans="1:3" x14ac:dyDescent="0.25">
      <c r="A545">
        <v>1701.4016999999999</v>
      </c>
      <c r="B545" s="10">
        <v>0.99929999999999997</v>
      </c>
      <c r="C545" s="10">
        <f t="shared" si="10"/>
        <v>0.17737575</v>
      </c>
    </row>
    <row r="546" spans="1:3" x14ac:dyDescent="0.25">
      <c r="A546">
        <v>1701.45173</v>
      </c>
      <c r="B546" s="10">
        <v>0.99929999999999997</v>
      </c>
      <c r="C546" s="10">
        <f t="shared" si="10"/>
        <v>0.17737575</v>
      </c>
    </row>
    <row r="547" spans="1:3" x14ac:dyDescent="0.25">
      <c r="A547">
        <v>1701.5017600000001</v>
      </c>
      <c r="B547" s="10">
        <v>0.99929999999999997</v>
      </c>
      <c r="C547" s="10">
        <f t="shared" si="10"/>
        <v>0.17737575</v>
      </c>
    </row>
    <row r="548" spans="1:3" x14ac:dyDescent="0.25">
      <c r="A548">
        <v>1701.55179</v>
      </c>
      <c r="B548" s="10">
        <v>0.99929999999999997</v>
      </c>
      <c r="C548" s="10">
        <f t="shared" si="10"/>
        <v>0.17737575</v>
      </c>
    </row>
    <row r="549" spans="1:3" x14ac:dyDescent="0.25">
      <c r="A549">
        <v>1701.6018200000001</v>
      </c>
      <c r="B549" s="10">
        <v>0.99929999999999997</v>
      </c>
      <c r="C549" s="10">
        <f t="shared" si="10"/>
        <v>0.17737575</v>
      </c>
    </row>
    <row r="550" spans="1:3" x14ac:dyDescent="0.25">
      <c r="A550">
        <v>1701.65185</v>
      </c>
      <c r="B550" s="10">
        <v>0.99929999999999997</v>
      </c>
      <c r="C550" s="10">
        <f t="shared" si="10"/>
        <v>0.17737575</v>
      </c>
    </row>
    <row r="551" spans="1:3" x14ac:dyDescent="0.25">
      <c r="A551">
        <v>1701.70189</v>
      </c>
      <c r="B551" s="10">
        <v>0.99929999999999997</v>
      </c>
      <c r="C551" s="10">
        <f t="shared" si="10"/>
        <v>0.17737575</v>
      </c>
    </row>
    <row r="552" spans="1:3" x14ac:dyDescent="0.25">
      <c r="A552">
        <v>1701.7519199999999</v>
      </c>
      <c r="B552" s="10">
        <v>0.99929999999999997</v>
      </c>
      <c r="C552" s="10">
        <f t="shared" si="10"/>
        <v>0.17737575</v>
      </c>
    </row>
    <row r="553" spans="1:3" x14ac:dyDescent="0.25">
      <c r="A553">
        <v>1701.80195</v>
      </c>
      <c r="B553" s="10">
        <v>0.99929999999999997</v>
      </c>
      <c r="C553" s="10">
        <f t="shared" si="10"/>
        <v>0.17737575</v>
      </c>
    </row>
    <row r="554" spans="1:3" x14ac:dyDescent="0.25">
      <c r="A554">
        <v>1701.8519799999999</v>
      </c>
      <c r="B554" s="10">
        <v>0.99929999999999997</v>
      </c>
      <c r="C554" s="10">
        <f t="shared" si="10"/>
        <v>0.17737575</v>
      </c>
    </row>
    <row r="555" spans="1:3" x14ac:dyDescent="0.25">
      <c r="A555">
        <v>1701.90201</v>
      </c>
      <c r="B555" s="10">
        <v>0.99929999999999997</v>
      </c>
      <c r="C555" s="10">
        <f t="shared" si="10"/>
        <v>0.17737575</v>
      </c>
    </row>
    <row r="556" spans="1:3" x14ac:dyDescent="0.25">
      <c r="A556">
        <v>1701.9520399999999</v>
      </c>
      <c r="B556" s="10">
        <v>0.99929999999999997</v>
      </c>
      <c r="C556" s="10">
        <f t="shared" si="10"/>
        <v>0.17737575</v>
      </c>
    </row>
    <row r="557" spans="1:3" x14ac:dyDescent="0.25">
      <c r="A557">
        <v>1702.00207</v>
      </c>
      <c r="B557" s="10">
        <v>0.99929999999999997</v>
      </c>
      <c r="C557" s="10">
        <f t="shared" si="10"/>
        <v>0.17737575</v>
      </c>
    </row>
    <row r="558" spans="1:3" x14ac:dyDescent="0.25">
      <c r="A558">
        <v>1702.0521100000001</v>
      </c>
      <c r="B558" s="10">
        <v>0.99929999999999997</v>
      </c>
      <c r="C558" s="10">
        <f t="shared" si="10"/>
        <v>0.17737575</v>
      </c>
    </row>
    <row r="559" spans="1:3" x14ac:dyDescent="0.25">
      <c r="A559">
        <v>1702.10214</v>
      </c>
      <c r="B559" s="10">
        <v>0.99929999999999997</v>
      </c>
      <c r="C559" s="10">
        <f t="shared" si="10"/>
        <v>0.17737575</v>
      </c>
    </row>
    <row r="560" spans="1:3" x14ac:dyDescent="0.25">
      <c r="A560">
        <v>1702.1521700000001</v>
      </c>
      <c r="B560" s="10">
        <v>0.99929999999999997</v>
      </c>
      <c r="C560" s="10">
        <f t="shared" si="10"/>
        <v>0.17737575</v>
      </c>
    </row>
    <row r="561" spans="1:3" x14ac:dyDescent="0.25">
      <c r="A561">
        <v>1702.2021999999999</v>
      </c>
      <c r="B561" s="10">
        <v>0.99929999999999997</v>
      </c>
      <c r="C561" s="10">
        <f t="shared" si="10"/>
        <v>0.17737575</v>
      </c>
    </row>
    <row r="562" spans="1:3" x14ac:dyDescent="0.25">
      <c r="A562">
        <v>1702.2522300000001</v>
      </c>
      <c r="B562" s="10">
        <v>0.99929999999999997</v>
      </c>
      <c r="C562" s="10">
        <f t="shared" si="10"/>
        <v>0.17737575</v>
      </c>
    </row>
    <row r="563" spans="1:3" x14ac:dyDescent="0.25">
      <c r="A563">
        <v>1702.3022599999999</v>
      </c>
      <c r="B563" s="10">
        <v>0.99929999999999997</v>
      </c>
      <c r="C563" s="10">
        <f t="shared" si="10"/>
        <v>0.17737575</v>
      </c>
    </row>
    <row r="564" spans="1:3" x14ac:dyDescent="0.25">
      <c r="A564">
        <v>1702.3523</v>
      </c>
      <c r="B564" s="10">
        <v>0.99929999999999997</v>
      </c>
      <c r="C564" s="10">
        <f t="shared" si="10"/>
        <v>0.17737575</v>
      </c>
    </row>
    <row r="565" spans="1:3" x14ac:dyDescent="0.25">
      <c r="A565">
        <v>1702.4023299999999</v>
      </c>
      <c r="B565" s="10">
        <v>0.99929999999999997</v>
      </c>
      <c r="C565" s="10">
        <f t="shared" si="10"/>
        <v>0.17737575</v>
      </c>
    </row>
    <row r="566" spans="1:3" x14ac:dyDescent="0.25">
      <c r="A566">
        <v>1702.45236</v>
      </c>
      <c r="B566" s="10">
        <v>0.99929999999999997</v>
      </c>
      <c r="C566" s="10">
        <f t="shared" si="10"/>
        <v>0.17737575</v>
      </c>
    </row>
    <row r="567" spans="1:3" x14ac:dyDescent="0.25">
      <c r="A567">
        <v>1702.5023900000001</v>
      </c>
      <c r="B567" s="10">
        <v>0.99929999999999997</v>
      </c>
      <c r="C567" s="10">
        <f t="shared" si="10"/>
        <v>0.17737575</v>
      </c>
    </row>
    <row r="568" spans="1:3" x14ac:dyDescent="0.25">
      <c r="A568">
        <v>1702.55242</v>
      </c>
      <c r="B568" s="10">
        <v>0.99929999999999997</v>
      </c>
      <c r="C568" s="10">
        <f t="shared" si="10"/>
        <v>0.17737575</v>
      </c>
    </row>
    <row r="569" spans="1:3" x14ac:dyDescent="0.25">
      <c r="A569">
        <v>1702.6024500000001</v>
      </c>
      <c r="B569" s="10">
        <v>0.99929999999999997</v>
      </c>
      <c r="C569" s="10">
        <f t="shared" si="10"/>
        <v>0.17737575</v>
      </c>
    </row>
    <row r="570" spans="1:3" x14ac:dyDescent="0.25">
      <c r="A570">
        <v>1702.65248</v>
      </c>
      <c r="B570" s="10">
        <v>0.99929999999999997</v>
      </c>
      <c r="C570" s="10">
        <f t="shared" si="10"/>
        <v>0.17737575</v>
      </c>
    </row>
    <row r="571" spans="1:3" x14ac:dyDescent="0.25">
      <c r="A571">
        <v>1702.70252</v>
      </c>
      <c r="B571" s="10">
        <v>0.99929999999999997</v>
      </c>
      <c r="C571" s="10">
        <f t="shared" si="10"/>
        <v>0.17737575</v>
      </c>
    </row>
    <row r="572" spans="1:3" x14ac:dyDescent="0.25">
      <c r="A572">
        <v>1702.7525499999999</v>
      </c>
      <c r="B572" s="10">
        <v>0.99929999999999997</v>
      </c>
      <c r="C572" s="10">
        <f t="shared" si="10"/>
        <v>0.17737575</v>
      </c>
    </row>
    <row r="573" spans="1:3" x14ac:dyDescent="0.25">
      <c r="A573">
        <v>1702.80258</v>
      </c>
      <c r="B573" s="10">
        <v>0.99929999999999997</v>
      </c>
      <c r="C573" s="10">
        <f t="shared" si="10"/>
        <v>0.17737575</v>
      </c>
    </row>
    <row r="574" spans="1:3" x14ac:dyDescent="0.25">
      <c r="A574">
        <v>1702.8526099999999</v>
      </c>
      <c r="B574" s="10">
        <v>0.99929999999999997</v>
      </c>
      <c r="C574" s="10">
        <f t="shared" si="10"/>
        <v>0.17737575</v>
      </c>
    </row>
    <row r="575" spans="1:3" x14ac:dyDescent="0.25">
      <c r="A575">
        <v>1702.90264</v>
      </c>
      <c r="B575" s="10">
        <v>0.99929999999999997</v>
      </c>
      <c r="C575" s="10">
        <f t="shared" si="10"/>
        <v>0.17737575</v>
      </c>
    </row>
    <row r="576" spans="1:3" x14ac:dyDescent="0.25">
      <c r="A576">
        <v>1702.9526699999999</v>
      </c>
      <c r="B576" s="10">
        <v>0.99929999999999997</v>
      </c>
      <c r="C576" s="10">
        <f t="shared" si="10"/>
        <v>0.17737575</v>
      </c>
    </row>
    <row r="577" spans="1:3" x14ac:dyDescent="0.25">
      <c r="A577">
        <v>1703.0027</v>
      </c>
      <c r="B577" s="10">
        <v>0.99929999999999997</v>
      </c>
      <c r="C577" s="10">
        <f t="shared" si="10"/>
        <v>0.17737575</v>
      </c>
    </row>
    <row r="578" spans="1:3" x14ac:dyDescent="0.25">
      <c r="A578">
        <v>1703.0527400000001</v>
      </c>
      <c r="B578" s="10">
        <v>0.99929999999999997</v>
      </c>
      <c r="C578" s="10">
        <f t="shared" si="10"/>
        <v>0.17737575</v>
      </c>
    </row>
    <row r="579" spans="1:3" x14ac:dyDescent="0.25">
      <c r="A579">
        <v>1703.10277</v>
      </c>
      <c r="B579" s="10">
        <v>0.99929999999999997</v>
      </c>
      <c r="C579" s="10">
        <f t="shared" ref="C579:C639" si="11">B579*0.1775</f>
        <v>0.17737575</v>
      </c>
    </row>
    <row r="580" spans="1:3" x14ac:dyDescent="0.25">
      <c r="A580">
        <v>1703.1528000000001</v>
      </c>
      <c r="B580" s="10">
        <v>0.99919999999999998</v>
      </c>
      <c r="C580" s="10">
        <f t="shared" si="11"/>
        <v>0.17735799999999999</v>
      </c>
    </row>
    <row r="581" spans="1:3" x14ac:dyDescent="0.25">
      <c r="A581">
        <v>1703.2028299999999</v>
      </c>
      <c r="B581" s="10">
        <v>0.99919999999999998</v>
      </c>
      <c r="C581" s="10">
        <f t="shared" si="11"/>
        <v>0.17735799999999999</v>
      </c>
    </row>
    <row r="582" spans="1:3" x14ac:dyDescent="0.25">
      <c r="A582">
        <v>1703.2528600000001</v>
      </c>
      <c r="B582" s="10">
        <v>0.99919999999999998</v>
      </c>
      <c r="C582" s="10">
        <f t="shared" si="11"/>
        <v>0.17735799999999999</v>
      </c>
    </row>
    <row r="583" spans="1:3" x14ac:dyDescent="0.25">
      <c r="A583">
        <v>1703.3028899999999</v>
      </c>
      <c r="B583" s="10">
        <v>0.99919999999999998</v>
      </c>
      <c r="C583" s="10">
        <f t="shared" si="11"/>
        <v>0.17735799999999999</v>
      </c>
    </row>
    <row r="584" spans="1:3" x14ac:dyDescent="0.25">
      <c r="A584">
        <v>1703.35293</v>
      </c>
      <c r="B584" s="10">
        <v>0.99919999999999998</v>
      </c>
      <c r="C584" s="10">
        <f t="shared" si="11"/>
        <v>0.17735799999999999</v>
      </c>
    </row>
    <row r="585" spans="1:3" x14ac:dyDescent="0.25">
      <c r="A585">
        <v>1703.4029599999999</v>
      </c>
      <c r="B585" s="10">
        <v>0.99919999999999998</v>
      </c>
      <c r="C585" s="10">
        <f t="shared" si="11"/>
        <v>0.17735799999999999</v>
      </c>
    </row>
    <row r="586" spans="1:3" x14ac:dyDescent="0.25">
      <c r="A586">
        <v>1703.45299</v>
      </c>
      <c r="B586" s="10">
        <v>0.99919999999999998</v>
      </c>
      <c r="C586" s="10">
        <f t="shared" si="11"/>
        <v>0.17735799999999999</v>
      </c>
    </row>
    <row r="587" spans="1:3" x14ac:dyDescent="0.25">
      <c r="A587">
        <v>1703.5030200000001</v>
      </c>
      <c r="B587" s="10">
        <v>0.99919999999999998</v>
      </c>
      <c r="C587" s="10">
        <f t="shared" si="11"/>
        <v>0.17735799999999999</v>
      </c>
    </row>
    <row r="588" spans="1:3" x14ac:dyDescent="0.25">
      <c r="A588">
        <v>1703.55305</v>
      </c>
      <c r="B588" s="10">
        <v>0.99919999999999998</v>
      </c>
      <c r="C588" s="10">
        <f t="shared" si="11"/>
        <v>0.17735799999999999</v>
      </c>
    </row>
    <row r="589" spans="1:3" x14ac:dyDescent="0.25">
      <c r="A589">
        <v>1703.6030800000001</v>
      </c>
      <c r="B589" s="10">
        <v>0.99919999999999998</v>
      </c>
      <c r="C589" s="10">
        <f t="shared" si="11"/>
        <v>0.17735799999999999</v>
      </c>
    </row>
    <row r="590" spans="1:3" x14ac:dyDescent="0.25">
      <c r="A590">
        <v>1703.65311</v>
      </c>
      <c r="B590" s="10">
        <v>0.99919999999999998</v>
      </c>
      <c r="C590" s="10">
        <f t="shared" si="11"/>
        <v>0.17735799999999999</v>
      </c>
    </row>
    <row r="591" spans="1:3" x14ac:dyDescent="0.25">
      <c r="A591">
        <v>1703.7031500000001</v>
      </c>
      <c r="B591" s="10">
        <v>0.99919999999999998</v>
      </c>
      <c r="C591" s="10">
        <f t="shared" si="11"/>
        <v>0.17735799999999999</v>
      </c>
    </row>
    <row r="592" spans="1:3" x14ac:dyDescent="0.25">
      <c r="A592">
        <v>1703.7531799999999</v>
      </c>
      <c r="B592" s="10">
        <v>0.99919999999999998</v>
      </c>
      <c r="C592" s="10">
        <f t="shared" si="11"/>
        <v>0.17735799999999999</v>
      </c>
    </row>
    <row r="593" spans="1:3" x14ac:dyDescent="0.25">
      <c r="A593">
        <v>1703.80321</v>
      </c>
      <c r="B593" s="10">
        <v>0.99919999999999998</v>
      </c>
      <c r="C593" s="10">
        <f t="shared" si="11"/>
        <v>0.17735799999999999</v>
      </c>
    </row>
    <row r="594" spans="1:3" x14ac:dyDescent="0.25">
      <c r="A594">
        <v>1703.8532399999999</v>
      </c>
      <c r="B594" s="10">
        <v>0.99919999999999998</v>
      </c>
      <c r="C594" s="10">
        <f t="shared" si="11"/>
        <v>0.17735799999999999</v>
      </c>
    </row>
    <row r="595" spans="1:3" x14ac:dyDescent="0.25">
      <c r="A595">
        <v>1703.90327</v>
      </c>
      <c r="B595" s="10">
        <v>0.99919999999999998</v>
      </c>
      <c r="C595" s="10">
        <f t="shared" si="11"/>
        <v>0.17735799999999999</v>
      </c>
    </row>
    <row r="596" spans="1:3" x14ac:dyDescent="0.25">
      <c r="A596">
        <v>1703.9532999999999</v>
      </c>
      <c r="B596" s="10">
        <v>0.99919999999999998</v>
      </c>
      <c r="C596" s="10">
        <f t="shared" si="11"/>
        <v>0.17735799999999999</v>
      </c>
    </row>
    <row r="597" spans="1:3" x14ac:dyDescent="0.25">
      <c r="A597">
        <v>1704.00333</v>
      </c>
      <c r="B597" s="10">
        <v>0.99919999999999998</v>
      </c>
      <c r="C597" s="10">
        <f t="shared" si="11"/>
        <v>0.17735799999999999</v>
      </c>
    </row>
    <row r="598" spans="1:3" x14ac:dyDescent="0.25">
      <c r="A598">
        <v>1704.0533700000001</v>
      </c>
      <c r="B598" s="10">
        <v>0.99919999999999998</v>
      </c>
      <c r="C598" s="10">
        <f t="shared" si="11"/>
        <v>0.17735799999999999</v>
      </c>
    </row>
    <row r="599" spans="1:3" x14ac:dyDescent="0.25">
      <c r="A599">
        <v>1704.1034</v>
      </c>
      <c r="B599" s="10">
        <v>0.99919999999999998</v>
      </c>
      <c r="C599" s="10">
        <f t="shared" si="11"/>
        <v>0.17735799999999999</v>
      </c>
    </row>
    <row r="600" spans="1:3" x14ac:dyDescent="0.25">
      <c r="A600">
        <v>1704.1534300000001</v>
      </c>
      <c r="B600" s="10">
        <v>0.99919999999999998</v>
      </c>
      <c r="C600" s="10">
        <f t="shared" si="11"/>
        <v>0.17735799999999999</v>
      </c>
    </row>
    <row r="601" spans="1:3" x14ac:dyDescent="0.25">
      <c r="A601">
        <v>1704.20346</v>
      </c>
      <c r="B601" s="10">
        <v>0.99919999999999998</v>
      </c>
      <c r="C601" s="10">
        <f t="shared" si="11"/>
        <v>0.17735799999999999</v>
      </c>
    </row>
    <row r="602" spans="1:3" x14ac:dyDescent="0.25">
      <c r="A602">
        <v>1704.2534900000001</v>
      </c>
      <c r="B602" s="10">
        <v>0.99919999999999998</v>
      </c>
      <c r="C602" s="10">
        <f t="shared" si="11"/>
        <v>0.17735799999999999</v>
      </c>
    </row>
    <row r="603" spans="1:3" x14ac:dyDescent="0.25">
      <c r="A603">
        <v>1704.3035199999999</v>
      </c>
      <c r="B603" s="10">
        <v>0.99919999999999998</v>
      </c>
      <c r="C603" s="10">
        <f t="shared" si="11"/>
        <v>0.17735799999999999</v>
      </c>
    </row>
    <row r="604" spans="1:3" x14ac:dyDescent="0.25">
      <c r="A604">
        <v>1704.35355</v>
      </c>
      <c r="B604" s="10">
        <v>0.99919999999999998</v>
      </c>
      <c r="C604" s="10">
        <f t="shared" si="11"/>
        <v>0.17735799999999999</v>
      </c>
    </row>
    <row r="605" spans="1:3" x14ac:dyDescent="0.25">
      <c r="A605">
        <v>1704.4035899999999</v>
      </c>
      <c r="B605" s="10">
        <v>0.99919999999999998</v>
      </c>
      <c r="C605" s="10">
        <f t="shared" si="11"/>
        <v>0.17735799999999999</v>
      </c>
    </row>
    <row r="606" spans="1:3" x14ac:dyDescent="0.25">
      <c r="A606">
        <v>1704.45362</v>
      </c>
      <c r="B606" s="10">
        <v>0.99919999999999998</v>
      </c>
      <c r="C606" s="10">
        <f t="shared" si="11"/>
        <v>0.17735799999999999</v>
      </c>
    </row>
    <row r="607" spans="1:3" x14ac:dyDescent="0.25">
      <c r="A607">
        <v>1704.5036500000001</v>
      </c>
      <c r="B607" s="10">
        <v>0.99919999999999998</v>
      </c>
      <c r="C607" s="10">
        <f t="shared" si="11"/>
        <v>0.17735799999999999</v>
      </c>
    </row>
    <row r="608" spans="1:3" x14ac:dyDescent="0.25">
      <c r="A608">
        <v>1704.55368</v>
      </c>
      <c r="B608" s="10">
        <v>0.99919999999999998</v>
      </c>
      <c r="C608" s="10">
        <f t="shared" si="11"/>
        <v>0.17735799999999999</v>
      </c>
    </row>
    <row r="609" spans="1:3" x14ac:dyDescent="0.25">
      <c r="A609">
        <v>1704.6037100000001</v>
      </c>
      <c r="B609" s="10">
        <v>0.99919999999999998</v>
      </c>
      <c r="C609" s="10">
        <f t="shared" si="11"/>
        <v>0.17735799999999999</v>
      </c>
    </row>
    <row r="610" spans="1:3" x14ac:dyDescent="0.25">
      <c r="A610">
        <v>1704.65374</v>
      </c>
      <c r="B610" s="10">
        <v>0.99919999999999998</v>
      </c>
      <c r="C610" s="10">
        <f t="shared" si="11"/>
        <v>0.17735799999999999</v>
      </c>
    </row>
    <row r="611" spans="1:3" x14ac:dyDescent="0.25">
      <c r="A611">
        <v>1704.7037800000001</v>
      </c>
      <c r="B611" s="10">
        <v>0.99919999999999998</v>
      </c>
      <c r="C611" s="10">
        <f t="shared" si="11"/>
        <v>0.17735799999999999</v>
      </c>
    </row>
    <row r="612" spans="1:3" x14ac:dyDescent="0.25">
      <c r="A612">
        <v>1704.7538099999999</v>
      </c>
      <c r="B612" s="10">
        <v>0.99919999999999998</v>
      </c>
      <c r="C612" s="10">
        <f t="shared" si="11"/>
        <v>0.17735799999999999</v>
      </c>
    </row>
    <row r="613" spans="1:3" x14ac:dyDescent="0.25">
      <c r="A613">
        <v>1704.80384</v>
      </c>
      <c r="B613" s="10">
        <v>0.99919999999999998</v>
      </c>
      <c r="C613" s="10">
        <f t="shared" si="11"/>
        <v>0.17735799999999999</v>
      </c>
    </row>
    <row r="614" spans="1:3" x14ac:dyDescent="0.25">
      <c r="A614">
        <v>1704.8538699999999</v>
      </c>
      <c r="B614" s="10">
        <v>0.99919999999999998</v>
      </c>
      <c r="C614" s="10">
        <f t="shared" si="11"/>
        <v>0.17735799999999999</v>
      </c>
    </row>
    <row r="615" spans="1:3" x14ac:dyDescent="0.25">
      <c r="A615">
        <v>1704.9039</v>
      </c>
      <c r="B615" s="10">
        <v>0.99919999999999998</v>
      </c>
      <c r="C615" s="10">
        <f t="shared" si="11"/>
        <v>0.17735799999999999</v>
      </c>
    </row>
    <row r="616" spans="1:3" x14ac:dyDescent="0.25">
      <c r="A616">
        <v>1704.9539299999999</v>
      </c>
      <c r="B616" s="10">
        <v>0.99919999999999998</v>
      </c>
      <c r="C616" s="10">
        <f t="shared" si="11"/>
        <v>0.17735799999999999</v>
      </c>
    </row>
    <row r="617" spans="1:3" x14ac:dyDescent="0.25">
      <c r="A617">
        <v>1705.00396</v>
      </c>
      <c r="B617" s="10">
        <v>0.99919999999999998</v>
      </c>
      <c r="C617" s="10">
        <f t="shared" si="11"/>
        <v>0.17735799999999999</v>
      </c>
    </row>
    <row r="618" spans="1:3" x14ac:dyDescent="0.25">
      <c r="A618">
        <v>1705.0540000000001</v>
      </c>
      <c r="B618" s="10">
        <v>0.99919999999999998</v>
      </c>
      <c r="C618" s="10">
        <f t="shared" si="11"/>
        <v>0.17735799999999999</v>
      </c>
    </row>
    <row r="619" spans="1:3" x14ac:dyDescent="0.25">
      <c r="A619">
        <v>1705.10403</v>
      </c>
      <c r="B619" s="10">
        <v>0.99919999999999998</v>
      </c>
      <c r="C619" s="10">
        <f t="shared" si="11"/>
        <v>0.17735799999999999</v>
      </c>
    </row>
    <row r="620" spans="1:3" x14ac:dyDescent="0.25">
      <c r="A620">
        <v>1705.1540600000001</v>
      </c>
      <c r="B620" s="10">
        <v>0.99929999999999997</v>
      </c>
      <c r="C620" s="10">
        <f t="shared" si="11"/>
        <v>0.17737575</v>
      </c>
    </row>
    <row r="621" spans="1:3" x14ac:dyDescent="0.25">
      <c r="A621">
        <v>1705.20409</v>
      </c>
      <c r="B621" s="10">
        <v>0.99929999999999997</v>
      </c>
      <c r="C621" s="10">
        <f t="shared" si="11"/>
        <v>0.17737575</v>
      </c>
    </row>
    <row r="622" spans="1:3" x14ac:dyDescent="0.25">
      <c r="A622">
        <v>1705.2541200000001</v>
      </c>
      <c r="B622" s="10">
        <v>0.99929999999999997</v>
      </c>
      <c r="C622" s="10">
        <f t="shared" si="11"/>
        <v>0.17737575</v>
      </c>
    </row>
    <row r="623" spans="1:3" x14ac:dyDescent="0.25">
      <c r="A623">
        <v>1705.3041499999999</v>
      </c>
      <c r="B623" s="10">
        <v>0.99929999999999997</v>
      </c>
      <c r="C623" s="10">
        <f t="shared" si="11"/>
        <v>0.17737575</v>
      </c>
    </row>
    <row r="624" spans="1:3" x14ac:dyDescent="0.25">
      <c r="A624">
        <v>1705.35418</v>
      </c>
      <c r="B624" s="10">
        <v>0.99929999999999997</v>
      </c>
      <c r="C624" s="10">
        <f t="shared" si="11"/>
        <v>0.17737575</v>
      </c>
    </row>
    <row r="625" spans="1:3" x14ac:dyDescent="0.25">
      <c r="A625">
        <v>1705.4042199999999</v>
      </c>
      <c r="B625" s="10">
        <v>0.99929999999999997</v>
      </c>
      <c r="C625" s="10">
        <f t="shared" si="11"/>
        <v>0.17737575</v>
      </c>
    </row>
    <row r="626" spans="1:3" x14ac:dyDescent="0.25">
      <c r="A626">
        <v>1705.45425</v>
      </c>
      <c r="B626" s="10">
        <v>0.99929999999999997</v>
      </c>
      <c r="C626" s="10">
        <f t="shared" si="11"/>
        <v>0.17737575</v>
      </c>
    </row>
    <row r="627" spans="1:3" x14ac:dyDescent="0.25">
      <c r="A627">
        <v>1705.5042800000001</v>
      </c>
      <c r="B627" s="10">
        <v>0.99929999999999997</v>
      </c>
      <c r="C627" s="10">
        <f t="shared" si="11"/>
        <v>0.17737575</v>
      </c>
    </row>
    <row r="628" spans="1:3" x14ac:dyDescent="0.25">
      <c r="A628">
        <v>1705.55431</v>
      </c>
      <c r="B628" s="10">
        <v>0.99929999999999997</v>
      </c>
      <c r="C628" s="10">
        <f t="shared" si="11"/>
        <v>0.17737575</v>
      </c>
    </row>
    <row r="629" spans="1:3" x14ac:dyDescent="0.25">
      <c r="A629">
        <v>1705.6043400000001</v>
      </c>
      <c r="B629" s="10">
        <v>0.99929999999999997</v>
      </c>
      <c r="C629" s="10">
        <f t="shared" si="11"/>
        <v>0.17737575</v>
      </c>
    </row>
    <row r="630" spans="1:3" x14ac:dyDescent="0.25">
      <c r="A630">
        <v>1705.65437</v>
      </c>
      <c r="B630" s="10">
        <v>0.99929999999999997</v>
      </c>
      <c r="C630" s="10">
        <f t="shared" si="11"/>
        <v>0.17737575</v>
      </c>
    </row>
    <row r="631" spans="1:3" x14ac:dyDescent="0.25">
      <c r="A631">
        <v>1705.7044000000001</v>
      </c>
      <c r="B631" s="10">
        <v>0.99929999999999997</v>
      </c>
      <c r="C631" s="10">
        <f t="shared" si="11"/>
        <v>0.17737575</v>
      </c>
    </row>
    <row r="632" spans="1:3" x14ac:dyDescent="0.25">
      <c r="A632">
        <v>1705.7544399999999</v>
      </c>
      <c r="B632" s="10">
        <v>0.99929999999999997</v>
      </c>
      <c r="C632" s="10">
        <f t="shared" si="11"/>
        <v>0.17737575</v>
      </c>
    </row>
    <row r="633" spans="1:3" x14ac:dyDescent="0.25">
      <c r="A633">
        <v>1705.80447</v>
      </c>
      <c r="B633" s="10">
        <v>0.99929999999999997</v>
      </c>
      <c r="C633" s="10">
        <f t="shared" si="11"/>
        <v>0.17737575</v>
      </c>
    </row>
    <row r="634" spans="1:3" x14ac:dyDescent="0.25">
      <c r="A634">
        <v>1705.8544999999999</v>
      </c>
      <c r="B634" s="10">
        <v>0.99929999999999997</v>
      </c>
      <c r="C634" s="10">
        <f t="shared" si="11"/>
        <v>0.17737575</v>
      </c>
    </row>
    <row r="635" spans="1:3" x14ac:dyDescent="0.25">
      <c r="A635">
        <v>1705.90453</v>
      </c>
      <c r="B635" s="10">
        <v>0.99929999999999997</v>
      </c>
      <c r="C635" s="10">
        <f t="shared" si="11"/>
        <v>0.17737575</v>
      </c>
    </row>
    <row r="636" spans="1:3" x14ac:dyDescent="0.25">
      <c r="A636">
        <v>1705.9545599999999</v>
      </c>
      <c r="B636" s="10">
        <v>0.99929999999999997</v>
      </c>
      <c r="C636" s="10">
        <f t="shared" si="11"/>
        <v>0.17737575</v>
      </c>
    </row>
    <row r="637" spans="1:3" x14ac:dyDescent="0.25">
      <c r="A637">
        <v>1706.00459</v>
      </c>
      <c r="B637" s="10">
        <v>0.99929999999999997</v>
      </c>
      <c r="C637" s="10">
        <f t="shared" si="11"/>
        <v>0.17737575</v>
      </c>
    </row>
    <row r="638" spans="1:3" x14ac:dyDescent="0.25">
      <c r="A638">
        <v>1706.0546300000001</v>
      </c>
      <c r="B638" s="10">
        <v>0.99929999999999997</v>
      </c>
      <c r="C638" s="10">
        <f t="shared" si="11"/>
        <v>0.17737575</v>
      </c>
    </row>
    <row r="639" spans="1:3" x14ac:dyDescent="0.25">
      <c r="A639">
        <v>1706.10466</v>
      </c>
      <c r="B639" s="10">
        <v>0.99929999999999997</v>
      </c>
      <c r="C639" s="10">
        <f t="shared" si="11"/>
        <v>0.17737575</v>
      </c>
    </row>
    <row r="640" spans="1:3" x14ac:dyDescent="0.25">
      <c r="B640" s="10"/>
    </row>
    <row r="641" spans="2:2" x14ac:dyDescent="0.25">
      <c r="B641" s="10"/>
    </row>
    <row r="642" spans="2:2" x14ac:dyDescent="0.25">
      <c r="B642" s="10"/>
    </row>
    <row r="643" spans="2:2" x14ac:dyDescent="0.25">
      <c r="B643" s="10"/>
    </row>
    <row r="644" spans="2:2" x14ac:dyDescent="0.25">
      <c r="B644" s="10"/>
    </row>
    <row r="645" spans="2:2" x14ac:dyDescent="0.25">
      <c r="B645" s="10"/>
    </row>
    <row r="646" spans="2:2" x14ac:dyDescent="0.25">
      <c r="B646" s="10"/>
    </row>
    <row r="647" spans="2:2" x14ac:dyDescent="0.25">
      <c r="B647" s="10"/>
    </row>
    <row r="648" spans="2:2" x14ac:dyDescent="0.25">
      <c r="B648" s="10"/>
    </row>
    <row r="649" spans="2:2" x14ac:dyDescent="0.25">
      <c r="B649" s="10"/>
    </row>
    <row r="650" spans="2:2" x14ac:dyDescent="0.25">
      <c r="B650" s="10"/>
    </row>
    <row r="651" spans="2:2" x14ac:dyDescent="0.25">
      <c r="B651" s="10"/>
    </row>
    <row r="652" spans="2:2" x14ac:dyDescent="0.25">
      <c r="B652" s="10"/>
    </row>
    <row r="653" spans="2:2" x14ac:dyDescent="0.25">
      <c r="B653" s="10"/>
    </row>
    <row r="654" spans="2:2" x14ac:dyDescent="0.25">
      <c r="B654" s="10"/>
    </row>
    <row r="655" spans="2:2" x14ac:dyDescent="0.25">
      <c r="B655" s="10"/>
    </row>
    <row r="656" spans="2:2" x14ac:dyDescent="0.25">
      <c r="B656" s="10"/>
    </row>
    <row r="657" spans="2:2" x14ac:dyDescent="0.25">
      <c r="B657" s="10"/>
    </row>
    <row r="658" spans="2:2" x14ac:dyDescent="0.25">
      <c r="B658" s="10"/>
    </row>
    <row r="659" spans="2:2" x14ac:dyDescent="0.25">
      <c r="B659" s="10"/>
    </row>
    <row r="660" spans="2:2" x14ac:dyDescent="0.25">
      <c r="B660" s="10"/>
    </row>
    <row r="661" spans="2:2" x14ac:dyDescent="0.25">
      <c r="B661" s="10"/>
    </row>
    <row r="662" spans="2:2" x14ac:dyDescent="0.25">
      <c r="B662" s="10"/>
    </row>
    <row r="663" spans="2:2" x14ac:dyDescent="0.25">
      <c r="B663" s="10"/>
    </row>
    <row r="664" spans="2:2" x14ac:dyDescent="0.25">
      <c r="B664" s="10"/>
    </row>
    <row r="665" spans="2:2" x14ac:dyDescent="0.25">
      <c r="B665" s="10"/>
    </row>
    <row r="666" spans="2:2" x14ac:dyDescent="0.25">
      <c r="B666" s="10"/>
    </row>
    <row r="667" spans="2:2" x14ac:dyDescent="0.25">
      <c r="B667" s="10"/>
    </row>
    <row r="668" spans="2:2" x14ac:dyDescent="0.25">
      <c r="B668" s="10"/>
    </row>
    <row r="669" spans="2:2" x14ac:dyDescent="0.25">
      <c r="B669" s="10"/>
    </row>
    <row r="670" spans="2:2" x14ac:dyDescent="0.25">
      <c r="B670" s="10"/>
    </row>
    <row r="671" spans="2:2" x14ac:dyDescent="0.25">
      <c r="B671" s="10"/>
    </row>
    <row r="672" spans="2:2" x14ac:dyDescent="0.25">
      <c r="B672" s="10"/>
    </row>
    <row r="673" spans="2:2" x14ac:dyDescent="0.25">
      <c r="B673" s="10"/>
    </row>
    <row r="674" spans="2:2" x14ac:dyDescent="0.25">
      <c r="B674" s="10"/>
    </row>
    <row r="675" spans="2:2" x14ac:dyDescent="0.25">
      <c r="B675" s="10"/>
    </row>
    <row r="676" spans="2:2" x14ac:dyDescent="0.25">
      <c r="B676" s="10"/>
    </row>
    <row r="677" spans="2:2" x14ac:dyDescent="0.25">
      <c r="B677" s="10"/>
    </row>
    <row r="678" spans="2:2" x14ac:dyDescent="0.25">
      <c r="B678" s="10"/>
    </row>
    <row r="679" spans="2:2" x14ac:dyDescent="0.25">
      <c r="B679" s="10"/>
    </row>
    <row r="680" spans="2:2" x14ac:dyDescent="0.25">
      <c r="B680" s="10"/>
    </row>
    <row r="681" spans="2:2" x14ac:dyDescent="0.25">
      <c r="B681" s="10"/>
    </row>
    <row r="682" spans="2:2" x14ac:dyDescent="0.25">
      <c r="B682" s="10"/>
    </row>
    <row r="683" spans="2:2" x14ac:dyDescent="0.25">
      <c r="B683" s="10"/>
    </row>
    <row r="684" spans="2:2" x14ac:dyDescent="0.25">
      <c r="B684" s="10"/>
    </row>
    <row r="685" spans="2:2" x14ac:dyDescent="0.25">
      <c r="B685" s="10"/>
    </row>
    <row r="686" spans="2:2" x14ac:dyDescent="0.25">
      <c r="B686" s="10"/>
    </row>
    <row r="687" spans="2:2" x14ac:dyDescent="0.25">
      <c r="B687" s="10"/>
    </row>
    <row r="688" spans="2:2" x14ac:dyDescent="0.25">
      <c r="B688" s="10"/>
    </row>
    <row r="689" spans="2:2" x14ac:dyDescent="0.25">
      <c r="B689" s="10"/>
    </row>
    <row r="690" spans="2:2" x14ac:dyDescent="0.25">
      <c r="B690" s="10"/>
    </row>
    <row r="691" spans="2:2" x14ac:dyDescent="0.25">
      <c r="B691" s="10"/>
    </row>
    <row r="692" spans="2:2" x14ac:dyDescent="0.25">
      <c r="B692" s="10"/>
    </row>
    <row r="693" spans="2:2" x14ac:dyDescent="0.25">
      <c r="B693" s="10"/>
    </row>
    <row r="694" spans="2:2" x14ac:dyDescent="0.25">
      <c r="B694" s="10"/>
    </row>
    <row r="695" spans="2:2" x14ac:dyDescent="0.25">
      <c r="B695" s="10"/>
    </row>
    <row r="696" spans="2:2" x14ac:dyDescent="0.25">
      <c r="B696" s="10"/>
    </row>
    <row r="697" spans="2:2" x14ac:dyDescent="0.25">
      <c r="B697" s="10"/>
    </row>
    <row r="698" spans="2:2" x14ac:dyDescent="0.25">
      <c r="B698" s="10"/>
    </row>
    <row r="699" spans="2:2" x14ac:dyDescent="0.25">
      <c r="B699" s="10"/>
    </row>
    <row r="700" spans="2:2" x14ac:dyDescent="0.25">
      <c r="B700" s="10"/>
    </row>
    <row r="701" spans="2:2" x14ac:dyDescent="0.25">
      <c r="B701" s="10"/>
    </row>
    <row r="702" spans="2:2" x14ac:dyDescent="0.25">
      <c r="B702" s="10"/>
    </row>
    <row r="703" spans="2:2" x14ac:dyDescent="0.25">
      <c r="B703" s="10"/>
    </row>
    <row r="704" spans="2:2" x14ac:dyDescent="0.25">
      <c r="B704" s="10"/>
    </row>
    <row r="705" spans="2:2" x14ac:dyDescent="0.25">
      <c r="B705" s="10"/>
    </row>
    <row r="706" spans="2:2" x14ac:dyDescent="0.25">
      <c r="B706" s="10"/>
    </row>
    <row r="707" spans="2:2" x14ac:dyDescent="0.25">
      <c r="B707" s="10"/>
    </row>
    <row r="708" spans="2:2" x14ac:dyDescent="0.25">
      <c r="B708" s="10"/>
    </row>
    <row r="709" spans="2:2" x14ac:dyDescent="0.25">
      <c r="B709" s="10"/>
    </row>
    <row r="710" spans="2:2" x14ac:dyDescent="0.25">
      <c r="B710" s="10"/>
    </row>
    <row r="711" spans="2:2" x14ac:dyDescent="0.25">
      <c r="B711" s="10"/>
    </row>
    <row r="712" spans="2:2" x14ac:dyDescent="0.25">
      <c r="B712" s="10"/>
    </row>
    <row r="713" spans="2:2" x14ac:dyDescent="0.25">
      <c r="B713" s="10"/>
    </row>
    <row r="714" spans="2:2" x14ac:dyDescent="0.25">
      <c r="B714" s="10"/>
    </row>
    <row r="715" spans="2:2" x14ac:dyDescent="0.25">
      <c r="B715" s="10"/>
    </row>
    <row r="716" spans="2:2" x14ac:dyDescent="0.25">
      <c r="B716" s="10"/>
    </row>
    <row r="717" spans="2:2" x14ac:dyDescent="0.25">
      <c r="B717" s="10"/>
    </row>
    <row r="718" spans="2:2" x14ac:dyDescent="0.25">
      <c r="B718" s="10"/>
    </row>
    <row r="719" spans="2:2" x14ac:dyDescent="0.25">
      <c r="B719" s="10"/>
    </row>
    <row r="720" spans="2:2" x14ac:dyDescent="0.25">
      <c r="B720" s="10"/>
    </row>
    <row r="721" spans="2:2" x14ac:dyDescent="0.25">
      <c r="B721" s="10"/>
    </row>
    <row r="722" spans="2:2" x14ac:dyDescent="0.25">
      <c r="B722" s="10"/>
    </row>
    <row r="723" spans="2:2" x14ac:dyDescent="0.25">
      <c r="B723" s="10"/>
    </row>
    <row r="724" spans="2:2" x14ac:dyDescent="0.25">
      <c r="B724" s="10"/>
    </row>
    <row r="725" spans="2:2" x14ac:dyDescent="0.25">
      <c r="B725" s="10"/>
    </row>
    <row r="726" spans="2:2" x14ac:dyDescent="0.25">
      <c r="B726" s="10"/>
    </row>
    <row r="727" spans="2:2" x14ac:dyDescent="0.25">
      <c r="B727" s="10"/>
    </row>
    <row r="728" spans="2:2" x14ac:dyDescent="0.25">
      <c r="B728" s="10"/>
    </row>
    <row r="729" spans="2:2" x14ac:dyDescent="0.25">
      <c r="B729" s="10"/>
    </row>
    <row r="730" spans="2:2" x14ac:dyDescent="0.25">
      <c r="B730" s="10"/>
    </row>
    <row r="731" spans="2:2" x14ac:dyDescent="0.25">
      <c r="B731" s="10"/>
    </row>
    <row r="732" spans="2:2" x14ac:dyDescent="0.25">
      <c r="B732" s="10"/>
    </row>
    <row r="733" spans="2:2" x14ac:dyDescent="0.25">
      <c r="B733" s="10"/>
    </row>
    <row r="734" spans="2:2" x14ac:dyDescent="0.25">
      <c r="B734" s="10"/>
    </row>
    <row r="735" spans="2:2" x14ac:dyDescent="0.25">
      <c r="B735" s="10"/>
    </row>
    <row r="736" spans="2:2" x14ac:dyDescent="0.25">
      <c r="B736" s="10"/>
    </row>
    <row r="737" spans="2:2" x14ac:dyDescent="0.25">
      <c r="B737" s="10"/>
    </row>
    <row r="738" spans="2:2" x14ac:dyDescent="0.25">
      <c r="B738" s="10"/>
    </row>
    <row r="739" spans="2:2" x14ac:dyDescent="0.25">
      <c r="B739" s="10"/>
    </row>
    <row r="740" spans="2:2" x14ac:dyDescent="0.25">
      <c r="B740" s="10"/>
    </row>
    <row r="741" spans="2:2" x14ac:dyDescent="0.25">
      <c r="B741" s="10"/>
    </row>
    <row r="742" spans="2:2" x14ac:dyDescent="0.25">
      <c r="B742" s="10"/>
    </row>
    <row r="743" spans="2:2" x14ac:dyDescent="0.25">
      <c r="B743" s="10"/>
    </row>
    <row r="744" spans="2:2" x14ac:dyDescent="0.25">
      <c r="B744" s="10"/>
    </row>
    <row r="745" spans="2:2" x14ac:dyDescent="0.25">
      <c r="B745" s="10"/>
    </row>
    <row r="746" spans="2:2" x14ac:dyDescent="0.25">
      <c r="B746" s="10"/>
    </row>
    <row r="747" spans="2:2" x14ac:dyDescent="0.25">
      <c r="B747" s="10"/>
    </row>
    <row r="748" spans="2:2" x14ac:dyDescent="0.25">
      <c r="B748" s="10"/>
    </row>
    <row r="749" spans="2:2" x14ac:dyDescent="0.25">
      <c r="B749" s="10"/>
    </row>
    <row r="750" spans="2:2" x14ac:dyDescent="0.25">
      <c r="B750" s="10"/>
    </row>
    <row r="751" spans="2:2" x14ac:dyDescent="0.25">
      <c r="B751" s="10"/>
    </row>
    <row r="752" spans="2:2" x14ac:dyDescent="0.25">
      <c r="B752" s="10"/>
    </row>
    <row r="753" spans="2:2" x14ac:dyDescent="0.25">
      <c r="B753" s="10"/>
    </row>
    <row r="754" spans="2:2" x14ac:dyDescent="0.25">
      <c r="B754" s="10"/>
    </row>
    <row r="755" spans="2:2" x14ac:dyDescent="0.25">
      <c r="B755" s="10"/>
    </row>
    <row r="756" spans="2:2" x14ac:dyDescent="0.25">
      <c r="B756" s="10"/>
    </row>
    <row r="757" spans="2:2" x14ac:dyDescent="0.25">
      <c r="B757" s="10"/>
    </row>
    <row r="758" spans="2:2" x14ac:dyDescent="0.25">
      <c r="B758" s="10"/>
    </row>
    <row r="759" spans="2:2" x14ac:dyDescent="0.25">
      <c r="B759" s="10"/>
    </row>
    <row r="760" spans="2:2" x14ac:dyDescent="0.25">
      <c r="B760" s="10"/>
    </row>
    <row r="761" spans="2:2" x14ac:dyDescent="0.25">
      <c r="B761" s="10"/>
    </row>
    <row r="762" spans="2:2" x14ac:dyDescent="0.25">
      <c r="B762" s="10"/>
    </row>
    <row r="763" spans="2:2" x14ac:dyDescent="0.25">
      <c r="B763" s="10"/>
    </row>
    <row r="764" spans="2:2" x14ac:dyDescent="0.25">
      <c r="B764" s="10"/>
    </row>
    <row r="765" spans="2:2" x14ac:dyDescent="0.25">
      <c r="B765" s="10"/>
    </row>
    <row r="766" spans="2:2" x14ac:dyDescent="0.25">
      <c r="B766" s="10"/>
    </row>
    <row r="767" spans="2:2" x14ac:dyDescent="0.25">
      <c r="B767" s="10"/>
    </row>
    <row r="768" spans="2:2" x14ac:dyDescent="0.25">
      <c r="B768" s="10"/>
    </row>
    <row r="769" spans="2:2" x14ac:dyDescent="0.25">
      <c r="B769" s="10"/>
    </row>
    <row r="770" spans="2:2" x14ac:dyDescent="0.25">
      <c r="B770" s="10"/>
    </row>
    <row r="771" spans="2:2" x14ac:dyDescent="0.25">
      <c r="B771" s="10"/>
    </row>
    <row r="772" spans="2:2" x14ac:dyDescent="0.25">
      <c r="B772" s="10"/>
    </row>
    <row r="773" spans="2:2" x14ac:dyDescent="0.25">
      <c r="B773" s="10"/>
    </row>
    <row r="774" spans="2:2" x14ac:dyDescent="0.25">
      <c r="B774" s="10"/>
    </row>
    <row r="775" spans="2:2" x14ac:dyDescent="0.25">
      <c r="B775" s="10"/>
    </row>
    <row r="776" spans="2:2" x14ac:dyDescent="0.25">
      <c r="B776" s="10"/>
    </row>
    <row r="777" spans="2:2" x14ac:dyDescent="0.25">
      <c r="B777" s="10"/>
    </row>
    <row r="778" spans="2:2" x14ac:dyDescent="0.25">
      <c r="B778" s="10"/>
    </row>
    <row r="779" spans="2:2" x14ac:dyDescent="0.25">
      <c r="B779" s="10"/>
    </row>
    <row r="780" spans="2:2" x14ac:dyDescent="0.25">
      <c r="B780" s="10"/>
    </row>
    <row r="781" spans="2:2" x14ac:dyDescent="0.25">
      <c r="B781" s="10"/>
    </row>
    <row r="782" spans="2:2" x14ac:dyDescent="0.25">
      <c r="B782" s="10"/>
    </row>
    <row r="783" spans="2:2" x14ac:dyDescent="0.25">
      <c r="B783" s="10"/>
    </row>
    <row r="784" spans="2:2" x14ac:dyDescent="0.25">
      <c r="B784" s="10"/>
    </row>
    <row r="785" spans="2:2" x14ac:dyDescent="0.25">
      <c r="B785" s="10"/>
    </row>
    <row r="786" spans="2:2" x14ac:dyDescent="0.25">
      <c r="B786" s="10"/>
    </row>
    <row r="787" spans="2:2" x14ac:dyDescent="0.25">
      <c r="B787" s="10"/>
    </row>
    <row r="788" spans="2:2" x14ac:dyDescent="0.25">
      <c r="B788" s="10"/>
    </row>
    <row r="789" spans="2:2" x14ac:dyDescent="0.25">
      <c r="B789" s="10"/>
    </row>
    <row r="790" spans="2:2" x14ac:dyDescent="0.25">
      <c r="B790" s="10"/>
    </row>
    <row r="791" spans="2:2" x14ac:dyDescent="0.25">
      <c r="B791" s="10"/>
    </row>
    <row r="792" spans="2:2" x14ac:dyDescent="0.25">
      <c r="B792" s="10"/>
    </row>
    <row r="793" spans="2:2" x14ac:dyDescent="0.25">
      <c r="B793" s="10"/>
    </row>
    <row r="794" spans="2:2" x14ac:dyDescent="0.25">
      <c r="B794" s="10"/>
    </row>
    <row r="795" spans="2:2" x14ac:dyDescent="0.25">
      <c r="B795" s="10"/>
    </row>
    <row r="796" spans="2:2" x14ac:dyDescent="0.25">
      <c r="B796" s="10"/>
    </row>
    <row r="797" spans="2:2" x14ac:dyDescent="0.25">
      <c r="B797" s="10"/>
    </row>
    <row r="798" spans="2:2" x14ac:dyDescent="0.25">
      <c r="B798" s="10"/>
    </row>
    <row r="799" spans="2:2" x14ac:dyDescent="0.25">
      <c r="B799" s="10"/>
    </row>
    <row r="800" spans="2:2" x14ac:dyDescent="0.25">
      <c r="B800" s="10"/>
    </row>
    <row r="801" spans="2:2" x14ac:dyDescent="0.25">
      <c r="B801" s="10"/>
    </row>
    <row r="802" spans="2:2" x14ac:dyDescent="0.25">
      <c r="B802" s="10"/>
    </row>
    <row r="803" spans="2:2" x14ac:dyDescent="0.25">
      <c r="B803" s="10"/>
    </row>
    <row r="804" spans="2:2" x14ac:dyDescent="0.25">
      <c r="B804" s="10"/>
    </row>
    <row r="805" spans="2:2" x14ac:dyDescent="0.25">
      <c r="B805" s="10"/>
    </row>
    <row r="806" spans="2:2" x14ac:dyDescent="0.25">
      <c r="B806" s="10"/>
    </row>
    <row r="807" spans="2:2" x14ac:dyDescent="0.25">
      <c r="B807" s="10"/>
    </row>
    <row r="808" spans="2:2" x14ac:dyDescent="0.25">
      <c r="B808" s="10"/>
    </row>
    <row r="809" spans="2:2" x14ac:dyDescent="0.25">
      <c r="B809" s="10"/>
    </row>
    <row r="810" spans="2:2" x14ac:dyDescent="0.25">
      <c r="B810" s="10"/>
    </row>
    <row r="811" spans="2:2" x14ac:dyDescent="0.25">
      <c r="B811" s="10"/>
    </row>
    <row r="812" spans="2:2" x14ac:dyDescent="0.25">
      <c r="B812" s="10"/>
    </row>
    <row r="813" spans="2:2" x14ac:dyDescent="0.25">
      <c r="B813" s="10"/>
    </row>
    <row r="814" spans="2:2" x14ac:dyDescent="0.25">
      <c r="B814" s="10"/>
    </row>
    <row r="815" spans="2:2" x14ac:dyDescent="0.25">
      <c r="B815" s="10"/>
    </row>
    <row r="816" spans="2:2" x14ac:dyDescent="0.25">
      <c r="B816" s="10"/>
    </row>
    <row r="817" spans="2:2" x14ac:dyDescent="0.25">
      <c r="B817" s="10"/>
    </row>
    <row r="818" spans="2:2" x14ac:dyDescent="0.25">
      <c r="B818" s="10"/>
    </row>
    <row r="819" spans="2:2" x14ac:dyDescent="0.25">
      <c r="B819" s="10"/>
    </row>
    <row r="820" spans="2:2" x14ac:dyDescent="0.25">
      <c r="B820" s="10"/>
    </row>
    <row r="821" spans="2:2" x14ac:dyDescent="0.25">
      <c r="B821" s="10"/>
    </row>
    <row r="822" spans="2:2" x14ac:dyDescent="0.25">
      <c r="B822" s="10"/>
    </row>
    <row r="823" spans="2:2" x14ac:dyDescent="0.25">
      <c r="B823" s="10"/>
    </row>
    <row r="824" spans="2:2" x14ac:dyDescent="0.25">
      <c r="B824" s="10"/>
    </row>
    <row r="825" spans="2:2" x14ac:dyDescent="0.25">
      <c r="B825" s="10"/>
    </row>
    <row r="826" spans="2:2" x14ac:dyDescent="0.25">
      <c r="B826" s="10"/>
    </row>
    <row r="827" spans="2:2" x14ac:dyDescent="0.25">
      <c r="B827" s="10"/>
    </row>
    <row r="828" spans="2:2" x14ac:dyDescent="0.25">
      <c r="B828" s="10"/>
    </row>
    <row r="829" spans="2:2" x14ac:dyDescent="0.25">
      <c r="B829" s="10"/>
    </row>
    <row r="830" spans="2:2" x14ac:dyDescent="0.25">
      <c r="B830" s="10"/>
    </row>
    <row r="831" spans="2:2" x14ac:dyDescent="0.25">
      <c r="B831" s="10"/>
    </row>
    <row r="832" spans="2:2" x14ac:dyDescent="0.25">
      <c r="B832" s="10"/>
    </row>
    <row r="833" spans="2:2" x14ac:dyDescent="0.25">
      <c r="B833" s="10"/>
    </row>
    <row r="834" spans="2:2" x14ac:dyDescent="0.25">
      <c r="B834" s="10"/>
    </row>
    <row r="835" spans="2:2" x14ac:dyDescent="0.25">
      <c r="B835" s="10"/>
    </row>
    <row r="836" spans="2:2" x14ac:dyDescent="0.25">
      <c r="B836" s="10"/>
    </row>
    <row r="837" spans="2:2" x14ac:dyDescent="0.25">
      <c r="B837" s="10"/>
    </row>
    <row r="838" spans="2:2" x14ac:dyDescent="0.25">
      <c r="B838" s="10"/>
    </row>
    <row r="839" spans="2:2" x14ac:dyDescent="0.25">
      <c r="B839" s="10"/>
    </row>
    <row r="840" spans="2:2" x14ac:dyDescent="0.25">
      <c r="B840" s="10"/>
    </row>
    <row r="841" spans="2:2" x14ac:dyDescent="0.25">
      <c r="B841" s="10"/>
    </row>
    <row r="842" spans="2:2" x14ac:dyDescent="0.25">
      <c r="B842" s="10"/>
    </row>
    <row r="843" spans="2:2" x14ac:dyDescent="0.25">
      <c r="B843" s="10"/>
    </row>
    <row r="844" spans="2:2" x14ac:dyDescent="0.25">
      <c r="B844" s="10"/>
    </row>
    <row r="845" spans="2:2" x14ac:dyDescent="0.25">
      <c r="B845" s="10"/>
    </row>
    <row r="846" spans="2:2" x14ac:dyDescent="0.25">
      <c r="B846" s="10"/>
    </row>
    <row r="847" spans="2:2" x14ac:dyDescent="0.25">
      <c r="B847" s="10"/>
    </row>
    <row r="848" spans="2:2" x14ac:dyDescent="0.25">
      <c r="B848" s="10"/>
    </row>
    <row r="849" spans="2:2" x14ac:dyDescent="0.25">
      <c r="B849" s="10"/>
    </row>
    <row r="850" spans="2:2" x14ac:dyDescent="0.25">
      <c r="B850" s="10"/>
    </row>
    <row r="851" spans="2:2" x14ac:dyDescent="0.25">
      <c r="B851" s="10"/>
    </row>
    <row r="852" spans="2:2" x14ac:dyDescent="0.25">
      <c r="B852" s="10"/>
    </row>
    <row r="853" spans="2:2" x14ac:dyDescent="0.25">
      <c r="B853" s="10"/>
    </row>
    <row r="854" spans="2:2" x14ac:dyDescent="0.25">
      <c r="B854" s="10"/>
    </row>
    <row r="855" spans="2:2" x14ac:dyDescent="0.25">
      <c r="B855" s="10"/>
    </row>
    <row r="856" spans="2:2" x14ac:dyDescent="0.25">
      <c r="B856" s="10"/>
    </row>
    <row r="857" spans="2:2" x14ac:dyDescent="0.25">
      <c r="B857" s="10"/>
    </row>
    <row r="858" spans="2:2" x14ac:dyDescent="0.25">
      <c r="B858" s="10"/>
    </row>
    <row r="859" spans="2:2" x14ac:dyDescent="0.25">
      <c r="B859" s="10"/>
    </row>
    <row r="860" spans="2:2" x14ac:dyDescent="0.25">
      <c r="B860" s="10"/>
    </row>
    <row r="861" spans="2:2" x14ac:dyDescent="0.25">
      <c r="B861" s="10"/>
    </row>
    <row r="862" spans="2:2" x14ac:dyDescent="0.25">
      <c r="B862" s="10"/>
    </row>
    <row r="863" spans="2:2" x14ac:dyDescent="0.25">
      <c r="B863" s="10"/>
    </row>
    <row r="864" spans="2:2" x14ac:dyDescent="0.25">
      <c r="B864" s="10"/>
    </row>
    <row r="865" spans="2:2" x14ac:dyDescent="0.25">
      <c r="B865" s="10"/>
    </row>
    <row r="866" spans="2:2" x14ac:dyDescent="0.25">
      <c r="B866" s="10"/>
    </row>
    <row r="867" spans="2:2" x14ac:dyDescent="0.25">
      <c r="B867" s="10"/>
    </row>
    <row r="868" spans="2:2" x14ac:dyDescent="0.25">
      <c r="B868" s="10"/>
    </row>
    <row r="869" spans="2:2" x14ac:dyDescent="0.25">
      <c r="B869" s="10"/>
    </row>
    <row r="870" spans="2:2" x14ac:dyDescent="0.25">
      <c r="B870" s="10"/>
    </row>
    <row r="871" spans="2:2" x14ac:dyDescent="0.25">
      <c r="B871" s="10"/>
    </row>
    <row r="872" spans="2:2" x14ac:dyDescent="0.25">
      <c r="B872" s="10"/>
    </row>
    <row r="873" spans="2:2" x14ac:dyDescent="0.25">
      <c r="B873" s="10"/>
    </row>
    <row r="874" spans="2:2" x14ac:dyDescent="0.25">
      <c r="B874" s="10"/>
    </row>
    <row r="875" spans="2:2" x14ac:dyDescent="0.25">
      <c r="B875" s="10"/>
    </row>
    <row r="876" spans="2:2" x14ac:dyDescent="0.25">
      <c r="B876" s="10"/>
    </row>
    <row r="877" spans="2:2" x14ac:dyDescent="0.25">
      <c r="B877" s="10"/>
    </row>
    <row r="878" spans="2:2" x14ac:dyDescent="0.25">
      <c r="B878" s="10"/>
    </row>
    <row r="879" spans="2:2" x14ac:dyDescent="0.25">
      <c r="B879" s="10"/>
    </row>
    <row r="880" spans="2:2" x14ac:dyDescent="0.25">
      <c r="B880" s="10"/>
    </row>
    <row r="881" spans="2:2" x14ac:dyDescent="0.25">
      <c r="B881" s="10"/>
    </row>
    <row r="882" spans="2:2" x14ac:dyDescent="0.25">
      <c r="B882" s="10"/>
    </row>
    <row r="883" spans="2:2" x14ac:dyDescent="0.25">
      <c r="B883" s="10"/>
    </row>
    <row r="884" spans="2:2" x14ac:dyDescent="0.25">
      <c r="B884" s="10"/>
    </row>
    <row r="885" spans="2:2" x14ac:dyDescent="0.25">
      <c r="B885" s="10"/>
    </row>
    <row r="886" spans="2:2" x14ac:dyDescent="0.25">
      <c r="B886" s="10"/>
    </row>
    <row r="887" spans="2:2" x14ac:dyDescent="0.25">
      <c r="B887" s="10"/>
    </row>
    <row r="888" spans="2:2" x14ac:dyDescent="0.25">
      <c r="B888" s="10"/>
    </row>
    <row r="889" spans="2:2" x14ac:dyDescent="0.25">
      <c r="B889" s="10"/>
    </row>
    <row r="890" spans="2:2" x14ac:dyDescent="0.25">
      <c r="B890" s="10"/>
    </row>
    <row r="891" spans="2:2" x14ac:dyDescent="0.25">
      <c r="B891" s="10"/>
    </row>
    <row r="892" spans="2:2" x14ac:dyDescent="0.25">
      <c r="B892" s="10"/>
    </row>
    <row r="893" spans="2:2" x14ac:dyDescent="0.25">
      <c r="B893" s="10"/>
    </row>
    <row r="894" spans="2:2" x14ac:dyDescent="0.25">
      <c r="B894" s="10"/>
    </row>
    <row r="895" spans="2:2" x14ac:dyDescent="0.25">
      <c r="B895" s="10"/>
    </row>
    <row r="896" spans="2:2" x14ac:dyDescent="0.25">
      <c r="B896" s="10"/>
    </row>
    <row r="897" spans="2:2" x14ac:dyDescent="0.25">
      <c r="B897" s="10"/>
    </row>
    <row r="898" spans="2:2" x14ac:dyDescent="0.25">
      <c r="B898" s="10"/>
    </row>
    <row r="899" spans="2:2" x14ac:dyDescent="0.25">
      <c r="B899" s="10"/>
    </row>
    <row r="900" spans="2:2" x14ac:dyDescent="0.25">
      <c r="B900" s="10"/>
    </row>
    <row r="901" spans="2:2" x14ac:dyDescent="0.25">
      <c r="B901" s="10"/>
    </row>
    <row r="902" spans="2:2" x14ac:dyDescent="0.25">
      <c r="B902" s="10"/>
    </row>
    <row r="903" spans="2:2" x14ac:dyDescent="0.25">
      <c r="B903" s="10"/>
    </row>
    <row r="904" spans="2:2" x14ac:dyDescent="0.25">
      <c r="B904" s="10"/>
    </row>
    <row r="905" spans="2:2" x14ac:dyDescent="0.25">
      <c r="B905" s="10"/>
    </row>
    <row r="906" spans="2:2" x14ac:dyDescent="0.25">
      <c r="B906" s="10"/>
    </row>
    <row r="907" spans="2:2" x14ac:dyDescent="0.25">
      <c r="B907" s="10"/>
    </row>
    <row r="908" spans="2:2" x14ac:dyDescent="0.25">
      <c r="B908" s="10"/>
    </row>
    <row r="909" spans="2:2" x14ac:dyDescent="0.25">
      <c r="B909" s="10"/>
    </row>
    <row r="910" spans="2:2" x14ac:dyDescent="0.25">
      <c r="B910" s="10"/>
    </row>
    <row r="911" spans="2:2" x14ac:dyDescent="0.25">
      <c r="B911" s="10"/>
    </row>
    <row r="912" spans="2:2" x14ac:dyDescent="0.25">
      <c r="B912" s="10"/>
    </row>
    <row r="913" spans="2:2" x14ac:dyDescent="0.25">
      <c r="B913" s="10"/>
    </row>
    <row r="914" spans="2:2" x14ac:dyDescent="0.25">
      <c r="B914" s="10"/>
    </row>
    <row r="915" spans="2:2" x14ac:dyDescent="0.25">
      <c r="B915" s="10"/>
    </row>
    <row r="916" spans="2:2" x14ac:dyDescent="0.25">
      <c r="B916" s="10"/>
    </row>
    <row r="917" spans="2:2" x14ac:dyDescent="0.25">
      <c r="B917" s="10"/>
    </row>
    <row r="918" spans="2:2" x14ac:dyDescent="0.25">
      <c r="B918" s="10"/>
    </row>
    <row r="919" spans="2:2" x14ac:dyDescent="0.25">
      <c r="B919" s="10"/>
    </row>
    <row r="920" spans="2:2" x14ac:dyDescent="0.25">
      <c r="B920" s="10"/>
    </row>
    <row r="921" spans="2:2" x14ac:dyDescent="0.25">
      <c r="B921" s="10"/>
    </row>
    <row r="922" spans="2:2" x14ac:dyDescent="0.25">
      <c r="B922" s="10"/>
    </row>
    <row r="923" spans="2:2" x14ac:dyDescent="0.25">
      <c r="B923" s="10"/>
    </row>
    <row r="924" spans="2:2" x14ac:dyDescent="0.25">
      <c r="B924" s="10"/>
    </row>
    <row r="925" spans="2:2" x14ac:dyDescent="0.25">
      <c r="B925" s="10"/>
    </row>
    <row r="926" spans="2:2" x14ac:dyDescent="0.25">
      <c r="B926" s="10"/>
    </row>
    <row r="927" spans="2:2" x14ac:dyDescent="0.25">
      <c r="B927" s="10"/>
    </row>
    <row r="928" spans="2:2" x14ac:dyDescent="0.25">
      <c r="B928" s="10"/>
    </row>
    <row r="929" spans="2:2" x14ac:dyDescent="0.25">
      <c r="B929" s="10"/>
    </row>
    <row r="930" spans="2:2" x14ac:dyDescent="0.25">
      <c r="B930" s="10"/>
    </row>
    <row r="931" spans="2:2" x14ac:dyDescent="0.25">
      <c r="B931" s="10"/>
    </row>
    <row r="932" spans="2:2" x14ac:dyDescent="0.25">
      <c r="B932" s="10"/>
    </row>
    <row r="933" spans="2:2" x14ac:dyDescent="0.25">
      <c r="B933" s="10"/>
    </row>
    <row r="934" spans="2:2" x14ac:dyDescent="0.25">
      <c r="B934" s="10"/>
    </row>
    <row r="935" spans="2:2" x14ac:dyDescent="0.25">
      <c r="B935" s="10"/>
    </row>
    <row r="936" spans="2:2" x14ac:dyDescent="0.25">
      <c r="B936" s="10"/>
    </row>
    <row r="937" spans="2:2" x14ac:dyDescent="0.25">
      <c r="B937" s="10"/>
    </row>
    <row r="938" spans="2:2" x14ac:dyDescent="0.25">
      <c r="B938" s="10"/>
    </row>
    <row r="939" spans="2:2" x14ac:dyDescent="0.25">
      <c r="B939" s="10"/>
    </row>
    <row r="940" spans="2:2" x14ac:dyDescent="0.25">
      <c r="B940" s="10"/>
    </row>
    <row r="941" spans="2:2" x14ac:dyDescent="0.25">
      <c r="B941" s="10"/>
    </row>
    <row r="942" spans="2:2" x14ac:dyDescent="0.25">
      <c r="B942" s="10"/>
    </row>
    <row r="943" spans="2:2" x14ac:dyDescent="0.25">
      <c r="B943" s="10"/>
    </row>
    <row r="944" spans="2:2" x14ac:dyDescent="0.25">
      <c r="B944" s="10"/>
    </row>
    <row r="945" spans="2:2" x14ac:dyDescent="0.25">
      <c r="B945" s="10"/>
    </row>
    <row r="946" spans="2:2" x14ac:dyDescent="0.25">
      <c r="B946" s="10"/>
    </row>
    <row r="947" spans="2:2" x14ac:dyDescent="0.25">
      <c r="B947" s="10"/>
    </row>
    <row r="948" spans="2:2" x14ac:dyDescent="0.25">
      <c r="B948" s="10"/>
    </row>
    <row r="949" spans="2:2" x14ac:dyDescent="0.25">
      <c r="B949" s="10"/>
    </row>
    <row r="950" spans="2:2" x14ac:dyDescent="0.25">
      <c r="B950" s="10"/>
    </row>
    <row r="951" spans="2:2" x14ac:dyDescent="0.25">
      <c r="B951" s="10"/>
    </row>
    <row r="952" spans="2:2" x14ac:dyDescent="0.25">
      <c r="B952" s="10"/>
    </row>
    <row r="953" spans="2:2" x14ac:dyDescent="0.25">
      <c r="B953" s="10"/>
    </row>
    <row r="954" spans="2:2" x14ac:dyDescent="0.25">
      <c r="B954" s="10"/>
    </row>
    <row r="955" spans="2:2" x14ac:dyDescent="0.25">
      <c r="B955" s="10"/>
    </row>
    <row r="956" spans="2:2" x14ac:dyDescent="0.25">
      <c r="B956" s="10"/>
    </row>
    <row r="957" spans="2:2" x14ac:dyDescent="0.25">
      <c r="B957" s="10"/>
    </row>
    <row r="958" spans="2:2" x14ac:dyDescent="0.25">
      <c r="B958" s="10"/>
    </row>
    <row r="959" spans="2:2" x14ac:dyDescent="0.25">
      <c r="B959" s="10"/>
    </row>
    <row r="960" spans="2:2" x14ac:dyDescent="0.25">
      <c r="B960" s="10"/>
    </row>
    <row r="961" spans="2:2" x14ac:dyDescent="0.25">
      <c r="B961" s="10"/>
    </row>
    <row r="962" spans="2:2" x14ac:dyDescent="0.25">
      <c r="B962" s="10"/>
    </row>
    <row r="963" spans="2:2" x14ac:dyDescent="0.25">
      <c r="B963" s="10"/>
    </row>
    <row r="964" spans="2:2" x14ac:dyDescent="0.25">
      <c r="B964" s="10"/>
    </row>
    <row r="965" spans="2:2" x14ac:dyDescent="0.25">
      <c r="B965" s="10"/>
    </row>
    <row r="966" spans="2:2" x14ac:dyDescent="0.25">
      <c r="B966" s="10"/>
    </row>
    <row r="967" spans="2:2" x14ac:dyDescent="0.25">
      <c r="B967" s="10"/>
    </row>
    <row r="968" spans="2:2" x14ac:dyDescent="0.25">
      <c r="B968" s="10"/>
    </row>
    <row r="969" spans="2:2" x14ac:dyDescent="0.25">
      <c r="B969" s="10"/>
    </row>
    <row r="970" spans="2:2" x14ac:dyDescent="0.25">
      <c r="B970" s="10"/>
    </row>
    <row r="971" spans="2:2" x14ac:dyDescent="0.25">
      <c r="B971" s="10"/>
    </row>
    <row r="972" spans="2:2" x14ac:dyDescent="0.25">
      <c r="B972" s="10"/>
    </row>
    <row r="973" spans="2:2" x14ac:dyDescent="0.25">
      <c r="B973" s="10"/>
    </row>
    <row r="974" spans="2:2" x14ac:dyDescent="0.25">
      <c r="B974" s="10"/>
    </row>
    <row r="975" spans="2:2" x14ac:dyDescent="0.25">
      <c r="B975" s="10"/>
    </row>
    <row r="976" spans="2:2" x14ac:dyDescent="0.25">
      <c r="B976" s="10"/>
    </row>
    <row r="977" spans="2:2" x14ac:dyDescent="0.25">
      <c r="B977" s="10"/>
    </row>
    <row r="978" spans="2:2" x14ac:dyDescent="0.25">
      <c r="B978" s="10"/>
    </row>
    <row r="979" spans="2:2" x14ac:dyDescent="0.25">
      <c r="B979" s="10"/>
    </row>
    <row r="980" spans="2:2" x14ac:dyDescent="0.25">
      <c r="B980" s="10"/>
    </row>
    <row r="981" spans="2:2" x14ac:dyDescent="0.25">
      <c r="B981" s="10"/>
    </row>
    <row r="982" spans="2:2" x14ac:dyDescent="0.25">
      <c r="B982" s="10"/>
    </row>
    <row r="983" spans="2:2" x14ac:dyDescent="0.25">
      <c r="B983" s="10"/>
    </row>
    <row r="984" spans="2:2" x14ac:dyDescent="0.25">
      <c r="B984" s="10"/>
    </row>
    <row r="985" spans="2:2" x14ac:dyDescent="0.25">
      <c r="B985" s="10"/>
    </row>
    <row r="986" spans="2:2" x14ac:dyDescent="0.25">
      <c r="B986" s="10"/>
    </row>
    <row r="987" spans="2:2" x14ac:dyDescent="0.25">
      <c r="B987" s="10"/>
    </row>
    <row r="988" spans="2:2" x14ac:dyDescent="0.25">
      <c r="B988" s="10"/>
    </row>
    <row r="989" spans="2:2" x14ac:dyDescent="0.25">
      <c r="B989" s="10"/>
    </row>
    <row r="990" spans="2:2" x14ac:dyDescent="0.25">
      <c r="B990" s="10"/>
    </row>
    <row r="991" spans="2:2" x14ac:dyDescent="0.25">
      <c r="B991" s="10"/>
    </row>
    <row r="992" spans="2:2" x14ac:dyDescent="0.25">
      <c r="B992" s="10"/>
    </row>
    <row r="993" spans="2:2" x14ac:dyDescent="0.25">
      <c r="B993" s="10"/>
    </row>
    <row r="994" spans="2:2" x14ac:dyDescent="0.25">
      <c r="B994" s="10"/>
    </row>
    <row r="995" spans="2:2" x14ac:dyDescent="0.25">
      <c r="B995" s="10"/>
    </row>
    <row r="996" spans="2:2" x14ac:dyDescent="0.25">
      <c r="B996" s="10"/>
    </row>
    <row r="997" spans="2:2" x14ac:dyDescent="0.25">
      <c r="B997" s="10"/>
    </row>
    <row r="998" spans="2:2" x14ac:dyDescent="0.25">
      <c r="B998" s="10"/>
    </row>
    <row r="999" spans="2:2" x14ac:dyDescent="0.25">
      <c r="B999" s="10"/>
    </row>
    <row r="1000" spans="2:2" x14ac:dyDescent="0.25">
      <c r="B1000" s="10"/>
    </row>
    <row r="1001" spans="2:2" x14ac:dyDescent="0.25">
      <c r="B1001" s="10"/>
    </row>
    <row r="1002" spans="2:2" x14ac:dyDescent="0.25">
      <c r="B1002" s="10"/>
    </row>
    <row r="1003" spans="2:2" x14ac:dyDescent="0.25">
      <c r="B1003" s="10"/>
    </row>
    <row r="1004" spans="2:2" x14ac:dyDescent="0.25">
      <c r="B1004" s="10"/>
    </row>
    <row r="1005" spans="2:2" x14ac:dyDescent="0.25">
      <c r="B1005" s="10"/>
    </row>
    <row r="1006" spans="2:2" x14ac:dyDescent="0.25">
      <c r="B1006" s="10"/>
    </row>
    <row r="1007" spans="2:2" x14ac:dyDescent="0.25">
      <c r="B1007" s="10"/>
    </row>
    <row r="1008" spans="2:2" x14ac:dyDescent="0.25">
      <c r="B1008" s="10"/>
    </row>
    <row r="1009" spans="2:2" x14ac:dyDescent="0.25">
      <c r="B1009" s="10"/>
    </row>
    <row r="1010" spans="2:2" x14ac:dyDescent="0.25">
      <c r="B1010" s="10"/>
    </row>
    <row r="1011" spans="2:2" x14ac:dyDescent="0.25">
      <c r="B1011" s="10"/>
    </row>
    <row r="1012" spans="2:2" x14ac:dyDescent="0.25">
      <c r="B1012" s="10"/>
    </row>
    <row r="1013" spans="2:2" x14ac:dyDescent="0.25">
      <c r="B1013" s="10"/>
    </row>
    <row r="1014" spans="2:2" x14ac:dyDescent="0.25">
      <c r="B1014" s="10"/>
    </row>
    <row r="1015" spans="2:2" x14ac:dyDescent="0.25">
      <c r="B1015" s="10"/>
    </row>
    <row r="1016" spans="2:2" x14ac:dyDescent="0.25">
      <c r="B1016" s="10"/>
    </row>
    <row r="1017" spans="2:2" x14ac:dyDescent="0.25">
      <c r="B1017" s="10"/>
    </row>
    <row r="1018" spans="2:2" x14ac:dyDescent="0.25">
      <c r="B1018" s="10"/>
    </row>
    <row r="1019" spans="2:2" x14ac:dyDescent="0.25">
      <c r="B1019" s="10"/>
    </row>
    <row r="1020" spans="2:2" x14ac:dyDescent="0.25">
      <c r="B1020" s="10"/>
    </row>
    <row r="1021" spans="2:2" x14ac:dyDescent="0.25">
      <c r="B1021" s="10"/>
    </row>
    <row r="1022" spans="2:2" x14ac:dyDescent="0.25">
      <c r="B1022" s="10"/>
    </row>
    <row r="1023" spans="2:2" x14ac:dyDescent="0.25">
      <c r="B1023" s="10"/>
    </row>
    <row r="1024" spans="2:2" x14ac:dyDescent="0.25">
      <c r="B1024" s="10"/>
    </row>
    <row r="1025" spans="2:2" x14ac:dyDescent="0.25">
      <c r="B1025" s="10"/>
    </row>
    <row r="1026" spans="2:2" x14ac:dyDescent="0.25">
      <c r="B1026" s="10"/>
    </row>
    <row r="1027" spans="2:2" x14ac:dyDescent="0.25">
      <c r="B1027" s="10"/>
    </row>
    <row r="1028" spans="2:2" x14ac:dyDescent="0.25">
      <c r="B1028" s="10"/>
    </row>
    <row r="1029" spans="2:2" x14ac:dyDescent="0.25">
      <c r="B1029" s="10"/>
    </row>
    <row r="1030" spans="2:2" x14ac:dyDescent="0.25">
      <c r="B1030" s="10"/>
    </row>
    <row r="1031" spans="2:2" x14ac:dyDescent="0.25">
      <c r="B1031" s="10"/>
    </row>
    <row r="1032" spans="2:2" x14ac:dyDescent="0.25">
      <c r="B1032" s="10"/>
    </row>
    <row r="1033" spans="2:2" x14ac:dyDescent="0.25">
      <c r="B1033" s="10"/>
    </row>
    <row r="1034" spans="2:2" x14ac:dyDescent="0.25">
      <c r="B1034" s="10"/>
    </row>
    <row r="1035" spans="2:2" x14ac:dyDescent="0.25">
      <c r="B1035" s="10"/>
    </row>
    <row r="1036" spans="2:2" x14ac:dyDescent="0.25">
      <c r="B1036" s="10"/>
    </row>
    <row r="1037" spans="2:2" x14ac:dyDescent="0.25">
      <c r="B1037" s="10"/>
    </row>
    <row r="1038" spans="2:2" x14ac:dyDescent="0.25">
      <c r="B1038" s="10"/>
    </row>
    <row r="1039" spans="2:2" x14ac:dyDescent="0.25">
      <c r="B1039" s="10"/>
    </row>
    <row r="1040" spans="2:2" x14ac:dyDescent="0.25">
      <c r="B1040" s="10"/>
    </row>
    <row r="1041" spans="2:2" x14ac:dyDescent="0.25">
      <c r="B1041" s="10"/>
    </row>
    <row r="1042" spans="2:2" x14ac:dyDescent="0.25">
      <c r="B1042" s="10"/>
    </row>
    <row r="1043" spans="2:2" x14ac:dyDescent="0.25">
      <c r="B1043" s="10"/>
    </row>
    <row r="1044" spans="2:2" x14ac:dyDescent="0.25">
      <c r="B1044" s="10"/>
    </row>
    <row r="1045" spans="2:2" x14ac:dyDescent="0.25">
      <c r="B1045" s="10"/>
    </row>
    <row r="1046" spans="2:2" x14ac:dyDescent="0.25">
      <c r="B1046" s="10"/>
    </row>
    <row r="1047" spans="2:2" x14ac:dyDescent="0.25">
      <c r="B1047" s="10"/>
    </row>
    <row r="1048" spans="2:2" x14ac:dyDescent="0.25">
      <c r="B1048" s="10"/>
    </row>
    <row r="1049" spans="2:2" x14ac:dyDescent="0.25">
      <c r="B1049" s="10"/>
    </row>
    <row r="1050" spans="2:2" x14ac:dyDescent="0.25">
      <c r="B1050" s="10"/>
    </row>
    <row r="1051" spans="2:2" x14ac:dyDescent="0.25">
      <c r="B1051" s="10"/>
    </row>
    <row r="1052" spans="2:2" x14ac:dyDescent="0.25">
      <c r="B1052" s="10"/>
    </row>
    <row r="1053" spans="2:2" x14ac:dyDescent="0.25">
      <c r="B1053" s="10"/>
    </row>
    <row r="1054" spans="2:2" x14ac:dyDescent="0.25">
      <c r="B1054" s="10"/>
    </row>
    <row r="1055" spans="2:2" x14ac:dyDescent="0.25">
      <c r="B1055" s="10"/>
    </row>
    <row r="1056" spans="2:2" x14ac:dyDescent="0.25">
      <c r="B1056" s="10"/>
    </row>
    <row r="1057" spans="2:2" x14ac:dyDescent="0.25">
      <c r="B1057" s="10"/>
    </row>
    <row r="1058" spans="2:2" x14ac:dyDescent="0.25">
      <c r="B1058" s="10"/>
    </row>
    <row r="1059" spans="2:2" x14ac:dyDescent="0.25">
      <c r="B1059" s="10"/>
    </row>
    <row r="1060" spans="2:2" x14ac:dyDescent="0.25">
      <c r="B1060" s="10"/>
    </row>
    <row r="1061" spans="2:2" x14ac:dyDescent="0.25">
      <c r="B1061" s="10"/>
    </row>
    <row r="1062" spans="2:2" x14ac:dyDescent="0.25">
      <c r="B1062" s="10"/>
    </row>
    <row r="1063" spans="2:2" x14ac:dyDescent="0.25">
      <c r="B1063" s="10"/>
    </row>
    <row r="1064" spans="2:2" x14ac:dyDescent="0.25">
      <c r="B1064" s="10"/>
    </row>
    <row r="1065" spans="2:2" x14ac:dyDescent="0.25">
      <c r="B1065" s="10"/>
    </row>
    <row r="1066" spans="2:2" x14ac:dyDescent="0.25">
      <c r="B1066" s="10"/>
    </row>
    <row r="1067" spans="2:2" x14ac:dyDescent="0.25">
      <c r="B1067" s="10"/>
    </row>
    <row r="1068" spans="2:2" x14ac:dyDescent="0.25">
      <c r="B1068" s="10"/>
    </row>
    <row r="1069" spans="2:2" x14ac:dyDescent="0.25">
      <c r="B1069" s="10"/>
    </row>
    <row r="1070" spans="2:2" x14ac:dyDescent="0.25">
      <c r="B1070" s="10"/>
    </row>
    <row r="1071" spans="2:2" x14ac:dyDescent="0.25">
      <c r="B1071" s="10"/>
    </row>
    <row r="1072" spans="2:2" x14ac:dyDescent="0.25">
      <c r="B1072" s="10"/>
    </row>
    <row r="1073" spans="2:2" x14ac:dyDescent="0.25">
      <c r="B1073" s="10"/>
    </row>
    <row r="1074" spans="2:2" x14ac:dyDescent="0.25">
      <c r="B1074" s="10"/>
    </row>
    <row r="1075" spans="2:2" x14ac:dyDescent="0.25">
      <c r="B1075" s="10"/>
    </row>
    <row r="1076" spans="2:2" x14ac:dyDescent="0.25">
      <c r="B1076" s="10"/>
    </row>
    <row r="1077" spans="2:2" x14ac:dyDescent="0.25">
      <c r="B1077" s="10"/>
    </row>
    <row r="1078" spans="2:2" x14ac:dyDescent="0.25">
      <c r="B1078" s="10"/>
    </row>
    <row r="1079" spans="2:2" x14ac:dyDescent="0.25">
      <c r="B1079" s="10"/>
    </row>
    <row r="1080" spans="2:2" x14ac:dyDescent="0.25">
      <c r="B1080" s="10"/>
    </row>
    <row r="1081" spans="2:2" x14ac:dyDescent="0.25">
      <c r="B1081" s="10"/>
    </row>
    <row r="1082" spans="2:2" x14ac:dyDescent="0.25">
      <c r="B1082" s="10"/>
    </row>
    <row r="1083" spans="2:2" x14ac:dyDescent="0.25">
      <c r="B1083" s="10"/>
    </row>
    <row r="1084" spans="2:2" x14ac:dyDescent="0.25">
      <c r="B1084" s="10"/>
    </row>
    <row r="1085" spans="2:2" x14ac:dyDescent="0.25">
      <c r="B1085" s="10"/>
    </row>
    <row r="1086" spans="2:2" x14ac:dyDescent="0.25">
      <c r="B1086" s="10"/>
    </row>
    <row r="1087" spans="2:2" x14ac:dyDescent="0.25">
      <c r="B1087" s="10"/>
    </row>
    <row r="1088" spans="2:2" x14ac:dyDescent="0.25">
      <c r="B1088" s="10"/>
    </row>
    <row r="1089" spans="2:2" x14ac:dyDescent="0.25">
      <c r="B1089" s="10"/>
    </row>
    <row r="1090" spans="2:2" x14ac:dyDescent="0.25">
      <c r="B1090" s="10"/>
    </row>
    <row r="1091" spans="2:2" x14ac:dyDescent="0.25">
      <c r="B1091" s="10"/>
    </row>
    <row r="1092" spans="2:2" x14ac:dyDescent="0.25">
      <c r="B1092" s="10"/>
    </row>
    <row r="1093" spans="2:2" x14ac:dyDescent="0.25">
      <c r="B1093" s="10"/>
    </row>
    <row r="1094" spans="2:2" x14ac:dyDescent="0.25">
      <c r="B1094" s="10"/>
    </row>
    <row r="1095" spans="2:2" x14ac:dyDescent="0.25">
      <c r="B1095" s="10"/>
    </row>
    <row r="1096" spans="2:2" x14ac:dyDescent="0.25">
      <c r="B1096" s="10"/>
    </row>
    <row r="1097" spans="2:2" x14ac:dyDescent="0.25">
      <c r="B1097" s="10"/>
    </row>
    <row r="1098" spans="2:2" x14ac:dyDescent="0.25">
      <c r="B1098" s="10"/>
    </row>
    <row r="1099" spans="2:2" x14ac:dyDescent="0.25">
      <c r="B1099" s="10"/>
    </row>
    <row r="1100" spans="2:2" x14ac:dyDescent="0.25">
      <c r="B1100" s="10"/>
    </row>
    <row r="1101" spans="2:2" x14ac:dyDescent="0.25">
      <c r="B1101" s="10"/>
    </row>
    <row r="1102" spans="2:2" x14ac:dyDescent="0.25">
      <c r="B1102" s="10"/>
    </row>
    <row r="1103" spans="2:2" x14ac:dyDescent="0.25">
      <c r="B1103" s="10"/>
    </row>
    <row r="1104" spans="2:2" x14ac:dyDescent="0.25">
      <c r="B1104" s="10"/>
    </row>
    <row r="1105" spans="2:2" x14ac:dyDescent="0.25">
      <c r="B1105" s="10"/>
    </row>
    <row r="1106" spans="2:2" x14ac:dyDescent="0.25">
      <c r="B1106" s="10"/>
    </row>
    <row r="1107" spans="2:2" x14ac:dyDescent="0.25">
      <c r="B1107" s="10"/>
    </row>
    <row r="1108" spans="2:2" x14ac:dyDescent="0.25">
      <c r="B1108" s="10"/>
    </row>
    <row r="1109" spans="2:2" x14ac:dyDescent="0.25">
      <c r="B1109" s="10"/>
    </row>
    <row r="1110" spans="2:2" x14ac:dyDescent="0.25">
      <c r="B1110" s="10"/>
    </row>
    <row r="1111" spans="2:2" x14ac:dyDescent="0.25">
      <c r="B1111" s="10"/>
    </row>
    <row r="1112" spans="2:2" x14ac:dyDescent="0.25">
      <c r="B1112" s="10"/>
    </row>
    <row r="1113" spans="2:2" x14ac:dyDescent="0.25">
      <c r="B1113" s="10"/>
    </row>
    <row r="1114" spans="2:2" x14ac:dyDescent="0.25">
      <c r="B1114" s="10"/>
    </row>
    <row r="1115" spans="2:2" x14ac:dyDescent="0.25">
      <c r="B1115" s="10"/>
    </row>
    <row r="1116" spans="2:2" x14ac:dyDescent="0.25">
      <c r="B1116" s="10"/>
    </row>
    <row r="1117" spans="2:2" x14ac:dyDescent="0.25">
      <c r="B1117" s="10"/>
    </row>
    <row r="1118" spans="2:2" x14ac:dyDescent="0.25">
      <c r="B1118" s="10"/>
    </row>
    <row r="1119" spans="2:2" x14ac:dyDescent="0.25">
      <c r="B1119" s="10"/>
    </row>
    <row r="1120" spans="2:2" x14ac:dyDescent="0.25">
      <c r="B1120" s="10"/>
    </row>
    <row r="1121" spans="2:2" x14ac:dyDescent="0.25">
      <c r="B1121" s="10"/>
    </row>
    <row r="1122" spans="2:2" x14ac:dyDescent="0.25">
      <c r="B1122" s="10"/>
    </row>
    <row r="1123" spans="2:2" x14ac:dyDescent="0.25">
      <c r="B1123" s="10"/>
    </row>
    <row r="1124" spans="2:2" x14ac:dyDescent="0.25">
      <c r="B1124" s="10"/>
    </row>
    <row r="1125" spans="2:2" x14ac:dyDescent="0.25">
      <c r="B1125" s="10"/>
    </row>
    <row r="1126" spans="2:2" x14ac:dyDescent="0.25">
      <c r="B1126" s="10"/>
    </row>
    <row r="1127" spans="2:2" x14ac:dyDescent="0.25">
      <c r="B1127" s="10"/>
    </row>
    <row r="1128" spans="2:2" x14ac:dyDescent="0.25">
      <c r="B1128" s="10"/>
    </row>
    <row r="1129" spans="2:2" x14ac:dyDescent="0.25">
      <c r="B1129" s="10"/>
    </row>
    <row r="1130" spans="2:2" x14ac:dyDescent="0.25">
      <c r="B1130" s="10"/>
    </row>
    <row r="1131" spans="2:2" x14ac:dyDescent="0.25">
      <c r="B1131" s="10"/>
    </row>
    <row r="1132" spans="2:2" x14ac:dyDescent="0.25">
      <c r="B1132" s="10"/>
    </row>
    <row r="1133" spans="2:2" x14ac:dyDescent="0.25">
      <c r="B1133" s="10"/>
    </row>
    <row r="1134" spans="2:2" x14ac:dyDescent="0.25">
      <c r="B1134" s="10"/>
    </row>
    <row r="1135" spans="2:2" x14ac:dyDescent="0.25">
      <c r="B1135" s="10"/>
    </row>
    <row r="1136" spans="2:2" x14ac:dyDescent="0.25">
      <c r="B1136" s="10"/>
    </row>
    <row r="1137" spans="2:2" x14ac:dyDescent="0.25">
      <c r="B1137" s="10"/>
    </row>
    <row r="1138" spans="2:2" x14ac:dyDescent="0.25">
      <c r="B1138" s="10"/>
    </row>
    <row r="1139" spans="2:2" x14ac:dyDescent="0.25">
      <c r="B1139" s="10"/>
    </row>
    <row r="1140" spans="2:2" x14ac:dyDescent="0.25">
      <c r="B1140" s="10"/>
    </row>
    <row r="1141" spans="2:2" x14ac:dyDescent="0.25">
      <c r="B1141" s="10"/>
    </row>
    <row r="1142" spans="2:2" x14ac:dyDescent="0.25">
      <c r="B1142" s="10"/>
    </row>
    <row r="1143" spans="2:2" x14ac:dyDescent="0.25">
      <c r="B1143" s="10"/>
    </row>
    <row r="1144" spans="2:2" x14ac:dyDescent="0.25">
      <c r="B1144" s="10"/>
    </row>
    <row r="1145" spans="2:2" x14ac:dyDescent="0.25">
      <c r="B1145" s="10"/>
    </row>
    <row r="1146" spans="2:2" x14ac:dyDescent="0.25">
      <c r="B1146" s="10"/>
    </row>
    <row r="1147" spans="2:2" x14ac:dyDescent="0.25">
      <c r="B1147" s="10"/>
    </row>
    <row r="1148" spans="2:2" x14ac:dyDescent="0.25">
      <c r="B1148" s="10"/>
    </row>
    <row r="1149" spans="2:2" x14ac:dyDescent="0.25">
      <c r="B1149" s="10"/>
    </row>
    <row r="1150" spans="2:2" x14ac:dyDescent="0.25">
      <c r="B1150" s="10"/>
    </row>
    <row r="1151" spans="2:2" x14ac:dyDescent="0.25">
      <c r="B1151" s="10"/>
    </row>
    <row r="1152" spans="2:2" x14ac:dyDescent="0.25">
      <c r="B1152" s="10"/>
    </row>
    <row r="1153" spans="2:2" x14ac:dyDescent="0.25">
      <c r="B1153" s="10"/>
    </row>
    <row r="1154" spans="2:2" x14ac:dyDescent="0.25">
      <c r="B1154" s="10"/>
    </row>
    <row r="1155" spans="2:2" x14ac:dyDescent="0.25">
      <c r="B1155" s="10"/>
    </row>
    <row r="1156" spans="2:2" x14ac:dyDescent="0.25">
      <c r="B1156" s="10"/>
    </row>
    <row r="1157" spans="2:2" x14ac:dyDescent="0.25">
      <c r="B1157" s="10"/>
    </row>
    <row r="1158" spans="2:2" x14ac:dyDescent="0.25">
      <c r="B1158" s="10"/>
    </row>
    <row r="1159" spans="2:2" x14ac:dyDescent="0.25">
      <c r="B1159" s="10"/>
    </row>
    <row r="1160" spans="2:2" x14ac:dyDescent="0.25">
      <c r="B1160" s="10"/>
    </row>
    <row r="1161" spans="2:2" x14ac:dyDescent="0.25">
      <c r="B1161" s="10"/>
    </row>
    <row r="1162" spans="2:2" x14ac:dyDescent="0.25">
      <c r="B1162" s="10"/>
    </row>
    <row r="1163" spans="2:2" x14ac:dyDescent="0.25">
      <c r="B1163" s="10"/>
    </row>
    <row r="1164" spans="2:2" x14ac:dyDescent="0.25">
      <c r="B1164" s="10"/>
    </row>
    <row r="1165" spans="2:2" x14ac:dyDescent="0.25">
      <c r="B1165" s="10"/>
    </row>
    <row r="1166" spans="2:2" x14ac:dyDescent="0.25">
      <c r="B1166" s="10"/>
    </row>
    <row r="1167" spans="2:2" x14ac:dyDescent="0.25">
      <c r="B1167" s="10"/>
    </row>
    <row r="1168" spans="2:2" x14ac:dyDescent="0.25">
      <c r="B1168" s="10"/>
    </row>
    <row r="1169" spans="2:2" x14ac:dyDescent="0.25">
      <c r="B1169" s="10"/>
    </row>
    <row r="1170" spans="2:2" x14ac:dyDescent="0.25">
      <c r="B1170" s="10"/>
    </row>
    <row r="1171" spans="2:2" x14ac:dyDescent="0.25">
      <c r="B1171" s="10"/>
    </row>
    <row r="1172" spans="2:2" x14ac:dyDescent="0.25">
      <c r="B1172" s="10"/>
    </row>
    <row r="1173" spans="2:2" x14ac:dyDescent="0.25">
      <c r="B1173" s="10"/>
    </row>
    <row r="1174" spans="2:2" x14ac:dyDescent="0.25">
      <c r="B1174" s="10"/>
    </row>
    <row r="1175" spans="2:2" x14ac:dyDescent="0.25">
      <c r="B1175" s="10"/>
    </row>
    <row r="1176" spans="2:2" x14ac:dyDescent="0.25">
      <c r="B1176" s="10"/>
    </row>
    <row r="1177" spans="2:2" x14ac:dyDescent="0.25">
      <c r="B1177" s="10"/>
    </row>
    <row r="1178" spans="2:2" x14ac:dyDescent="0.25">
      <c r="B1178" s="10"/>
    </row>
    <row r="1179" spans="2:2" x14ac:dyDescent="0.25">
      <c r="B1179" s="10"/>
    </row>
    <row r="1180" spans="2:2" x14ac:dyDescent="0.25">
      <c r="B1180" s="10"/>
    </row>
    <row r="1181" spans="2:2" x14ac:dyDescent="0.25">
      <c r="B1181" s="10"/>
    </row>
    <row r="1182" spans="2:2" x14ac:dyDescent="0.25">
      <c r="B1182" s="10"/>
    </row>
    <row r="1183" spans="2:2" x14ac:dyDescent="0.25">
      <c r="B1183" s="10"/>
    </row>
    <row r="1184" spans="2:2" x14ac:dyDescent="0.25">
      <c r="B1184" s="10"/>
    </row>
    <row r="1185" spans="2:2" x14ac:dyDescent="0.25">
      <c r="B1185" s="10"/>
    </row>
    <row r="1186" spans="2:2" x14ac:dyDescent="0.25">
      <c r="B1186" s="10"/>
    </row>
    <row r="1187" spans="2:2" x14ac:dyDescent="0.25">
      <c r="B1187" s="10"/>
    </row>
    <row r="1188" spans="2:2" x14ac:dyDescent="0.25">
      <c r="B1188" s="10"/>
    </row>
    <row r="1189" spans="2:2" x14ac:dyDescent="0.25">
      <c r="B1189" s="10"/>
    </row>
    <row r="1190" spans="2:2" x14ac:dyDescent="0.25">
      <c r="B1190" s="10"/>
    </row>
    <row r="1191" spans="2:2" x14ac:dyDescent="0.25">
      <c r="B1191" s="10"/>
    </row>
    <row r="1192" spans="2:2" x14ac:dyDescent="0.25">
      <c r="B1192" s="10"/>
    </row>
    <row r="1193" spans="2:2" x14ac:dyDescent="0.25">
      <c r="B1193" s="10"/>
    </row>
    <row r="1194" spans="2:2" x14ac:dyDescent="0.25">
      <c r="B1194" s="10"/>
    </row>
    <row r="1195" spans="2:2" x14ac:dyDescent="0.25">
      <c r="B1195" s="10"/>
    </row>
    <row r="1196" spans="2:2" x14ac:dyDescent="0.25">
      <c r="B1196" s="10"/>
    </row>
    <row r="1197" spans="2:2" x14ac:dyDescent="0.25">
      <c r="B1197" s="10"/>
    </row>
    <row r="1198" spans="2:2" x14ac:dyDescent="0.25">
      <c r="B1198" s="10"/>
    </row>
    <row r="1199" spans="2:2" x14ac:dyDescent="0.25">
      <c r="B1199" s="10"/>
    </row>
    <row r="1200" spans="2:2" x14ac:dyDescent="0.25">
      <c r="B1200" s="10"/>
    </row>
    <row r="1201" spans="2:2" x14ac:dyDescent="0.25">
      <c r="B1201" s="10"/>
    </row>
    <row r="1202" spans="2:2" x14ac:dyDescent="0.25">
      <c r="B1202" s="10"/>
    </row>
    <row r="1203" spans="2:2" x14ac:dyDescent="0.25">
      <c r="B1203" s="10"/>
    </row>
    <row r="1204" spans="2:2" x14ac:dyDescent="0.25">
      <c r="B1204" s="10"/>
    </row>
    <row r="1205" spans="2:2" x14ac:dyDescent="0.25">
      <c r="B1205" s="10"/>
    </row>
    <row r="1206" spans="2:2" x14ac:dyDescent="0.25">
      <c r="B1206" s="10"/>
    </row>
    <row r="1207" spans="2:2" x14ac:dyDescent="0.25">
      <c r="B1207" s="10"/>
    </row>
    <row r="1208" spans="2:2" x14ac:dyDescent="0.25">
      <c r="B1208" s="10"/>
    </row>
    <row r="1209" spans="2:2" x14ac:dyDescent="0.25">
      <c r="B1209" s="10"/>
    </row>
    <row r="1210" spans="2:2" x14ac:dyDescent="0.25">
      <c r="B1210" s="10"/>
    </row>
    <row r="1211" spans="2:2" x14ac:dyDescent="0.25">
      <c r="B1211" s="10"/>
    </row>
    <row r="1212" spans="2:2" x14ac:dyDescent="0.25">
      <c r="B1212" s="10"/>
    </row>
    <row r="1213" spans="2:2" x14ac:dyDescent="0.25">
      <c r="B1213" s="10"/>
    </row>
    <row r="1214" spans="2:2" x14ac:dyDescent="0.25">
      <c r="B1214" s="10"/>
    </row>
    <row r="1215" spans="2:2" x14ac:dyDescent="0.25">
      <c r="B1215" s="10"/>
    </row>
    <row r="1216" spans="2:2" x14ac:dyDescent="0.25">
      <c r="B1216" s="10"/>
    </row>
    <row r="1217" spans="2:2" x14ac:dyDescent="0.25">
      <c r="B1217" s="10"/>
    </row>
    <row r="1218" spans="2:2" x14ac:dyDescent="0.25">
      <c r="B1218" s="10"/>
    </row>
    <row r="1219" spans="2:2" x14ac:dyDescent="0.25">
      <c r="B1219" s="10"/>
    </row>
    <row r="1220" spans="2:2" x14ac:dyDescent="0.25">
      <c r="B1220" s="10"/>
    </row>
    <row r="1221" spans="2:2" x14ac:dyDescent="0.25">
      <c r="B1221" s="10"/>
    </row>
    <row r="1222" spans="2:2" x14ac:dyDescent="0.25">
      <c r="B1222" s="10"/>
    </row>
    <row r="1223" spans="2:2" x14ac:dyDescent="0.25">
      <c r="B1223" s="10"/>
    </row>
    <row r="1224" spans="2:2" x14ac:dyDescent="0.25">
      <c r="B1224" s="10"/>
    </row>
    <row r="1225" spans="2:2" x14ac:dyDescent="0.25">
      <c r="B1225" s="10"/>
    </row>
    <row r="1226" spans="2:2" x14ac:dyDescent="0.25">
      <c r="B1226" s="10"/>
    </row>
    <row r="1227" spans="2:2" x14ac:dyDescent="0.25">
      <c r="B1227" s="10"/>
    </row>
    <row r="1228" spans="2:2" x14ac:dyDescent="0.25">
      <c r="B1228" s="10"/>
    </row>
    <row r="1229" spans="2:2" x14ac:dyDescent="0.25">
      <c r="B1229" s="10"/>
    </row>
    <row r="1230" spans="2:2" x14ac:dyDescent="0.25">
      <c r="B1230" s="10"/>
    </row>
    <row r="1231" spans="2:2" x14ac:dyDescent="0.25">
      <c r="B1231" s="10"/>
    </row>
    <row r="1232" spans="2:2" x14ac:dyDescent="0.25">
      <c r="B1232" s="10"/>
    </row>
    <row r="1233" spans="2:2" x14ac:dyDescent="0.25">
      <c r="B1233" s="10"/>
    </row>
    <row r="1234" spans="2:2" x14ac:dyDescent="0.25">
      <c r="B1234" s="10"/>
    </row>
    <row r="1235" spans="2:2" x14ac:dyDescent="0.25">
      <c r="B1235" s="10"/>
    </row>
    <row r="1236" spans="2:2" x14ac:dyDescent="0.25">
      <c r="B1236" s="10"/>
    </row>
    <row r="1237" spans="2:2" x14ac:dyDescent="0.25">
      <c r="B1237" s="10"/>
    </row>
    <row r="1238" spans="2:2" x14ac:dyDescent="0.25">
      <c r="B1238" s="10"/>
    </row>
    <row r="1239" spans="2:2" x14ac:dyDescent="0.25">
      <c r="B1239" s="10"/>
    </row>
    <row r="1240" spans="2:2" x14ac:dyDescent="0.25">
      <c r="B1240" s="10"/>
    </row>
    <row r="1241" spans="2:2" x14ac:dyDescent="0.25">
      <c r="B1241" s="10"/>
    </row>
    <row r="1242" spans="2:2" x14ac:dyDescent="0.25">
      <c r="B1242" s="10"/>
    </row>
    <row r="1243" spans="2:2" x14ac:dyDescent="0.25">
      <c r="B1243" s="10"/>
    </row>
    <row r="1244" spans="2:2" x14ac:dyDescent="0.25">
      <c r="B1244" s="10"/>
    </row>
    <row r="1245" spans="2:2" x14ac:dyDescent="0.25">
      <c r="B1245" s="10"/>
    </row>
    <row r="1246" spans="2:2" x14ac:dyDescent="0.25">
      <c r="B1246" s="10"/>
    </row>
    <row r="1247" spans="2:2" x14ac:dyDescent="0.25">
      <c r="B1247" s="10"/>
    </row>
    <row r="1248" spans="2:2" x14ac:dyDescent="0.25">
      <c r="B1248" s="10"/>
    </row>
    <row r="1249" spans="2:2" x14ac:dyDescent="0.25">
      <c r="B1249" s="10"/>
    </row>
    <row r="1250" spans="2:2" x14ac:dyDescent="0.25">
      <c r="B1250" s="10"/>
    </row>
    <row r="1251" spans="2:2" x14ac:dyDescent="0.25">
      <c r="B1251" s="10"/>
    </row>
    <row r="1252" spans="2:2" x14ac:dyDescent="0.25">
      <c r="B1252" s="10"/>
    </row>
    <row r="1253" spans="2:2" x14ac:dyDescent="0.25">
      <c r="B1253" s="10"/>
    </row>
    <row r="1254" spans="2:2" x14ac:dyDescent="0.25">
      <c r="B1254" s="10"/>
    </row>
    <row r="1255" spans="2:2" x14ac:dyDescent="0.25">
      <c r="B1255" s="10"/>
    </row>
    <row r="1256" spans="2:2" x14ac:dyDescent="0.25">
      <c r="B1256" s="10"/>
    </row>
    <row r="1257" spans="2:2" x14ac:dyDescent="0.25">
      <c r="B1257" s="10"/>
    </row>
    <row r="1258" spans="2:2" x14ac:dyDescent="0.25">
      <c r="B1258" s="10"/>
    </row>
    <row r="1259" spans="2:2" x14ac:dyDescent="0.25">
      <c r="B1259" s="10"/>
    </row>
    <row r="1260" spans="2:2" x14ac:dyDescent="0.25">
      <c r="B1260" s="10"/>
    </row>
    <row r="1261" spans="2:2" x14ac:dyDescent="0.25">
      <c r="B1261" s="10"/>
    </row>
    <row r="1262" spans="2:2" x14ac:dyDescent="0.25">
      <c r="B1262" s="10"/>
    </row>
    <row r="1263" spans="2:2" x14ac:dyDescent="0.25">
      <c r="B1263" s="10"/>
    </row>
    <row r="1264" spans="2:2" x14ac:dyDescent="0.25">
      <c r="B1264" s="10"/>
    </row>
    <row r="1265" spans="2:2" x14ac:dyDescent="0.25">
      <c r="B1265" s="10"/>
    </row>
    <row r="1266" spans="2:2" x14ac:dyDescent="0.25">
      <c r="B1266" s="10"/>
    </row>
    <row r="1267" spans="2:2" x14ac:dyDescent="0.25">
      <c r="B1267" s="10"/>
    </row>
    <row r="1268" spans="2:2" x14ac:dyDescent="0.25">
      <c r="B1268" s="10"/>
    </row>
    <row r="1269" spans="2:2" x14ac:dyDescent="0.25">
      <c r="B1269" s="10"/>
    </row>
    <row r="1270" spans="2:2" x14ac:dyDescent="0.25">
      <c r="B1270" s="10"/>
    </row>
    <row r="1271" spans="2:2" x14ac:dyDescent="0.25">
      <c r="B1271" s="10"/>
    </row>
    <row r="1272" spans="2:2" x14ac:dyDescent="0.25">
      <c r="B1272" s="10"/>
    </row>
    <row r="1273" spans="2:2" x14ac:dyDescent="0.25">
      <c r="B1273" s="10"/>
    </row>
    <row r="1274" spans="2:2" x14ac:dyDescent="0.25">
      <c r="B1274" s="10"/>
    </row>
    <row r="1275" spans="2:2" x14ac:dyDescent="0.25">
      <c r="B1275" s="10"/>
    </row>
    <row r="1276" spans="2:2" x14ac:dyDescent="0.25">
      <c r="B1276" s="10"/>
    </row>
    <row r="1277" spans="2:2" x14ac:dyDescent="0.25">
      <c r="B1277" s="10"/>
    </row>
    <row r="1278" spans="2:2" x14ac:dyDescent="0.25">
      <c r="B1278" s="10"/>
    </row>
    <row r="1279" spans="2:2" x14ac:dyDescent="0.25">
      <c r="B1279" s="10"/>
    </row>
    <row r="1280" spans="2:2" x14ac:dyDescent="0.25">
      <c r="B1280" s="10"/>
    </row>
    <row r="1281" spans="2:2" x14ac:dyDescent="0.25">
      <c r="B1281" s="10"/>
    </row>
    <row r="1282" spans="2:2" x14ac:dyDescent="0.25">
      <c r="B1282" s="10"/>
    </row>
    <row r="1283" spans="2:2" x14ac:dyDescent="0.25">
      <c r="B1283" s="10"/>
    </row>
    <row r="1284" spans="2:2" x14ac:dyDescent="0.25">
      <c r="B1284" s="10"/>
    </row>
    <row r="1285" spans="2:2" x14ac:dyDescent="0.25">
      <c r="B1285" s="10"/>
    </row>
    <row r="1286" spans="2:2" x14ac:dyDescent="0.25">
      <c r="B1286" s="10"/>
    </row>
    <row r="1287" spans="2:2" x14ac:dyDescent="0.25">
      <c r="B1287" s="10"/>
    </row>
    <row r="1288" spans="2:2" x14ac:dyDescent="0.25">
      <c r="B1288" s="10"/>
    </row>
    <row r="1289" spans="2:2" x14ac:dyDescent="0.25">
      <c r="B1289" s="10"/>
    </row>
    <row r="1290" spans="2:2" x14ac:dyDescent="0.25">
      <c r="B1290" s="10"/>
    </row>
    <row r="1291" spans="2:2" x14ac:dyDescent="0.25">
      <c r="B1291" s="10"/>
    </row>
    <row r="1292" spans="2:2" x14ac:dyDescent="0.25">
      <c r="B1292" s="10"/>
    </row>
    <row r="1293" spans="2:2" x14ac:dyDescent="0.25">
      <c r="B1293" s="10"/>
    </row>
    <row r="1294" spans="2:2" x14ac:dyDescent="0.25">
      <c r="B1294" s="10"/>
    </row>
    <row r="1295" spans="2:2" x14ac:dyDescent="0.25">
      <c r="B1295" s="10"/>
    </row>
    <row r="1296" spans="2:2" x14ac:dyDescent="0.25">
      <c r="B1296" s="10"/>
    </row>
    <row r="1297" spans="2:2" x14ac:dyDescent="0.25">
      <c r="B1297" s="10"/>
    </row>
    <row r="1298" spans="2:2" x14ac:dyDescent="0.25">
      <c r="B1298" s="10"/>
    </row>
    <row r="1299" spans="2:2" x14ac:dyDescent="0.25">
      <c r="B1299" s="10"/>
    </row>
    <row r="1300" spans="2:2" x14ac:dyDescent="0.25">
      <c r="B1300" s="10"/>
    </row>
    <row r="1301" spans="2:2" x14ac:dyDescent="0.25">
      <c r="B1301" s="10"/>
    </row>
    <row r="1302" spans="2:2" x14ac:dyDescent="0.25">
      <c r="B1302" s="10"/>
    </row>
    <row r="1303" spans="2:2" x14ac:dyDescent="0.25">
      <c r="B1303" s="10"/>
    </row>
    <row r="1304" spans="2:2" x14ac:dyDescent="0.25">
      <c r="B1304" s="10"/>
    </row>
    <row r="1305" spans="2:2" x14ac:dyDescent="0.25">
      <c r="B1305" s="10"/>
    </row>
    <row r="1306" spans="2:2" x14ac:dyDescent="0.25">
      <c r="B1306" s="10"/>
    </row>
    <row r="1307" spans="2:2" x14ac:dyDescent="0.25">
      <c r="B1307" s="10"/>
    </row>
    <row r="1308" spans="2:2" x14ac:dyDescent="0.25">
      <c r="B1308" s="10"/>
    </row>
    <row r="1309" spans="2:2" x14ac:dyDescent="0.25">
      <c r="B1309" s="10"/>
    </row>
    <row r="1310" spans="2:2" x14ac:dyDescent="0.25">
      <c r="B1310" s="10"/>
    </row>
    <row r="1311" spans="2:2" x14ac:dyDescent="0.25">
      <c r="B1311" s="10"/>
    </row>
    <row r="1312" spans="2:2" x14ac:dyDescent="0.25">
      <c r="B1312" s="10"/>
    </row>
    <row r="1313" spans="2:2" x14ac:dyDescent="0.25">
      <c r="B1313" s="10"/>
    </row>
    <row r="1314" spans="2:2" x14ac:dyDescent="0.25">
      <c r="B1314" s="10"/>
    </row>
    <row r="1315" spans="2:2" x14ac:dyDescent="0.25">
      <c r="B1315" s="10"/>
    </row>
    <row r="1316" spans="2:2" x14ac:dyDescent="0.25">
      <c r="B1316" s="10"/>
    </row>
    <row r="1317" spans="2:2" x14ac:dyDescent="0.25">
      <c r="B1317" s="10"/>
    </row>
    <row r="1318" spans="2:2" x14ac:dyDescent="0.25">
      <c r="B1318" s="10"/>
    </row>
    <row r="1319" spans="2:2" x14ac:dyDescent="0.25">
      <c r="B1319" s="10"/>
    </row>
    <row r="1320" spans="2:2" x14ac:dyDescent="0.25">
      <c r="B1320" s="10"/>
    </row>
    <row r="1321" spans="2:2" x14ac:dyDescent="0.25">
      <c r="B1321" s="10"/>
    </row>
    <row r="1322" spans="2:2" x14ac:dyDescent="0.25">
      <c r="B1322" s="10"/>
    </row>
    <row r="1323" spans="2:2" x14ac:dyDescent="0.25">
      <c r="B1323" s="10"/>
    </row>
    <row r="1324" spans="2:2" x14ac:dyDescent="0.25">
      <c r="B1324" s="10"/>
    </row>
    <row r="1325" spans="2:2" x14ac:dyDescent="0.25">
      <c r="B1325" s="10"/>
    </row>
    <row r="1326" spans="2:2" x14ac:dyDescent="0.25">
      <c r="B1326" s="10"/>
    </row>
    <row r="1327" spans="2:2" x14ac:dyDescent="0.25">
      <c r="B1327" s="10"/>
    </row>
    <row r="1328" spans="2:2" x14ac:dyDescent="0.25">
      <c r="B1328" s="10"/>
    </row>
    <row r="1329" spans="2:2" x14ac:dyDescent="0.25">
      <c r="B1329" s="10"/>
    </row>
    <row r="1330" spans="2:2" x14ac:dyDescent="0.25">
      <c r="B1330" s="10"/>
    </row>
    <row r="1331" spans="2:2" x14ac:dyDescent="0.25">
      <c r="B1331" s="10"/>
    </row>
    <row r="1332" spans="2:2" x14ac:dyDescent="0.25">
      <c r="B1332" s="10"/>
    </row>
    <row r="1333" spans="2:2" x14ac:dyDescent="0.25">
      <c r="B1333" s="10"/>
    </row>
    <row r="1334" spans="2:2" x14ac:dyDescent="0.25">
      <c r="B1334" s="10"/>
    </row>
    <row r="1335" spans="2:2" x14ac:dyDescent="0.25">
      <c r="B1335" s="10"/>
    </row>
    <row r="1336" spans="2:2" x14ac:dyDescent="0.25">
      <c r="B1336" s="10"/>
    </row>
    <row r="1337" spans="2:2" x14ac:dyDescent="0.25">
      <c r="B1337" s="10"/>
    </row>
    <row r="1338" spans="2:2" x14ac:dyDescent="0.25">
      <c r="B1338" s="10"/>
    </row>
    <row r="1339" spans="2:2" x14ac:dyDescent="0.25">
      <c r="B1339" s="10"/>
    </row>
    <row r="1340" spans="2:2" x14ac:dyDescent="0.25">
      <c r="B1340" s="10"/>
    </row>
    <row r="1341" spans="2:2" x14ac:dyDescent="0.25">
      <c r="B1341" s="10"/>
    </row>
    <row r="1342" spans="2:2" x14ac:dyDescent="0.25">
      <c r="B1342" s="10"/>
    </row>
    <row r="1343" spans="2:2" x14ac:dyDescent="0.25">
      <c r="B1343" s="10"/>
    </row>
    <row r="1344" spans="2:2" x14ac:dyDescent="0.25">
      <c r="B1344" s="10"/>
    </row>
    <row r="1345" spans="2:2" x14ac:dyDescent="0.25">
      <c r="B1345" s="10"/>
    </row>
    <row r="1346" spans="2:2" x14ac:dyDescent="0.25">
      <c r="B1346" s="10"/>
    </row>
    <row r="1347" spans="2:2" x14ac:dyDescent="0.25">
      <c r="B1347" s="10"/>
    </row>
    <row r="1348" spans="2:2" x14ac:dyDescent="0.25">
      <c r="B1348" s="10"/>
    </row>
    <row r="1349" spans="2:2" x14ac:dyDescent="0.25">
      <c r="B1349" s="10"/>
    </row>
    <row r="1350" spans="2:2" x14ac:dyDescent="0.25">
      <c r="B1350" s="10"/>
    </row>
    <row r="1351" spans="2:2" x14ac:dyDescent="0.25">
      <c r="B1351" s="10"/>
    </row>
    <row r="1352" spans="2:2" x14ac:dyDescent="0.25">
      <c r="B1352" s="10"/>
    </row>
    <row r="1353" spans="2:2" x14ac:dyDescent="0.25">
      <c r="B1353" s="10"/>
    </row>
    <row r="1354" spans="2:2" x14ac:dyDescent="0.25">
      <c r="B1354" s="10"/>
    </row>
    <row r="1355" spans="2:2" x14ac:dyDescent="0.25">
      <c r="B1355" s="10"/>
    </row>
    <row r="1356" spans="2:2" x14ac:dyDescent="0.25">
      <c r="B1356" s="10"/>
    </row>
    <row r="1357" spans="2:2" x14ac:dyDescent="0.25">
      <c r="B1357" s="10"/>
    </row>
    <row r="1358" spans="2:2" x14ac:dyDescent="0.25">
      <c r="B1358" s="10"/>
    </row>
    <row r="1359" spans="2:2" x14ac:dyDescent="0.25">
      <c r="B1359" s="10"/>
    </row>
    <row r="1360" spans="2:2" x14ac:dyDescent="0.25">
      <c r="B1360" s="10"/>
    </row>
    <row r="1361" spans="2:2" x14ac:dyDescent="0.25">
      <c r="B1361" s="10"/>
    </row>
    <row r="1362" spans="2:2" x14ac:dyDescent="0.25">
      <c r="B1362" s="10"/>
    </row>
    <row r="1363" spans="2:2" x14ac:dyDescent="0.25">
      <c r="B1363" s="10"/>
    </row>
    <row r="1364" spans="2:2" x14ac:dyDescent="0.25">
      <c r="B1364" s="10"/>
    </row>
    <row r="1365" spans="2:2" x14ac:dyDescent="0.25">
      <c r="B1365" s="10"/>
    </row>
    <row r="1366" spans="2:2" x14ac:dyDescent="0.25">
      <c r="B1366" s="10"/>
    </row>
    <row r="1367" spans="2:2" x14ac:dyDescent="0.25">
      <c r="B1367" s="10"/>
    </row>
    <row r="1368" spans="2:2" x14ac:dyDescent="0.25">
      <c r="B1368" s="10"/>
    </row>
    <row r="1369" spans="2:2" x14ac:dyDescent="0.25">
      <c r="B1369" s="10"/>
    </row>
    <row r="1370" spans="2:2" x14ac:dyDescent="0.25">
      <c r="B1370" s="10"/>
    </row>
    <row r="1371" spans="2:2" x14ac:dyDescent="0.25">
      <c r="B1371" s="10"/>
    </row>
    <row r="1372" spans="2:2" x14ac:dyDescent="0.25">
      <c r="B1372" s="10"/>
    </row>
    <row r="1373" spans="2:2" x14ac:dyDescent="0.25">
      <c r="B1373" s="10"/>
    </row>
    <row r="1374" spans="2:2" x14ac:dyDescent="0.25">
      <c r="B1374" s="10"/>
    </row>
    <row r="1375" spans="2:2" x14ac:dyDescent="0.25">
      <c r="B1375" s="10"/>
    </row>
    <row r="1376" spans="2:2" x14ac:dyDescent="0.25">
      <c r="B1376" s="10"/>
    </row>
    <row r="1377" spans="2:2" x14ac:dyDescent="0.25">
      <c r="B1377" s="10"/>
    </row>
    <row r="1378" spans="2:2" x14ac:dyDescent="0.25">
      <c r="B1378" s="10"/>
    </row>
    <row r="1379" spans="2:2" x14ac:dyDescent="0.25">
      <c r="B1379" s="10"/>
    </row>
    <row r="1380" spans="2:2" x14ac:dyDescent="0.25">
      <c r="B1380" s="10"/>
    </row>
    <row r="1381" spans="2:2" x14ac:dyDescent="0.25">
      <c r="B1381" s="10"/>
    </row>
    <row r="1382" spans="2:2" x14ac:dyDescent="0.25">
      <c r="B1382" s="10"/>
    </row>
    <row r="1383" spans="2:2" x14ac:dyDescent="0.25">
      <c r="B1383" s="10"/>
    </row>
    <row r="1384" spans="2:2" x14ac:dyDescent="0.25">
      <c r="B1384" s="10"/>
    </row>
    <row r="1385" spans="2:2" x14ac:dyDescent="0.25">
      <c r="B1385" s="10"/>
    </row>
    <row r="1386" spans="2:2" x14ac:dyDescent="0.25">
      <c r="B1386" s="10"/>
    </row>
    <row r="1387" spans="2:2" x14ac:dyDescent="0.25">
      <c r="B1387" s="10"/>
    </row>
    <row r="1388" spans="2:2" x14ac:dyDescent="0.25">
      <c r="B1388" s="10"/>
    </row>
    <row r="1389" spans="2:2" x14ac:dyDescent="0.25">
      <c r="B1389" s="10"/>
    </row>
    <row r="1390" spans="2:2" x14ac:dyDescent="0.25">
      <c r="B1390" s="10"/>
    </row>
    <row r="1391" spans="2:2" x14ac:dyDescent="0.25">
      <c r="B1391" s="10"/>
    </row>
    <row r="1392" spans="2:2" x14ac:dyDescent="0.25">
      <c r="B1392" s="10"/>
    </row>
    <row r="1393" spans="2:2" x14ac:dyDescent="0.25">
      <c r="B1393" s="10"/>
    </row>
    <row r="1394" spans="2:2" x14ac:dyDescent="0.25">
      <c r="B1394" s="10"/>
    </row>
    <row r="1395" spans="2:2" x14ac:dyDescent="0.25">
      <c r="B1395" s="10"/>
    </row>
    <row r="1396" spans="2:2" x14ac:dyDescent="0.25">
      <c r="B1396" s="10"/>
    </row>
    <row r="1397" spans="2:2" x14ac:dyDescent="0.25">
      <c r="B1397" s="10"/>
    </row>
    <row r="1398" spans="2:2" x14ac:dyDescent="0.25">
      <c r="B1398" s="10"/>
    </row>
    <row r="1399" spans="2:2" x14ac:dyDescent="0.25">
      <c r="B1399" s="10"/>
    </row>
    <row r="1400" spans="2:2" x14ac:dyDescent="0.25">
      <c r="B1400" s="10"/>
    </row>
    <row r="1401" spans="2:2" x14ac:dyDescent="0.25">
      <c r="B1401" s="10"/>
    </row>
    <row r="1402" spans="2:2" x14ac:dyDescent="0.25">
      <c r="B1402" s="10"/>
    </row>
    <row r="1403" spans="2:2" x14ac:dyDescent="0.25">
      <c r="B1403" s="10"/>
    </row>
    <row r="1404" spans="2:2" x14ac:dyDescent="0.25">
      <c r="B1404" s="10"/>
    </row>
    <row r="1405" spans="2:2" x14ac:dyDescent="0.25">
      <c r="B1405" s="10"/>
    </row>
    <row r="1406" spans="2:2" x14ac:dyDescent="0.25">
      <c r="B1406" s="10"/>
    </row>
    <row r="1407" spans="2:2" x14ac:dyDescent="0.25">
      <c r="B1407" s="10"/>
    </row>
    <row r="1408" spans="2:2" x14ac:dyDescent="0.25">
      <c r="B1408" s="10"/>
    </row>
    <row r="1409" spans="2:2" x14ac:dyDescent="0.25">
      <c r="B1409" s="10"/>
    </row>
    <row r="1410" spans="2:2" x14ac:dyDescent="0.25">
      <c r="B1410" s="10"/>
    </row>
    <row r="1411" spans="2:2" x14ac:dyDescent="0.25">
      <c r="B1411" s="10"/>
    </row>
    <row r="1412" spans="2:2" x14ac:dyDescent="0.25">
      <c r="B1412" s="10"/>
    </row>
    <row r="1413" spans="2:2" x14ac:dyDescent="0.25">
      <c r="B1413" s="10"/>
    </row>
    <row r="1414" spans="2:2" x14ac:dyDescent="0.25">
      <c r="B1414" s="10"/>
    </row>
    <row r="1415" spans="2:2" x14ac:dyDescent="0.25">
      <c r="B1415" s="10"/>
    </row>
    <row r="1416" spans="2:2" x14ac:dyDescent="0.25">
      <c r="B1416" s="10"/>
    </row>
    <row r="1417" spans="2:2" x14ac:dyDescent="0.25">
      <c r="B1417" s="10"/>
    </row>
    <row r="1418" spans="2:2" x14ac:dyDescent="0.25">
      <c r="B1418" s="10"/>
    </row>
    <row r="1419" spans="2:2" x14ac:dyDescent="0.25">
      <c r="B1419" s="10"/>
    </row>
    <row r="1420" spans="2:2" x14ac:dyDescent="0.25">
      <c r="B1420" s="10"/>
    </row>
    <row r="1421" spans="2:2" x14ac:dyDescent="0.25">
      <c r="B1421" s="10"/>
    </row>
    <row r="1422" spans="2:2" x14ac:dyDescent="0.25">
      <c r="B1422" s="10"/>
    </row>
    <row r="1423" spans="2:2" x14ac:dyDescent="0.25">
      <c r="B1423" s="10"/>
    </row>
    <row r="1424" spans="2:2" x14ac:dyDescent="0.25">
      <c r="B1424" s="10"/>
    </row>
    <row r="1425" spans="2:2" x14ac:dyDescent="0.25">
      <c r="B1425" s="10"/>
    </row>
    <row r="1426" spans="2:2" x14ac:dyDescent="0.25">
      <c r="B1426" s="10"/>
    </row>
    <row r="1427" spans="2:2" x14ac:dyDescent="0.25">
      <c r="B1427" s="10"/>
    </row>
    <row r="1428" spans="2:2" x14ac:dyDescent="0.25">
      <c r="B1428" s="10"/>
    </row>
    <row r="1429" spans="2:2" x14ac:dyDescent="0.25">
      <c r="B1429" s="10"/>
    </row>
    <row r="1430" spans="2:2" x14ac:dyDescent="0.25">
      <c r="B1430" s="10"/>
    </row>
    <row r="1431" spans="2:2" x14ac:dyDescent="0.25">
      <c r="B1431" s="10"/>
    </row>
    <row r="1432" spans="2:2" x14ac:dyDescent="0.25">
      <c r="B1432" s="10"/>
    </row>
    <row r="1433" spans="2:2" x14ac:dyDescent="0.25">
      <c r="B1433" s="10"/>
    </row>
    <row r="1434" spans="2:2" x14ac:dyDescent="0.25">
      <c r="B1434" s="10"/>
    </row>
    <row r="1435" spans="2:2" x14ac:dyDescent="0.25">
      <c r="B1435" s="10"/>
    </row>
    <row r="1436" spans="2:2" x14ac:dyDescent="0.25">
      <c r="B1436" s="10"/>
    </row>
    <row r="1437" spans="2:2" x14ac:dyDescent="0.25">
      <c r="B1437" s="10"/>
    </row>
    <row r="1438" spans="2:2" x14ac:dyDescent="0.25">
      <c r="B1438" s="10"/>
    </row>
    <row r="1439" spans="2:2" x14ac:dyDescent="0.25">
      <c r="B1439" s="10"/>
    </row>
    <row r="1440" spans="2:2" x14ac:dyDescent="0.25">
      <c r="B1440" s="10"/>
    </row>
    <row r="1441" spans="2:2" x14ac:dyDescent="0.25">
      <c r="B1441" s="10"/>
    </row>
    <row r="1442" spans="2:2" x14ac:dyDescent="0.25">
      <c r="B1442" s="10"/>
    </row>
    <row r="1443" spans="2:2" x14ac:dyDescent="0.25">
      <c r="B1443" s="10"/>
    </row>
    <row r="1444" spans="2:2" x14ac:dyDescent="0.25">
      <c r="B1444" s="10"/>
    </row>
    <row r="1445" spans="2:2" x14ac:dyDescent="0.25">
      <c r="B1445" s="10"/>
    </row>
    <row r="1446" spans="2:2" x14ac:dyDescent="0.25">
      <c r="B1446" s="10"/>
    </row>
    <row r="1447" spans="2:2" x14ac:dyDescent="0.25">
      <c r="B1447" s="10"/>
    </row>
    <row r="1448" spans="2:2" x14ac:dyDescent="0.25">
      <c r="B1448" s="10"/>
    </row>
    <row r="1449" spans="2:2" x14ac:dyDescent="0.25">
      <c r="B1449" s="10"/>
    </row>
    <row r="1450" spans="2:2" x14ac:dyDescent="0.25">
      <c r="B1450" s="10"/>
    </row>
    <row r="1451" spans="2:2" x14ac:dyDescent="0.25">
      <c r="B1451" s="10"/>
    </row>
    <row r="1452" spans="2:2" x14ac:dyDescent="0.25">
      <c r="B1452" s="10"/>
    </row>
    <row r="1453" spans="2:2" x14ac:dyDescent="0.25">
      <c r="B1453" s="10"/>
    </row>
    <row r="1454" spans="2:2" x14ac:dyDescent="0.25">
      <c r="B1454" s="10"/>
    </row>
    <row r="1455" spans="2:2" x14ac:dyDescent="0.25">
      <c r="B1455" s="10"/>
    </row>
    <row r="1456" spans="2:2" x14ac:dyDescent="0.25">
      <c r="B1456" s="10"/>
    </row>
    <row r="1457" spans="2:2" x14ac:dyDescent="0.25">
      <c r="B1457" s="10"/>
    </row>
    <row r="1458" spans="2:2" x14ac:dyDescent="0.25">
      <c r="B1458" s="10"/>
    </row>
    <row r="1459" spans="2:2" x14ac:dyDescent="0.25">
      <c r="B1459" s="10"/>
    </row>
    <row r="1460" spans="2:2" x14ac:dyDescent="0.25">
      <c r="B1460" s="10"/>
    </row>
    <row r="1461" spans="2:2" x14ac:dyDescent="0.25">
      <c r="B1461" s="10"/>
    </row>
    <row r="1462" spans="2:2" x14ac:dyDescent="0.25">
      <c r="B1462" s="10"/>
    </row>
    <row r="1463" spans="2:2" x14ac:dyDescent="0.25">
      <c r="B1463" s="10"/>
    </row>
    <row r="1464" spans="2:2" x14ac:dyDescent="0.25">
      <c r="B1464" s="10"/>
    </row>
    <row r="1465" spans="2:2" x14ac:dyDescent="0.25">
      <c r="B1465" s="10"/>
    </row>
    <row r="1466" spans="2:2" x14ac:dyDescent="0.25">
      <c r="B1466" s="10"/>
    </row>
    <row r="1467" spans="2:2" x14ac:dyDescent="0.25">
      <c r="B1467" s="10"/>
    </row>
    <row r="1468" spans="2:2" x14ac:dyDescent="0.25">
      <c r="B1468" s="10"/>
    </row>
    <row r="1469" spans="2:2" x14ac:dyDescent="0.25">
      <c r="B1469" s="10"/>
    </row>
    <row r="1470" spans="2:2" x14ac:dyDescent="0.25">
      <c r="B1470" s="10"/>
    </row>
    <row r="1471" spans="2:2" x14ac:dyDescent="0.25">
      <c r="B1471" s="10"/>
    </row>
    <row r="1472" spans="2:2" x14ac:dyDescent="0.25">
      <c r="B1472" s="10"/>
    </row>
    <row r="1473" spans="2:2" x14ac:dyDescent="0.25">
      <c r="B1473" s="10"/>
    </row>
    <row r="1474" spans="2:2" x14ac:dyDescent="0.25">
      <c r="B1474" s="10"/>
    </row>
    <row r="1475" spans="2:2" x14ac:dyDescent="0.25">
      <c r="B1475" s="10"/>
    </row>
    <row r="1476" spans="2:2" x14ac:dyDescent="0.25">
      <c r="B1476" s="10"/>
    </row>
    <row r="1477" spans="2:2" x14ac:dyDescent="0.25">
      <c r="B1477" s="10"/>
    </row>
    <row r="1478" spans="2:2" x14ac:dyDescent="0.25">
      <c r="B1478" s="10"/>
    </row>
    <row r="1479" spans="2:2" x14ac:dyDescent="0.25">
      <c r="B1479" s="10"/>
    </row>
    <row r="1480" spans="2:2" x14ac:dyDescent="0.25">
      <c r="B1480" s="10"/>
    </row>
    <row r="1481" spans="2:2" x14ac:dyDescent="0.25">
      <c r="B1481" s="10"/>
    </row>
    <row r="1482" spans="2:2" x14ac:dyDescent="0.25">
      <c r="B1482" s="10"/>
    </row>
    <row r="1483" spans="2:2" x14ac:dyDescent="0.25">
      <c r="B1483" s="10"/>
    </row>
    <row r="1484" spans="2:2" x14ac:dyDescent="0.25">
      <c r="B1484" s="10"/>
    </row>
    <row r="1485" spans="2:2" x14ac:dyDescent="0.25">
      <c r="B1485" s="10"/>
    </row>
    <row r="1486" spans="2:2" x14ac:dyDescent="0.25">
      <c r="B1486" s="10"/>
    </row>
    <row r="1487" spans="2:2" x14ac:dyDescent="0.25">
      <c r="B1487" s="10"/>
    </row>
    <row r="1488" spans="2:2" x14ac:dyDescent="0.25">
      <c r="B1488" s="10"/>
    </row>
    <row r="1489" spans="2:2" x14ac:dyDescent="0.25">
      <c r="B1489" s="10"/>
    </row>
    <row r="1490" spans="2:2" x14ac:dyDescent="0.25">
      <c r="B1490" s="10"/>
    </row>
    <row r="1491" spans="2:2" x14ac:dyDescent="0.25">
      <c r="B1491" s="10"/>
    </row>
    <row r="1492" spans="2:2" x14ac:dyDescent="0.25">
      <c r="B1492" s="10"/>
    </row>
    <row r="1493" spans="2:2" x14ac:dyDescent="0.25">
      <c r="B1493" s="10"/>
    </row>
    <row r="1494" spans="2:2" x14ac:dyDescent="0.25">
      <c r="B1494" s="10"/>
    </row>
    <row r="1495" spans="2:2" x14ac:dyDescent="0.25">
      <c r="B1495" s="10"/>
    </row>
    <row r="1496" spans="2:2" x14ac:dyDescent="0.25">
      <c r="B1496" s="10"/>
    </row>
    <row r="1497" spans="2:2" x14ac:dyDescent="0.25">
      <c r="B1497" s="10"/>
    </row>
    <row r="1498" spans="2:2" x14ac:dyDescent="0.25">
      <c r="B1498" s="10"/>
    </row>
    <row r="1499" spans="2:2" x14ac:dyDescent="0.25">
      <c r="B1499" s="10"/>
    </row>
    <row r="1500" spans="2:2" x14ac:dyDescent="0.25">
      <c r="B1500" s="10"/>
    </row>
    <row r="1501" spans="2:2" x14ac:dyDescent="0.25">
      <c r="B1501" s="10"/>
    </row>
    <row r="1502" spans="2:2" x14ac:dyDescent="0.25">
      <c r="B1502" s="10"/>
    </row>
    <row r="1503" spans="2:2" x14ac:dyDescent="0.25">
      <c r="B1503" s="10"/>
    </row>
    <row r="1504" spans="2:2" x14ac:dyDescent="0.25">
      <c r="B1504" s="10"/>
    </row>
    <row r="1505" spans="2:2" x14ac:dyDescent="0.25">
      <c r="B1505" s="10"/>
    </row>
    <row r="1506" spans="2:2" x14ac:dyDescent="0.25">
      <c r="B1506" s="10"/>
    </row>
    <row r="1507" spans="2:2" x14ac:dyDescent="0.25">
      <c r="B1507" s="10"/>
    </row>
    <row r="1508" spans="2:2" x14ac:dyDescent="0.25">
      <c r="B1508" s="10"/>
    </row>
    <row r="1509" spans="2:2" x14ac:dyDescent="0.25">
      <c r="B1509" s="10"/>
    </row>
    <row r="1510" spans="2:2" x14ac:dyDescent="0.25">
      <c r="B1510" s="10"/>
    </row>
    <row r="1511" spans="2:2" x14ac:dyDescent="0.25">
      <c r="B1511" s="10"/>
    </row>
    <row r="1512" spans="2:2" x14ac:dyDescent="0.25">
      <c r="B1512" s="10"/>
    </row>
    <row r="1513" spans="2:2" x14ac:dyDescent="0.25">
      <c r="B1513" s="10"/>
    </row>
    <row r="1514" spans="2:2" x14ac:dyDescent="0.25">
      <c r="B1514" s="10"/>
    </row>
    <row r="1515" spans="2:2" x14ac:dyDescent="0.25">
      <c r="B1515" s="10"/>
    </row>
    <row r="1516" spans="2:2" x14ac:dyDescent="0.25">
      <c r="B1516" s="10"/>
    </row>
    <row r="1517" spans="2:2" x14ac:dyDescent="0.25">
      <c r="B1517" s="10"/>
    </row>
    <row r="1518" spans="2:2" x14ac:dyDescent="0.25">
      <c r="B1518" s="10"/>
    </row>
    <row r="1519" spans="2:2" x14ac:dyDescent="0.25">
      <c r="B1519" s="10"/>
    </row>
    <row r="1520" spans="2:2" x14ac:dyDescent="0.25">
      <c r="B1520" s="10"/>
    </row>
    <row r="1521" spans="2:2" x14ac:dyDescent="0.25">
      <c r="B1521" s="10"/>
    </row>
    <row r="1522" spans="2:2" x14ac:dyDescent="0.25">
      <c r="B1522" s="10"/>
    </row>
    <row r="1523" spans="2:2" x14ac:dyDescent="0.25">
      <c r="B1523" s="10"/>
    </row>
    <row r="1524" spans="2:2" x14ac:dyDescent="0.25">
      <c r="B1524" s="10"/>
    </row>
    <row r="1525" spans="2:2" x14ac:dyDescent="0.25">
      <c r="B1525" s="10"/>
    </row>
    <row r="1526" spans="2:2" x14ac:dyDescent="0.25">
      <c r="B1526" s="10"/>
    </row>
    <row r="1527" spans="2:2" x14ac:dyDescent="0.25">
      <c r="B1527" s="10"/>
    </row>
    <row r="1528" spans="2:2" x14ac:dyDescent="0.25">
      <c r="B1528" s="10"/>
    </row>
    <row r="1529" spans="2:2" x14ac:dyDescent="0.25">
      <c r="B1529" s="10"/>
    </row>
    <row r="1530" spans="2:2" x14ac:dyDescent="0.25">
      <c r="B1530" s="10"/>
    </row>
    <row r="1531" spans="2:2" x14ac:dyDescent="0.25">
      <c r="B1531" s="10"/>
    </row>
    <row r="1532" spans="2:2" x14ac:dyDescent="0.25">
      <c r="B1532" s="10"/>
    </row>
    <row r="1533" spans="2:2" x14ac:dyDescent="0.25">
      <c r="B1533" s="10"/>
    </row>
    <row r="1534" spans="2:2" x14ac:dyDescent="0.25">
      <c r="B1534" s="10"/>
    </row>
    <row r="1535" spans="2:2" x14ac:dyDescent="0.25">
      <c r="B1535" s="10"/>
    </row>
    <row r="1536" spans="2:2" x14ac:dyDescent="0.25">
      <c r="B1536" s="10"/>
    </row>
    <row r="1537" spans="2:2" x14ac:dyDescent="0.25">
      <c r="B1537" s="10"/>
    </row>
    <row r="1538" spans="2:2" x14ac:dyDescent="0.25">
      <c r="B1538" s="10"/>
    </row>
    <row r="1539" spans="2:2" x14ac:dyDescent="0.25">
      <c r="B1539" s="10"/>
    </row>
    <row r="1540" spans="2:2" x14ac:dyDescent="0.25">
      <c r="B1540" s="10"/>
    </row>
    <row r="1541" spans="2:2" x14ac:dyDescent="0.25">
      <c r="B1541" s="10"/>
    </row>
    <row r="1542" spans="2:2" x14ac:dyDescent="0.25">
      <c r="B1542" s="10"/>
    </row>
    <row r="1543" spans="2:2" x14ac:dyDescent="0.25">
      <c r="B1543" s="10"/>
    </row>
    <row r="1544" spans="2:2" x14ac:dyDescent="0.25">
      <c r="B1544" s="10"/>
    </row>
    <row r="1545" spans="2:2" x14ac:dyDescent="0.25">
      <c r="B1545" s="10"/>
    </row>
    <row r="1546" spans="2:2" x14ac:dyDescent="0.25">
      <c r="B1546" s="10"/>
    </row>
    <row r="1547" spans="2:2" x14ac:dyDescent="0.25">
      <c r="B1547" s="10"/>
    </row>
    <row r="1548" spans="2:2" x14ac:dyDescent="0.25">
      <c r="B1548" s="10"/>
    </row>
    <row r="1549" spans="2:2" x14ac:dyDescent="0.25">
      <c r="B1549" s="10"/>
    </row>
    <row r="1550" spans="2:2" x14ac:dyDescent="0.25">
      <c r="B1550" s="10"/>
    </row>
    <row r="1551" spans="2:2" x14ac:dyDescent="0.25">
      <c r="B1551" s="10"/>
    </row>
    <row r="1552" spans="2:2" x14ac:dyDescent="0.25">
      <c r="B1552" s="10"/>
    </row>
    <row r="1553" spans="2:2" x14ac:dyDescent="0.25">
      <c r="B1553" s="10"/>
    </row>
    <row r="1554" spans="2:2" x14ac:dyDescent="0.25">
      <c r="B1554" s="10"/>
    </row>
    <row r="1555" spans="2:2" x14ac:dyDescent="0.25">
      <c r="B1555" s="10"/>
    </row>
    <row r="1556" spans="2:2" x14ac:dyDescent="0.25">
      <c r="B1556" s="10"/>
    </row>
    <row r="1557" spans="2:2" x14ac:dyDescent="0.25">
      <c r="B1557" s="10"/>
    </row>
    <row r="1558" spans="2:2" x14ac:dyDescent="0.25">
      <c r="B1558" s="10"/>
    </row>
    <row r="1559" spans="2:2" x14ac:dyDescent="0.25">
      <c r="B1559" s="10"/>
    </row>
    <row r="1560" spans="2:2" x14ac:dyDescent="0.25">
      <c r="B1560" s="10"/>
    </row>
    <row r="1561" spans="2:2" x14ac:dyDescent="0.25">
      <c r="B1561" s="10"/>
    </row>
    <row r="1562" spans="2:2" x14ac:dyDescent="0.25">
      <c r="B1562" s="10"/>
    </row>
    <row r="1563" spans="2:2" x14ac:dyDescent="0.25">
      <c r="B1563" s="10"/>
    </row>
    <row r="1564" spans="2:2" x14ac:dyDescent="0.25">
      <c r="B1564" s="10"/>
    </row>
    <row r="1565" spans="2:2" x14ac:dyDescent="0.25">
      <c r="B1565" s="10"/>
    </row>
    <row r="1566" spans="2:2" x14ac:dyDescent="0.25">
      <c r="B1566" s="10"/>
    </row>
    <row r="1567" spans="2:2" x14ac:dyDescent="0.25">
      <c r="B1567" s="10"/>
    </row>
    <row r="1568" spans="2:2" x14ac:dyDescent="0.25">
      <c r="B1568" s="10"/>
    </row>
    <row r="1569" spans="2:2" x14ac:dyDescent="0.25">
      <c r="B1569" s="10"/>
    </row>
    <row r="1570" spans="2:2" x14ac:dyDescent="0.25">
      <c r="B1570" s="10"/>
    </row>
    <row r="1571" spans="2:2" x14ac:dyDescent="0.25">
      <c r="B1571" s="10"/>
    </row>
    <row r="1572" spans="2:2" x14ac:dyDescent="0.25">
      <c r="B1572" s="10"/>
    </row>
    <row r="1573" spans="2:2" x14ac:dyDescent="0.25">
      <c r="B1573" s="10"/>
    </row>
    <row r="1574" spans="2:2" x14ac:dyDescent="0.25">
      <c r="B1574" s="10"/>
    </row>
    <row r="1575" spans="2:2" x14ac:dyDescent="0.25">
      <c r="B1575" s="10"/>
    </row>
    <row r="1576" spans="2:2" x14ac:dyDescent="0.25">
      <c r="B1576" s="10"/>
    </row>
    <row r="1577" spans="2:2" x14ac:dyDescent="0.25">
      <c r="B1577" s="10"/>
    </row>
    <row r="1578" spans="2:2" x14ac:dyDescent="0.25">
      <c r="B1578" s="10"/>
    </row>
    <row r="1579" spans="2:2" x14ac:dyDescent="0.25">
      <c r="B1579" s="10"/>
    </row>
    <row r="1580" spans="2:2" x14ac:dyDescent="0.25">
      <c r="B1580" s="10"/>
    </row>
    <row r="1581" spans="2:2" x14ac:dyDescent="0.25">
      <c r="B1581" s="10"/>
    </row>
    <row r="1582" spans="2:2" x14ac:dyDescent="0.25">
      <c r="B1582" s="10"/>
    </row>
    <row r="1583" spans="2:2" x14ac:dyDescent="0.25">
      <c r="B1583" s="10"/>
    </row>
    <row r="1584" spans="2:2" x14ac:dyDescent="0.25">
      <c r="B1584" s="10"/>
    </row>
    <row r="1585" spans="2:2" x14ac:dyDescent="0.25">
      <c r="B1585" s="10"/>
    </row>
    <row r="1586" spans="2:2" x14ac:dyDescent="0.25">
      <c r="B1586" s="10"/>
    </row>
    <row r="1587" spans="2:2" x14ac:dyDescent="0.25">
      <c r="B1587" s="10"/>
    </row>
    <row r="1588" spans="2:2" x14ac:dyDescent="0.25">
      <c r="B1588" s="10"/>
    </row>
    <row r="1589" spans="2:2" x14ac:dyDescent="0.25">
      <c r="B1589" s="10"/>
    </row>
    <row r="1590" spans="2:2" x14ac:dyDescent="0.25">
      <c r="B1590" s="10"/>
    </row>
    <row r="1591" spans="2:2" x14ac:dyDescent="0.25">
      <c r="B1591" s="10"/>
    </row>
    <row r="1592" spans="2:2" x14ac:dyDescent="0.25">
      <c r="B1592" s="10"/>
    </row>
    <row r="1593" spans="2:2" x14ac:dyDescent="0.25">
      <c r="B1593" s="10"/>
    </row>
    <row r="1594" spans="2:2" x14ac:dyDescent="0.25">
      <c r="B1594" s="10"/>
    </row>
    <row r="1595" spans="2:2" x14ac:dyDescent="0.25">
      <c r="B1595" s="10"/>
    </row>
    <row r="1596" spans="2:2" x14ac:dyDescent="0.25">
      <c r="B1596" s="10"/>
    </row>
    <row r="1597" spans="2:2" x14ac:dyDescent="0.25">
      <c r="B1597" s="10"/>
    </row>
    <row r="1598" spans="2:2" x14ac:dyDescent="0.25">
      <c r="B1598" s="10"/>
    </row>
    <row r="1599" spans="2:2" x14ac:dyDescent="0.25">
      <c r="B1599" s="10"/>
    </row>
    <row r="1600" spans="2:2" x14ac:dyDescent="0.25">
      <c r="B1600" s="10"/>
    </row>
    <row r="1601" spans="2:2" x14ac:dyDescent="0.25">
      <c r="B1601" s="10"/>
    </row>
    <row r="1602" spans="2:2" x14ac:dyDescent="0.25">
      <c r="B1602" s="10"/>
    </row>
    <row r="1603" spans="2:2" x14ac:dyDescent="0.25">
      <c r="B1603" s="10"/>
    </row>
    <row r="1604" spans="2:2" x14ac:dyDescent="0.25">
      <c r="B1604" s="10"/>
    </row>
    <row r="1605" spans="2:2" x14ac:dyDescent="0.25">
      <c r="B1605" s="10"/>
    </row>
    <row r="1606" spans="2:2" x14ac:dyDescent="0.25">
      <c r="B1606" s="10"/>
    </row>
    <row r="1607" spans="2:2" x14ac:dyDescent="0.25">
      <c r="B1607" s="10"/>
    </row>
    <row r="1608" spans="2:2" x14ac:dyDescent="0.25">
      <c r="B1608" s="10"/>
    </row>
    <row r="1609" spans="2:2" x14ac:dyDescent="0.25">
      <c r="B1609" s="10"/>
    </row>
    <row r="1610" spans="2:2" x14ac:dyDescent="0.25">
      <c r="B1610" s="10"/>
    </row>
    <row r="1611" spans="2:2" x14ac:dyDescent="0.25">
      <c r="B1611" s="10"/>
    </row>
    <row r="1612" spans="2:2" x14ac:dyDescent="0.25">
      <c r="B1612" s="10"/>
    </row>
    <row r="1613" spans="2:2" x14ac:dyDescent="0.25">
      <c r="B1613" s="10"/>
    </row>
    <row r="1614" spans="2:2" x14ac:dyDescent="0.25">
      <c r="B1614" s="10"/>
    </row>
    <row r="1615" spans="2:2" x14ac:dyDescent="0.25">
      <c r="B1615" s="10"/>
    </row>
    <row r="1616" spans="2:2" x14ac:dyDescent="0.25">
      <c r="B1616" s="10"/>
    </row>
    <row r="1617" spans="2:2" x14ac:dyDescent="0.25">
      <c r="B1617" s="10"/>
    </row>
    <row r="1618" spans="2:2" x14ac:dyDescent="0.25">
      <c r="B1618" s="10"/>
    </row>
    <row r="1619" spans="2:2" x14ac:dyDescent="0.25">
      <c r="B1619" s="10"/>
    </row>
    <row r="1620" spans="2:2" x14ac:dyDescent="0.25">
      <c r="B1620" s="10"/>
    </row>
    <row r="1621" spans="2:2" x14ac:dyDescent="0.25">
      <c r="B1621" s="10"/>
    </row>
    <row r="1622" spans="2:2" x14ac:dyDescent="0.25">
      <c r="B1622" s="10"/>
    </row>
    <row r="1623" spans="2:2" x14ac:dyDescent="0.25">
      <c r="B1623" s="10"/>
    </row>
    <row r="1624" spans="2:2" x14ac:dyDescent="0.25">
      <c r="B1624" s="10"/>
    </row>
    <row r="1625" spans="2:2" x14ac:dyDescent="0.25">
      <c r="B1625" s="10"/>
    </row>
    <row r="1626" spans="2:2" x14ac:dyDescent="0.25">
      <c r="B1626" s="10"/>
    </row>
    <row r="1627" spans="2:2" x14ac:dyDescent="0.25">
      <c r="B1627" s="10"/>
    </row>
    <row r="1628" spans="2:2" x14ac:dyDescent="0.25">
      <c r="B1628" s="10"/>
    </row>
    <row r="1629" spans="2:2" x14ac:dyDescent="0.25">
      <c r="B1629" s="10"/>
    </row>
    <row r="1630" spans="2:2" x14ac:dyDescent="0.25">
      <c r="B1630" s="10"/>
    </row>
    <row r="1631" spans="2:2" x14ac:dyDescent="0.25">
      <c r="B1631" s="10"/>
    </row>
    <row r="1632" spans="2:2" x14ac:dyDescent="0.25">
      <c r="B1632" s="10"/>
    </row>
    <row r="1633" spans="2:2" x14ac:dyDescent="0.25">
      <c r="B1633" s="10"/>
    </row>
    <row r="1634" spans="2:2" x14ac:dyDescent="0.25">
      <c r="B1634" s="10"/>
    </row>
    <row r="1635" spans="2:2" x14ac:dyDescent="0.25">
      <c r="B1635" s="10"/>
    </row>
    <row r="1636" spans="2:2" x14ac:dyDescent="0.25">
      <c r="B1636" s="10"/>
    </row>
    <row r="1637" spans="2:2" x14ac:dyDescent="0.25">
      <c r="B1637" s="10"/>
    </row>
    <row r="1638" spans="2:2" x14ac:dyDescent="0.25">
      <c r="B1638" s="10"/>
    </row>
    <row r="1639" spans="2:2" x14ac:dyDescent="0.25">
      <c r="B1639" s="10"/>
    </row>
    <row r="1640" spans="2:2" x14ac:dyDescent="0.25">
      <c r="B1640" s="10"/>
    </row>
    <row r="1641" spans="2:2" x14ac:dyDescent="0.25">
      <c r="B1641" s="10"/>
    </row>
    <row r="1642" spans="2:2" x14ac:dyDescent="0.25">
      <c r="B1642" s="10"/>
    </row>
    <row r="1643" spans="2:2" x14ac:dyDescent="0.25">
      <c r="B1643" s="10"/>
    </row>
    <row r="1644" spans="2:2" x14ac:dyDescent="0.25">
      <c r="B1644" s="10"/>
    </row>
    <row r="1645" spans="2:2" x14ac:dyDescent="0.25">
      <c r="B1645" s="10"/>
    </row>
    <row r="1646" spans="2:2" x14ac:dyDescent="0.25">
      <c r="B1646" s="10"/>
    </row>
    <row r="1647" spans="2:2" x14ac:dyDescent="0.25">
      <c r="B1647" s="10"/>
    </row>
    <row r="1648" spans="2:2" x14ac:dyDescent="0.25">
      <c r="B1648" s="10"/>
    </row>
    <row r="1649" spans="2:2" x14ac:dyDescent="0.25">
      <c r="B1649" s="10"/>
    </row>
    <row r="1650" spans="2:2" x14ac:dyDescent="0.25">
      <c r="B1650" s="10"/>
    </row>
    <row r="1651" spans="2:2" x14ac:dyDescent="0.25">
      <c r="B1651" s="10"/>
    </row>
    <row r="1652" spans="2:2" x14ac:dyDescent="0.25">
      <c r="B1652" s="10"/>
    </row>
    <row r="1653" spans="2:2" x14ac:dyDescent="0.25">
      <c r="B1653" s="10"/>
    </row>
    <row r="1654" spans="2:2" x14ac:dyDescent="0.25">
      <c r="B1654" s="10"/>
    </row>
    <row r="1655" spans="2:2" x14ac:dyDescent="0.25">
      <c r="B1655" s="10"/>
    </row>
    <row r="1656" spans="2:2" x14ac:dyDescent="0.25">
      <c r="B1656" s="10"/>
    </row>
    <row r="1657" spans="2:2" x14ac:dyDescent="0.25">
      <c r="B1657" s="10"/>
    </row>
    <row r="1658" spans="2:2" x14ac:dyDescent="0.25">
      <c r="B1658" s="10"/>
    </row>
    <row r="1659" spans="2:2" x14ac:dyDescent="0.25">
      <c r="B1659" s="10"/>
    </row>
    <row r="1660" spans="2:2" x14ac:dyDescent="0.25">
      <c r="B1660" s="10"/>
    </row>
    <row r="1661" spans="2:2" x14ac:dyDescent="0.25">
      <c r="B1661" s="10"/>
    </row>
    <row r="1662" spans="2:2" x14ac:dyDescent="0.25">
      <c r="B1662" s="10"/>
    </row>
    <row r="1663" spans="2:2" x14ac:dyDescent="0.25">
      <c r="B1663" s="10"/>
    </row>
    <row r="1664" spans="2:2" x14ac:dyDescent="0.25">
      <c r="B1664" s="10"/>
    </row>
    <row r="1665" spans="2:2" x14ac:dyDescent="0.25">
      <c r="B1665" s="10"/>
    </row>
    <row r="1666" spans="2:2" x14ac:dyDescent="0.25">
      <c r="B1666" s="10"/>
    </row>
    <row r="1667" spans="2:2" x14ac:dyDescent="0.25">
      <c r="B1667" s="10"/>
    </row>
    <row r="1668" spans="2:2" x14ac:dyDescent="0.25">
      <c r="B1668" s="10"/>
    </row>
    <row r="1669" spans="2:2" x14ac:dyDescent="0.25">
      <c r="B1669" s="10"/>
    </row>
    <row r="1670" spans="2:2" x14ac:dyDescent="0.25">
      <c r="B1670" s="10"/>
    </row>
    <row r="1671" spans="2:2" x14ac:dyDescent="0.25">
      <c r="B1671" s="10"/>
    </row>
    <row r="1672" spans="2:2" x14ac:dyDescent="0.25">
      <c r="B1672" s="10"/>
    </row>
    <row r="1673" spans="2:2" x14ac:dyDescent="0.25">
      <c r="B1673" s="10"/>
    </row>
    <row r="1674" spans="2:2" x14ac:dyDescent="0.25">
      <c r="B1674" s="10"/>
    </row>
    <row r="1675" spans="2:2" x14ac:dyDescent="0.25">
      <c r="B1675" s="10"/>
    </row>
    <row r="1676" spans="2:2" x14ac:dyDescent="0.25">
      <c r="B1676" s="10"/>
    </row>
    <row r="1677" spans="2:2" x14ac:dyDescent="0.25">
      <c r="B1677" s="10"/>
    </row>
    <row r="1678" spans="2:2" x14ac:dyDescent="0.25">
      <c r="B1678" s="10"/>
    </row>
    <row r="1679" spans="2:2" x14ac:dyDescent="0.25">
      <c r="B1679" s="10"/>
    </row>
    <row r="1680" spans="2:2" x14ac:dyDescent="0.25">
      <c r="B1680" s="10"/>
    </row>
    <row r="1681" spans="2:2" x14ac:dyDescent="0.25">
      <c r="B1681" s="10"/>
    </row>
    <row r="1682" spans="2:2" x14ac:dyDescent="0.25">
      <c r="B1682" s="10"/>
    </row>
    <row r="1683" spans="2:2" x14ac:dyDescent="0.25">
      <c r="B1683" s="10"/>
    </row>
    <row r="1684" spans="2:2" x14ac:dyDescent="0.25">
      <c r="B1684" s="10"/>
    </row>
    <row r="1685" spans="2:2" x14ac:dyDescent="0.25">
      <c r="B1685" s="10"/>
    </row>
    <row r="1686" spans="2:2" x14ac:dyDescent="0.25">
      <c r="B1686" s="10"/>
    </row>
    <row r="1687" spans="2:2" x14ac:dyDescent="0.25">
      <c r="B1687" s="10"/>
    </row>
    <row r="1688" spans="2:2" x14ac:dyDescent="0.25">
      <c r="B1688" s="10"/>
    </row>
    <row r="1689" spans="2:2" x14ac:dyDescent="0.25">
      <c r="B1689" s="10"/>
    </row>
    <row r="1690" spans="2:2" x14ac:dyDescent="0.25">
      <c r="B1690" s="10"/>
    </row>
    <row r="1691" spans="2:2" x14ac:dyDescent="0.25">
      <c r="B1691" s="10"/>
    </row>
    <row r="1692" spans="2:2" x14ac:dyDescent="0.25">
      <c r="B1692" s="10"/>
    </row>
    <row r="1693" spans="2:2" x14ac:dyDescent="0.25">
      <c r="B1693" s="10"/>
    </row>
    <row r="1694" spans="2:2" x14ac:dyDescent="0.25">
      <c r="B1694" s="10"/>
    </row>
    <row r="1695" spans="2:2" x14ac:dyDescent="0.25">
      <c r="B1695" s="10"/>
    </row>
    <row r="1696" spans="2:2" x14ac:dyDescent="0.25">
      <c r="B1696" s="10"/>
    </row>
    <row r="1697" spans="2:2" x14ac:dyDescent="0.25">
      <c r="B1697" s="10"/>
    </row>
    <row r="1698" spans="2:2" x14ac:dyDescent="0.25">
      <c r="B1698" s="10"/>
    </row>
    <row r="1699" spans="2:2" x14ac:dyDescent="0.25">
      <c r="B1699" s="10"/>
    </row>
    <row r="1700" spans="2:2" x14ac:dyDescent="0.25">
      <c r="B1700" s="10"/>
    </row>
    <row r="1701" spans="2:2" x14ac:dyDescent="0.25">
      <c r="B1701" s="10"/>
    </row>
    <row r="1702" spans="2:2" x14ac:dyDescent="0.25">
      <c r="B1702" s="10"/>
    </row>
    <row r="1703" spans="2:2" x14ac:dyDescent="0.25">
      <c r="B1703" s="10"/>
    </row>
    <row r="1704" spans="2:2" x14ac:dyDescent="0.25">
      <c r="B1704" s="10"/>
    </row>
    <row r="1705" spans="2:2" x14ac:dyDescent="0.25">
      <c r="B1705" s="10"/>
    </row>
    <row r="1706" spans="2:2" x14ac:dyDescent="0.25">
      <c r="B1706" s="10"/>
    </row>
    <row r="1707" spans="2:2" x14ac:dyDescent="0.25">
      <c r="B1707" s="10"/>
    </row>
    <row r="1708" spans="2:2" x14ac:dyDescent="0.25">
      <c r="B1708" s="10"/>
    </row>
    <row r="1709" spans="2:2" x14ac:dyDescent="0.25">
      <c r="B1709" s="10"/>
    </row>
    <row r="1710" spans="2:2" x14ac:dyDescent="0.25">
      <c r="B1710" s="10"/>
    </row>
    <row r="1711" spans="2:2" x14ac:dyDescent="0.25">
      <c r="B1711" s="10"/>
    </row>
    <row r="1712" spans="2:2" x14ac:dyDescent="0.25">
      <c r="B1712" s="10"/>
    </row>
    <row r="1713" spans="2:2" x14ac:dyDescent="0.25">
      <c r="B1713" s="10"/>
    </row>
    <row r="1714" spans="2:2" x14ac:dyDescent="0.25">
      <c r="B1714" s="10"/>
    </row>
    <row r="1715" spans="2:2" x14ac:dyDescent="0.25">
      <c r="B1715" s="10"/>
    </row>
    <row r="1716" spans="2:2" x14ac:dyDescent="0.25">
      <c r="B1716" s="10"/>
    </row>
    <row r="1717" spans="2:2" x14ac:dyDescent="0.25">
      <c r="B1717" s="10"/>
    </row>
    <row r="1718" spans="2:2" x14ac:dyDescent="0.25">
      <c r="B1718" s="10"/>
    </row>
    <row r="1719" spans="2:2" x14ac:dyDescent="0.25">
      <c r="B1719" s="10"/>
    </row>
    <row r="1720" spans="2:2" x14ac:dyDescent="0.25">
      <c r="B1720" s="10"/>
    </row>
    <row r="1721" spans="2:2" x14ac:dyDescent="0.25">
      <c r="B1721" s="10"/>
    </row>
    <row r="1722" spans="2:2" x14ac:dyDescent="0.25">
      <c r="B1722" s="10"/>
    </row>
    <row r="1723" spans="2:2" x14ac:dyDescent="0.25">
      <c r="B1723" s="10"/>
    </row>
    <row r="1724" spans="2:2" x14ac:dyDescent="0.25">
      <c r="B1724" s="10"/>
    </row>
    <row r="1725" spans="2:2" x14ac:dyDescent="0.25">
      <c r="B1725" s="10"/>
    </row>
    <row r="1726" spans="2:2" x14ac:dyDescent="0.25">
      <c r="B1726" s="10"/>
    </row>
    <row r="1727" spans="2:2" x14ac:dyDescent="0.25">
      <c r="B1727" s="10"/>
    </row>
    <row r="1728" spans="2:2" x14ac:dyDescent="0.25">
      <c r="B1728" s="10"/>
    </row>
    <row r="1729" spans="2:2" x14ac:dyDescent="0.25">
      <c r="B1729" s="10"/>
    </row>
    <row r="1730" spans="2:2" x14ac:dyDescent="0.25">
      <c r="B1730" s="10"/>
    </row>
    <row r="1731" spans="2:2" x14ac:dyDescent="0.25">
      <c r="B1731" s="10"/>
    </row>
    <row r="1732" spans="2:2" x14ac:dyDescent="0.25">
      <c r="B1732" s="10"/>
    </row>
    <row r="1733" spans="2:2" x14ac:dyDescent="0.25">
      <c r="B1733" s="10"/>
    </row>
    <row r="1734" spans="2:2" x14ac:dyDescent="0.25">
      <c r="B1734" s="10"/>
    </row>
    <row r="1735" spans="2:2" x14ac:dyDescent="0.25">
      <c r="B1735" s="10"/>
    </row>
    <row r="1736" spans="2:2" x14ac:dyDescent="0.25">
      <c r="B1736" s="10"/>
    </row>
    <row r="1737" spans="2:2" x14ac:dyDescent="0.25">
      <c r="B1737" s="10"/>
    </row>
    <row r="1738" spans="2:2" x14ac:dyDescent="0.25">
      <c r="B1738" s="10"/>
    </row>
    <row r="1739" spans="2:2" x14ac:dyDescent="0.25">
      <c r="B1739" s="10"/>
    </row>
    <row r="1740" spans="2:2" x14ac:dyDescent="0.25">
      <c r="B1740" s="10"/>
    </row>
    <row r="1741" spans="2:2" x14ac:dyDescent="0.25">
      <c r="B1741" s="10"/>
    </row>
    <row r="1742" spans="2:2" x14ac:dyDescent="0.25">
      <c r="B1742" s="10"/>
    </row>
    <row r="1743" spans="2:2" x14ac:dyDescent="0.25">
      <c r="B1743" s="10"/>
    </row>
    <row r="1744" spans="2:2" x14ac:dyDescent="0.25">
      <c r="B1744" s="10"/>
    </row>
    <row r="1745" spans="2:2" x14ac:dyDescent="0.25">
      <c r="B1745" s="10"/>
    </row>
    <row r="1746" spans="2:2" x14ac:dyDescent="0.25">
      <c r="B1746" s="10"/>
    </row>
    <row r="1747" spans="2:2" x14ac:dyDescent="0.25">
      <c r="B1747" s="10"/>
    </row>
    <row r="1748" spans="2:2" x14ac:dyDescent="0.25">
      <c r="B1748" s="10"/>
    </row>
    <row r="1749" spans="2:2" x14ac:dyDescent="0.25">
      <c r="B1749" s="10"/>
    </row>
    <row r="1750" spans="2:2" x14ac:dyDescent="0.25">
      <c r="B1750" s="10"/>
    </row>
    <row r="1751" spans="2:2" x14ac:dyDescent="0.25">
      <c r="B1751" s="10"/>
    </row>
    <row r="1752" spans="2:2" x14ac:dyDescent="0.25">
      <c r="B1752" s="10"/>
    </row>
    <row r="1753" spans="2:2" x14ac:dyDescent="0.25">
      <c r="B1753" s="10"/>
    </row>
    <row r="1754" spans="2:2" x14ac:dyDescent="0.25">
      <c r="B1754" s="10"/>
    </row>
    <row r="1755" spans="2:2" x14ac:dyDescent="0.25">
      <c r="B1755" s="10"/>
    </row>
    <row r="1756" spans="2:2" x14ac:dyDescent="0.25">
      <c r="B1756" s="10"/>
    </row>
    <row r="1757" spans="2:2" x14ac:dyDescent="0.25">
      <c r="B1757" s="10"/>
    </row>
    <row r="1758" spans="2:2" x14ac:dyDescent="0.25">
      <c r="B1758" s="10"/>
    </row>
    <row r="1759" spans="2:2" x14ac:dyDescent="0.25">
      <c r="B1759" s="10"/>
    </row>
    <row r="1760" spans="2:2" x14ac:dyDescent="0.25">
      <c r="B1760" s="10"/>
    </row>
    <row r="1761" spans="2:2" x14ac:dyDescent="0.25">
      <c r="B1761" s="10"/>
    </row>
    <row r="1762" spans="2:2" x14ac:dyDescent="0.25">
      <c r="B1762" s="10"/>
    </row>
    <row r="1763" spans="2:2" x14ac:dyDescent="0.25">
      <c r="B1763" s="10"/>
    </row>
    <row r="1764" spans="2:2" x14ac:dyDescent="0.25">
      <c r="B1764" s="10"/>
    </row>
    <row r="1765" spans="2:2" x14ac:dyDescent="0.25">
      <c r="B1765" s="10"/>
    </row>
    <row r="1766" spans="2:2" x14ac:dyDescent="0.25">
      <c r="B1766" s="10"/>
    </row>
    <row r="1767" spans="2:2" x14ac:dyDescent="0.25">
      <c r="B1767" s="10"/>
    </row>
    <row r="1768" spans="2:2" x14ac:dyDescent="0.25">
      <c r="B1768" s="10"/>
    </row>
    <row r="1769" spans="2:2" x14ac:dyDescent="0.25">
      <c r="B1769" s="10"/>
    </row>
    <row r="1770" spans="2:2" x14ac:dyDescent="0.25">
      <c r="B1770" s="10"/>
    </row>
    <row r="1771" spans="2:2" x14ac:dyDescent="0.25">
      <c r="B1771" s="10"/>
    </row>
    <row r="1772" spans="2:2" x14ac:dyDescent="0.25">
      <c r="B1772" s="10"/>
    </row>
    <row r="1773" spans="2:2" x14ac:dyDescent="0.25">
      <c r="B1773" s="10"/>
    </row>
    <row r="1774" spans="2:2" x14ac:dyDescent="0.25">
      <c r="B1774" s="10"/>
    </row>
    <row r="1775" spans="2:2" x14ac:dyDescent="0.25">
      <c r="B1775" s="10"/>
    </row>
    <row r="1776" spans="2:2" x14ac:dyDescent="0.25">
      <c r="B1776" s="10"/>
    </row>
    <row r="1777" spans="2:2" x14ac:dyDescent="0.25">
      <c r="B1777" s="10"/>
    </row>
    <row r="1778" spans="2:2" x14ac:dyDescent="0.25">
      <c r="B1778" s="10"/>
    </row>
    <row r="1779" spans="2:2" x14ac:dyDescent="0.25">
      <c r="B1779" s="10"/>
    </row>
    <row r="1780" spans="2:2" x14ac:dyDescent="0.25">
      <c r="B1780" s="10"/>
    </row>
    <row r="1781" spans="2:2" x14ac:dyDescent="0.25">
      <c r="B1781" s="10"/>
    </row>
    <row r="1782" spans="2:2" x14ac:dyDescent="0.25">
      <c r="B1782" s="10"/>
    </row>
    <row r="1783" spans="2:2" x14ac:dyDescent="0.25">
      <c r="B1783" s="10"/>
    </row>
    <row r="1784" spans="2:2" x14ac:dyDescent="0.25">
      <c r="B1784" s="10"/>
    </row>
    <row r="1785" spans="2:2" x14ac:dyDescent="0.25">
      <c r="B1785" s="10"/>
    </row>
    <row r="1786" spans="2:2" x14ac:dyDescent="0.25">
      <c r="B1786" s="10"/>
    </row>
    <row r="1787" spans="2:2" x14ac:dyDescent="0.25">
      <c r="B1787" s="10"/>
    </row>
    <row r="1788" spans="2:2" x14ac:dyDescent="0.25">
      <c r="B1788" s="10"/>
    </row>
    <row r="1789" spans="2:2" x14ac:dyDescent="0.25">
      <c r="B1789" s="10"/>
    </row>
    <row r="1790" spans="2:2" x14ac:dyDescent="0.25">
      <c r="B1790" s="10"/>
    </row>
    <row r="1791" spans="2:2" x14ac:dyDescent="0.25">
      <c r="B1791" s="10"/>
    </row>
    <row r="1792" spans="2:2" x14ac:dyDescent="0.25">
      <c r="B1792" s="10"/>
    </row>
    <row r="1793" spans="2:2" x14ac:dyDescent="0.25">
      <c r="B1793" s="10"/>
    </row>
    <row r="1794" spans="2:2" x14ac:dyDescent="0.25">
      <c r="B1794" s="10"/>
    </row>
    <row r="1795" spans="2:2" x14ac:dyDescent="0.25">
      <c r="B1795" s="10"/>
    </row>
    <row r="1796" spans="2:2" x14ac:dyDescent="0.25">
      <c r="B1796" s="10"/>
    </row>
    <row r="1797" spans="2:2" x14ac:dyDescent="0.25">
      <c r="B1797" s="10"/>
    </row>
    <row r="1798" spans="2:2" x14ac:dyDescent="0.25">
      <c r="B1798" s="10"/>
    </row>
    <row r="1799" spans="2:2" x14ac:dyDescent="0.25">
      <c r="B1799" s="10"/>
    </row>
    <row r="1800" spans="2:2" x14ac:dyDescent="0.25">
      <c r="B1800" s="10"/>
    </row>
    <row r="1801" spans="2:2" x14ac:dyDescent="0.25">
      <c r="B1801" s="10"/>
    </row>
    <row r="1802" spans="2:2" x14ac:dyDescent="0.25">
      <c r="B1802" s="10"/>
    </row>
    <row r="1803" spans="2:2" x14ac:dyDescent="0.25">
      <c r="B1803" s="10"/>
    </row>
    <row r="1804" spans="2:2" x14ac:dyDescent="0.25">
      <c r="B1804" s="10"/>
    </row>
    <row r="1805" spans="2:2" x14ac:dyDescent="0.25">
      <c r="B1805" s="10"/>
    </row>
    <row r="1806" spans="2:2" x14ac:dyDescent="0.25">
      <c r="B1806" s="10"/>
    </row>
    <row r="1807" spans="2:2" x14ac:dyDescent="0.25">
      <c r="B1807" s="10"/>
    </row>
    <row r="1808" spans="2:2" x14ac:dyDescent="0.25">
      <c r="B1808" s="10"/>
    </row>
    <row r="1809" spans="2:2" x14ac:dyDescent="0.25">
      <c r="B1809" s="10"/>
    </row>
    <row r="1810" spans="2:2" x14ac:dyDescent="0.25">
      <c r="B1810" s="10"/>
    </row>
    <row r="1811" spans="2:2" x14ac:dyDescent="0.25">
      <c r="B1811" s="10"/>
    </row>
    <row r="1812" spans="2:2" x14ac:dyDescent="0.25">
      <c r="B1812" s="10"/>
    </row>
    <row r="1813" spans="2:2" x14ac:dyDescent="0.25">
      <c r="B1813" s="10"/>
    </row>
    <row r="1814" spans="2:2" x14ac:dyDescent="0.25">
      <c r="B1814" s="10"/>
    </row>
    <row r="1815" spans="2:2" x14ac:dyDescent="0.25">
      <c r="B1815" s="10"/>
    </row>
    <row r="1816" spans="2:2" x14ac:dyDescent="0.25">
      <c r="B1816" s="10"/>
    </row>
    <row r="1817" spans="2:2" x14ac:dyDescent="0.25">
      <c r="B1817" s="10"/>
    </row>
    <row r="1818" spans="2:2" x14ac:dyDescent="0.25">
      <c r="B1818" s="10"/>
    </row>
    <row r="1819" spans="2:2" x14ac:dyDescent="0.25">
      <c r="B1819" s="10"/>
    </row>
    <row r="1820" spans="2:2" x14ac:dyDescent="0.25">
      <c r="B1820" s="10"/>
    </row>
    <row r="1821" spans="2:2" x14ac:dyDescent="0.25">
      <c r="B1821" s="10"/>
    </row>
    <row r="1822" spans="2:2" x14ac:dyDescent="0.25">
      <c r="B1822" s="10"/>
    </row>
    <row r="1823" spans="2:2" x14ac:dyDescent="0.25">
      <c r="B1823" s="10"/>
    </row>
    <row r="1824" spans="2:2" x14ac:dyDescent="0.25">
      <c r="B1824" s="10"/>
    </row>
    <row r="1825" spans="2:2" x14ac:dyDescent="0.25">
      <c r="B1825" s="10"/>
    </row>
    <row r="1826" spans="2:2" x14ac:dyDescent="0.25">
      <c r="B1826" s="10"/>
    </row>
    <row r="1827" spans="2:2" x14ac:dyDescent="0.25">
      <c r="B1827" s="10"/>
    </row>
    <row r="1828" spans="2:2" x14ac:dyDescent="0.25">
      <c r="B1828" s="10"/>
    </row>
    <row r="1829" spans="2:2" x14ac:dyDescent="0.25">
      <c r="B1829" s="10"/>
    </row>
    <row r="1830" spans="2:2" x14ac:dyDescent="0.25">
      <c r="B1830" s="10"/>
    </row>
    <row r="1831" spans="2:2" x14ac:dyDescent="0.25">
      <c r="B1831" s="10"/>
    </row>
    <row r="1832" spans="2:2" x14ac:dyDescent="0.25">
      <c r="B1832" s="10"/>
    </row>
    <row r="1833" spans="2:2" x14ac:dyDescent="0.25">
      <c r="B1833" s="10"/>
    </row>
    <row r="1834" spans="2:2" x14ac:dyDescent="0.25">
      <c r="B1834" s="10"/>
    </row>
    <row r="1835" spans="2:2" x14ac:dyDescent="0.25">
      <c r="B1835" s="10"/>
    </row>
    <row r="1836" spans="2:2" x14ac:dyDescent="0.25">
      <c r="B1836" s="10"/>
    </row>
    <row r="1837" spans="2:2" x14ac:dyDescent="0.25">
      <c r="B1837" s="10"/>
    </row>
    <row r="1838" spans="2:2" x14ac:dyDescent="0.25">
      <c r="B1838" s="10"/>
    </row>
    <row r="1839" spans="2:2" x14ac:dyDescent="0.25">
      <c r="B1839" s="10"/>
    </row>
    <row r="1840" spans="2:2" x14ac:dyDescent="0.25">
      <c r="B1840" s="10"/>
    </row>
    <row r="1841" spans="2:2" x14ac:dyDescent="0.25">
      <c r="B1841" s="10"/>
    </row>
    <row r="1842" spans="2:2" x14ac:dyDescent="0.25">
      <c r="B1842" s="10"/>
    </row>
    <row r="1843" spans="2:2" x14ac:dyDescent="0.25">
      <c r="B1843" s="10"/>
    </row>
    <row r="1844" spans="2:2" x14ac:dyDescent="0.25">
      <c r="B1844" s="10"/>
    </row>
    <row r="1845" spans="2:2" x14ac:dyDescent="0.25">
      <c r="B1845" s="10"/>
    </row>
    <row r="1846" spans="2:2" x14ac:dyDescent="0.25">
      <c r="B1846" s="10"/>
    </row>
    <row r="1847" spans="2:2" x14ac:dyDescent="0.25">
      <c r="B1847" s="10"/>
    </row>
    <row r="1848" spans="2:2" x14ac:dyDescent="0.25">
      <c r="B1848" s="10"/>
    </row>
    <row r="1849" spans="2:2" x14ac:dyDescent="0.25">
      <c r="B1849" s="10"/>
    </row>
    <row r="1850" spans="2:2" x14ac:dyDescent="0.25">
      <c r="B1850" s="10"/>
    </row>
    <row r="1851" spans="2:2" x14ac:dyDescent="0.25">
      <c r="B1851" s="10"/>
    </row>
    <row r="1852" spans="2:2" x14ac:dyDescent="0.25">
      <c r="B1852" s="10"/>
    </row>
    <row r="1853" spans="2:2" x14ac:dyDescent="0.25">
      <c r="B1853" s="10"/>
    </row>
    <row r="1854" spans="2:2" x14ac:dyDescent="0.25">
      <c r="B1854" s="10"/>
    </row>
    <row r="1855" spans="2:2" x14ac:dyDescent="0.25">
      <c r="B1855" s="10"/>
    </row>
    <row r="1856" spans="2:2" x14ac:dyDescent="0.25">
      <c r="B1856" s="10"/>
    </row>
    <row r="1857" spans="2:2" x14ac:dyDescent="0.25">
      <c r="B1857" s="10"/>
    </row>
    <row r="1858" spans="2:2" x14ac:dyDescent="0.25">
      <c r="B1858" s="10"/>
    </row>
    <row r="1859" spans="2:2" x14ac:dyDescent="0.25">
      <c r="B1859" s="10"/>
    </row>
    <row r="1860" spans="2:2" x14ac:dyDescent="0.25">
      <c r="B1860" s="10"/>
    </row>
    <row r="1861" spans="2:2" x14ac:dyDescent="0.25">
      <c r="B1861" s="10"/>
    </row>
    <row r="1862" spans="2:2" x14ac:dyDescent="0.25">
      <c r="B1862" s="10"/>
    </row>
    <row r="1863" spans="2:2" x14ac:dyDescent="0.25">
      <c r="B1863" s="10"/>
    </row>
    <row r="1864" spans="2:2" x14ac:dyDescent="0.25">
      <c r="B1864" s="10"/>
    </row>
    <row r="1865" spans="2:2" x14ac:dyDescent="0.25">
      <c r="B1865" s="10"/>
    </row>
    <row r="1866" spans="2:2" x14ac:dyDescent="0.25">
      <c r="B1866" s="10"/>
    </row>
    <row r="1867" spans="2:2" x14ac:dyDescent="0.25">
      <c r="B1867" s="10"/>
    </row>
    <row r="1868" spans="2:2" x14ac:dyDescent="0.25">
      <c r="B1868" s="10"/>
    </row>
    <row r="1869" spans="2:2" x14ac:dyDescent="0.25">
      <c r="B1869" s="10"/>
    </row>
    <row r="1870" spans="2:2" x14ac:dyDescent="0.25">
      <c r="B1870" s="10"/>
    </row>
    <row r="1871" spans="2:2" x14ac:dyDescent="0.25">
      <c r="B1871" s="10"/>
    </row>
    <row r="1872" spans="2:2" x14ac:dyDescent="0.25">
      <c r="B1872" s="10"/>
    </row>
    <row r="1873" spans="2:2" x14ac:dyDescent="0.25">
      <c r="B1873" s="10"/>
    </row>
    <row r="1874" spans="2:2" x14ac:dyDescent="0.25">
      <c r="B1874" s="10"/>
    </row>
    <row r="1875" spans="2:2" x14ac:dyDescent="0.25">
      <c r="B1875" s="10"/>
    </row>
    <row r="1876" spans="2:2" x14ac:dyDescent="0.25">
      <c r="B1876" s="10"/>
    </row>
    <row r="1877" spans="2:2" x14ac:dyDescent="0.25">
      <c r="B1877" s="10"/>
    </row>
    <row r="1878" spans="2:2" x14ac:dyDescent="0.25">
      <c r="B1878" s="10"/>
    </row>
    <row r="1879" spans="2:2" x14ac:dyDescent="0.25">
      <c r="B1879" s="10"/>
    </row>
    <row r="1880" spans="2:2" x14ac:dyDescent="0.25">
      <c r="B1880" s="10"/>
    </row>
    <row r="1881" spans="2:2" x14ac:dyDescent="0.25">
      <c r="B1881" s="10"/>
    </row>
    <row r="1882" spans="2:2" x14ac:dyDescent="0.25">
      <c r="B1882" s="10"/>
    </row>
    <row r="1883" spans="2:2" x14ac:dyDescent="0.25">
      <c r="B1883" s="10"/>
    </row>
    <row r="1884" spans="2:2" x14ac:dyDescent="0.25">
      <c r="B1884" s="10"/>
    </row>
    <row r="1885" spans="2:2" x14ac:dyDescent="0.25">
      <c r="B1885" s="10"/>
    </row>
    <row r="1886" spans="2:2" x14ac:dyDescent="0.25">
      <c r="B1886" s="10"/>
    </row>
    <row r="1887" spans="2:2" x14ac:dyDescent="0.25">
      <c r="B1887" s="10"/>
    </row>
    <row r="1888" spans="2:2" x14ac:dyDescent="0.25">
      <c r="B1888" s="10"/>
    </row>
    <row r="1889" spans="2:2" x14ac:dyDescent="0.25">
      <c r="B1889" s="10"/>
    </row>
    <row r="1890" spans="2:2" x14ac:dyDescent="0.25">
      <c r="B1890" s="10"/>
    </row>
    <row r="1891" spans="2:2" x14ac:dyDescent="0.25">
      <c r="B1891" s="10"/>
    </row>
    <row r="1892" spans="2:2" x14ac:dyDescent="0.25">
      <c r="B1892" s="10"/>
    </row>
    <row r="1893" spans="2:2" x14ac:dyDescent="0.25">
      <c r="B1893" s="10"/>
    </row>
    <row r="1894" spans="2:2" x14ac:dyDescent="0.25">
      <c r="B1894" s="10"/>
    </row>
    <row r="1895" spans="2:2" x14ac:dyDescent="0.25">
      <c r="B1895" s="10"/>
    </row>
    <row r="1896" spans="2:2" x14ac:dyDescent="0.25">
      <c r="B1896" s="10"/>
    </row>
    <row r="1897" spans="2:2" x14ac:dyDescent="0.25">
      <c r="B1897" s="10"/>
    </row>
    <row r="1898" spans="2:2" x14ac:dyDescent="0.25">
      <c r="B1898" s="10"/>
    </row>
    <row r="1899" spans="2:2" x14ac:dyDescent="0.25">
      <c r="B1899" s="10"/>
    </row>
    <row r="1900" spans="2:2" x14ac:dyDescent="0.25">
      <c r="B1900" s="10"/>
    </row>
    <row r="1901" spans="2:2" x14ac:dyDescent="0.25">
      <c r="B1901" s="10"/>
    </row>
    <row r="1902" spans="2:2" x14ac:dyDescent="0.25">
      <c r="B1902" s="10"/>
    </row>
    <row r="1903" spans="2:2" x14ac:dyDescent="0.25">
      <c r="B1903" s="10"/>
    </row>
    <row r="1904" spans="2:2" x14ac:dyDescent="0.25">
      <c r="B1904" s="10"/>
    </row>
    <row r="1905" spans="2:2" x14ac:dyDescent="0.25">
      <c r="B1905" s="10"/>
    </row>
    <row r="1906" spans="2:2" x14ac:dyDescent="0.25">
      <c r="B1906" s="10"/>
    </row>
    <row r="1907" spans="2:2" x14ac:dyDescent="0.25">
      <c r="B1907" s="10"/>
    </row>
    <row r="1908" spans="2:2" x14ac:dyDescent="0.25">
      <c r="B1908" s="10"/>
    </row>
    <row r="1909" spans="2:2" x14ac:dyDescent="0.25">
      <c r="B1909" s="10"/>
    </row>
    <row r="1910" spans="2:2" x14ac:dyDescent="0.25">
      <c r="B1910" s="10"/>
    </row>
    <row r="1911" spans="2:2" x14ac:dyDescent="0.25">
      <c r="B1911" s="10"/>
    </row>
    <row r="1912" spans="2:2" x14ac:dyDescent="0.25">
      <c r="B1912" s="10"/>
    </row>
    <row r="1913" spans="2:2" x14ac:dyDescent="0.25">
      <c r="B1913" s="10"/>
    </row>
    <row r="1914" spans="2:2" x14ac:dyDescent="0.25">
      <c r="B1914" s="10"/>
    </row>
    <row r="1915" spans="2:2" x14ac:dyDescent="0.25">
      <c r="B1915" s="10"/>
    </row>
    <row r="1916" spans="2:2" x14ac:dyDescent="0.25">
      <c r="B1916" s="10"/>
    </row>
    <row r="1917" spans="2:2" x14ac:dyDescent="0.25">
      <c r="B1917" s="10"/>
    </row>
    <row r="1918" spans="2:2" x14ac:dyDescent="0.25">
      <c r="B1918" s="10"/>
    </row>
    <row r="1919" spans="2:2" x14ac:dyDescent="0.25">
      <c r="B1919" s="10"/>
    </row>
    <row r="1920" spans="2:2" x14ac:dyDescent="0.25">
      <c r="B1920" s="10"/>
    </row>
    <row r="1921" spans="2:2" x14ac:dyDescent="0.25">
      <c r="B1921" s="10"/>
    </row>
    <row r="1922" spans="2:2" x14ac:dyDescent="0.25">
      <c r="B1922" s="10"/>
    </row>
    <row r="1923" spans="2:2" x14ac:dyDescent="0.25">
      <c r="B1923" s="10"/>
    </row>
    <row r="1924" spans="2:2" x14ac:dyDescent="0.25">
      <c r="B1924" s="10"/>
    </row>
    <row r="1925" spans="2:2" x14ac:dyDescent="0.25">
      <c r="B1925" s="10"/>
    </row>
    <row r="1926" spans="2:2" x14ac:dyDescent="0.25">
      <c r="B1926" s="10"/>
    </row>
    <row r="1927" spans="2:2" x14ac:dyDescent="0.25">
      <c r="B1927" s="10"/>
    </row>
    <row r="1928" spans="2:2" x14ac:dyDescent="0.25">
      <c r="B1928" s="10"/>
    </row>
    <row r="1929" spans="2:2" x14ac:dyDescent="0.25">
      <c r="B1929" s="10"/>
    </row>
    <row r="1930" spans="2:2" x14ac:dyDescent="0.25">
      <c r="B1930" s="10"/>
    </row>
    <row r="1931" spans="2:2" x14ac:dyDescent="0.25">
      <c r="B1931" s="10"/>
    </row>
    <row r="1932" spans="2:2" x14ac:dyDescent="0.25">
      <c r="B1932" s="10"/>
    </row>
    <row r="1933" spans="2:2" x14ac:dyDescent="0.25">
      <c r="B1933" s="10"/>
    </row>
    <row r="1934" spans="2:2" x14ac:dyDescent="0.25">
      <c r="B1934" s="10"/>
    </row>
    <row r="1935" spans="2:2" x14ac:dyDescent="0.25">
      <c r="B1935" s="10"/>
    </row>
    <row r="1936" spans="2:2" x14ac:dyDescent="0.25">
      <c r="B1936" s="10"/>
    </row>
    <row r="1937" spans="2:2" x14ac:dyDescent="0.25">
      <c r="B1937" s="10"/>
    </row>
    <row r="1938" spans="2:2" x14ac:dyDescent="0.25">
      <c r="B1938" s="10"/>
    </row>
    <row r="1939" spans="2:2" x14ac:dyDescent="0.25">
      <c r="B1939" s="10"/>
    </row>
    <row r="1940" spans="2:2" x14ac:dyDescent="0.25">
      <c r="B1940" s="10"/>
    </row>
    <row r="1941" spans="2:2" x14ac:dyDescent="0.25">
      <c r="B1941" s="10"/>
    </row>
    <row r="1942" spans="2:2" x14ac:dyDescent="0.25">
      <c r="B1942" s="10"/>
    </row>
    <row r="1943" spans="2:2" x14ac:dyDescent="0.25">
      <c r="B1943" s="10"/>
    </row>
    <row r="1944" spans="2:2" x14ac:dyDescent="0.25">
      <c r="B1944" s="10"/>
    </row>
    <row r="1945" spans="2:2" x14ac:dyDescent="0.25">
      <c r="B1945" s="10"/>
    </row>
    <row r="1946" spans="2:2" x14ac:dyDescent="0.25">
      <c r="B1946" s="10"/>
    </row>
    <row r="1947" spans="2:2" x14ac:dyDescent="0.25">
      <c r="B1947" s="10"/>
    </row>
    <row r="1948" spans="2:2" x14ac:dyDescent="0.25">
      <c r="B1948" s="10"/>
    </row>
    <row r="1949" spans="2:2" x14ac:dyDescent="0.25">
      <c r="B1949" s="10"/>
    </row>
    <row r="1950" spans="2:2" x14ac:dyDescent="0.25">
      <c r="B1950" s="10"/>
    </row>
    <row r="1951" spans="2:2" x14ac:dyDescent="0.25">
      <c r="B1951" s="10"/>
    </row>
    <row r="1952" spans="2:2" x14ac:dyDescent="0.25">
      <c r="B1952" s="10"/>
    </row>
    <row r="1953" spans="2:2" x14ac:dyDescent="0.25">
      <c r="B1953" s="10"/>
    </row>
    <row r="1954" spans="2:2" x14ac:dyDescent="0.25">
      <c r="B1954" s="10"/>
    </row>
    <row r="1955" spans="2:2" x14ac:dyDescent="0.25">
      <c r="B1955" s="10"/>
    </row>
    <row r="1956" spans="2:2" x14ac:dyDescent="0.25">
      <c r="B1956" s="10"/>
    </row>
    <row r="1957" spans="2:2" x14ac:dyDescent="0.25">
      <c r="B1957" s="10"/>
    </row>
    <row r="1958" spans="2:2" x14ac:dyDescent="0.25">
      <c r="B1958" s="10"/>
    </row>
    <row r="1959" spans="2:2" x14ac:dyDescent="0.25">
      <c r="B1959" s="10"/>
    </row>
    <row r="1960" spans="2:2" x14ac:dyDescent="0.25">
      <c r="B1960" s="10"/>
    </row>
    <row r="1961" spans="2:2" x14ac:dyDescent="0.25">
      <c r="B1961" s="10"/>
    </row>
    <row r="1962" spans="2:2" x14ac:dyDescent="0.25">
      <c r="B1962" s="10"/>
    </row>
    <row r="1963" spans="2:2" x14ac:dyDescent="0.25">
      <c r="B1963" s="10"/>
    </row>
    <row r="1964" spans="2:2" x14ac:dyDescent="0.25">
      <c r="B1964" s="10"/>
    </row>
    <row r="1965" spans="2:2" x14ac:dyDescent="0.25">
      <c r="B1965" s="10"/>
    </row>
    <row r="1966" spans="2:2" x14ac:dyDescent="0.25">
      <c r="B1966" s="10"/>
    </row>
    <row r="1967" spans="2:2" x14ac:dyDescent="0.25">
      <c r="B1967" s="10"/>
    </row>
    <row r="1968" spans="2:2" x14ac:dyDescent="0.25">
      <c r="B1968" s="10"/>
    </row>
    <row r="1969" spans="2:2" x14ac:dyDescent="0.25">
      <c r="B1969" s="10"/>
    </row>
    <row r="1970" spans="2:2" x14ac:dyDescent="0.25">
      <c r="B1970" s="10"/>
    </row>
    <row r="1971" spans="2:2" x14ac:dyDescent="0.25">
      <c r="B1971" s="10"/>
    </row>
    <row r="1972" spans="2:2" x14ac:dyDescent="0.25">
      <c r="B1972" s="10"/>
    </row>
    <row r="1973" spans="2:2" x14ac:dyDescent="0.25">
      <c r="B1973" s="10"/>
    </row>
    <row r="1974" spans="2:2" x14ac:dyDescent="0.25">
      <c r="B1974" s="10"/>
    </row>
    <row r="1975" spans="2:2" x14ac:dyDescent="0.25">
      <c r="B1975" s="10"/>
    </row>
    <row r="1976" spans="2:2" x14ac:dyDescent="0.25">
      <c r="B1976" s="10"/>
    </row>
    <row r="1977" spans="2:2" x14ac:dyDescent="0.25">
      <c r="B1977" s="10"/>
    </row>
    <row r="1978" spans="2:2" x14ac:dyDescent="0.25">
      <c r="B1978" s="10"/>
    </row>
    <row r="1979" spans="2:2" x14ac:dyDescent="0.25">
      <c r="B1979" s="10"/>
    </row>
    <row r="1980" spans="2:2" x14ac:dyDescent="0.25">
      <c r="B1980" s="10"/>
    </row>
    <row r="1981" spans="2:2" x14ac:dyDescent="0.25">
      <c r="B1981" s="10"/>
    </row>
    <row r="1982" spans="2:2" x14ac:dyDescent="0.25">
      <c r="B1982" s="10"/>
    </row>
    <row r="1983" spans="2:2" x14ac:dyDescent="0.25">
      <c r="B1983" s="10"/>
    </row>
    <row r="1984" spans="2:2" x14ac:dyDescent="0.25">
      <c r="B1984" s="10"/>
    </row>
    <row r="1985" spans="2:2" x14ac:dyDescent="0.25">
      <c r="B1985" s="10"/>
    </row>
    <row r="1986" spans="2:2" x14ac:dyDescent="0.25">
      <c r="B1986" s="10"/>
    </row>
    <row r="1987" spans="2:2" x14ac:dyDescent="0.25">
      <c r="B1987" s="10"/>
    </row>
    <row r="1988" spans="2:2" x14ac:dyDescent="0.25">
      <c r="B1988" s="10"/>
    </row>
    <row r="1989" spans="2:2" x14ac:dyDescent="0.25">
      <c r="B1989" s="10"/>
    </row>
    <row r="1990" spans="2:2" x14ac:dyDescent="0.25">
      <c r="B1990" s="10"/>
    </row>
    <row r="1991" spans="2:2" x14ac:dyDescent="0.25">
      <c r="B1991" s="10"/>
    </row>
    <row r="1992" spans="2:2" x14ac:dyDescent="0.25">
      <c r="B1992" s="10"/>
    </row>
    <row r="1993" spans="2:2" x14ac:dyDescent="0.25">
      <c r="B1993" s="10"/>
    </row>
    <row r="1994" spans="2:2" x14ac:dyDescent="0.25">
      <c r="B1994" s="10"/>
    </row>
    <row r="1995" spans="2:2" x14ac:dyDescent="0.25">
      <c r="B1995" s="10"/>
    </row>
    <row r="1996" spans="2:2" x14ac:dyDescent="0.25">
      <c r="B1996" s="10"/>
    </row>
    <row r="1997" spans="2:2" x14ac:dyDescent="0.25">
      <c r="B1997" s="10"/>
    </row>
    <row r="1998" spans="2:2" x14ac:dyDescent="0.25">
      <c r="B1998" s="10"/>
    </row>
    <row r="1999" spans="2:2" x14ac:dyDescent="0.25">
      <c r="B1999" s="10"/>
    </row>
    <row r="2000" spans="2:2" x14ac:dyDescent="0.25">
      <c r="B2000" s="10"/>
    </row>
    <row r="2001" spans="2:2" x14ac:dyDescent="0.25">
      <c r="B2001" s="10"/>
    </row>
    <row r="2002" spans="2:2" x14ac:dyDescent="0.25">
      <c r="B2002" s="10"/>
    </row>
    <row r="2003" spans="2:2" x14ac:dyDescent="0.25">
      <c r="B2003" s="10"/>
    </row>
    <row r="2004" spans="2:2" x14ac:dyDescent="0.25">
      <c r="B2004" s="10"/>
    </row>
    <row r="2005" spans="2:2" x14ac:dyDescent="0.25">
      <c r="B2005" s="10"/>
    </row>
    <row r="2006" spans="2:2" x14ac:dyDescent="0.25">
      <c r="B2006" s="10"/>
    </row>
    <row r="2007" spans="2:2" x14ac:dyDescent="0.25">
      <c r="B2007" s="10"/>
    </row>
    <row r="2008" spans="2:2" x14ac:dyDescent="0.25">
      <c r="B2008" s="10"/>
    </row>
    <row r="2009" spans="2:2" x14ac:dyDescent="0.25">
      <c r="B2009" s="10"/>
    </row>
    <row r="2010" spans="2:2" x14ac:dyDescent="0.25">
      <c r="B2010" s="10"/>
    </row>
    <row r="2011" spans="2:2" x14ac:dyDescent="0.25">
      <c r="B2011" s="10"/>
    </row>
    <row r="2012" spans="2:2" x14ac:dyDescent="0.25">
      <c r="B2012" s="10"/>
    </row>
    <row r="2013" spans="2:2" x14ac:dyDescent="0.25">
      <c r="B2013" s="10"/>
    </row>
    <row r="2014" spans="2:2" x14ac:dyDescent="0.25">
      <c r="B2014" s="10"/>
    </row>
    <row r="2015" spans="2:2" x14ac:dyDescent="0.25">
      <c r="B2015" s="10"/>
    </row>
    <row r="2016" spans="2:2" x14ac:dyDescent="0.25">
      <c r="B2016" s="10"/>
    </row>
    <row r="2017" spans="2:2" x14ac:dyDescent="0.25">
      <c r="B2017" s="10"/>
    </row>
    <row r="2018" spans="2:2" x14ac:dyDescent="0.25">
      <c r="B2018" s="10"/>
    </row>
    <row r="2019" spans="2:2" x14ac:dyDescent="0.25">
      <c r="B2019" s="10"/>
    </row>
    <row r="2020" spans="2:2" x14ac:dyDescent="0.25">
      <c r="B2020" s="10"/>
    </row>
    <row r="2021" spans="2:2" x14ac:dyDescent="0.25">
      <c r="B2021" s="10"/>
    </row>
    <row r="2022" spans="2:2" x14ac:dyDescent="0.25">
      <c r="B2022" s="10"/>
    </row>
    <row r="2023" spans="2:2" x14ac:dyDescent="0.25">
      <c r="B2023" s="10"/>
    </row>
    <row r="2024" spans="2:2" x14ac:dyDescent="0.25">
      <c r="B2024" s="10"/>
    </row>
    <row r="2025" spans="2:2" x14ac:dyDescent="0.25">
      <c r="B2025" s="10"/>
    </row>
    <row r="2026" spans="2:2" x14ac:dyDescent="0.25">
      <c r="B2026" s="10"/>
    </row>
    <row r="2027" spans="2:2" x14ac:dyDescent="0.25">
      <c r="B2027" s="10"/>
    </row>
    <row r="2028" spans="2:2" x14ac:dyDescent="0.25">
      <c r="B2028" s="10"/>
    </row>
    <row r="2029" spans="2:2" x14ac:dyDescent="0.25">
      <c r="B2029" s="10"/>
    </row>
    <row r="2030" spans="2:2" x14ac:dyDescent="0.25">
      <c r="B2030" s="10"/>
    </row>
    <row r="2031" spans="2:2" x14ac:dyDescent="0.25">
      <c r="B2031" s="10"/>
    </row>
    <row r="2032" spans="2:2" x14ac:dyDescent="0.25">
      <c r="B2032" s="10"/>
    </row>
    <row r="2033" spans="2:2" x14ac:dyDescent="0.25">
      <c r="B2033" s="10"/>
    </row>
    <row r="2034" spans="2:2" x14ac:dyDescent="0.25">
      <c r="B2034" s="10"/>
    </row>
    <row r="2035" spans="2:2" x14ac:dyDescent="0.25">
      <c r="B2035" s="10"/>
    </row>
    <row r="2036" spans="2:2" x14ac:dyDescent="0.25">
      <c r="B2036" s="10"/>
    </row>
    <row r="2037" spans="2:2" x14ac:dyDescent="0.25">
      <c r="B2037" s="10"/>
    </row>
    <row r="2038" spans="2:2" x14ac:dyDescent="0.25">
      <c r="B2038" s="10"/>
    </row>
    <row r="2039" spans="2:2" x14ac:dyDescent="0.25">
      <c r="B2039" s="10"/>
    </row>
    <row r="2040" spans="2:2" x14ac:dyDescent="0.25">
      <c r="B2040" s="10"/>
    </row>
    <row r="2041" spans="2:2" x14ac:dyDescent="0.25">
      <c r="B2041" s="10"/>
    </row>
    <row r="2042" spans="2:2" x14ac:dyDescent="0.25">
      <c r="B2042" s="10"/>
    </row>
    <row r="2043" spans="2:2" x14ac:dyDescent="0.25">
      <c r="B2043" s="10"/>
    </row>
    <row r="2044" spans="2:2" x14ac:dyDescent="0.25">
      <c r="B2044" s="10"/>
    </row>
    <row r="2045" spans="2:2" x14ac:dyDescent="0.25">
      <c r="B2045" s="10"/>
    </row>
    <row r="2046" spans="2:2" x14ac:dyDescent="0.25">
      <c r="B2046" s="10"/>
    </row>
    <row r="2047" spans="2:2" x14ac:dyDescent="0.25">
      <c r="B2047" s="10"/>
    </row>
    <row r="2048" spans="2:2" x14ac:dyDescent="0.25">
      <c r="B2048" s="10"/>
    </row>
    <row r="2049" spans="2:2" x14ac:dyDescent="0.25">
      <c r="B2049" s="10"/>
    </row>
    <row r="2050" spans="2:2" x14ac:dyDescent="0.25">
      <c r="B2050" s="10"/>
    </row>
    <row r="2051" spans="2:2" x14ac:dyDescent="0.25">
      <c r="B2051" s="10"/>
    </row>
    <row r="2052" spans="2:2" x14ac:dyDescent="0.25">
      <c r="B2052" s="10"/>
    </row>
    <row r="2053" spans="2:2" x14ac:dyDescent="0.25">
      <c r="B2053" s="10"/>
    </row>
    <row r="2054" spans="2:2" x14ac:dyDescent="0.25">
      <c r="B2054" s="10"/>
    </row>
    <row r="2055" spans="2:2" x14ac:dyDescent="0.25">
      <c r="B2055" s="10"/>
    </row>
    <row r="2056" spans="2:2" x14ac:dyDescent="0.25">
      <c r="B2056" s="10"/>
    </row>
    <row r="2057" spans="2:2" x14ac:dyDescent="0.25">
      <c r="B2057" s="10"/>
    </row>
    <row r="2058" spans="2:2" x14ac:dyDescent="0.25">
      <c r="B2058" s="10"/>
    </row>
    <row r="2059" spans="2:2" x14ac:dyDescent="0.25">
      <c r="B2059" s="10"/>
    </row>
    <row r="2060" spans="2:2" x14ac:dyDescent="0.25">
      <c r="B2060" s="10"/>
    </row>
    <row r="2061" spans="2:2" x14ac:dyDescent="0.25">
      <c r="B2061" s="10"/>
    </row>
    <row r="2062" spans="2:2" x14ac:dyDescent="0.25">
      <c r="B2062" s="10"/>
    </row>
    <row r="2063" spans="2:2" x14ac:dyDescent="0.25">
      <c r="B2063" s="10"/>
    </row>
    <row r="2064" spans="2:2" x14ac:dyDescent="0.25">
      <c r="B2064" s="10"/>
    </row>
    <row r="2065" spans="2:2" x14ac:dyDescent="0.25">
      <c r="B2065" s="10"/>
    </row>
    <row r="2066" spans="2:2" x14ac:dyDescent="0.25">
      <c r="B2066" s="10"/>
    </row>
    <row r="2067" spans="2:2" x14ac:dyDescent="0.25">
      <c r="B2067" s="10"/>
    </row>
    <row r="2068" spans="2:2" x14ac:dyDescent="0.25">
      <c r="B2068" s="10"/>
    </row>
    <row r="2069" spans="2:2" x14ac:dyDescent="0.25">
      <c r="B2069" s="10"/>
    </row>
    <row r="2070" spans="2:2" x14ac:dyDescent="0.25">
      <c r="B2070" s="10"/>
    </row>
    <row r="2071" spans="2:2" x14ac:dyDescent="0.25">
      <c r="B2071" s="10"/>
    </row>
    <row r="2072" spans="2:2" x14ac:dyDescent="0.25">
      <c r="B2072" s="10"/>
    </row>
    <row r="2073" spans="2:2" x14ac:dyDescent="0.25">
      <c r="B2073" s="10"/>
    </row>
    <row r="2074" spans="2:2" x14ac:dyDescent="0.25">
      <c r="B2074" s="10"/>
    </row>
    <row r="2075" spans="2:2" x14ac:dyDescent="0.25">
      <c r="B2075" s="10"/>
    </row>
    <row r="2076" spans="2:2" x14ac:dyDescent="0.25">
      <c r="B2076" s="10"/>
    </row>
    <row r="2077" spans="2:2" x14ac:dyDescent="0.25">
      <c r="B2077" s="10"/>
    </row>
    <row r="2078" spans="2:2" x14ac:dyDescent="0.25">
      <c r="B2078" s="10"/>
    </row>
    <row r="2079" spans="2:2" x14ac:dyDescent="0.25">
      <c r="B2079" s="10"/>
    </row>
    <row r="2080" spans="2:2" x14ac:dyDescent="0.25">
      <c r="B2080" s="10"/>
    </row>
    <row r="2081" spans="2:2" x14ac:dyDescent="0.25">
      <c r="B2081" s="10"/>
    </row>
    <row r="2082" spans="2:2" x14ac:dyDescent="0.25">
      <c r="B2082" s="10"/>
    </row>
    <row r="2083" spans="2:2" x14ac:dyDescent="0.25">
      <c r="B2083" s="10"/>
    </row>
    <row r="2084" spans="2:2" x14ac:dyDescent="0.25">
      <c r="B2084" s="10"/>
    </row>
    <row r="2085" spans="2:2" x14ac:dyDescent="0.25">
      <c r="B2085" s="10"/>
    </row>
    <row r="2086" spans="2:2" x14ac:dyDescent="0.25">
      <c r="B2086" s="10"/>
    </row>
    <row r="2087" spans="2:2" x14ac:dyDescent="0.25">
      <c r="B2087" s="10"/>
    </row>
    <row r="2088" spans="2:2" x14ac:dyDescent="0.25">
      <c r="B2088" s="10"/>
    </row>
    <row r="2089" spans="2:2" x14ac:dyDescent="0.25">
      <c r="B2089" s="10"/>
    </row>
    <row r="2090" spans="2:2" x14ac:dyDescent="0.25">
      <c r="B2090" s="10"/>
    </row>
    <row r="2091" spans="2:2" x14ac:dyDescent="0.25">
      <c r="B2091" s="10"/>
    </row>
    <row r="2092" spans="2:2" x14ac:dyDescent="0.25">
      <c r="B2092" s="10"/>
    </row>
    <row r="2093" spans="2:2" x14ac:dyDescent="0.25">
      <c r="B2093" s="10"/>
    </row>
    <row r="2094" spans="2:2" x14ac:dyDescent="0.25">
      <c r="B2094" s="10"/>
    </row>
    <row r="2095" spans="2:2" x14ac:dyDescent="0.25">
      <c r="B2095" s="10"/>
    </row>
    <row r="2096" spans="2:2" x14ac:dyDescent="0.25">
      <c r="B2096" s="10"/>
    </row>
    <row r="2097" spans="2:2" x14ac:dyDescent="0.25">
      <c r="B2097" s="10"/>
    </row>
    <row r="2098" spans="2:2" x14ac:dyDescent="0.25">
      <c r="B2098" s="10"/>
    </row>
    <row r="2099" spans="2:2" x14ac:dyDescent="0.25">
      <c r="B2099" s="10"/>
    </row>
    <row r="2100" spans="2:2" x14ac:dyDescent="0.25">
      <c r="B2100" s="10"/>
    </row>
    <row r="2101" spans="2:2" x14ac:dyDescent="0.25">
      <c r="B2101" s="10"/>
    </row>
    <row r="2102" spans="2:2" x14ac:dyDescent="0.25">
      <c r="B2102" s="10"/>
    </row>
    <row r="2103" spans="2:2" x14ac:dyDescent="0.25">
      <c r="B2103" s="10"/>
    </row>
    <row r="2104" spans="2:2" x14ac:dyDescent="0.25">
      <c r="B2104" s="10"/>
    </row>
    <row r="2105" spans="2:2" x14ac:dyDescent="0.25">
      <c r="B2105" s="10"/>
    </row>
    <row r="2106" spans="2:2" x14ac:dyDescent="0.25">
      <c r="B2106" s="10"/>
    </row>
    <row r="2107" spans="2:2" x14ac:dyDescent="0.25">
      <c r="B2107" s="10"/>
    </row>
    <row r="2108" spans="2:2" x14ac:dyDescent="0.25">
      <c r="B2108" s="10"/>
    </row>
    <row r="2109" spans="2:2" x14ac:dyDescent="0.25">
      <c r="B2109" s="10"/>
    </row>
    <row r="2110" spans="2:2" x14ac:dyDescent="0.25">
      <c r="B2110" s="10"/>
    </row>
    <row r="2111" spans="2:2" x14ac:dyDescent="0.25">
      <c r="B2111" s="10"/>
    </row>
    <row r="2112" spans="2:2" x14ac:dyDescent="0.25">
      <c r="B2112" s="10"/>
    </row>
    <row r="2113" spans="2:2" x14ac:dyDescent="0.25">
      <c r="B2113" s="10"/>
    </row>
    <row r="2114" spans="2:2" x14ac:dyDescent="0.25">
      <c r="B2114" s="10"/>
    </row>
    <row r="2115" spans="2:2" x14ac:dyDescent="0.25">
      <c r="B2115" s="10"/>
    </row>
    <row r="2116" spans="2:2" x14ac:dyDescent="0.25">
      <c r="B2116" s="10"/>
    </row>
    <row r="2117" spans="2:2" x14ac:dyDescent="0.25">
      <c r="B2117" s="10"/>
    </row>
    <row r="2118" spans="2:2" x14ac:dyDescent="0.25">
      <c r="B2118" s="10"/>
    </row>
    <row r="2119" spans="2:2" x14ac:dyDescent="0.25">
      <c r="B2119" s="10"/>
    </row>
    <row r="2120" spans="2:2" x14ac:dyDescent="0.25">
      <c r="B2120" s="10"/>
    </row>
    <row r="2121" spans="2:2" x14ac:dyDescent="0.25">
      <c r="B2121" s="10"/>
    </row>
    <row r="2122" spans="2:2" x14ac:dyDescent="0.25">
      <c r="B2122" s="10"/>
    </row>
    <row r="2123" spans="2:2" x14ac:dyDescent="0.25">
      <c r="B2123" s="10"/>
    </row>
    <row r="2124" spans="2:2" x14ac:dyDescent="0.25">
      <c r="B2124" s="10"/>
    </row>
    <row r="2125" spans="2:2" x14ac:dyDescent="0.25">
      <c r="B2125" s="10"/>
    </row>
    <row r="2126" spans="2:2" x14ac:dyDescent="0.25">
      <c r="B2126" s="10"/>
    </row>
    <row r="2127" spans="2:2" x14ac:dyDescent="0.25">
      <c r="B2127" s="10"/>
    </row>
    <row r="2128" spans="2:2" x14ac:dyDescent="0.25">
      <c r="B2128" s="10"/>
    </row>
    <row r="2129" spans="2:2" x14ac:dyDescent="0.25">
      <c r="B2129" s="10"/>
    </row>
    <row r="2130" spans="2:2" x14ac:dyDescent="0.25">
      <c r="B2130" s="10"/>
    </row>
    <row r="2131" spans="2:2" x14ac:dyDescent="0.25">
      <c r="B2131" s="10"/>
    </row>
    <row r="2132" spans="2:2" x14ac:dyDescent="0.25">
      <c r="B2132" s="10"/>
    </row>
    <row r="2133" spans="2:2" x14ac:dyDescent="0.25">
      <c r="B2133" s="10"/>
    </row>
    <row r="2134" spans="2:2" x14ac:dyDescent="0.25">
      <c r="B2134" s="10"/>
    </row>
    <row r="2135" spans="2:2" x14ac:dyDescent="0.25">
      <c r="B2135" s="10"/>
    </row>
    <row r="2136" spans="2:2" x14ac:dyDescent="0.25">
      <c r="B2136" s="10"/>
    </row>
    <row r="2137" spans="2:2" x14ac:dyDescent="0.25">
      <c r="B2137" s="10"/>
    </row>
    <row r="2138" spans="2:2" x14ac:dyDescent="0.25">
      <c r="B2138" s="10"/>
    </row>
    <row r="2139" spans="2:2" x14ac:dyDescent="0.25">
      <c r="B2139" s="10"/>
    </row>
    <row r="2140" spans="2:2" x14ac:dyDescent="0.25">
      <c r="B2140" s="10"/>
    </row>
    <row r="2141" spans="2:2" x14ac:dyDescent="0.25">
      <c r="B2141" s="10"/>
    </row>
    <row r="2142" spans="2:2" x14ac:dyDescent="0.25">
      <c r="B2142" s="10"/>
    </row>
    <row r="2143" spans="2:2" x14ac:dyDescent="0.25">
      <c r="B2143" s="10"/>
    </row>
    <row r="2144" spans="2:2" x14ac:dyDescent="0.25">
      <c r="B2144" s="10"/>
    </row>
    <row r="2145" spans="2:2" x14ac:dyDescent="0.25">
      <c r="B2145" s="10"/>
    </row>
    <row r="2146" spans="2:2" x14ac:dyDescent="0.25">
      <c r="B2146" s="10"/>
    </row>
    <row r="2147" spans="2:2" x14ac:dyDescent="0.25">
      <c r="B2147" s="10"/>
    </row>
    <row r="2148" spans="2:2" x14ac:dyDescent="0.25">
      <c r="B2148" s="10"/>
    </row>
    <row r="2149" spans="2:2" x14ac:dyDescent="0.25">
      <c r="B2149" s="10"/>
    </row>
    <row r="2150" spans="2:2" x14ac:dyDescent="0.25">
      <c r="B2150" s="10"/>
    </row>
    <row r="2151" spans="2:2" x14ac:dyDescent="0.25">
      <c r="B2151" s="10"/>
    </row>
    <row r="2152" spans="2:2" x14ac:dyDescent="0.25">
      <c r="B2152" s="10"/>
    </row>
    <row r="2153" spans="2:2" x14ac:dyDescent="0.25">
      <c r="B2153" s="10"/>
    </row>
    <row r="2154" spans="2:2" x14ac:dyDescent="0.25">
      <c r="B2154" s="10"/>
    </row>
    <row r="2155" spans="2:2" x14ac:dyDescent="0.25">
      <c r="B2155" s="10"/>
    </row>
    <row r="2156" spans="2:2" x14ac:dyDescent="0.25">
      <c r="B2156" s="10"/>
    </row>
    <row r="2157" spans="2:2" x14ac:dyDescent="0.25">
      <c r="B2157" s="10"/>
    </row>
    <row r="2158" spans="2:2" x14ac:dyDescent="0.25">
      <c r="B2158" s="10"/>
    </row>
    <row r="2159" spans="2:2" x14ac:dyDescent="0.25">
      <c r="B2159" s="10"/>
    </row>
    <row r="2160" spans="2:2" x14ac:dyDescent="0.25">
      <c r="B2160" s="10"/>
    </row>
    <row r="2161" spans="2:2" x14ac:dyDescent="0.25">
      <c r="B2161" s="10"/>
    </row>
    <row r="2162" spans="2:2" x14ac:dyDescent="0.25">
      <c r="B2162" s="10"/>
    </row>
    <row r="2163" spans="2:2" x14ac:dyDescent="0.25">
      <c r="B2163" s="10"/>
    </row>
    <row r="2164" spans="2:2" x14ac:dyDescent="0.25">
      <c r="B2164" s="10"/>
    </row>
    <row r="2165" spans="2:2" x14ac:dyDescent="0.25">
      <c r="B2165" s="10"/>
    </row>
    <row r="2166" spans="2:2" x14ac:dyDescent="0.25">
      <c r="B2166" s="10"/>
    </row>
    <row r="2167" spans="2:2" x14ac:dyDescent="0.25">
      <c r="B2167" s="10"/>
    </row>
    <row r="2168" spans="2:2" x14ac:dyDescent="0.25">
      <c r="B2168" s="10"/>
    </row>
    <row r="2169" spans="2:2" x14ac:dyDescent="0.25">
      <c r="B2169" s="10"/>
    </row>
    <row r="2170" spans="2:2" x14ac:dyDescent="0.25">
      <c r="B2170" s="10"/>
    </row>
    <row r="2171" spans="2:2" x14ac:dyDescent="0.25">
      <c r="B2171" s="10"/>
    </row>
    <row r="2172" spans="2:2" x14ac:dyDescent="0.25">
      <c r="B2172" s="10"/>
    </row>
    <row r="2173" spans="2:2" x14ac:dyDescent="0.25">
      <c r="B2173" s="10"/>
    </row>
    <row r="2174" spans="2:2" x14ac:dyDescent="0.25">
      <c r="B2174" s="10"/>
    </row>
    <row r="2175" spans="2:2" x14ac:dyDescent="0.25">
      <c r="B2175" s="10"/>
    </row>
    <row r="2176" spans="2:2" x14ac:dyDescent="0.25">
      <c r="B2176" s="10"/>
    </row>
    <row r="2177" spans="2:2" x14ac:dyDescent="0.25">
      <c r="B2177" s="10"/>
    </row>
    <row r="2178" spans="2:2" x14ac:dyDescent="0.25">
      <c r="B2178" s="10"/>
    </row>
    <row r="2179" spans="2:2" x14ac:dyDescent="0.25">
      <c r="B2179" s="10"/>
    </row>
    <row r="2180" spans="2:2" x14ac:dyDescent="0.25">
      <c r="B2180" s="10"/>
    </row>
    <row r="2181" spans="2:2" x14ac:dyDescent="0.25">
      <c r="B2181" s="10"/>
    </row>
    <row r="2182" spans="2:2" x14ac:dyDescent="0.25">
      <c r="B2182" s="10"/>
    </row>
    <row r="2183" spans="2:2" x14ac:dyDescent="0.25">
      <c r="B2183" s="10"/>
    </row>
    <row r="2184" spans="2:2" x14ac:dyDescent="0.25">
      <c r="B2184" s="10"/>
    </row>
    <row r="2185" spans="2:2" x14ac:dyDescent="0.25">
      <c r="B2185" s="10"/>
    </row>
    <row r="2186" spans="2:2" x14ac:dyDescent="0.25">
      <c r="B2186" s="10"/>
    </row>
    <row r="2187" spans="2:2" x14ac:dyDescent="0.25">
      <c r="B2187" s="10"/>
    </row>
    <row r="2188" spans="2:2" x14ac:dyDescent="0.25">
      <c r="B2188" s="10"/>
    </row>
    <row r="2189" spans="2:2" x14ac:dyDescent="0.25">
      <c r="B2189" s="10"/>
    </row>
    <row r="2190" spans="2:2" x14ac:dyDescent="0.25">
      <c r="B2190" s="10"/>
    </row>
    <row r="2191" spans="2:2" x14ac:dyDescent="0.25">
      <c r="B2191" s="10"/>
    </row>
    <row r="2192" spans="2:2" x14ac:dyDescent="0.25">
      <c r="B2192" s="10"/>
    </row>
    <row r="2193" spans="2:2" x14ac:dyDescent="0.25">
      <c r="B2193" s="10"/>
    </row>
    <row r="2194" spans="2:2" x14ac:dyDescent="0.25">
      <c r="B2194" s="10"/>
    </row>
    <row r="2195" spans="2:2" x14ac:dyDescent="0.25">
      <c r="B2195" s="10"/>
    </row>
    <row r="2196" spans="2:2" x14ac:dyDescent="0.25">
      <c r="B2196" s="10"/>
    </row>
    <row r="2197" spans="2:2" x14ac:dyDescent="0.25">
      <c r="B2197" s="10"/>
    </row>
    <row r="2198" spans="2:2" x14ac:dyDescent="0.25">
      <c r="B2198" s="10"/>
    </row>
    <row r="2199" spans="2:2" x14ac:dyDescent="0.25">
      <c r="B2199" s="10"/>
    </row>
    <row r="2200" spans="2:2" x14ac:dyDescent="0.25">
      <c r="B2200" s="10"/>
    </row>
    <row r="2201" spans="2:2" x14ac:dyDescent="0.25">
      <c r="B2201" s="10"/>
    </row>
    <row r="2202" spans="2:2" x14ac:dyDescent="0.25">
      <c r="B2202" s="10"/>
    </row>
    <row r="2203" spans="2:2" x14ac:dyDescent="0.25">
      <c r="B2203" s="10"/>
    </row>
    <row r="2204" spans="2:2" x14ac:dyDescent="0.25">
      <c r="B2204" s="10"/>
    </row>
    <row r="2205" spans="2:2" x14ac:dyDescent="0.25">
      <c r="B2205" s="10"/>
    </row>
    <row r="2206" spans="2:2" x14ac:dyDescent="0.25">
      <c r="B2206" s="10"/>
    </row>
    <row r="2207" spans="2:2" x14ac:dyDescent="0.25">
      <c r="B2207" s="10"/>
    </row>
    <row r="2208" spans="2:2" x14ac:dyDescent="0.25">
      <c r="B2208" s="10"/>
    </row>
    <row r="2209" spans="2:2" x14ac:dyDescent="0.25">
      <c r="B2209" s="10"/>
    </row>
    <row r="2210" spans="2:2" x14ac:dyDescent="0.25">
      <c r="B2210" s="10"/>
    </row>
    <row r="2211" spans="2:2" x14ac:dyDescent="0.25">
      <c r="B2211" s="10"/>
    </row>
    <row r="2212" spans="2:2" x14ac:dyDescent="0.25">
      <c r="B2212" s="10"/>
    </row>
    <row r="2213" spans="2:2" x14ac:dyDescent="0.25">
      <c r="B2213" s="10"/>
    </row>
    <row r="2214" spans="2:2" x14ac:dyDescent="0.25">
      <c r="B2214" s="10"/>
    </row>
    <row r="2215" spans="2:2" x14ac:dyDescent="0.25">
      <c r="B2215" s="10"/>
    </row>
    <row r="2216" spans="2:2" x14ac:dyDescent="0.25">
      <c r="B2216" s="10"/>
    </row>
    <row r="2217" spans="2:2" x14ac:dyDescent="0.25">
      <c r="B2217" s="10"/>
    </row>
    <row r="2218" spans="2:2" x14ac:dyDescent="0.25">
      <c r="B2218" s="10"/>
    </row>
    <row r="2219" spans="2:2" x14ac:dyDescent="0.25">
      <c r="B2219" s="10"/>
    </row>
    <row r="2220" spans="2:2" x14ac:dyDescent="0.25">
      <c r="B2220" s="10"/>
    </row>
    <row r="2221" spans="2:2" x14ac:dyDescent="0.25">
      <c r="B2221" s="10"/>
    </row>
    <row r="2222" spans="2:2" x14ac:dyDescent="0.25">
      <c r="B2222" s="10"/>
    </row>
    <row r="2223" spans="2:2" x14ac:dyDescent="0.25">
      <c r="B2223" s="10"/>
    </row>
    <row r="2224" spans="2:2" x14ac:dyDescent="0.25">
      <c r="B2224" s="10"/>
    </row>
    <row r="2225" spans="2:2" x14ac:dyDescent="0.25">
      <c r="B2225" s="10"/>
    </row>
    <row r="2226" spans="2:2" x14ac:dyDescent="0.25">
      <c r="B2226" s="10"/>
    </row>
    <row r="2227" spans="2:2" x14ac:dyDescent="0.25">
      <c r="B2227" s="10"/>
    </row>
    <row r="2228" spans="2:2" x14ac:dyDescent="0.25">
      <c r="B2228" s="10"/>
    </row>
    <row r="2229" spans="2:2" x14ac:dyDescent="0.25">
      <c r="B2229" s="10"/>
    </row>
    <row r="2230" spans="2:2" x14ac:dyDescent="0.25">
      <c r="B2230" s="10"/>
    </row>
    <row r="2231" spans="2:2" x14ac:dyDescent="0.25">
      <c r="B2231" s="10"/>
    </row>
    <row r="2232" spans="2:2" x14ac:dyDescent="0.25">
      <c r="B2232" s="10"/>
    </row>
    <row r="2233" spans="2:2" x14ac:dyDescent="0.25">
      <c r="B2233" s="10"/>
    </row>
    <row r="2234" spans="2:2" x14ac:dyDescent="0.25">
      <c r="B2234" s="10"/>
    </row>
    <row r="2235" spans="2:2" x14ac:dyDescent="0.25">
      <c r="B2235" s="10"/>
    </row>
    <row r="2236" spans="2:2" x14ac:dyDescent="0.25">
      <c r="B2236" s="10"/>
    </row>
    <row r="2237" spans="2:2" x14ac:dyDescent="0.25">
      <c r="B2237" s="10"/>
    </row>
    <row r="2238" spans="2:2" x14ac:dyDescent="0.25">
      <c r="B2238" s="10"/>
    </row>
    <row r="2239" spans="2:2" x14ac:dyDescent="0.25">
      <c r="B2239" s="10"/>
    </row>
    <row r="2240" spans="2:2" x14ac:dyDescent="0.25">
      <c r="B2240" s="10"/>
    </row>
    <row r="2241" spans="2:2" x14ac:dyDescent="0.25">
      <c r="B2241" s="10"/>
    </row>
    <row r="2242" spans="2:2" x14ac:dyDescent="0.25">
      <c r="B2242" s="10"/>
    </row>
    <row r="2243" spans="2:2" x14ac:dyDescent="0.25">
      <c r="B2243" s="10"/>
    </row>
    <row r="2244" spans="2:2" x14ac:dyDescent="0.25">
      <c r="B2244" s="10"/>
    </row>
    <row r="2245" spans="2:2" x14ac:dyDescent="0.25">
      <c r="B2245" s="10"/>
    </row>
    <row r="2246" spans="2:2" x14ac:dyDescent="0.25">
      <c r="B2246" s="10"/>
    </row>
    <row r="2247" spans="2:2" x14ac:dyDescent="0.25">
      <c r="B2247" s="10"/>
    </row>
    <row r="2248" spans="2:2" x14ac:dyDescent="0.25">
      <c r="B2248" s="10"/>
    </row>
    <row r="2249" spans="2:2" x14ac:dyDescent="0.25">
      <c r="B2249" s="10"/>
    </row>
    <row r="2250" spans="2:2" x14ac:dyDescent="0.25">
      <c r="B2250" s="10"/>
    </row>
    <row r="2251" spans="2:2" x14ac:dyDescent="0.25">
      <c r="B2251" s="10"/>
    </row>
    <row r="2252" spans="2:2" x14ac:dyDescent="0.25">
      <c r="B2252" s="10"/>
    </row>
    <row r="2253" spans="2:2" x14ac:dyDescent="0.25">
      <c r="B2253" s="10"/>
    </row>
    <row r="2254" spans="2:2" x14ac:dyDescent="0.25">
      <c r="B2254" s="10"/>
    </row>
    <row r="2255" spans="2:2" x14ac:dyDescent="0.25">
      <c r="B2255" s="10"/>
    </row>
    <row r="2256" spans="2:2" x14ac:dyDescent="0.25">
      <c r="B2256" s="10"/>
    </row>
    <row r="2257" spans="2:2" x14ac:dyDescent="0.25">
      <c r="B2257" s="10"/>
    </row>
    <row r="2258" spans="2:2" x14ac:dyDescent="0.25">
      <c r="B2258" s="10"/>
    </row>
    <row r="2259" spans="2:2" x14ac:dyDescent="0.25">
      <c r="B2259" s="10"/>
    </row>
    <row r="2260" spans="2:2" x14ac:dyDescent="0.25">
      <c r="B2260" s="10"/>
    </row>
    <row r="2261" spans="2:2" x14ac:dyDescent="0.25">
      <c r="B2261" s="10"/>
    </row>
    <row r="2262" spans="2:2" x14ac:dyDescent="0.25">
      <c r="B2262" s="10"/>
    </row>
    <row r="2263" spans="2:2" x14ac:dyDescent="0.25">
      <c r="B2263" s="10"/>
    </row>
    <row r="2264" spans="2:2" x14ac:dyDescent="0.25">
      <c r="B2264" s="10"/>
    </row>
    <row r="2265" spans="2:2" x14ac:dyDescent="0.25">
      <c r="B2265" s="10"/>
    </row>
    <row r="2266" spans="2:2" x14ac:dyDescent="0.25">
      <c r="B2266" s="10"/>
    </row>
    <row r="2267" spans="2:2" x14ac:dyDescent="0.25">
      <c r="B2267" s="10"/>
    </row>
    <row r="2268" spans="2:2" x14ac:dyDescent="0.25">
      <c r="B2268" s="10"/>
    </row>
    <row r="2269" spans="2:2" x14ac:dyDescent="0.25">
      <c r="B2269" s="10"/>
    </row>
    <row r="2270" spans="2:2" x14ac:dyDescent="0.25">
      <c r="B2270" s="10"/>
    </row>
    <row r="2271" spans="2:2" x14ac:dyDescent="0.25">
      <c r="B2271" s="10"/>
    </row>
    <row r="2272" spans="2:2" x14ac:dyDescent="0.25">
      <c r="B2272" s="10"/>
    </row>
    <row r="2273" spans="2:2" x14ac:dyDescent="0.25">
      <c r="B2273" s="10"/>
    </row>
    <row r="2274" spans="2:2" x14ac:dyDescent="0.25">
      <c r="B2274" s="10"/>
    </row>
    <row r="2275" spans="2:2" x14ac:dyDescent="0.25">
      <c r="B2275" s="10"/>
    </row>
    <row r="2276" spans="2:2" x14ac:dyDescent="0.25">
      <c r="B2276" s="10"/>
    </row>
    <row r="2277" spans="2:2" x14ac:dyDescent="0.25">
      <c r="B2277" s="10"/>
    </row>
    <row r="2278" spans="2:2" x14ac:dyDescent="0.25">
      <c r="B2278" s="10"/>
    </row>
    <row r="2279" spans="2:2" x14ac:dyDescent="0.25">
      <c r="B2279" s="10"/>
    </row>
    <row r="2280" spans="2:2" x14ac:dyDescent="0.25">
      <c r="B2280" s="10"/>
    </row>
    <row r="2281" spans="2:2" x14ac:dyDescent="0.25">
      <c r="B2281" s="10"/>
    </row>
    <row r="2282" spans="2:2" x14ac:dyDescent="0.25">
      <c r="B2282" s="10"/>
    </row>
    <row r="2283" spans="2:2" x14ac:dyDescent="0.25">
      <c r="B2283" s="10"/>
    </row>
    <row r="2284" spans="2:2" x14ac:dyDescent="0.25">
      <c r="B2284" s="10"/>
    </row>
    <row r="2285" spans="2:2" x14ac:dyDescent="0.25">
      <c r="B2285" s="10"/>
    </row>
    <row r="2286" spans="2:2" x14ac:dyDescent="0.25">
      <c r="B2286" s="10"/>
    </row>
    <row r="2287" spans="2:2" x14ac:dyDescent="0.25">
      <c r="B2287" s="10"/>
    </row>
    <row r="2288" spans="2:2" x14ac:dyDescent="0.25">
      <c r="B2288" s="10"/>
    </row>
    <row r="2289" spans="2:2" x14ac:dyDescent="0.25">
      <c r="B2289" s="10"/>
    </row>
    <row r="2290" spans="2:2" x14ac:dyDescent="0.25">
      <c r="B2290" s="10"/>
    </row>
    <row r="2291" spans="2:2" x14ac:dyDescent="0.25">
      <c r="B2291" s="10"/>
    </row>
    <row r="2292" spans="2:2" x14ac:dyDescent="0.25">
      <c r="B2292" s="10"/>
    </row>
    <row r="2293" spans="2:2" x14ac:dyDescent="0.25">
      <c r="B2293" s="10"/>
    </row>
    <row r="2294" spans="2:2" x14ac:dyDescent="0.25">
      <c r="B2294" s="10"/>
    </row>
    <row r="2295" spans="2:2" x14ac:dyDescent="0.25">
      <c r="B2295" s="10"/>
    </row>
    <row r="2296" spans="2:2" x14ac:dyDescent="0.25">
      <c r="B2296" s="10"/>
    </row>
    <row r="2297" spans="2:2" x14ac:dyDescent="0.25">
      <c r="B2297" s="10"/>
    </row>
    <row r="2298" spans="2:2" x14ac:dyDescent="0.25">
      <c r="B2298" s="10"/>
    </row>
    <row r="2299" spans="2:2" x14ac:dyDescent="0.25">
      <c r="B2299" s="10"/>
    </row>
    <row r="2300" spans="2:2" x14ac:dyDescent="0.25">
      <c r="B2300" s="10"/>
    </row>
    <row r="2301" spans="2:2" x14ac:dyDescent="0.25">
      <c r="B2301" s="10"/>
    </row>
    <row r="2302" spans="2:2" x14ac:dyDescent="0.25">
      <c r="B2302" s="10"/>
    </row>
    <row r="2303" spans="2:2" x14ac:dyDescent="0.25">
      <c r="B2303" s="10"/>
    </row>
    <row r="2304" spans="2:2" x14ac:dyDescent="0.25">
      <c r="B2304" s="10"/>
    </row>
    <row r="2305" spans="2:2" x14ac:dyDescent="0.25">
      <c r="B2305" s="10"/>
    </row>
    <row r="2306" spans="2:2" x14ac:dyDescent="0.25">
      <c r="B2306" s="10"/>
    </row>
    <row r="2307" spans="2:2" x14ac:dyDescent="0.25">
      <c r="B2307" s="10"/>
    </row>
    <row r="2308" spans="2:2" x14ac:dyDescent="0.25">
      <c r="B2308" s="10"/>
    </row>
    <row r="2309" spans="2:2" x14ac:dyDescent="0.25">
      <c r="B2309" s="10"/>
    </row>
    <row r="2310" spans="2:2" x14ac:dyDescent="0.25">
      <c r="B2310" s="10"/>
    </row>
    <row r="2311" spans="2:2" x14ac:dyDescent="0.25">
      <c r="B2311" s="10"/>
    </row>
    <row r="2312" spans="2:2" x14ac:dyDescent="0.25">
      <c r="B2312" s="10"/>
    </row>
    <row r="2313" spans="2:2" x14ac:dyDescent="0.25">
      <c r="B2313" s="10"/>
    </row>
    <row r="2314" spans="2:2" x14ac:dyDescent="0.25">
      <c r="B2314" s="10"/>
    </row>
    <row r="2315" spans="2:2" x14ac:dyDescent="0.25">
      <c r="B2315" s="10"/>
    </row>
    <row r="2316" spans="2:2" x14ac:dyDescent="0.25">
      <c r="B2316" s="10"/>
    </row>
    <row r="2317" spans="2:2" x14ac:dyDescent="0.25">
      <c r="B2317" s="10"/>
    </row>
    <row r="2318" spans="2:2" x14ac:dyDescent="0.25">
      <c r="B2318" s="10"/>
    </row>
    <row r="2319" spans="2:2" x14ac:dyDescent="0.25">
      <c r="B2319" s="10"/>
    </row>
    <row r="2320" spans="2:2" x14ac:dyDescent="0.25">
      <c r="B2320" s="10"/>
    </row>
    <row r="2321" spans="2:2" x14ac:dyDescent="0.25">
      <c r="B2321" s="10"/>
    </row>
    <row r="2322" spans="2:2" x14ac:dyDescent="0.25">
      <c r="B2322" s="10"/>
    </row>
    <row r="2323" spans="2:2" x14ac:dyDescent="0.25">
      <c r="B2323" s="10"/>
    </row>
    <row r="2324" spans="2:2" x14ac:dyDescent="0.25">
      <c r="B2324" s="10"/>
    </row>
    <row r="2325" spans="2:2" x14ac:dyDescent="0.25">
      <c r="B2325" s="10"/>
    </row>
    <row r="2326" spans="2:2" x14ac:dyDescent="0.25">
      <c r="B2326" s="10"/>
    </row>
    <row r="2327" spans="2:2" x14ac:dyDescent="0.25">
      <c r="B2327" s="10"/>
    </row>
    <row r="2328" spans="2:2" x14ac:dyDescent="0.25">
      <c r="B2328" s="10"/>
    </row>
    <row r="2329" spans="2:2" x14ac:dyDescent="0.25">
      <c r="B2329" s="10"/>
    </row>
    <row r="2330" spans="2:2" x14ac:dyDescent="0.25">
      <c r="B2330" s="10"/>
    </row>
    <row r="2331" spans="2:2" x14ac:dyDescent="0.25">
      <c r="B2331" s="10"/>
    </row>
    <row r="2332" spans="2:2" x14ac:dyDescent="0.25">
      <c r="B2332" s="10"/>
    </row>
    <row r="2333" spans="2:2" x14ac:dyDescent="0.25">
      <c r="B2333" s="10"/>
    </row>
    <row r="2334" spans="2:2" x14ac:dyDescent="0.25">
      <c r="B2334" s="10"/>
    </row>
    <row r="2335" spans="2:2" x14ac:dyDescent="0.25">
      <c r="B2335" s="10"/>
    </row>
    <row r="2336" spans="2:2" x14ac:dyDescent="0.25">
      <c r="B2336" s="10"/>
    </row>
    <row r="2337" spans="2:2" x14ac:dyDescent="0.25">
      <c r="B2337" s="10"/>
    </row>
    <row r="2338" spans="2:2" x14ac:dyDescent="0.25">
      <c r="B2338" s="10"/>
    </row>
    <row r="2339" spans="2:2" x14ac:dyDescent="0.25">
      <c r="B2339" s="10"/>
    </row>
    <row r="2340" spans="2:2" x14ac:dyDescent="0.25">
      <c r="B2340" s="10"/>
    </row>
    <row r="2341" spans="2:2" x14ac:dyDescent="0.25">
      <c r="B2341" s="10"/>
    </row>
    <row r="2342" spans="2:2" x14ac:dyDescent="0.25">
      <c r="B2342" s="10"/>
    </row>
    <row r="2343" spans="2:2" x14ac:dyDescent="0.25">
      <c r="B2343" s="10"/>
    </row>
    <row r="2344" spans="2:2" x14ac:dyDescent="0.25">
      <c r="B2344" s="10"/>
    </row>
    <row r="2345" spans="2:2" x14ac:dyDescent="0.25">
      <c r="B2345" s="10"/>
    </row>
    <row r="2346" spans="2:2" x14ac:dyDescent="0.25">
      <c r="B2346" s="10"/>
    </row>
    <row r="2347" spans="2:2" x14ac:dyDescent="0.25">
      <c r="B2347" s="10"/>
    </row>
    <row r="2348" spans="2:2" x14ac:dyDescent="0.25">
      <c r="B2348" s="10"/>
    </row>
    <row r="2349" spans="2:2" x14ac:dyDescent="0.25">
      <c r="B2349" s="10"/>
    </row>
    <row r="2350" spans="2:2" x14ac:dyDescent="0.25">
      <c r="B2350" s="10"/>
    </row>
    <row r="2351" spans="2:2" x14ac:dyDescent="0.25">
      <c r="B2351" s="10"/>
    </row>
    <row r="2352" spans="2:2" x14ac:dyDescent="0.25">
      <c r="B2352" s="10"/>
    </row>
    <row r="2353" spans="2:2" x14ac:dyDescent="0.25">
      <c r="B2353" s="10"/>
    </row>
    <row r="2354" spans="2:2" x14ac:dyDescent="0.25">
      <c r="B2354" s="10"/>
    </row>
    <row r="2355" spans="2:2" x14ac:dyDescent="0.25">
      <c r="B2355" s="10"/>
    </row>
    <row r="2356" spans="2:2" x14ac:dyDescent="0.25">
      <c r="B2356" s="10"/>
    </row>
    <row r="2357" spans="2:2" x14ac:dyDescent="0.25">
      <c r="B2357" s="10"/>
    </row>
    <row r="2358" spans="2:2" x14ac:dyDescent="0.25">
      <c r="B2358" s="10"/>
    </row>
    <row r="2359" spans="2:2" x14ac:dyDescent="0.25">
      <c r="B2359" s="10"/>
    </row>
    <row r="2360" spans="2:2" x14ac:dyDescent="0.25">
      <c r="B2360" s="10"/>
    </row>
    <row r="2361" spans="2:2" x14ac:dyDescent="0.25">
      <c r="B2361" s="10"/>
    </row>
    <row r="2362" spans="2:2" x14ac:dyDescent="0.25">
      <c r="B2362" s="10"/>
    </row>
    <row r="2363" spans="2:2" x14ac:dyDescent="0.25">
      <c r="B2363" s="10"/>
    </row>
    <row r="2364" spans="2:2" x14ac:dyDescent="0.25">
      <c r="B2364" s="10"/>
    </row>
    <row r="2365" spans="2:2" x14ac:dyDescent="0.25">
      <c r="B2365" s="10"/>
    </row>
    <row r="2366" spans="2:2" x14ac:dyDescent="0.25">
      <c r="B2366" s="10"/>
    </row>
    <row r="2367" spans="2:2" x14ac:dyDescent="0.25">
      <c r="B2367" s="10"/>
    </row>
    <row r="2368" spans="2:2" x14ac:dyDescent="0.25">
      <c r="B2368" s="10"/>
    </row>
    <row r="2369" spans="2:2" x14ac:dyDescent="0.25">
      <c r="B2369" s="10"/>
    </row>
    <row r="2370" spans="2:2" x14ac:dyDescent="0.25">
      <c r="B2370" s="10"/>
    </row>
    <row r="2371" spans="2:2" x14ac:dyDescent="0.25">
      <c r="B2371" s="10"/>
    </row>
    <row r="2372" spans="2:2" x14ac:dyDescent="0.25">
      <c r="B2372" s="10"/>
    </row>
    <row r="2373" spans="2:2" x14ac:dyDescent="0.25">
      <c r="B2373" s="10"/>
    </row>
    <row r="2374" spans="2:2" x14ac:dyDescent="0.25">
      <c r="B2374" s="10"/>
    </row>
    <row r="2375" spans="2:2" x14ac:dyDescent="0.25">
      <c r="B2375" s="10"/>
    </row>
    <row r="2376" spans="2:2" x14ac:dyDescent="0.25">
      <c r="B2376" s="10"/>
    </row>
    <row r="2377" spans="2:2" x14ac:dyDescent="0.25">
      <c r="B2377" s="10"/>
    </row>
    <row r="2378" spans="2:2" x14ac:dyDescent="0.25">
      <c r="B2378" s="10"/>
    </row>
    <row r="2379" spans="2:2" x14ac:dyDescent="0.25">
      <c r="B2379" s="10"/>
    </row>
    <row r="2380" spans="2:2" x14ac:dyDescent="0.25">
      <c r="B2380" s="10"/>
    </row>
    <row r="2381" spans="2:2" x14ac:dyDescent="0.25">
      <c r="B2381" s="10"/>
    </row>
    <row r="2382" spans="2:2" x14ac:dyDescent="0.25">
      <c r="B2382" s="10"/>
    </row>
    <row r="2383" spans="2:2" x14ac:dyDescent="0.25">
      <c r="B2383" s="10"/>
    </row>
    <row r="2384" spans="2:2" x14ac:dyDescent="0.25">
      <c r="B2384" s="10"/>
    </row>
    <row r="2385" spans="2:2" x14ac:dyDescent="0.25">
      <c r="B2385" s="10"/>
    </row>
    <row r="2386" spans="2:2" x14ac:dyDescent="0.25">
      <c r="B2386" s="10"/>
    </row>
    <row r="2387" spans="2:2" x14ac:dyDescent="0.25">
      <c r="B2387" s="10"/>
    </row>
    <row r="2388" spans="2:2" x14ac:dyDescent="0.25">
      <c r="B2388" s="10"/>
    </row>
    <row r="2389" spans="2:2" x14ac:dyDescent="0.25">
      <c r="B2389" s="10"/>
    </row>
    <row r="2390" spans="2:2" x14ac:dyDescent="0.25">
      <c r="B2390" s="10"/>
    </row>
    <row r="2391" spans="2:2" x14ac:dyDescent="0.25">
      <c r="B2391" s="10"/>
    </row>
    <row r="2392" spans="2:2" x14ac:dyDescent="0.25">
      <c r="B2392" s="10"/>
    </row>
    <row r="2393" spans="2:2" x14ac:dyDescent="0.25">
      <c r="B2393" s="10"/>
    </row>
    <row r="2394" spans="2:2" x14ac:dyDescent="0.25">
      <c r="B2394" s="10"/>
    </row>
    <row r="2395" spans="2:2" x14ac:dyDescent="0.25">
      <c r="B2395" s="10"/>
    </row>
    <row r="2396" spans="2:2" x14ac:dyDescent="0.25">
      <c r="B2396" s="10"/>
    </row>
    <row r="2397" spans="2:2" x14ac:dyDescent="0.25">
      <c r="B2397" s="10"/>
    </row>
    <row r="2398" spans="2:2" x14ac:dyDescent="0.25">
      <c r="B2398" s="10"/>
    </row>
    <row r="2399" spans="2:2" x14ac:dyDescent="0.25">
      <c r="B2399" s="10"/>
    </row>
    <row r="2400" spans="2:2" x14ac:dyDescent="0.25">
      <c r="B2400" s="10"/>
    </row>
    <row r="2401" spans="2:2" x14ac:dyDescent="0.25">
      <c r="B2401" s="10"/>
    </row>
    <row r="2402" spans="2:2" x14ac:dyDescent="0.25">
      <c r="B2402" s="10"/>
    </row>
    <row r="2403" spans="2:2" x14ac:dyDescent="0.25">
      <c r="B2403" s="10"/>
    </row>
    <row r="2404" spans="2:2" x14ac:dyDescent="0.25">
      <c r="B2404" s="10"/>
    </row>
    <row r="2405" spans="2:2" x14ac:dyDescent="0.25">
      <c r="B2405" s="10"/>
    </row>
    <row r="2406" spans="2:2" x14ac:dyDescent="0.25">
      <c r="B2406" s="10"/>
    </row>
    <row r="2407" spans="2:2" x14ac:dyDescent="0.25">
      <c r="B2407" s="10"/>
    </row>
    <row r="2408" spans="2:2" x14ac:dyDescent="0.25">
      <c r="B2408" s="10"/>
    </row>
    <row r="2409" spans="2:2" x14ac:dyDescent="0.25">
      <c r="B2409" s="10"/>
    </row>
    <row r="2410" spans="2:2" x14ac:dyDescent="0.25">
      <c r="B2410" s="10"/>
    </row>
    <row r="2411" spans="2:2" x14ac:dyDescent="0.25">
      <c r="B2411" s="10"/>
    </row>
    <row r="2412" spans="2:2" x14ac:dyDescent="0.25">
      <c r="B2412" s="10"/>
    </row>
    <row r="2413" spans="2:2" x14ac:dyDescent="0.25">
      <c r="B2413" s="10"/>
    </row>
    <row r="2414" spans="2:2" x14ac:dyDescent="0.25">
      <c r="B2414" s="10"/>
    </row>
    <row r="2415" spans="2:2" x14ac:dyDescent="0.25">
      <c r="B2415" s="10"/>
    </row>
    <row r="2416" spans="2:2" x14ac:dyDescent="0.25">
      <c r="B2416" s="10"/>
    </row>
    <row r="2417" spans="2:2" x14ac:dyDescent="0.25">
      <c r="B2417" s="10"/>
    </row>
    <row r="2418" spans="2:2" x14ac:dyDescent="0.25">
      <c r="B2418" s="10"/>
    </row>
    <row r="2419" spans="2:2" x14ac:dyDescent="0.25">
      <c r="B2419" s="10"/>
    </row>
    <row r="2420" spans="2:2" x14ac:dyDescent="0.25">
      <c r="B2420" s="10"/>
    </row>
    <row r="2421" spans="2:2" x14ac:dyDescent="0.25">
      <c r="B2421" s="10"/>
    </row>
    <row r="2422" spans="2:2" x14ac:dyDescent="0.25">
      <c r="B2422" s="10"/>
    </row>
    <row r="2423" spans="2:2" x14ac:dyDescent="0.25">
      <c r="B2423" s="10"/>
    </row>
    <row r="2424" spans="2:2" x14ac:dyDescent="0.25">
      <c r="B2424" s="10"/>
    </row>
    <row r="2425" spans="2:2" x14ac:dyDescent="0.25">
      <c r="B2425" s="10"/>
    </row>
    <row r="2426" spans="2:2" x14ac:dyDescent="0.25">
      <c r="B2426" s="10"/>
    </row>
    <row r="2427" spans="2:2" x14ac:dyDescent="0.25">
      <c r="B2427" s="10"/>
    </row>
    <row r="2428" spans="2:2" x14ac:dyDescent="0.25">
      <c r="B2428" s="10"/>
    </row>
    <row r="2429" spans="2:2" x14ac:dyDescent="0.25">
      <c r="B2429" s="10"/>
    </row>
    <row r="2430" spans="2:2" x14ac:dyDescent="0.25">
      <c r="B2430" s="10"/>
    </row>
    <row r="2431" spans="2:2" x14ac:dyDescent="0.25">
      <c r="B2431" s="10"/>
    </row>
    <row r="2432" spans="2:2" x14ac:dyDescent="0.25">
      <c r="B2432" s="10"/>
    </row>
    <row r="2433" spans="2:2" x14ac:dyDescent="0.25">
      <c r="B2433" s="10"/>
    </row>
    <row r="2434" spans="2:2" x14ac:dyDescent="0.25">
      <c r="B2434" s="10"/>
    </row>
    <row r="2435" spans="2:2" x14ac:dyDescent="0.25">
      <c r="B2435" s="10"/>
    </row>
    <row r="2436" spans="2:2" x14ac:dyDescent="0.25">
      <c r="B2436" s="10"/>
    </row>
    <row r="2437" spans="2:2" x14ac:dyDescent="0.25">
      <c r="B2437" s="10"/>
    </row>
    <row r="2438" spans="2:2" x14ac:dyDescent="0.25">
      <c r="B2438" s="10"/>
    </row>
    <row r="2439" spans="2:2" x14ac:dyDescent="0.25">
      <c r="B2439" s="10"/>
    </row>
    <row r="2440" spans="2:2" x14ac:dyDescent="0.25">
      <c r="B2440" s="10"/>
    </row>
    <row r="2441" spans="2:2" x14ac:dyDescent="0.25">
      <c r="B2441" s="10"/>
    </row>
    <row r="2442" spans="2:2" x14ac:dyDescent="0.25">
      <c r="B2442" s="10"/>
    </row>
    <row r="2443" spans="2:2" x14ac:dyDescent="0.25">
      <c r="B2443" s="10"/>
    </row>
    <row r="2444" spans="2:2" x14ac:dyDescent="0.25">
      <c r="B2444" s="10"/>
    </row>
    <row r="2445" spans="2:2" x14ac:dyDescent="0.25">
      <c r="B2445" s="10"/>
    </row>
    <row r="2446" spans="2:2" x14ac:dyDescent="0.25">
      <c r="B2446" s="10"/>
    </row>
    <row r="2447" spans="2:2" x14ac:dyDescent="0.25">
      <c r="B2447" s="10"/>
    </row>
    <row r="2448" spans="2:2" x14ac:dyDescent="0.25">
      <c r="B2448" s="10"/>
    </row>
    <row r="2449" spans="2:2" x14ac:dyDescent="0.25">
      <c r="B2449" s="10"/>
    </row>
    <row r="2450" spans="2:2" x14ac:dyDescent="0.25">
      <c r="B2450" s="10"/>
    </row>
    <row r="2451" spans="2:2" x14ac:dyDescent="0.25">
      <c r="B2451" s="10"/>
    </row>
    <row r="2452" spans="2:2" x14ac:dyDescent="0.25">
      <c r="B2452" s="10"/>
    </row>
    <row r="2453" spans="2:2" x14ac:dyDescent="0.25">
      <c r="B2453" s="10"/>
    </row>
    <row r="2454" spans="2:2" x14ac:dyDescent="0.25">
      <c r="B2454" s="10"/>
    </row>
    <row r="2455" spans="2:2" x14ac:dyDescent="0.25">
      <c r="B2455" s="10"/>
    </row>
    <row r="2456" spans="2:2" x14ac:dyDescent="0.25">
      <c r="B2456" s="10"/>
    </row>
    <row r="2457" spans="2:2" x14ac:dyDescent="0.25">
      <c r="B2457" s="10"/>
    </row>
    <row r="2458" spans="2:2" x14ac:dyDescent="0.25">
      <c r="B2458" s="10"/>
    </row>
    <row r="2459" spans="2:2" x14ac:dyDescent="0.25">
      <c r="B2459" s="10"/>
    </row>
    <row r="2460" spans="2:2" x14ac:dyDescent="0.25">
      <c r="B2460" s="10"/>
    </row>
    <row r="2461" spans="2:2" x14ac:dyDescent="0.25">
      <c r="B2461" s="10"/>
    </row>
    <row r="2462" spans="2:2" x14ac:dyDescent="0.25">
      <c r="B2462" s="10"/>
    </row>
    <row r="2463" spans="2:2" x14ac:dyDescent="0.25">
      <c r="B2463" s="10"/>
    </row>
    <row r="2464" spans="2:2" x14ac:dyDescent="0.25">
      <c r="B2464" s="10"/>
    </row>
    <row r="2465" spans="2:2" x14ac:dyDescent="0.25">
      <c r="B2465" s="10"/>
    </row>
    <row r="2466" spans="2:2" x14ac:dyDescent="0.25">
      <c r="B2466" s="10"/>
    </row>
    <row r="2467" spans="2:2" x14ac:dyDescent="0.25">
      <c r="B2467" s="10"/>
    </row>
    <row r="2468" spans="2:2" x14ac:dyDescent="0.25">
      <c r="B2468" s="10"/>
    </row>
    <row r="2469" spans="2:2" x14ac:dyDescent="0.25">
      <c r="B2469" s="10"/>
    </row>
    <row r="2470" spans="2:2" x14ac:dyDescent="0.25">
      <c r="B2470" s="10"/>
    </row>
    <row r="2471" spans="2:2" x14ac:dyDescent="0.25">
      <c r="B2471" s="10"/>
    </row>
    <row r="2472" spans="2:2" x14ac:dyDescent="0.25">
      <c r="B2472" s="10"/>
    </row>
    <row r="2473" spans="2:2" x14ac:dyDescent="0.25">
      <c r="B2473" s="10"/>
    </row>
    <row r="2474" spans="2:2" x14ac:dyDescent="0.25">
      <c r="B2474" s="10"/>
    </row>
    <row r="2475" spans="2:2" x14ac:dyDescent="0.25">
      <c r="B2475" s="10"/>
    </row>
    <row r="2476" spans="2:2" x14ac:dyDescent="0.25">
      <c r="B2476" s="10"/>
    </row>
    <row r="2477" spans="2:2" x14ac:dyDescent="0.25">
      <c r="B2477" s="10"/>
    </row>
    <row r="2478" spans="2:2" x14ac:dyDescent="0.25">
      <c r="B2478" s="10"/>
    </row>
    <row r="2479" spans="2:2" x14ac:dyDescent="0.25">
      <c r="B2479" s="10"/>
    </row>
    <row r="2480" spans="2:2" x14ac:dyDescent="0.25">
      <c r="B2480" s="10"/>
    </row>
    <row r="2481" spans="2:2" x14ac:dyDescent="0.25">
      <c r="B2481" s="10"/>
    </row>
    <row r="2482" spans="2:2" x14ac:dyDescent="0.25">
      <c r="B2482" s="10"/>
    </row>
    <row r="2483" spans="2:2" x14ac:dyDescent="0.25">
      <c r="B2483" s="10"/>
    </row>
    <row r="2484" spans="2:2" x14ac:dyDescent="0.25">
      <c r="B2484" s="10"/>
    </row>
    <row r="2485" spans="2:2" x14ac:dyDescent="0.25">
      <c r="B2485" s="10"/>
    </row>
    <row r="2486" spans="2:2" x14ac:dyDescent="0.25">
      <c r="B2486" s="10"/>
    </row>
    <row r="2487" spans="2:2" x14ac:dyDescent="0.25">
      <c r="B2487" s="10"/>
    </row>
    <row r="2488" spans="2:2" x14ac:dyDescent="0.25">
      <c r="B2488" s="10"/>
    </row>
    <row r="2489" spans="2:2" x14ac:dyDescent="0.25">
      <c r="B2489" s="10"/>
    </row>
    <row r="2490" spans="2:2" x14ac:dyDescent="0.25">
      <c r="B2490" s="10"/>
    </row>
    <row r="2491" spans="2:2" x14ac:dyDescent="0.25">
      <c r="B2491" s="10"/>
    </row>
    <row r="2492" spans="2:2" x14ac:dyDescent="0.25">
      <c r="B2492" s="10"/>
    </row>
    <row r="2493" spans="2:2" x14ac:dyDescent="0.25">
      <c r="B2493" s="10"/>
    </row>
    <row r="2494" spans="2:2" x14ac:dyDescent="0.25">
      <c r="B2494" s="10"/>
    </row>
    <row r="2495" spans="2:2" x14ac:dyDescent="0.25">
      <c r="B2495" s="10"/>
    </row>
    <row r="2496" spans="2:2" x14ac:dyDescent="0.25">
      <c r="B2496" s="10"/>
    </row>
    <row r="2497" spans="2:2" x14ac:dyDescent="0.25">
      <c r="B2497" s="10"/>
    </row>
    <row r="2498" spans="2:2" x14ac:dyDescent="0.25">
      <c r="B2498" s="10"/>
    </row>
    <row r="2499" spans="2:2" x14ac:dyDescent="0.25">
      <c r="B2499" s="10"/>
    </row>
    <row r="2500" spans="2:2" x14ac:dyDescent="0.25">
      <c r="B2500" s="10"/>
    </row>
    <row r="2501" spans="2:2" x14ac:dyDescent="0.25">
      <c r="B2501" s="10"/>
    </row>
    <row r="2502" spans="2:2" x14ac:dyDescent="0.25">
      <c r="B2502" s="10"/>
    </row>
    <row r="2503" spans="2:2" x14ac:dyDescent="0.25">
      <c r="B2503" s="10"/>
    </row>
    <row r="2504" spans="2:2" x14ac:dyDescent="0.25">
      <c r="B2504" s="10"/>
    </row>
    <row r="2505" spans="2:2" x14ac:dyDescent="0.25">
      <c r="B2505" s="10"/>
    </row>
    <row r="2506" spans="2:2" x14ac:dyDescent="0.25">
      <c r="B2506" s="10"/>
    </row>
    <row r="2507" spans="2:2" x14ac:dyDescent="0.25">
      <c r="B2507" s="10"/>
    </row>
    <row r="2508" spans="2:2" x14ac:dyDescent="0.25">
      <c r="B2508" s="10"/>
    </row>
    <row r="2509" spans="2:2" x14ac:dyDescent="0.25">
      <c r="B2509" s="10"/>
    </row>
    <row r="2510" spans="2:2" x14ac:dyDescent="0.25">
      <c r="B2510" s="10"/>
    </row>
    <row r="2511" spans="2:2" x14ac:dyDescent="0.25">
      <c r="B2511" s="10"/>
    </row>
    <row r="2512" spans="2:2" x14ac:dyDescent="0.25">
      <c r="B2512" s="10"/>
    </row>
    <row r="2513" spans="2:2" x14ac:dyDescent="0.25">
      <c r="B2513" s="10"/>
    </row>
    <row r="2514" spans="2:2" x14ac:dyDescent="0.25">
      <c r="B2514" s="10"/>
    </row>
    <row r="2515" spans="2:2" x14ac:dyDescent="0.25">
      <c r="B2515" s="10"/>
    </row>
    <row r="2516" spans="2:2" x14ac:dyDescent="0.25">
      <c r="B2516" s="10"/>
    </row>
    <row r="2517" spans="2:2" x14ac:dyDescent="0.25">
      <c r="B2517" s="10"/>
    </row>
    <row r="2518" spans="2:2" x14ac:dyDescent="0.25">
      <c r="B2518" s="10"/>
    </row>
    <row r="2519" spans="2:2" x14ac:dyDescent="0.25">
      <c r="B2519" s="10"/>
    </row>
    <row r="2520" spans="2:2" x14ac:dyDescent="0.25">
      <c r="B2520" s="10"/>
    </row>
    <row r="2521" spans="2:2" x14ac:dyDescent="0.25">
      <c r="B2521" s="10"/>
    </row>
    <row r="2522" spans="2:2" x14ac:dyDescent="0.25">
      <c r="B2522" s="10"/>
    </row>
    <row r="2523" spans="2:2" x14ac:dyDescent="0.25">
      <c r="B2523" s="10"/>
    </row>
    <row r="2524" spans="2:2" x14ac:dyDescent="0.25">
      <c r="B2524" s="10"/>
    </row>
    <row r="2525" spans="2:2" x14ac:dyDescent="0.25">
      <c r="B2525" s="10"/>
    </row>
    <row r="2526" spans="2:2" x14ac:dyDescent="0.25">
      <c r="B2526" s="10"/>
    </row>
    <row r="2527" spans="2:2" x14ac:dyDescent="0.25">
      <c r="B2527" s="10"/>
    </row>
    <row r="2528" spans="2:2" x14ac:dyDescent="0.25">
      <c r="B2528" s="10"/>
    </row>
    <row r="2529" spans="2:2" x14ac:dyDescent="0.25">
      <c r="B2529" s="10"/>
    </row>
    <row r="2530" spans="2:2" x14ac:dyDescent="0.25">
      <c r="B2530" s="10"/>
    </row>
    <row r="2531" spans="2:2" x14ac:dyDescent="0.25">
      <c r="B2531" s="10"/>
    </row>
    <row r="2532" spans="2:2" x14ac:dyDescent="0.25">
      <c r="B2532" s="10"/>
    </row>
    <row r="2533" spans="2:2" x14ac:dyDescent="0.25">
      <c r="B2533" s="10"/>
    </row>
    <row r="2534" spans="2:2" x14ac:dyDescent="0.25">
      <c r="B2534" s="10"/>
    </row>
    <row r="2535" spans="2:2" x14ac:dyDescent="0.25">
      <c r="B2535" s="10"/>
    </row>
    <row r="2536" spans="2:2" x14ac:dyDescent="0.25">
      <c r="B2536" s="10"/>
    </row>
    <row r="2537" spans="2:2" x14ac:dyDescent="0.25">
      <c r="B2537" s="10"/>
    </row>
    <row r="2538" spans="2:2" x14ac:dyDescent="0.25">
      <c r="B2538" s="10"/>
    </row>
    <row r="2539" spans="2:2" x14ac:dyDescent="0.25">
      <c r="B2539" s="10"/>
    </row>
    <row r="2540" spans="2:2" x14ac:dyDescent="0.25">
      <c r="B2540" s="10"/>
    </row>
    <row r="2541" spans="2:2" x14ac:dyDescent="0.25">
      <c r="B2541" s="10"/>
    </row>
    <row r="2542" spans="2:2" x14ac:dyDescent="0.25">
      <c r="B2542" s="10"/>
    </row>
    <row r="2543" spans="2:2" x14ac:dyDescent="0.25">
      <c r="B2543" s="10"/>
    </row>
    <row r="2544" spans="2:2" x14ac:dyDescent="0.25">
      <c r="B2544" s="10"/>
    </row>
    <row r="2545" spans="2:2" x14ac:dyDescent="0.25">
      <c r="B2545" s="10"/>
    </row>
    <row r="2546" spans="2:2" x14ac:dyDescent="0.25">
      <c r="B2546" s="10"/>
    </row>
    <row r="2547" spans="2:2" x14ac:dyDescent="0.25">
      <c r="B2547" s="10"/>
    </row>
    <row r="2548" spans="2:2" x14ac:dyDescent="0.25">
      <c r="B2548" s="10"/>
    </row>
    <row r="2549" spans="2:2" x14ac:dyDescent="0.25">
      <c r="B2549" s="10"/>
    </row>
    <row r="2550" spans="2:2" x14ac:dyDescent="0.25">
      <c r="B2550" s="10"/>
    </row>
    <row r="2551" spans="2:2" x14ac:dyDescent="0.25">
      <c r="B2551" s="10"/>
    </row>
    <row r="2552" spans="2:2" x14ac:dyDescent="0.25">
      <c r="B2552" s="10"/>
    </row>
    <row r="2553" spans="2:2" x14ac:dyDescent="0.25">
      <c r="B2553" s="10"/>
    </row>
    <row r="2554" spans="2:2" x14ac:dyDescent="0.25">
      <c r="B2554" s="10"/>
    </row>
    <row r="2555" spans="2:2" x14ac:dyDescent="0.25">
      <c r="B2555" s="10"/>
    </row>
    <row r="2556" spans="2:2" x14ac:dyDescent="0.25">
      <c r="B2556" s="10"/>
    </row>
    <row r="2557" spans="2:2" x14ac:dyDescent="0.25">
      <c r="B2557" s="10"/>
    </row>
    <row r="2558" spans="2:2" x14ac:dyDescent="0.25">
      <c r="B2558" s="10"/>
    </row>
    <row r="2559" spans="2:2" x14ac:dyDescent="0.25">
      <c r="B2559" s="10"/>
    </row>
    <row r="2560" spans="2:2" x14ac:dyDescent="0.25">
      <c r="B2560" s="10"/>
    </row>
    <row r="2561" spans="2:2" x14ac:dyDescent="0.25">
      <c r="B2561" s="10"/>
    </row>
    <row r="2562" spans="2:2" x14ac:dyDescent="0.25">
      <c r="B2562" s="10"/>
    </row>
    <row r="2563" spans="2:2" x14ac:dyDescent="0.25">
      <c r="B2563" s="10"/>
    </row>
    <row r="2564" spans="2:2" x14ac:dyDescent="0.25">
      <c r="B2564" s="10"/>
    </row>
    <row r="2565" spans="2:2" x14ac:dyDescent="0.25">
      <c r="B2565" s="10"/>
    </row>
    <row r="2566" spans="2:2" x14ac:dyDescent="0.25">
      <c r="B2566" s="10"/>
    </row>
    <row r="2567" spans="2:2" x14ac:dyDescent="0.25">
      <c r="B2567" s="10"/>
    </row>
    <row r="2568" spans="2:2" x14ac:dyDescent="0.25">
      <c r="B2568" s="10"/>
    </row>
    <row r="2569" spans="2:2" x14ac:dyDescent="0.25">
      <c r="B2569" s="10"/>
    </row>
    <row r="2570" spans="2:2" x14ac:dyDescent="0.25">
      <c r="B2570" s="10"/>
    </row>
    <row r="2571" spans="2:2" x14ac:dyDescent="0.25">
      <c r="B2571" s="10"/>
    </row>
    <row r="2572" spans="2:2" x14ac:dyDescent="0.25">
      <c r="B2572" s="10"/>
    </row>
    <row r="2573" spans="2:2" x14ac:dyDescent="0.25">
      <c r="B2573" s="10"/>
    </row>
    <row r="2574" spans="2:2" x14ac:dyDescent="0.25">
      <c r="B2574" s="10"/>
    </row>
    <row r="2575" spans="2:2" x14ac:dyDescent="0.25">
      <c r="B2575" s="10"/>
    </row>
    <row r="2576" spans="2:2" x14ac:dyDescent="0.25">
      <c r="B2576" s="10"/>
    </row>
    <row r="2577" spans="2:2" x14ac:dyDescent="0.25">
      <c r="B2577" s="10"/>
    </row>
    <row r="2578" spans="2:2" x14ac:dyDescent="0.25">
      <c r="B2578" s="10"/>
    </row>
    <row r="2579" spans="2:2" x14ac:dyDescent="0.25">
      <c r="B2579" s="10"/>
    </row>
    <row r="2580" spans="2:2" x14ac:dyDescent="0.25">
      <c r="B2580" s="10"/>
    </row>
    <row r="2581" spans="2:2" x14ac:dyDescent="0.25">
      <c r="B2581" s="10"/>
    </row>
    <row r="2582" spans="2:2" x14ac:dyDescent="0.25">
      <c r="B2582" s="10"/>
    </row>
    <row r="2583" spans="2:2" x14ac:dyDescent="0.25">
      <c r="B2583" s="10"/>
    </row>
    <row r="2584" spans="2:2" x14ac:dyDescent="0.25">
      <c r="B2584" s="10"/>
    </row>
    <row r="2585" spans="2:2" x14ac:dyDescent="0.25">
      <c r="B2585" s="10"/>
    </row>
    <row r="2586" spans="2:2" x14ac:dyDescent="0.25">
      <c r="B2586" s="10"/>
    </row>
    <row r="2587" spans="2:2" x14ac:dyDescent="0.25">
      <c r="B2587" s="10"/>
    </row>
    <row r="2588" spans="2:2" x14ac:dyDescent="0.25">
      <c r="B2588" s="10"/>
    </row>
    <row r="2589" spans="2:2" x14ac:dyDescent="0.25">
      <c r="B2589" s="10"/>
    </row>
    <row r="2590" spans="2:2" x14ac:dyDescent="0.25">
      <c r="B2590" s="10"/>
    </row>
    <row r="2591" spans="2:2" x14ac:dyDescent="0.25">
      <c r="B2591" s="10"/>
    </row>
    <row r="2592" spans="2:2" x14ac:dyDescent="0.25">
      <c r="B2592" s="10"/>
    </row>
    <row r="2593" spans="2:2" x14ac:dyDescent="0.25">
      <c r="B2593" s="10"/>
    </row>
    <row r="2594" spans="2:2" x14ac:dyDescent="0.25">
      <c r="B2594" s="10"/>
    </row>
    <row r="2595" spans="2:2" x14ac:dyDescent="0.25">
      <c r="B2595" s="10"/>
    </row>
    <row r="2596" spans="2:2" x14ac:dyDescent="0.25">
      <c r="B2596" s="10"/>
    </row>
    <row r="2597" spans="2:2" x14ac:dyDescent="0.25">
      <c r="B2597" s="10"/>
    </row>
    <row r="2598" spans="2:2" x14ac:dyDescent="0.25">
      <c r="B2598" s="10"/>
    </row>
    <row r="2599" spans="2:2" x14ac:dyDescent="0.25">
      <c r="B2599" s="10"/>
    </row>
    <row r="2600" spans="2:2" x14ac:dyDescent="0.25">
      <c r="B2600" s="10"/>
    </row>
    <row r="2601" spans="2:2" x14ac:dyDescent="0.25">
      <c r="B2601" s="10"/>
    </row>
    <row r="2602" spans="2:2" x14ac:dyDescent="0.25">
      <c r="B2602" s="10"/>
    </row>
    <row r="2603" spans="2:2" x14ac:dyDescent="0.25">
      <c r="B2603" s="10"/>
    </row>
    <row r="2604" spans="2:2" x14ac:dyDescent="0.25">
      <c r="B2604" s="10"/>
    </row>
    <row r="2605" spans="2:2" x14ac:dyDescent="0.25">
      <c r="B2605" s="10"/>
    </row>
    <row r="2606" spans="2:2" x14ac:dyDescent="0.25">
      <c r="B2606" s="10"/>
    </row>
    <row r="2607" spans="2:2" x14ac:dyDescent="0.25">
      <c r="B2607" s="10"/>
    </row>
    <row r="2608" spans="2:2" x14ac:dyDescent="0.25">
      <c r="B2608" s="10"/>
    </row>
    <row r="2609" spans="2:2" x14ac:dyDescent="0.25">
      <c r="B2609" s="10"/>
    </row>
    <row r="2610" spans="2:2" x14ac:dyDescent="0.25">
      <c r="B2610" s="10"/>
    </row>
    <row r="2611" spans="2:2" x14ac:dyDescent="0.25">
      <c r="B2611" s="10"/>
    </row>
    <row r="2612" spans="2:2" x14ac:dyDescent="0.25">
      <c r="B2612" s="10"/>
    </row>
    <row r="2613" spans="2:2" x14ac:dyDescent="0.25">
      <c r="B2613" s="10"/>
    </row>
    <row r="2614" spans="2:2" x14ac:dyDescent="0.25">
      <c r="B2614" s="10"/>
    </row>
    <row r="2615" spans="2:2" x14ac:dyDescent="0.25">
      <c r="B2615" s="10"/>
    </row>
    <row r="2616" spans="2:2" x14ac:dyDescent="0.25">
      <c r="B2616" s="10"/>
    </row>
    <row r="2617" spans="2:2" x14ac:dyDescent="0.25">
      <c r="B2617" s="10"/>
    </row>
    <row r="2618" spans="2:2" x14ac:dyDescent="0.25">
      <c r="B2618" s="10"/>
    </row>
    <row r="2619" spans="2:2" x14ac:dyDescent="0.25">
      <c r="B2619" s="10"/>
    </row>
    <row r="2620" spans="2:2" x14ac:dyDescent="0.25">
      <c r="B2620" s="10"/>
    </row>
    <row r="2621" spans="2:2" x14ac:dyDescent="0.25">
      <c r="B2621" s="10"/>
    </row>
    <row r="2622" spans="2:2" x14ac:dyDescent="0.25">
      <c r="B2622" s="10"/>
    </row>
    <row r="2623" spans="2:2" x14ac:dyDescent="0.25">
      <c r="B2623" s="10"/>
    </row>
    <row r="2624" spans="2:2" x14ac:dyDescent="0.25">
      <c r="B2624" s="10"/>
    </row>
    <row r="2625" spans="2:2" x14ac:dyDescent="0.25">
      <c r="B2625" s="10"/>
    </row>
    <row r="2626" spans="2:2" x14ac:dyDescent="0.25">
      <c r="B2626" s="10"/>
    </row>
    <row r="2627" spans="2:2" x14ac:dyDescent="0.25">
      <c r="B2627" s="10"/>
    </row>
    <row r="2628" spans="2:2" x14ac:dyDescent="0.25">
      <c r="B2628" s="10"/>
    </row>
    <row r="2629" spans="2:2" x14ac:dyDescent="0.25">
      <c r="B2629" s="10"/>
    </row>
    <row r="2630" spans="2:2" x14ac:dyDescent="0.25">
      <c r="B2630" s="10"/>
    </row>
    <row r="2631" spans="2:2" x14ac:dyDescent="0.25">
      <c r="B2631" s="10"/>
    </row>
    <row r="2632" spans="2:2" x14ac:dyDescent="0.25">
      <c r="B2632" s="10"/>
    </row>
    <row r="2633" spans="2:2" x14ac:dyDescent="0.25">
      <c r="B2633" s="10"/>
    </row>
    <row r="2634" spans="2:2" x14ac:dyDescent="0.25">
      <c r="B2634" s="10"/>
    </row>
    <row r="2635" spans="2:2" x14ac:dyDescent="0.25">
      <c r="B2635" s="10"/>
    </row>
    <row r="2636" spans="2:2" x14ac:dyDescent="0.25">
      <c r="B2636" s="10"/>
    </row>
    <row r="2637" spans="2:2" x14ac:dyDescent="0.25">
      <c r="B2637" s="10"/>
    </row>
    <row r="2638" spans="2:2" x14ac:dyDescent="0.25">
      <c r="B2638" s="10"/>
    </row>
    <row r="2639" spans="2:2" x14ac:dyDescent="0.25">
      <c r="B2639" s="10"/>
    </row>
    <row r="2640" spans="2:2" x14ac:dyDescent="0.25">
      <c r="B2640" s="10"/>
    </row>
    <row r="2641" spans="2:2" x14ac:dyDescent="0.25">
      <c r="B2641" s="10"/>
    </row>
    <row r="2642" spans="2:2" x14ac:dyDescent="0.25">
      <c r="B2642" s="10"/>
    </row>
    <row r="2643" spans="2:2" x14ac:dyDescent="0.25">
      <c r="B2643" s="10"/>
    </row>
    <row r="2644" spans="2:2" x14ac:dyDescent="0.25">
      <c r="B2644" s="10"/>
    </row>
    <row r="2645" spans="2:2" x14ac:dyDescent="0.25">
      <c r="B2645" s="10"/>
    </row>
    <row r="2646" spans="2:2" x14ac:dyDescent="0.25">
      <c r="B2646" s="10"/>
    </row>
    <row r="2647" spans="2:2" x14ac:dyDescent="0.25">
      <c r="B2647" s="10"/>
    </row>
    <row r="2648" spans="2:2" x14ac:dyDescent="0.25">
      <c r="B2648" s="10"/>
    </row>
    <row r="2649" spans="2:2" x14ac:dyDescent="0.25">
      <c r="B2649" s="10"/>
    </row>
    <row r="2650" spans="2:2" x14ac:dyDescent="0.25">
      <c r="B2650" s="10"/>
    </row>
    <row r="2651" spans="2:2" x14ac:dyDescent="0.25">
      <c r="B2651" s="10"/>
    </row>
    <row r="2652" spans="2:2" x14ac:dyDescent="0.25">
      <c r="B2652" s="10"/>
    </row>
    <row r="2653" spans="2:2" x14ac:dyDescent="0.25">
      <c r="B2653" s="10"/>
    </row>
    <row r="2654" spans="2:2" x14ac:dyDescent="0.25">
      <c r="B2654" s="10"/>
    </row>
    <row r="2655" spans="2:2" x14ac:dyDescent="0.25">
      <c r="B2655" s="10"/>
    </row>
    <row r="2656" spans="2:2" x14ac:dyDescent="0.25">
      <c r="B2656" s="10"/>
    </row>
    <row r="2657" spans="2:2" x14ac:dyDescent="0.25">
      <c r="B2657" s="10"/>
    </row>
    <row r="2658" spans="2:2" x14ac:dyDescent="0.25">
      <c r="B2658" s="10"/>
    </row>
    <row r="2659" spans="2:2" x14ac:dyDescent="0.25">
      <c r="B2659" s="10"/>
    </row>
    <row r="2660" spans="2:2" x14ac:dyDescent="0.25">
      <c r="B2660" s="10"/>
    </row>
    <row r="2661" spans="2:2" x14ac:dyDescent="0.25">
      <c r="B2661" s="10"/>
    </row>
    <row r="2662" spans="2:2" x14ac:dyDescent="0.25">
      <c r="B2662" s="10"/>
    </row>
    <row r="2663" spans="2:2" x14ac:dyDescent="0.25">
      <c r="B2663" s="10"/>
    </row>
    <row r="2664" spans="2:2" x14ac:dyDescent="0.25">
      <c r="B2664" s="10"/>
    </row>
    <row r="2665" spans="2:2" x14ac:dyDescent="0.25">
      <c r="B2665" s="10"/>
    </row>
    <row r="2666" spans="2:2" x14ac:dyDescent="0.25">
      <c r="B2666" s="10"/>
    </row>
    <row r="2667" spans="2:2" x14ac:dyDescent="0.25">
      <c r="B2667" s="10"/>
    </row>
    <row r="2668" spans="2:2" x14ac:dyDescent="0.25">
      <c r="B2668" s="10"/>
    </row>
    <row r="2669" spans="2:2" x14ac:dyDescent="0.25">
      <c r="B2669" s="10"/>
    </row>
    <row r="2670" spans="2:2" x14ac:dyDescent="0.25">
      <c r="B2670" s="10"/>
    </row>
    <row r="2671" spans="2:2" x14ac:dyDescent="0.25">
      <c r="B2671" s="10"/>
    </row>
    <row r="2672" spans="2:2" x14ac:dyDescent="0.25">
      <c r="B2672" s="10"/>
    </row>
    <row r="2673" spans="2:2" x14ac:dyDescent="0.25">
      <c r="B2673" s="10"/>
    </row>
    <row r="2674" spans="2:2" x14ac:dyDescent="0.25">
      <c r="B2674" s="10"/>
    </row>
    <row r="2675" spans="2:2" x14ac:dyDescent="0.25">
      <c r="B2675" s="10"/>
    </row>
    <row r="2676" spans="2:2" x14ac:dyDescent="0.25">
      <c r="B2676" s="10"/>
    </row>
    <row r="2677" spans="2:2" x14ac:dyDescent="0.25">
      <c r="B2677" s="10"/>
    </row>
    <row r="2678" spans="2:2" x14ac:dyDescent="0.25">
      <c r="B2678" s="10"/>
    </row>
    <row r="2679" spans="2:2" x14ac:dyDescent="0.25">
      <c r="B2679" s="10"/>
    </row>
    <row r="2680" spans="2:2" x14ac:dyDescent="0.25">
      <c r="B2680" s="10"/>
    </row>
    <row r="2681" spans="2:2" x14ac:dyDescent="0.25">
      <c r="B2681" s="10"/>
    </row>
    <row r="2682" spans="2:2" x14ac:dyDescent="0.25">
      <c r="B2682" s="10"/>
    </row>
    <row r="2683" spans="2:2" x14ac:dyDescent="0.25">
      <c r="B2683" s="10"/>
    </row>
    <row r="2684" spans="2:2" x14ac:dyDescent="0.25">
      <c r="B2684" s="10"/>
    </row>
    <row r="2685" spans="2:2" x14ac:dyDescent="0.25">
      <c r="B2685" s="10"/>
    </row>
    <row r="2686" spans="2:2" x14ac:dyDescent="0.25">
      <c r="B2686" s="10"/>
    </row>
    <row r="2687" spans="2:2" x14ac:dyDescent="0.25">
      <c r="B2687" s="10"/>
    </row>
    <row r="2688" spans="2:2" x14ac:dyDescent="0.25">
      <c r="B2688" s="10"/>
    </row>
    <row r="2689" spans="2:2" x14ac:dyDescent="0.25">
      <c r="B2689" s="10"/>
    </row>
    <row r="2690" spans="2:2" x14ac:dyDescent="0.25">
      <c r="B2690" s="10"/>
    </row>
    <row r="2691" spans="2:2" x14ac:dyDescent="0.25">
      <c r="B2691" s="10"/>
    </row>
    <row r="2692" spans="2:2" x14ac:dyDescent="0.25">
      <c r="B2692" s="10"/>
    </row>
    <row r="2693" spans="2:2" x14ac:dyDescent="0.25">
      <c r="B2693" s="10"/>
    </row>
    <row r="2694" spans="2:2" x14ac:dyDescent="0.25">
      <c r="B2694" s="10"/>
    </row>
    <row r="2695" spans="2:2" x14ac:dyDescent="0.25">
      <c r="B2695" s="10"/>
    </row>
    <row r="2696" spans="2:2" x14ac:dyDescent="0.25">
      <c r="B2696" s="10"/>
    </row>
    <row r="2697" spans="2:2" x14ac:dyDescent="0.25">
      <c r="B2697" s="10"/>
    </row>
    <row r="2698" spans="2:2" x14ac:dyDescent="0.25">
      <c r="B2698" s="10"/>
    </row>
    <row r="2699" spans="2:2" x14ac:dyDescent="0.25">
      <c r="B2699" s="10"/>
    </row>
    <row r="2700" spans="2:2" x14ac:dyDescent="0.25">
      <c r="B2700" s="10"/>
    </row>
    <row r="2701" spans="2:2" x14ac:dyDescent="0.25">
      <c r="B2701" s="10"/>
    </row>
    <row r="2702" spans="2:2" x14ac:dyDescent="0.25">
      <c r="B2702" s="10"/>
    </row>
    <row r="2703" spans="2:2" x14ac:dyDescent="0.25">
      <c r="B2703" s="10"/>
    </row>
    <row r="2704" spans="2:2" x14ac:dyDescent="0.25">
      <c r="B2704" s="10"/>
    </row>
    <row r="2705" spans="2:2" x14ac:dyDescent="0.25">
      <c r="B2705" s="10"/>
    </row>
    <row r="2706" spans="2:2" x14ac:dyDescent="0.25">
      <c r="B2706" s="10"/>
    </row>
    <row r="2707" spans="2:2" x14ac:dyDescent="0.25">
      <c r="B2707" s="10"/>
    </row>
    <row r="2708" spans="2:2" x14ac:dyDescent="0.25">
      <c r="B2708" s="10"/>
    </row>
    <row r="2709" spans="2:2" x14ac:dyDescent="0.25">
      <c r="B2709" s="10"/>
    </row>
    <row r="2710" spans="2:2" x14ac:dyDescent="0.25">
      <c r="B2710" s="10"/>
    </row>
    <row r="2711" spans="2:2" x14ac:dyDescent="0.25">
      <c r="B2711" s="10"/>
    </row>
    <row r="2712" spans="2:2" x14ac:dyDescent="0.25">
      <c r="B2712" s="10"/>
    </row>
    <row r="2713" spans="2:2" x14ac:dyDescent="0.25">
      <c r="B2713" s="10"/>
    </row>
    <row r="2714" spans="2:2" x14ac:dyDescent="0.25">
      <c r="B2714" s="10"/>
    </row>
    <row r="2715" spans="2:2" x14ac:dyDescent="0.25">
      <c r="B2715" s="10"/>
    </row>
    <row r="2716" spans="2:2" x14ac:dyDescent="0.25">
      <c r="B2716" s="10"/>
    </row>
    <row r="2717" spans="2:2" x14ac:dyDescent="0.25">
      <c r="B2717" s="10"/>
    </row>
    <row r="2718" spans="2:2" x14ac:dyDescent="0.25">
      <c r="B2718" s="10"/>
    </row>
    <row r="2719" spans="2:2" x14ac:dyDescent="0.25">
      <c r="B2719" s="10"/>
    </row>
    <row r="2720" spans="2:2" x14ac:dyDescent="0.25">
      <c r="B2720" s="10"/>
    </row>
    <row r="2721" spans="2:2" x14ac:dyDescent="0.25">
      <c r="B2721" s="10"/>
    </row>
    <row r="2722" spans="2:2" x14ac:dyDescent="0.25">
      <c r="B2722" s="10"/>
    </row>
    <row r="2723" spans="2:2" x14ac:dyDescent="0.25">
      <c r="B2723" s="10"/>
    </row>
    <row r="2724" spans="2:2" x14ac:dyDescent="0.25">
      <c r="B2724" s="10"/>
    </row>
    <row r="2725" spans="2:2" x14ac:dyDescent="0.25">
      <c r="B2725" s="10"/>
    </row>
    <row r="2726" spans="2:2" x14ac:dyDescent="0.25">
      <c r="B2726" s="10"/>
    </row>
    <row r="2727" spans="2:2" x14ac:dyDescent="0.25">
      <c r="B2727" s="10"/>
    </row>
    <row r="2728" spans="2:2" x14ac:dyDescent="0.25">
      <c r="B2728" s="10"/>
    </row>
    <row r="2729" spans="2:2" x14ac:dyDescent="0.25">
      <c r="B2729" s="10"/>
    </row>
    <row r="2730" spans="2:2" x14ac:dyDescent="0.25">
      <c r="B2730" s="10"/>
    </row>
    <row r="2731" spans="2:2" x14ac:dyDescent="0.25">
      <c r="B2731" s="10"/>
    </row>
    <row r="2732" spans="2:2" x14ac:dyDescent="0.25">
      <c r="B2732" s="10"/>
    </row>
    <row r="2733" spans="2:2" x14ac:dyDescent="0.25">
      <c r="B2733" s="10"/>
    </row>
    <row r="2734" spans="2:2" x14ac:dyDescent="0.25">
      <c r="B2734" s="10"/>
    </row>
    <row r="2735" spans="2:2" x14ac:dyDescent="0.25">
      <c r="B2735" s="10"/>
    </row>
    <row r="2736" spans="2:2" x14ac:dyDescent="0.25">
      <c r="B2736" s="10"/>
    </row>
    <row r="2737" spans="2:2" x14ac:dyDescent="0.25">
      <c r="B2737" s="10"/>
    </row>
    <row r="2738" spans="2:2" x14ac:dyDescent="0.25">
      <c r="B2738" s="10"/>
    </row>
    <row r="2739" spans="2:2" x14ac:dyDescent="0.25">
      <c r="B2739" s="10"/>
    </row>
    <row r="2740" spans="2:2" x14ac:dyDescent="0.25">
      <c r="B2740" s="10"/>
    </row>
    <row r="2741" spans="2:2" x14ac:dyDescent="0.25">
      <c r="B2741" s="10"/>
    </row>
    <row r="2742" spans="2:2" x14ac:dyDescent="0.25">
      <c r="B2742" s="10"/>
    </row>
    <row r="2743" spans="2:2" x14ac:dyDescent="0.25">
      <c r="B2743" s="10"/>
    </row>
    <row r="2744" spans="2:2" x14ac:dyDescent="0.25">
      <c r="B2744" s="10"/>
    </row>
    <row r="2745" spans="2:2" x14ac:dyDescent="0.25">
      <c r="B2745" s="10"/>
    </row>
    <row r="2746" spans="2:2" x14ac:dyDescent="0.25">
      <c r="B2746" s="10"/>
    </row>
    <row r="2747" spans="2:2" x14ac:dyDescent="0.25">
      <c r="B2747" s="10"/>
    </row>
    <row r="2748" spans="2:2" x14ac:dyDescent="0.25">
      <c r="B2748" s="10"/>
    </row>
    <row r="2749" spans="2:2" x14ac:dyDescent="0.25">
      <c r="B2749" s="10"/>
    </row>
    <row r="2750" spans="2:2" x14ac:dyDescent="0.25">
      <c r="B2750" s="10"/>
    </row>
    <row r="2751" spans="2:2" x14ac:dyDescent="0.25">
      <c r="B2751" s="10"/>
    </row>
    <row r="2752" spans="2:2" x14ac:dyDescent="0.25">
      <c r="B2752" s="10"/>
    </row>
    <row r="2753" spans="2:2" x14ac:dyDescent="0.25">
      <c r="B2753" s="10"/>
    </row>
    <row r="2754" spans="2:2" x14ac:dyDescent="0.25">
      <c r="B2754" s="10"/>
    </row>
    <row r="2755" spans="2:2" x14ac:dyDescent="0.25">
      <c r="B2755" s="10"/>
    </row>
    <row r="2756" spans="2:2" x14ac:dyDescent="0.25">
      <c r="B2756" s="10"/>
    </row>
    <row r="2757" spans="2:2" x14ac:dyDescent="0.25">
      <c r="B2757" s="10"/>
    </row>
    <row r="2758" spans="2:2" x14ac:dyDescent="0.25">
      <c r="B2758" s="10"/>
    </row>
    <row r="2759" spans="2:2" x14ac:dyDescent="0.25">
      <c r="B2759" s="10"/>
    </row>
    <row r="2760" spans="2:2" x14ac:dyDescent="0.25">
      <c r="B2760" s="10"/>
    </row>
    <row r="2761" spans="2:2" x14ac:dyDescent="0.25">
      <c r="B2761" s="10"/>
    </row>
    <row r="2762" spans="2:2" x14ac:dyDescent="0.25">
      <c r="B2762" s="10"/>
    </row>
    <row r="2763" spans="2:2" x14ac:dyDescent="0.25">
      <c r="B2763" s="10"/>
    </row>
    <row r="2764" spans="2:2" x14ac:dyDescent="0.25">
      <c r="B2764" s="10"/>
    </row>
    <row r="2765" spans="2:2" x14ac:dyDescent="0.25">
      <c r="B2765" s="10"/>
    </row>
    <row r="2766" spans="2:2" x14ac:dyDescent="0.25">
      <c r="B2766" s="10"/>
    </row>
    <row r="2767" spans="2:2" x14ac:dyDescent="0.25">
      <c r="B2767" s="10"/>
    </row>
    <row r="2768" spans="2:2" x14ac:dyDescent="0.25">
      <c r="B2768" s="10"/>
    </row>
    <row r="2769" spans="2:2" x14ac:dyDescent="0.25">
      <c r="B2769" s="10"/>
    </row>
    <row r="2770" spans="2:2" x14ac:dyDescent="0.25">
      <c r="B2770" s="10"/>
    </row>
    <row r="2771" spans="2:2" x14ac:dyDescent="0.25">
      <c r="B2771" s="10"/>
    </row>
    <row r="2772" spans="2:2" x14ac:dyDescent="0.25">
      <c r="B2772" s="10"/>
    </row>
    <row r="2773" spans="2:2" x14ac:dyDescent="0.25">
      <c r="B2773" s="10"/>
    </row>
    <row r="2774" spans="2:2" x14ac:dyDescent="0.25">
      <c r="B2774" s="10"/>
    </row>
    <row r="2775" spans="2:2" x14ac:dyDescent="0.25">
      <c r="B2775" s="10"/>
    </row>
    <row r="2776" spans="2:2" x14ac:dyDescent="0.25">
      <c r="B2776" s="10"/>
    </row>
    <row r="2777" spans="2:2" x14ac:dyDescent="0.25">
      <c r="B2777" s="10"/>
    </row>
    <row r="2778" spans="2:2" x14ac:dyDescent="0.25">
      <c r="B2778" s="10"/>
    </row>
    <row r="2779" spans="2:2" x14ac:dyDescent="0.25">
      <c r="B2779" s="10"/>
    </row>
    <row r="2780" spans="2:2" x14ac:dyDescent="0.25">
      <c r="B2780" s="10"/>
    </row>
    <row r="2781" spans="2:2" x14ac:dyDescent="0.25">
      <c r="B2781" s="10"/>
    </row>
    <row r="2782" spans="2:2" x14ac:dyDescent="0.25">
      <c r="B2782" s="10"/>
    </row>
    <row r="2783" spans="2:2" x14ac:dyDescent="0.25">
      <c r="B2783" s="10"/>
    </row>
    <row r="2784" spans="2:2" x14ac:dyDescent="0.25">
      <c r="B2784" s="10"/>
    </row>
    <row r="2785" spans="2:2" x14ac:dyDescent="0.25">
      <c r="B2785" s="10"/>
    </row>
    <row r="2786" spans="2:2" x14ac:dyDescent="0.25">
      <c r="B2786" s="10"/>
    </row>
    <row r="2787" spans="2:2" x14ac:dyDescent="0.25">
      <c r="B2787" s="10"/>
    </row>
    <row r="2788" spans="2:2" x14ac:dyDescent="0.25">
      <c r="B2788" s="10"/>
    </row>
    <row r="2789" spans="2:2" x14ac:dyDescent="0.25">
      <c r="B2789" s="10"/>
    </row>
    <row r="2790" spans="2:2" x14ac:dyDescent="0.25">
      <c r="B2790" s="10"/>
    </row>
    <row r="2791" spans="2:2" x14ac:dyDescent="0.25">
      <c r="B2791" s="10"/>
    </row>
    <row r="2792" spans="2:2" x14ac:dyDescent="0.25">
      <c r="B2792" s="10"/>
    </row>
    <row r="2793" spans="2:2" x14ac:dyDescent="0.25">
      <c r="B2793" s="10"/>
    </row>
    <row r="2794" spans="2:2" x14ac:dyDescent="0.25">
      <c r="B2794" s="10"/>
    </row>
    <row r="2795" spans="2:2" x14ac:dyDescent="0.25">
      <c r="B2795" s="10"/>
    </row>
    <row r="2796" spans="2:2" x14ac:dyDescent="0.25">
      <c r="B2796" s="10"/>
    </row>
    <row r="2797" spans="2:2" x14ac:dyDescent="0.25">
      <c r="B2797" s="10"/>
    </row>
    <row r="2798" spans="2:2" x14ac:dyDescent="0.25">
      <c r="B2798" s="10"/>
    </row>
    <row r="2799" spans="2:2" x14ac:dyDescent="0.25">
      <c r="B2799" s="10"/>
    </row>
    <row r="2800" spans="2:2" x14ac:dyDescent="0.25">
      <c r="B2800" s="10"/>
    </row>
    <row r="2801" spans="2:2" x14ac:dyDescent="0.25">
      <c r="B2801" s="10"/>
    </row>
    <row r="2802" spans="2:2" x14ac:dyDescent="0.25">
      <c r="B2802" s="10"/>
    </row>
    <row r="2803" spans="2:2" x14ac:dyDescent="0.25">
      <c r="B2803" s="10"/>
    </row>
    <row r="2804" spans="2:2" x14ac:dyDescent="0.25">
      <c r="B2804" s="10"/>
    </row>
    <row r="2805" spans="2:2" x14ac:dyDescent="0.25">
      <c r="B2805" s="10"/>
    </row>
    <row r="2806" spans="2:2" x14ac:dyDescent="0.25">
      <c r="B2806" s="10"/>
    </row>
    <row r="2807" spans="2:2" x14ac:dyDescent="0.25">
      <c r="B2807" s="10"/>
    </row>
    <row r="2808" spans="2:2" x14ac:dyDescent="0.25">
      <c r="B2808" s="10"/>
    </row>
    <row r="2809" spans="2:2" x14ac:dyDescent="0.25">
      <c r="B2809" s="10"/>
    </row>
    <row r="2810" spans="2:2" x14ac:dyDescent="0.25">
      <c r="B2810" s="10"/>
    </row>
    <row r="2811" spans="2:2" x14ac:dyDescent="0.25">
      <c r="B2811" s="10"/>
    </row>
    <row r="2812" spans="2:2" x14ac:dyDescent="0.25">
      <c r="B2812" s="10"/>
    </row>
    <row r="2813" spans="2:2" x14ac:dyDescent="0.25">
      <c r="B2813" s="10"/>
    </row>
    <row r="2814" spans="2:2" x14ac:dyDescent="0.25">
      <c r="B2814" s="10"/>
    </row>
    <row r="2815" spans="2:2" x14ac:dyDescent="0.25">
      <c r="B2815" s="10"/>
    </row>
    <row r="2816" spans="2:2" x14ac:dyDescent="0.25">
      <c r="B2816" s="10"/>
    </row>
    <row r="2817" spans="2:2" x14ac:dyDescent="0.25">
      <c r="B2817" s="10"/>
    </row>
    <row r="2818" spans="2:2" x14ac:dyDescent="0.25">
      <c r="B2818" s="10"/>
    </row>
    <row r="2819" spans="2:2" x14ac:dyDescent="0.25">
      <c r="B2819" s="10"/>
    </row>
    <row r="2820" spans="2:2" x14ac:dyDescent="0.25">
      <c r="B2820" s="10"/>
    </row>
    <row r="2821" spans="2:2" x14ac:dyDescent="0.25">
      <c r="B2821" s="10"/>
    </row>
    <row r="2822" spans="2:2" x14ac:dyDescent="0.25">
      <c r="B2822" s="10"/>
    </row>
    <row r="2823" spans="2:2" x14ac:dyDescent="0.25">
      <c r="B2823" s="10"/>
    </row>
    <row r="2824" spans="2:2" x14ac:dyDescent="0.25">
      <c r="B2824" s="10"/>
    </row>
    <row r="2825" spans="2:2" x14ac:dyDescent="0.25">
      <c r="B2825" s="10"/>
    </row>
    <row r="2826" spans="2:2" x14ac:dyDescent="0.25">
      <c r="B2826" s="10"/>
    </row>
    <row r="2827" spans="2:2" x14ac:dyDescent="0.25">
      <c r="B2827" s="10"/>
    </row>
    <row r="2828" spans="2:2" x14ac:dyDescent="0.25">
      <c r="B2828" s="10"/>
    </row>
    <row r="2829" spans="2:2" x14ac:dyDescent="0.25">
      <c r="B2829" s="10"/>
    </row>
    <row r="2830" spans="2:2" x14ac:dyDescent="0.25">
      <c r="B2830" s="10"/>
    </row>
    <row r="2831" spans="2:2" x14ac:dyDescent="0.25">
      <c r="B2831" s="10"/>
    </row>
    <row r="2832" spans="2:2" x14ac:dyDescent="0.25">
      <c r="B2832" s="10"/>
    </row>
    <row r="2833" spans="2:2" x14ac:dyDescent="0.25">
      <c r="B2833" s="10"/>
    </row>
    <row r="2834" spans="2:2" x14ac:dyDescent="0.25">
      <c r="B2834" s="10"/>
    </row>
    <row r="2835" spans="2:2" x14ac:dyDescent="0.25">
      <c r="B2835" s="10"/>
    </row>
    <row r="2836" spans="2:2" x14ac:dyDescent="0.25">
      <c r="B2836" s="10"/>
    </row>
    <row r="2837" spans="2:2" x14ac:dyDescent="0.25">
      <c r="B2837" s="10"/>
    </row>
    <row r="2838" spans="2:2" x14ac:dyDescent="0.25">
      <c r="B2838" s="10"/>
    </row>
    <row r="2839" spans="2:2" x14ac:dyDescent="0.25">
      <c r="B2839" s="10"/>
    </row>
    <row r="2840" spans="2:2" x14ac:dyDescent="0.25">
      <c r="B2840" s="10"/>
    </row>
    <row r="2841" spans="2:2" x14ac:dyDescent="0.25">
      <c r="B2841" s="10"/>
    </row>
    <row r="2842" spans="2:2" x14ac:dyDescent="0.25">
      <c r="B2842" s="10"/>
    </row>
    <row r="2843" spans="2:2" x14ac:dyDescent="0.25">
      <c r="B2843" s="10"/>
    </row>
    <row r="2844" spans="2:2" x14ac:dyDescent="0.25">
      <c r="B2844" s="10"/>
    </row>
    <row r="2845" spans="2:2" x14ac:dyDescent="0.25">
      <c r="B2845" s="10"/>
    </row>
    <row r="2846" spans="2:2" x14ac:dyDescent="0.25">
      <c r="B2846" s="10"/>
    </row>
    <row r="2847" spans="2:2" x14ac:dyDescent="0.25">
      <c r="B2847" s="10"/>
    </row>
    <row r="2848" spans="2:2" x14ac:dyDescent="0.25">
      <c r="B2848" s="10"/>
    </row>
    <row r="2849" spans="2:2" x14ac:dyDescent="0.25">
      <c r="B2849" s="10"/>
    </row>
    <row r="2850" spans="2:2" x14ac:dyDescent="0.25">
      <c r="B2850" s="10"/>
    </row>
    <row r="2851" spans="2:2" x14ac:dyDescent="0.25">
      <c r="B2851" s="10"/>
    </row>
    <row r="2852" spans="2:2" x14ac:dyDescent="0.25">
      <c r="B2852" s="10"/>
    </row>
    <row r="2853" spans="2:2" x14ac:dyDescent="0.25">
      <c r="B2853" s="10"/>
    </row>
    <row r="2854" spans="2:2" x14ac:dyDescent="0.25">
      <c r="B2854" s="10"/>
    </row>
    <row r="2855" spans="2:2" x14ac:dyDescent="0.25">
      <c r="B2855" s="10"/>
    </row>
    <row r="2856" spans="2:2" x14ac:dyDescent="0.25">
      <c r="B2856" s="10"/>
    </row>
    <row r="2857" spans="2:2" x14ac:dyDescent="0.25">
      <c r="B2857" s="10"/>
    </row>
    <row r="2858" spans="2:2" x14ac:dyDescent="0.25">
      <c r="B2858" s="10"/>
    </row>
    <row r="2859" spans="2:2" x14ac:dyDescent="0.25">
      <c r="B2859" s="10"/>
    </row>
    <row r="2860" spans="2:2" x14ac:dyDescent="0.25">
      <c r="B2860" s="10"/>
    </row>
    <row r="2861" spans="2:2" x14ac:dyDescent="0.25">
      <c r="B2861" s="10"/>
    </row>
    <row r="2862" spans="2:2" x14ac:dyDescent="0.25">
      <c r="B2862" s="10"/>
    </row>
    <row r="2863" spans="2:2" x14ac:dyDescent="0.25">
      <c r="B2863" s="10"/>
    </row>
    <row r="2864" spans="2:2" x14ac:dyDescent="0.25">
      <c r="B2864" s="10"/>
    </row>
    <row r="2865" spans="2:2" x14ac:dyDescent="0.25">
      <c r="B2865" s="10"/>
    </row>
    <row r="2866" spans="2:2" x14ac:dyDescent="0.25">
      <c r="B2866" s="10"/>
    </row>
    <row r="2867" spans="2:2" x14ac:dyDescent="0.25">
      <c r="B2867" s="10"/>
    </row>
    <row r="2868" spans="2:2" x14ac:dyDescent="0.25">
      <c r="B2868" s="10"/>
    </row>
    <row r="2869" spans="2:2" x14ac:dyDescent="0.25">
      <c r="B2869" s="10"/>
    </row>
    <row r="2870" spans="2:2" x14ac:dyDescent="0.25">
      <c r="B2870" s="10"/>
    </row>
    <row r="2871" spans="2:2" x14ac:dyDescent="0.25">
      <c r="B2871" s="10"/>
    </row>
    <row r="2872" spans="2:2" x14ac:dyDescent="0.25">
      <c r="B2872" s="10"/>
    </row>
    <row r="2873" spans="2:2" x14ac:dyDescent="0.25">
      <c r="B2873" s="10"/>
    </row>
    <row r="2874" spans="2:2" x14ac:dyDescent="0.25">
      <c r="B2874" s="10"/>
    </row>
    <row r="2875" spans="2:2" x14ac:dyDescent="0.25">
      <c r="B2875" s="10"/>
    </row>
    <row r="2876" spans="2:2" x14ac:dyDescent="0.25">
      <c r="B2876" s="10"/>
    </row>
    <row r="2877" spans="2:2" x14ac:dyDescent="0.25">
      <c r="B2877" s="10"/>
    </row>
    <row r="2878" spans="2:2" x14ac:dyDescent="0.25">
      <c r="B2878" s="10"/>
    </row>
    <row r="2879" spans="2:2" x14ac:dyDescent="0.25">
      <c r="B2879" s="10"/>
    </row>
    <row r="2880" spans="2:2" x14ac:dyDescent="0.25">
      <c r="B2880" s="10"/>
    </row>
    <row r="2881" spans="2:2" x14ac:dyDescent="0.25">
      <c r="B2881" s="10"/>
    </row>
    <row r="2882" spans="2:2" x14ac:dyDescent="0.25">
      <c r="B2882" s="10"/>
    </row>
    <row r="2883" spans="2:2" x14ac:dyDescent="0.25">
      <c r="B2883" s="10"/>
    </row>
    <row r="2884" spans="2:2" x14ac:dyDescent="0.25">
      <c r="B2884" s="10"/>
    </row>
    <row r="2885" spans="2:2" x14ac:dyDescent="0.25">
      <c r="B2885" s="10"/>
    </row>
    <row r="2886" spans="2:2" x14ac:dyDescent="0.25">
      <c r="B2886" s="10"/>
    </row>
    <row r="2887" spans="2:2" x14ac:dyDescent="0.25">
      <c r="B2887" s="10"/>
    </row>
    <row r="2888" spans="2:2" x14ac:dyDescent="0.25">
      <c r="B2888" s="10"/>
    </row>
    <row r="2889" spans="2:2" x14ac:dyDescent="0.25">
      <c r="B2889" s="10"/>
    </row>
    <row r="2890" spans="2:2" x14ac:dyDescent="0.25">
      <c r="B2890" s="10"/>
    </row>
    <row r="2891" spans="2:2" x14ac:dyDescent="0.25">
      <c r="B2891" s="10"/>
    </row>
    <row r="2892" spans="2:2" x14ac:dyDescent="0.25">
      <c r="B2892" s="10"/>
    </row>
    <row r="2893" spans="2:2" x14ac:dyDescent="0.25">
      <c r="B2893" s="10"/>
    </row>
    <row r="2894" spans="2:2" x14ac:dyDescent="0.25">
      <c r="B2894" s="10"/>
    </row>
    <row r="2895" spans="2:2" x14ac:dyDescent="0.25">
      <c r="B2895" s="10"/>
    </row>
    <row r="2896" spans="2:2" x14ac:dyDescent="0.25">
      <c r="B2896" s="10"/>
    </row>
    <row r="2897" spans="2:2" x14ac:dyDescent="0.25">
      <c r="B2897" s="10"/>
    </row>
    <row r="2898" spans="2:2" x14ac:dyDescent="0.25">
      <c r="B2898" s="10"/>
    </row>
    <row r="2899" spans="2:2" x14ac:dyDescent="0.25">
      <c r="B2899" s="10"/>
    </row>
    <row r="2900" spans="2:2" x14ac:dyDescent="0.25">
      <c r="B2900" s="10"/>
    </row>
    <row r="2901" spans="2:2" x14ac:dyDescent="0.25">
      <c r="B2901" s="10"/>
    </row>
    <row r="2902" spans="2:2" x14ac:dyDescent="0.25">
      <c r="B2902" s="10"/>
    </row>
    <row r="2903" spans="2:2" x14ac:dyDescent="0.25">
      <c r="B2903" s="10"/>
    </row>
    <row r="2904" spans="2:2" x14ac:dyDescent="0.25">
      <c r="B2904" s="10"/>
    </row>
    <row r="2905" spans="2:2" x14ac:dyDescent="0.25">
      <c r="B2905" s="10"/>
    </row>
    <row r="2906" spans="2:2" x14ac:dyDescent="0.25">
      <c r="B2906" s="10"/>
    </row>
    <row r="2907" spans="2:2" x14ac:dyDescent="0.25">
      <c r="B2907" s="10"/>
    </row>
    <row r="2908" spans="2:2" x14ac:dyDescent="0.25">
      <c r="B2908" s="10"/>
    </row>
    <row r="2909" spans="2:2" x14ac:dyDescent="0.25">
      <c r="B2909" s="10"/>
    </row>
    <row r="2910" spans="2:2" x14ac:dyDescent="0.25">
      <c r="B2910" s="10"/>
    </row>
    <row r="2911" spans="2:2" x14ac:dyDescent="0.25">
      <c r="B2911" s="10"/>
    </row>
    <row r="2912" spans="2:2" x14ac:dyDescent="0.25">
      <c r="B2912" s="10"/>
    </row>
    <row r="2913" spans="2:2" x14ac:dyDescent="0.25">
      <c r="B2913" s="10"/>
    </row>
    <row r="2914" spans="2:2" x14ac:dyDescent="0.25">
      <c r="B2914" s="10"/>
    </row>
    <row r="2915" spans="2:2" x14ac:dyDescent="0.25">
      <c r="B2915" s="10"/>
    </row>
    <row r="2916" spans="2:2" x14ac:dyDescent="0.25">
      <c r="B2916" s="10"/>
    </row>
    <row r="2917" spans="2:2" x14ac:dyDescent="0.25">
      <c r="B2917" s="10"/>
    </row>
    <row r="2918" spans="2:2" x14ac:dyDescent="0.25">
      <c r="B2918" s="10"/>
    </row>
    <row r="2919" spans="2:2" x14ac:dyDescent="0.25">
      <c r="B2919" s="10"/>
    </row>
    <row r="2920" spans="2:2" x14ac:dyDescent="0.25">
      <c r="B2920" s="10"/>
    </row>
    <row r="2921" spans="2:2" x14ac:dyDescent="0.25">
      <c r="B2921" s="10"/>
    </row>
    <row r="2922" spans="2:2" x14ac:dyDescent="0.25">
      <c r="B2922" s="10"/>
    </row>
    <row r="2923" spans="2:2" x14ac:dyDescent="0.25">
      <c r="B2923" s="10"/>
    </row>
    <row r="2924" spans="2:2" x14ac:dyDescent="0.25">
      <c r="B2924" s="10"/>
    </row>
    <row r="2925" spans="2:2" x14ac:dyDescent="0.25">
      <c r="B2925" s="10"/>
    </row>
    <row r="2926" spans="2:2" x14ac:dyDescent="0.25">
      <c r="B2926" s="10"/>
    </row>
    <row r="2927" spans="2:2" x14ac:dyDescent="0.25">
      <c r="B2927" s="10"/>
    </row>
    <row r="2928" spans="2:2" x14ac:dyDescent="0.25">
      <c r="B2928" s="10"/>
    </row>
    <row r="2929" spans="2:2" x14ac:dyDescent="0.25">
      <c r="B2929" s="10"/>
    </row>
    <row r="2930" spans="2:2" x14ac:dyDescent="0.25">
      <c r="B2930" s="10"/>
    </row>
    <row r="2931" spans="2:2" x14ac:dyDescent="0.25">
      <c r="B2931" s="10"/>
    </row>
    <row r="2932" spans="2:2" x14ac:dyDescent="0.25">
      <c r="B2932" s="10"/>
    </row>
    <row r="2933" spans="2:2" x14ac:dyDescent="0.25">
      <c r="B2933" s="10"/>
    </row>
    <row r="2934" spans="2:2" x14ac:dyDescent="0.25">
      <c r="B2934" s="10"/>
    </row>
    <row r="2935" spans="2:2" x14ac:dyDescent="0.25">
      <c r="B2935" s="10"/>
    </row>
    <row r="2936" spans="2:2" x14ac:dyDescent="0.25">
      <c r="B2936" s="10"/>
    </row>
    <row r="2937" spans="2:2" x14ac:dyDescent="0.25">
      <c r="B2937" s="10"/>
    </row>
    <row r="2938" spans="2:2" x14ac:dyDescent="0.25">
      <c r="B2938" s="10"/>
    </row>
    <row r="2939" spans="2:2" x14ac:dyDescent="0.25">
      <c r="B2939" s="10"/>
    </row>
    <row r="2940" spans="2:2" x14ac:dyDescent="0.25">
      <c r="B2940" s="10"/>
    </row>
    <row r="2941" spans="2:2" x14ac:dyDescent="0.25">
      <c r="B2941" s="10"/>
    </row>
    <row r="2942" spans="2:2" x14ac:dyDescent="0.25">
      <c r="B2942" s="10"/>
    </row>
    <row r="2943" spans="2:2" x14ac:dyDescent="0.25">
      <c r="B2943" s="10"/>
    </row>
    <row r="2944" spans="2:2" x14ac:dyDescent="0.25">
      <c r="B2944" s="10"/>
    </row>
    <row r="2945" spans="2:2" x14ac:dyDescent="0.25">
      <c r="B2945" s="10"/>
    </row>
    <row r="2946" spans="2:2" x14ac:dyDescent="0.25">
      <c r="B2946" s="10"/>
    </row>
    <row r="2947" spans="2:2" x14ac:dyDescent="0.25">
      <c r="B2947" s="10"/>
    </row>
    <row r="2948" spans="2:2" x14ac:dyDescent="0.25">
      <c r="B2948" s="10"/>
    </row>
    <row r="2949" spans="2:2" x14ac:dyDescent="0.25">
      <c r="B2949" s="10"/>
    </row>
    <row r="2950" spans="2:2" x14ac:dyDescent="0.25">
      <c r="B2950" s="10"/>
    </row>
    <row r="2951" spans="2:2" x14ac:dyDescent="0.25">
      <c r="B2951" s="10"/>
    </row>
    <row r="2952" spans="2:2" x14ac:dyDescent="0.25">
      <c r="B2952" s="10"/>
    </row>
    <row r="2953" spans="2:2" x14ac:dyDescent="0.25">
      <c r="B2953" s="10"/>
    </row>
    <row r="2954" spans="2:2" x14ac:dyDescent="0.25">
      <c r="B2954" s="10"/>
    </row>
    <row r="2955" spans="2:2" x14ac:dyDescent="0.25">
      <c r="B2955" s="10"/>
    </row>
    <row r="2956" spans="2:2" x14ac:dyDescent="0.25">
      <c r="B2956" s="10"/>
    </row>
    <row r="2957" spans="2:2" x14ac:dyDescent="0.25">
      <c r="B2957" s="10"/>
    </row>
    <row r="2958" spans="2:2" x14ac:dyDescent="0.25">
      <c r="B2958" s="10"/>
    </row>
    <row r="2959" spans="2:2" x14ac:dyDescent="0.25">
      <c r="B2959" s="10"/>
    </row>
    <row r="2960" spans="2:2" x14ac:dyDescent="0.25">
      <c r="B2960" s="10"/>
    </row>
    <row r="2961" spans="2:2" x14ac:dyDescent="0.25">
      <c r="B2961" s="10"/>
    </row>
    <row r="2962" spans="2:2" x14ac:dyDescent="0.25">
      <c r="B2962" s="10"/>
    </row>
    <row r="2963" spans="2:2" x14ac:dyDescent="0.25">
      <c r="B2963" s="10"/>
    </row>
    <row r="2964" spans="2:2" x14ac:dyDescent="0.25">
      <c r="B2964" s="10"/>
    </row>
    <row r="2965" spans="2:2" x14ac:dyDescent="0.25">
      <c r="B2965" s="10"/>
    </row>
    <row r="2966" spans="2:2" x14ac:dyDescent="0.25">
      <c r="B2966" s="10"/>
    </row>
    <row r="2967" spans="2:2" x14ac:dyDescent="0.25">
      <c r="B2967" s="10"/>
    </row>
    <row r="2968" spans="2:2" x14ac:dyDescent="0.25">
      <c r="B2968" s="10"/>
    </row>
    <row r="2969" spans="2:2" x14ac:dyDescent="0.25">
      <c r="B2969" s="10"/>
    </row>
    <row r="2970" spans="2:2" x14ac:dyDescent="0.25">
      <c r="B2970" s="10"/>
    </row>
    <row r="2971" spans="2:2" x14ac:dyDescent="0.25">
      <c r="B2971" s="10"/>
    </row>
    <row r="2972" spans="2:2" x14ac:dyDescent="0.25">
      <c r="B2972" s="10"/>
    </row>
    <row r="2973" spans="2:2" x14ac:dyDescent="0.25">
      <c r="B2973" s="10"/>
    </row>
    <row r="2974" spans="2:2" x14ac:dyDescent="0.25">
      <c r="B2974" s="10"/>
    </row>
    <row r="2975" spans="2:2" x14ac:dyDescent="0.25">
      <c r="B2975" s="10"/>
    </row>
    <row r="2976" spans="2:2" x14ac:dyDescent="0.25">
      <c r="B2976" s="10"/>
    </row>
    <row r="2977" spans="2:2" x14ac:dyDescent="0.25">
      <c r="B2977" s="10"/>
    </row>
    <row r="2978" spans="2:2" x14ac:dyDescent="0.25">
      <c r="B2978" s="10"/>
    </row>
    <row r="2979" spans="2:2" x14ac:dyDescent="0.25">
      <c r="B2979" s="10"/>
    </row>
    <row r="2980" spans="2:2" x14ac:dyDescent="0.25">
      <c r="B2980" s="10"/>
    </row>
    <row r="2981" spans="2:2" x14ac:dyDescent="0.25">
      <c r="B2981" s="10"/>
    </row>
    <row r="2982" spans="2:2" x14ac:dyDescent="0.25">
      <c r="B2982" s="10"/>
    </row>
    <row r="2983" spans="2:2" x14ac:dyDescent="0.25">
      <c r="B2983" s="10"/>
    </row>
    <row r="2984" spans="2:2" x14ac:dyDescent="0.25">
      <c r="B2984" s="10"/>
    </row>
    <row r="2985" spans="2:2" x14ac:dyDescent="0.25">
      <c r="B2985" s="10"/>
    </row>
    <row r="2986" spans="2:2" x14ac:dyDescent="0.25">
      <c r="B2986" s="10"/>
    </row>
    <row r="2987" spans="2:2" x14ac:dyDescent="0.25">
      <c r="B2987" s="10"/>
    </row>
    <row r="2988" spans="2:2" x14ac:dyDescent="0.25">
      <c r="B2988" s="10"/>
    </row>
    <row r="2989" spans="2:2" x14ac:dyDescent="0.25">
      <c r="B2989" s="10"/>
    </row>
    <row r="2990" spans="2:2" x14ac:dyDescent="0.25">
      <c r="B2990" s="10"/>
    </row>
    <row r="2991" spans="2:2" x14ac:dyDescent="0.25">
      <c r="B2991" s="10"/>
    </row>
    <row r="2992" spans="2:2" x14ac:dyDescent="0.25">
      <c r="B2992" s="10"/>
    </row>
    <row r="2993" spans="2:2" x14ac:dyDescent="0.25">
      <c r="B2993" s="10"/>
    </row>
    <row r="2994" spans="2:2" x14ac:dyDescent="0.25">
      <c r="B2994" s="10"/>
    </row>
    <row r="2995" spans="2:2" x14ac:dyDescent="0.25">
      <c r="B2995" s="10"/>
    </row>
    <row r="2996" spans="2:2" x14ac:dyDescent="0.25">
      <c r="B2996" s="10"/>
    </row>
    <row r="2997" spans="2:2" x14ac:dyDescent="0.25">
      <c r="B2997" s="10"/>
    </row>
    <row r="2998" spans="2:2" x14ac:dyDescent="0.25">
      <c r="B2998" s="10"/>
    </row>
    <row r="2999" spans="2:2" x14ac:dyDescent="0.25">
      <c r="B2999" s="10"/>
    </row>
    <row r="3000" spans="2:2" x14ac:dyDescent="0.25">
      <c r="B3000" s="10"/>
    </row>
    <row r="3001" spans="2:2" x14ac:dyDescent="0.25">
      <c r="B3001" s="10"/>
    </row>
    <row r="3002" spans="2:2" x14ac:dyDescent="0.25">
      <c r="B3002" s="10"/>
    </row>
    <row r="3003" spans="2:2" x14ac:dyDescent="0.25">
      <c r="B3003" s="10"/>
    </row>
    <row r="3004" spans="2:2" x14ac:dyDescent="0.25">
      <c r="B3004" s="10"/>
    </row>
    <row r="3005" spans="2:2" x14ac:dyDescent="0.25">
      <c r="B3005" s="10"/>
    </row>
    <row r="3006" spans="2:2" x14ac:dyDescent="0.25">
      <c r="B3006" s="10"/>
    </row>
    <row r="3007" spans="2:2" x14ac:dyDescent="0.25">
      <c r="B3007" s="10"/>
    </row>
    <row r="3008" spans="2:2" x14ac:dyDescent="0.25">
      <c r="B3008" s="10"/>
    </row>
    <row r="3009" spans="2:2" x14ac:dyDescent="0.25">
      <c r="B3009" s="10"/>
    </row>
    <row r="3010" spans="2:2" x14ac:dyDescent="0.25">
      <c r="B3010" s="10"/>
    </row>
    <row r="3011" spans="2:2" x14ac:dyDescent="0.25">
      <c r="B3011" s="10"/>
    </row>
    <row r="3012" spans="2:2" x14ac:dyDescent="0.25">
      <c r="B3012" s="10"/>
    </row>
    <row r="3013" spans="2:2" x14ac:dyDescent="0.25">
      <c r="B3013" s="10"/>
    </row>
    <row r="3014" spans="2:2" x14ac:dyDescent="0.25">
      <c r="B3014" s="10"/>
    </row>
    <row r="3015" spans="2:2" x14ac:dyDescent="0.25">
      <c r="B3015" s="10"/>
    </row>
    <row r="3016" spans="2:2" x14ac:dyDescent="0.25">
      <c r="B3016" s="10"/>
    </row>
    <row r="3017" spans="2:2" x14ac:dyDescent="0.25">
      <c r="B3017" s="10"/>
    </row>
    <row r="3018" spans="2:2" x14ac:dyDescent="0.25">
      <c r="B3018" s="10"/>
    </row>
    <row r="3019" spans="2:2" x14ac:dyDescent="0.25">
      <c r="B3019" s="10"/>
    </row>
    <row r="3020" spans="2:2" x14ac:dyDescent="0.25">
      <c r="B3020" s="10"/>
    </row>
    <row r="3021" spans="2:2" x14ac:dyDescent="0.25">
      <c r="B3021" s="10"/>
    </row>
    <row r="3022" spans="2:2" x14ac:dyDescent="0.25">
      <c r="B3022" s="10"/>
    </row>
    <row r="3023" spans="2:2" x14ac:dyDescent="0.25">
      <c r="B3023" s="10"/>
    </row>
    <row r="3024" spans="2:2" x14ac:dyDescent="0.25">
      <c r="B3024" s="10"/>
    </row>
    <row r="3025" spans="2:2" x14ac:dyDescent="0.25">
      <c r="B3025" s="10"/>
    </row>
    <row r="3026" spans="2:2" x14ac:dyDescent="0.25">
      <c r="B3026" s="10"/>
    </row>
    <row r="3027" spans="2:2" x14ac:dyDescent="0.25">
      <c r="B3027" s="10"/>
    </row>
    <row r="3028" spans="2:2" x14ac:dyDescent="0.25">
      <c r="B3028" s="10"/>
    </row>
    <row r="3029" spans="2:2" x14ac:dyDescent="0.25">
      <c r="B3029" s="10"/>
    </row>
    <row r="3030" spans="2:2" x14ac:dyDescent="0.25">
      <c r="B3030" s="10"/>
    </row>
    <row r="3031" spans="2:2" x14ac:dyDescent="0.25">
      <c r="B3031" s="10"/>
    </row>
    <row r="3032" spans="2:2" x14ac:dyDescent="0.25">
      <c r="B3032" s="10"/>
    </row>
    <row r="3033" spans="2:2" x14ac:dyDescent="0.25">
      <c r="B3033" s="10"/>
    </row>
    <row r="3034" spans="2:2" x14ac:dyDescent="0.25">
      <c r="B3034" s="10"/>
    </row>
    <row r="3035" spans="2:2" x14ac:dyDescent="0.25">
      <c r="B3035" s="10"/>
    </row>
    <row r="3036" spans="2:2" x14ac:dyDescent="0.25">
      <c r="B3036" s="10"/>
    </row>
    <row r="3037" spans="2:2" x14ac:dyDescent="0.25">
      <c r="B3037" s="10"/>
    </row>
    <row r="3038" spans="2:2" x14ac:dyDescent="0.25">
      <c r="B3038" s="10"/>
    </row>
    <row r="3039" spans="2:2" x14ac:dyDescent="0.25">
      <c r="B3039" s="10"/>
    </row>
    <row r="3040" spans="2:2" x14ac:dyDescent="0.25">
      <c r="B3040" s="10"/>
    </row>
    <row r="3041" spans="2:2" x14ac:dyDescent="0.25">
      <c r="B3041" s="10"/>
    </row>
    <row r="3042" spans="2:2" x14ac:dyDescent="0.25">
      <c r="B3042" s="10"/>
    </row>
    <row r="3043" spans="2:2" x14ac:dyDescent="0.25">
      <c r="B3043" s="10"/>
    </row>
    <row r="3044" spans="2:2" x14ac:dyDescent="0.25">
      <c r="B3044" s="10"/>
    </row>
    <row r="3045" spans="2:2" x14ac:dyDescent="0.25">
      <c r="B3045" s="10"/>
    </row>
    <row r="3046" spans="2:2" x14ac:dyDescent="0.25">
      <c r="B3046" s="10"/>
    </row>
    <row r="3047" spans="2:2" x14ac:dyDescent="0.25">
      <c r="B3047" s="10"/>
    </row>
    <row r="3048" spans="2:2" x14ac:dyDescent="0.25">
      <c r="B3048" s="10"/>
    </row>
    <row r="3049" spans="2:2" x14ac:dyDescent="0.25">
      <c r="B3049" s="10"/>
    </row>
    <row r="3050" spans="2:2" x14ac:dyDescent="0.25">
      <c r="B3050" s="10"/>
    </row>
    <row r="3051" spans="2:2" x14ac:dyDescent="0.25">
      <c r="B3051" s="10"/>
    </row>
    <row r="3052" spans="2:2" x14ac:dyDescent="0.25">
      <c r="B3052" s="10"/>
    </row>
    <row r="3053" spans="2:2" x14ac:dyDescent="0.25">
      <c r="B3053" s="10"/>
    </row>
    <row r="3054" spans="2:2" x14ac:dyDescent="0.25">
      <c r="B3054" s="10"/>
    </row>
    <row r="3055" spans="2:2" x14ac:dyDescent="0.25">
      <c r="B3055" s="10"/>
    </row>
    <row r="3056" spans="2:2" x14ac:dyDescent="0.25">
      <c r="B3056" s="10"/>
    </row>
    <row r="3057" spans="2:2" x14ac:dyDescent="0.25">
      <c r="B3057" s="10"/>
    </row>
    <row r="3058" spans="2:2" x14ac:dyDescent="0.25">
      <c r="B3058" s="10"/>
    </row>
    <row r="3059" spans="2:2" x14ac:dyDescent="0.25">
      <c r="B3059" s="10"/>
    </row>
    <row r="3060" spans="2:2" x14ac:dyDescent="0.25">
      <c r="B3060" s="10"/>
    </row>
    <row r="3061" spans="2:2" x14ac:dyDescent="0.25">
      <c r="B3061" s="10"/>
    </row>
    <row r="3062" spans="2:2" x14ac:dyDescent="0.25">
      <c r="B3062" s="10"/>
    </row>
    <row r="3063" spans="2:2" x14ac:dyDescent="0.25">
      <c r="B3063" s="10"/>
    </row>
    <row r="3064" spans="2:2" x14ac:dyDescent="0.25">
      <c r="B3064" s="10"/>
    </row>
    <row r="3065" spans="2:2" x14ac:dyDescent="0.25">
      <c r="B3065" s="10"/>
    </row>
    <row r="3066" spans="2:2" x14ac:dyDescent="0.25">
      <c r="B3066" s="10"/>
    </row>
    <row r="3067" spans="2:2" x14ac:dyDescent="0.25">
      <c r="B3067" s="10"/>
    </row>
    <row r="3068" spans="2:2" x14ac:dyDescent="0.25">
      <c r="B3068" s="10"/>
    </row>
    <row r="3069" spans="2:2" x14ac:dyDescent="0.25">
      <c r="B3069" s="10"/>
    </row>
    <row r="3070" spans="2:2" x14ac:dyDescent="0.25">
      <c r="B3070" s="10"/>
    </row>
    <row r="3071" spans="2:2" x14ac:dyDescent="0.25">
      <c r="B3071" s="10"/>
    </row>
    <row r="3072" spans="2:2" x14ac:dyDescent="0.25">
      <c r="B3072" s="10"/>
    </row>
    <row r="3073" spans="2:2" x14ac:dyDescent="0.25">
      <c r="B3073" s="10"/>
    </row>
    <row r="3074" spans="2:2" x14ac:dyDescent="0.25">
      <c r="B3074" s="10"/>
    </row>
    <row r="3075" spans="2:2" x14ac:dyDescent="0.25">
      <c r="B3075" s="10"/>
    </row>
    <row r="3076" spans="2:2" x14ac:dyDescent="0.25">
      <c r="B3076" s="10"/>
    </row>
    <row r="3077" spans="2:2" x14ac:dyDescent="0.25">
      <c r="B3077" s="10"/>
    </row>
    <row r="3078" spans="2:2" x14ac:dyDescent="0.25">
      <c r="B3078" s="10"/>
    </row>
    <row r="3079" spans="2:2" x14ac:dyDescent="0.25">
      <c r="B3079" s="10"/>
    </row>
    <row r="3080" spans="2:2" x14ac:dyDescent="0.25">
      <c r="B3080" s="10"/>
    </row>
    <row r="3081" spans="2:2" x14ac:dyDescent="0.25">
      <c r="B3081" s="10"/>
    </row>
    <row r="3082" spans="2:2" x14ac:dyDescent="0.25">
      <c r="B3082" s="10"/>
    </row>
    <row r="3083" spans="2:2" x14ac:dyDescent="0.25">
      <c r="B3083" s="10"/>
    </row>
    <row r="3084" spans="2:2" x14ac:dyDescent="0.25">
      <c r="B3084" s="10"/>
    </row>
    <row r="3085" spans="2:2" x14ac:dyDescent="0.25">
      <c r="B3085" s="10"/>
    </row>
    <row r="3086" spans="2:2" x14ac:dyDescent="0.25">
      <c r="B3086" s="10"/>
    </row>
    <row r="3087" spans="2:2" x14ac:dyDescent="0.25">
      <c r="B3087" s="10"/>
    </row>
    <row r="3088" spans="2:2" x14ac:dyDescent="0.25">
      <c r="B3088" s="10"/>
    </row>
    <row r="3089" spans="2:2" x14ac:dyDescent="0.25">
      <c r="B3089" s="10"/>
    </row>
    <row r="3090" spans="2:2" x14ac:dyDescent="0.25">
      <c r="B3090" s="10"/>
    </row>
    <row r="3091" spans="2:2" x14ac:dyDescent="0.25">
      <c r="B3091" s="10"/>
    </row>
    <row r="3092" spans="2:2" x14ac:dyDescent="0.25">
      <c r="B3092" s="10"/>
    </row>
    <row r="3093" spans="2:2" x14ac:dyDescent="0.25">
      <c r="B3093" s="10"/>
    </row>
    <row r="3094" spans="2:2" x14ac:dyDescent="0.25">
      <c r="B3094" s="10"/>
    </row>
    <row r="3095" spans="2:2" x14ac:dyDescent="0.25">
      <c r="B3095" s="10"/>
    </row>
    <row r="3096" spans="2:2" x14ac:dyDescent="0.25">
      <c r="B3096" s="10"/>
    </row>
    <row r="3097" spans="2:2" x14ac:dyDescent="0.25">
      <c r="B3097" s="10"/>
    </row>
    <row r="3098" spans="2:2" x14ac:dyDescent="0.25">
      <c r="B3098" s="10"/>
    </row>
    <row r="3099" spans="2:2" x14ac:dyDescent="0.25">
      <c r="B3099" s="10"/>
    </row>
    <row r="3100" spans="2:2" x14ac:dyDescent="0.25">
      <c r="B3100" s="10"/>
    </row>
    <row r="3101" spans="2:2" x14ac:dyDescent="0.25">
      <c r="B3101" s="10"/>
    </row>
    <row r="3102" spans="2:2" x14ac:dyDescent="0.25">
      <c r="B3102" s="10"/>
    </row>
    <row r="3103" spans="2:2" x14ac:dyDescent="0.25">
      <c r="B3103" s="10"/>
    </row>
    <row r="3104" spans="2:2" x14ac:dyDescent="0.25">
      <c r="B3104" s="10"/>
    </row>
    <row r="3105" spans="2:2" x14ac:dyDescent="0.25">
      <c r="B3105" s="10"/>
    </row>
    <row r="3106" spans="2:2" x14ac:dyDescent="0.25">
      <c r="B3106" s="10"/>
    </row>
    <row r="3107" spans="2:2" x14ac:dyDescent="0.25">
      <c r="B3107" s="10"/>
    </row>
    <row r="3108" spans="2:2" x14ac:dyDescent="0.25">
      <c r="B3108" s="10"/>
    </row>
    <row r="3109" spans="2:2" x14ac:dyDescent="0.25">
      <c r="B3109" s="10"/>
    </row>
    <row r="3110" spans="2:2" x14ac:dyDescent="0.25">
      <c r="B3110" s="10"/>
    </row>
    <row r="3111" spans="2:2" x14ac:dyDescent="0.25">
      <c r="B3111" s="10"/>
    </row>
    <row r="3112" spans="2:2" x14ac:dyDescent="0.25">
      <c r="B3112" s="10"/>
    </row>
    <row r="3113" spans="2:2" x14ac:dyDescent="0.25">
      <c r="B3113" s="10"/>
    </row>
    <row r="3114" spans="2:2" x14ac:dyDescent="0.25">
      <c r="B3114" s="10"/>
    </row>
    <row r="3115" spans="2:2" x14ac:dyDescent="0.25">
      <c r="B3115" s="10"/>
    </row>
    <row r="3116" spans="2:2" x14ac:dyDescent="0.25">
      <c r="B3116" s="10"/>
    </row>
    <row r="3117" spans="2:2" x14ac:dyDescent="0.25">
      <c r="B3117" s="10"/>
    </row>
    <row r="3118" spans="2:2" x14ac:dyDescent="0.25">
      <c r="B3118" s="10"/>
    </row>
    <row r="3119" spans="2:2" x14ac:dyDescent="0.25">
      <c r="B3119" s="10"/>
    </row>
    <row r="3120" spans="2:2" x14ac:dyDescent="0.25">
      <c r="B3120" s="10"/>
    </row>
    <row r="3121" spans="2:2" x14ac:dyDescent="0.25">
      <c r="B3121" s="10"/>
    </row>
    <row r="3122" spans="2:2" x14ac:dyDescent="0.25">
      <c r="B3122" s="10"/>
    </row>
    <row r="3123" spans="2:2" x14ac:dyDescent="0.25">
      <c r="B3123" s="10"/>
    </row>
    <row r="3124" spans="2:2" x14ac:dyDescent="0.25">
      <c r="B3124" s="10"/>
    </row>
    <row r="3125" spans="2:2" x14ac:dyDescent="0.25">
      <c r="B3125" s="10"/>
    </row>
    <row r="3126" spans="2:2" x14ac:dyDescent="0.25">
      <c r="B3126" s="10"/>
    </row>
    <row r="3127" spans="2:2" x14ac:dyDescent="0.25">
      <c r="B3127" s="10"/>
    </row>
    <row r="3128" spans="2:2" x14ac:dyDescent="0.25">
      <c r="B3128" s="10"/>
    </row>
    <row r="3129" spans="2:2" x14ac:dyDescent="0.25">
      <c r="B3129" s="10"/>
    </row>
    <row r="3130" spans="2:2" x14ac:dyDescent="0.25">
      <c r="B3130" s="10"/>
    </row>
    <row r="3131" spans="2:2" x14ac:dyDescent="0.25">
      <c r="B3131" s="10"/>
    </row>
    <row r="3132" spans="2:2" x14ac:dyDescent="0.25">
      <c r="B3132" s="10"/>
    </row>
    <row r="3133" spans="2:2" x14ac:dyDescent="0.25">
      <c r="B3133" s="10"/>
    </row>
    <row r="3134" spans="2:2" x14ac:dyDescent="0.25">
      <c r="B3134" s="10"/>
    </row>
    <row r="3135" spans="2:2" x14ac:dyDescent="0.25">
      <c r="B3135" s="10"/>
    </row>
    <row r="3136" spans="2:2" x14ac:dyDescent="0.25">
      <c r="B3136" s="10"/>
    </row>
    <row r="3137" spans="2:2" x14ac:dyDescent="0.25">
      <c r="B3137" s="10"/>
    </row>
    <row r="3138" spans="2:2" x14ac:dyDescent="0.25">
      <c r="B3138" s="10"/>
    </row>
    <row r="3139" spans="2:2" x14ac:dyDescent="0.25">
      <c r="B3139" s="10"/>
    </row>
    <row r="3140" spans="2:2" x14ac:dyDescent="0.25">
      <c r="B3140" s="10"/>
    </row>
    <row r="3141" spans="2:2" x14ac:dyDescent="0.25">
      <c r="B3141" s="10"/>
    </row>
    <row r="3142" spans="2:2" x14ac:dyDescent="0.25">
      <c r="B3142" s="10"/>
    </row>
    <row r="3143" spans="2:2" x14ac:dyDescent="0.25">
      <c r="B3143" s="10"/>
    </row>
    <row r="3144" spans="2:2" x14ac:dyDescent="0.25">
      <c r="B3144" s="10"/>
    </row>
    <row r="3145" spans="2:2" x14ac:dyDescent="0.25">
      <c r="B3145" s="10"/>
    </row>
    <row r="3146" spans="2:2" x14ac:dyDescent="0.25">
      <c r="B3146" s="10"/>
    </row>
    <row r="3147" spans="2:2" x14ac:dyDescent="0.25">
      <c r="B3147" s="10"/>
    </row>
    <row r="3148" spans="2:2" x14ac:dyDescent="0.25">
      <c r="B3148" s="10"/>
    </row>
    <row r="3149" spans="2:2" x14ac:dyDescent="0.25">
      <c r="B3149" s="10"/>
    </row>
    <row r="3150" spans="2:2" x14ac:dyDescent="0.25">
      <c r="B3150" s="10"/>
    </row>
    <row r="3151" spans="2:2" x14ac:dyDescent="0.25">
      <c r="B3151" s="10"/>
    </row>
    <row r="3152" spans="2:2" x14ac:dyDescent="0.25">
      <c r="B3152" s="10"/>
    </row>
    <row r="3153" spans="2:2" x14ac:dyDescent="0.25">
      <c r="B3153" s="10"/>
    </row>
    <row r="3154" spans="2:2" x14ac:dyDescent="0.25">
      <c r="B3154" s="10"/>
    </row>
    <row r="3155" spans="2:2" x14ac:dyDescent="0.25">
      <c r="B3155" s="10"/>
    </row>
    <row r="3156" spans="2:2" x14ac:dyDescent="0.25">
      <c r="B3156" s="10"/>
    </row>
    <row r="3157" spans="2:2" x14ac:dyDescent="0.25">
      <c r="B3157" s="10"/>
    </row>
    <row r="3158" spans="2:2" x14ac:dyDescent="0.25">
      <c r="B3158" s="10"/>
    </row>
    <row r="3159" spans="2:2" x14ac:dyDescent="0.25">
      <c r="B3159" s="10"/>
    </row>
    <row r="3160" spans="2:2" x14ac:dyDescent="0.25">
      <c r="B3160" s="10"/>
    </row>
    <row r="3161" spans="2:2" x14ac:dyDescent="0.25">
      <c r="B3161" s="10"/>
    </row>
    <row r="3162" spans="2:2" x14ac:dyDescent="0.25">
      <c r="B3162" s="10"/>
    </row>
    <row r="3163" spans="2:2" x14ac:dyDescent="0.25">
      <c r="B3163" s="10"/>
    </row>
    <row r="3164" spans="2:2" x14ac:dyDescent="0.25">
      <c r="B3164" s="10"/>
    </row>
    <row r="3165" spans="2:2" x14ac:dyDescent="0.25">
      <c r="B3165" s="10"/>
    </row>
    <row r="3166" spans="2:2" x14ac:dyDescent="0.25">
      <c r="B3166" s="10"/>
    </row>
    <row r="3167" spans="2:2" x14ac:dyDescent="0.25">
      <c r="B3167" s="10"/>
    </row>
    <row r="3168" spans="2:2" x14ac:dyDescent="0.25">
      <c r="B3168" s="10"/>
    </row>
    <row r="3169" spans="2:2" x14ac:dyDescent="0.25">
      <c r="B3169" s="10"/>
    </row>
    <row r="3170" spans="2:2" x14ac:dyDescent="0.25">
      <c r="B3170" s="10"/>
    </row>
    <row r="3171" spans="2:2" x14ac:dyDescent="0.25">
      <c r="B3171" s="10"/>
    </row>
    <row r="3172" spans="2:2" x14ac:dyDescent="0.25">
      <c r="B3172" s="10"/>
    </row>
    <row r="3173" spans="2:2" x14ac:dyDescent="0.25">
      <c r="B3173" s="10"/>
    </row>
    <row r="3174" spans="2:2" x14ac:dyDescent="0.25">
      <c r="B3174" s="10"/>
    </row>
    <row r="3175" spans="2:2" x14ac:dyDescent="0.25">
      <c r="B3175" s="10"/>
    </row>
    <row r="3176" spans="2:2" x14ac:dyDescent="0.25">
      <c r="B3176" s="10"/>
    </row>
    <row r="3177" spans="2:2" x14ac:dyDescent="0.25">
      <c r="B3177" s="10"/>
    </row>
    <row r="3178" spans="2:2" x14ac:dyDescent="0.25">
      <c r="B3178" s="10"/>
    </row>
    <row r="3179" spans="2:2" x14ac:dyDescent="0.25">
      <c r="B3179" s="10"/>
    </row>
    <row r="3180" spans="2:2" x14ac:dyDescent="0.25">
      <c r="B3180" s="10"/>
    </row>
    <row r="3181" spans="2:2" x14ac:dyDescent="0.25">
      <c r="B3181" s="10"/>
    </row>
    <row r="3182" spans="2:2" x14ac:dyDescent="0.25">
      <c r="B3182" s="10"/>
    </row>
    <row r="3183" spans="2:2" x14ac:dyDescent="0.25">
      <c r="B3183" s="10"/>
    </row>
    <row r="3184" spans="2:2" x14ac:dyDescent="0.25">
      <c r="B3184" s="10"/>
    </row>
    <row r="3185" spans="2:2" x14ac:dyDescent="0.25">
      <c r="B3185" s="10"/>
    </row>
    <row r="3186" spans="2:2" x14ac:dyDescent="0.25">
      <c r="B3186" s="10"/>
    </row>
    <row r="3187" spans="2:2" x14ac:dyDescent="0.25">
      <c r="B3187" s="10"/>
    </row>
    <row r="3188" spans="2:2" x14ac:dyDescent="0.25">
      <c r="B3188" s="10"/>
    </row>
    <row r="3189" spans="2:2" x14ac:dyDescent="0.25">
      <c r="B3189" s="10"/>
    </row>
    <row r="3190" spans="2:2" x14ac:dyDescent="0.25">
      <c r="B3190" s="10"/>
    </row>
    <row r="3191" spans="2:2" x14ac:dyDescent="0.25">
      <c r="B3191" s="10"/>
    </row>
    <row r="3192" spans="2:2" x14ac:dyDescent="0.25">
      <c r="B3192" s="10"/>
    </row>
    <row r="3193" spans="2:2" x14ac:dyDescent="0.25">
      <c r="B3193" s="10"/>
    </row>
    <row r="3194" spans="2:2" x14ac:dyDescent="0.25">
      <c r="B3194" s="10"/>
    </row>
    <row r="3195" spans="2:2" x14ac:dyDescent="0.25">
      <c r="B3195" s="10"/>
    </row>
    <row r="3196" spans="2:2" x14ac:dyDescent="0.25">
      <c r="B3196" s="10"/>
    </row>
    <row r="3197" spans="2:2" x14ac:dyDescent="0.25">
      <c r="B3197" s="10"/>
    </row>
    <row r="3198" spans="2:2" x14ac:dyDescent="0.25">
      <c r="B3198" s="10"/>
    </row>
    <row r="3199" spans="2:2" x14ac:dyDescent="0.25">
      <c r="B3199" s="10"/>
    </row>
    <row r="3200" spans="2:2" x14ac:dyDescent="0.25">
      <c r="B3200" s="10"/>
    </row>
    <row r="3201" spans="2:2" x14ac:dyDescent="0.25">
      <c r="B3201" s="10"/>
    </row>
    <row r="3202" spans="2:2" x14ac:dyDescent="0.25">
      <c r="B3202" s="10"/>
    </row>
    <row r="3203" spans="2:2" x14ac:dyDescent="0.25">
      <c r="B3203" s="10"/>
    </row>
    <row r="3204" spans="2:2" x14ac:dyDescent="0.25">
      <c r="B3204" s="10"/>
    </row>
    <row r="3205" spans="2:2" x14ac:dyDescent="0.25">
      <c r="B3205" s="10"/>
    </row>
    <row r="3206" spans="2:2" x14ac:dyDescent="0.25">
      <c r="B3206" s="10"/>
    </row>
    <row r="3207" spans="2:2" x14ac:dyDescent="0.25">
      <c r="B3207" s="10"/>
    </row>
    <row r="3208" spans="2:2" x14ac:dyDescent="0.25">
      <c r="B3208" s="10"/>
    </row>
    <row r="3209" spans="2:2" x14ac:dyDescent="0.25">
      <c r="B3209" s="10"/>
    </row>
    <row r="3210" spans="2:2" x14ac:dyDescent="0.25">
      <c r="B3210" s="10"/>
    </row>
    <row r="3211" spans="2:2" x14ac:dyDescent="0.25">
      <c r="B3211" s="10"/>
    </row>
    <row r="3212" spans="2:2" x14ac:dyDescent="0.25">
      <c r="B3212" s="10"/>
    </row>
    <row r="3213" spans="2:2" x14ac:dyDescent="0.25">
      <c r="B3213" s="10"/>
    </row>
    <row r="3214" spans="2:2" x14ac:dyDescent="0.25">
      <c r="B3214" s="10"/>
    </row>
    <row r="3215" spans="2:2" x14ac:dyDescent="0.25">
      <c r="B3215" s="10"/>
    </row>
    <row r="3216" spans="2:2" x14ac:dyDescent="0.25">
      <c r="B3216" s="10"/>
    </row>
    <row r="3217" spans="2:2" x14ac:dyDescent="0.25">
      <c r="B3217" s="10"/>
    </row>
    <row r="3218" spans="2:2" x14ac:dyDescent="0.25">
      <c r="B3218" s="10"/>
    </row>
    <row r="3219" spans="2:2" x14ac:dyDescent="0.25">
      <c r="B3219" s="10"/>
    </row>
    <row r="3220" spans="2:2" x14ac:dyDescent="0.25">
      <c r="B3220" s="10"/>
    </row>
    <row r="3221" spans="2:2" x14ac:dyDescent="0.25">
      <c r="B3221" s="10"/>
    </row>
    <row r="3222" spans="2:2" x14ac:dyDescent="0.25">
      <c r="B3222" s="10"/>
    </row>
    <row r="3223" spans="2:2" x14ac:dyDescent="0.25">
      <c r="B3223" s="10"/>
    </row>
    <row r="3224" spans="2:2" x14ac:dyDescent="0.25">
      <c r="B3224" s="10"/>
    </row>
    <row r="3225" spans="2:2" x14ac:dyDescent="0.25">
      <c r="B3225" s="10"/>
    </row>
    <row r="3226" spans="2:2" x14ac:dyDescent="0.25">
      <c r="B3226" s="10"/>
    </row>
    <row r="3227" spans="2:2" x14ac:dyDescent="0.25">
      <c r="B3227" s="10"/>
    </row>
    <row r="3228" spans="2:2" x14ac:dyDescent="0.25">
      <c r="B3228" s="10"/>
    </row>
    <row r="3229" spans="2:2" x14ac:dyDescent="0.25">
      <c r="B3229" s="10"/>
    </row>
    <row r="3230" spans="2:2" x14ac:dyDescent="0.25">
      <c r="B3230" s="10"/>
    </row>
    <row r="3231" spans="2:2" x14ac:dyDescent="0.25">
      <c r="B3231" s="10"/>
    </row>
    <row r="3232" spans="2:2" x14ac:dyDescent="0.25">
      <c r="B3232" s="10"/>
    </row>
    <row r="3233" spans="2:2" x14ac:dyDescent="0.25">
      <c r="B3233" s="10"/>
    </row>
    <row r="3234" spans="2:2" x14ac:dyDescent="0.25">
      <c r="B3234" s="10"/>
    </row>
    <row r="3235" spans="2:2" x14ac:dyDescent="0.25">
      <c r="B3235" s="10"/>
    </row>
    <row r="3236" spans="2:2" x14ac:dyDescent="0.25">
      <c r="B3236" s="10"/>
    </row>
    <row r="3237" spans="2:2" x14ac:dyDescent="0.25">
      <c r="B3237" s="10"/>
    </row>
    <row r="3238" spans="2:2" x14ac:dyDescent="0.25">
      <c r="B3238" s="10"/>
    </row>
    <row r="3239" spans="2:2" x14ac:dyDescent="0.25">
      <c r="B3239" s="10"/>
    </row>
    <row r="3240" spans="2:2" x14ac:dyDescent="0.25">
      <c r="B3240" s="10"/>
    </row>
    <row r="3241" spans="2:2" x14ac:dyDescent="0.25">
      <c r="B3241" s="10"/>
    </row>
    <row r="3242" spans="2:2" x14ac:dyDescent="0.25">
      <c r="B3242" s="10"/>
    </row>
    <row r="3243" spans="2:2" x14ac:dyDescent="0.25">
      <c r="B3243" s="10"/>
    </row>
    <row r="3244" spans="2:2" x14ac:dyDescent="0.25">
      <c r="B3244" s="10"/>
    </row>
    <row r="3245" spans="2:2" x14ac:dyDescent="0.25">
      <c r="B3245" s="10"/>
    </row>
    <row r="3246" spans="2:2" x14ac:dyDescent="0.25">
      <c r="B3246" s="10"/>
    </row>
    <row r="3247" spans="2:2" x14ac:dyDescent="0.25">
      <c r="B3247" s="10"/>
    </row>
    <row r="3248" spans="2:2" x14ac:dyDescent="0.25">
      <c r="B3248" s="10"/>
    </row>
    <row r="3249" spans="2:2" x14ac:dyDescent="0.25">
      <c r="B3249" s="10"/>
    </row>
    <row r="3250" spans="2:2" x14ac:dyDescent="0.25">
      <c r="B3250" s="10"/>
    </row>
    <row r="3251" spans="2:2" x14ac:dyDescent="0.25">
      <c r="B3251" s="10"/>
    </row>
    <row r="3252" spans="2:2" x14ac:dyDescent="0.25">
      <c r="B3252" s="10"/>
    </row>
    <row r="3253" spans="2:2" x14ac:dyDescent="0.25">
      <c r="B3253" s="10"/>
    </row>
    <row r="3254" spans="2:2" x14ac:dyDescent="0.25">
      <c r="B3254" s="10"/>
    </row>
    <row r="3255" spans="2:2" x14ac:dyDescent="0.25">
      <c r="B3255" s="10"/>
    </row>
    <row r="3256" spans="2:2" x14ac:dyDescent="0.25">
      <c r="B3256" s="10"/>
    </row>
    <row r="3257" spans="2:2" x14ac:dyDescent="0.25">
      <c r="B3257" s="10"/>
    </row>
    <row r="3258" spans="2:2" x14ac:dyDescent="0.25">
      <c r="B3258" s="10"/>
    </row>
    <row r="3259" spans="2:2" x14ac:dyDescent="0.25">
      <c r="B3259" s="10"/>
    </row>
    <row r="3260" spans="2:2" x14ac:dyDescent="0.25">
      <c r="B3260" s="10"/>
    </row>
    <row r="3261" spans="2:2" x14ac:dyDescent="0.25">
      <c r="B3261" s="10"/>
    </row>
    <row r="3262" spans="2:2" x14ac:dyDescent="0.25">
      <c r="B3262" s="10"/>
    </row>
    <row r="3263" spans="2:2" x14ac:dyDescent="0.25">
      <c r="B3263" s="10"/>
    </row>
    <row r="3264" spans="2:2" x14ac:dyDescent="0.25">
      <c r="B3264" s="10"/>
    </row>
    <row r="3265" spans="2:2" x14ac:dyDescent="0.25">
      <c r="B3265" s="10"/>
    </row>
    <row r="3266" spans="2:2" x14ac:dyDescent="0.25">
      <c r="B3266" s="10"/>
    </row>
    <row r="3267" spans="2:2" x14ac:dyDescent="0.25">
      <c r="B3267" s="10"/>
    </row>
    <row r="3268" spans="2:2" x14ac:dyDescent="0.25">
      <c r="B3268" s="10"/>
    </row>
    <row r="3269" spans="2:2" x14ac:dyDescent="0.25">
      <c r="B3269" s="10"/>
    </row>
    <row r="3270" spans="2:2" x14ac:dyDescent="0.25">
      <c r="B3270" s="10"/>
    </row>
    <row r="3271" spans="2:2" x14ac:dyDescent="0.25">
      <c r="B3271" s="10"/>
    </row>
    <row r="3272" spans="2:2" x14ac:dyDescent="0.25">
      <c r="B3272" s="10"/>
    </row>
    <row r="3273" spans="2:2" x14ac:dyDescent="0.25">
      <c r="B3273" s="10"/>
    </row>
    <row r="3274" spans="2:2" x14ac:dyDescent="0.25">
      <c r="B3274" s="10"/>
    </row>
    <row r="3275" spans="2:2" x14ac:dyDescent="0.25">
      <c r="B3275" s="10"/>
    </row>
    <row r="3276" spans="2:2" x14ac:dyDescent="0.25">
      <c r="B3276" s="10"/>
    </row>
    <row r="3277" spans="2:2" x14ac:dyDescent="0.25">
      <c r="B3277" s="10"/>
    </row>
    <row r="3278" spans="2:2" x14ac:dyDescent="0.25">
      <c r="B3278" s="10"/>
    </row>
    <row r="3279" spans="2:2" x14ac:dyDescent="0.25">
      <c r="B3279" s="10"/>
    </row>
    <row r="3280" spans="2:2" x14ac:dyDescent="0.25">
      <c r="B3280" s="10"/>
    </row>
    <row r="3281" spans="2:2" x14ac:dyDescent="0.25">
      <c r="B3281" s="10"/>
    </row>
    <row r="3282" spans="2:2" x14ac:dyDescent="0.25">
      <c r="B3282" s="10"/>
    </row>
    <row r="3283" spans="2:2" x14ac:dyDescent="0.25">
      <c r="B3283" s="10"/>
    </row>
    <row r="3284" spans="2:2" x14ac:dyDescent="0.25">
      <c r="B3284" s="10"/>
    </row>
    <row r="3285" spans="2:2" x14ac:dyDescent="0.25">
      <c r="B3285" s="10"/>
    </row>
    <row r="3286" spans="2:2" x14ac:dyDescent="0.25">
      <c r="B3286" s="10"/>
    </row>
    <row r="3287" spans="2:2" x14ac:dyDescent="0.25">
      <c r="B3287" s="10"/>
    </row>
    <row r="3288" spans="2:2" x14ac:dyDescent="0.25">
      <c r="B3288" s="10"/>
    </row>
    <row r="3289" spans="2:2" x14ac:dyDescent="0.25">
      <c r="B3289" s="10"/>
    </row>
    <row r="3290" spans="2:2" x14ac:dyDescent="0.25">
      <c r="B3290" s="10"/>
    </row>
    <row r="3291" spans="2:2" x14ac:dyDescent="0.25">
      <c r="B3291" s="10"/>
    </row>
    <row r="3292" spans="2:2" x14ac:dyDescent="0.25">
      <c r="B3292" s="10"/>
    </row>
    <row r="3293" spans="2:2" x14ac:dyDescent="0.25">
      <c r="B3293" s="10"/>
    </row>
    <row r="3294" spans="2:2" x14ac:dyDescent="0.25">
      <c r="B3294" s="10"/>
    </row>
    <row r="3295" spans="2:2" x14ac:dyDescent="0.25">
      <c r="B3295" s="10"/>
    </row>
    <row r="3296" spans="2:2" x14ac:dyDescent="0.25">
      <c r="B3296" s="10"/>
    </row>
    <row r="3297" spans="2:2" x14ac:dyDescent="0.25">
      <c r="B3297" s="10"/>
    </row>
    <row r="3298" spans="2:2" x14ac:dyDescent="0.25">
      <c r="B3298" s="10"/>
    </row>
    <row r="3299" spans="2:2" x14ac:dyDescent="0.25">
      <c r="B3299" s="10"/>
    </row>
    <row r="3300" spans="2:2" x14ac:dyDescent="0.25">
      <c r="B3300" s="10"/>
    </row>
    <row r="3301" spans="2:2" x14ac:dyDescent="0.25">
      <c r="B3301" s="10"/>
    </row>
    <row r="3302" spans="2:2" x14ac:dyDescent="0.25">
      <c r="B3302" s="10"/>
    </row>
    <row r="3303" spans="2:2" x14ac:dyDescent="0.25">
      <c r="B3303" s="10"/>
    </row>
    <row r="3304" spans="2:2" x14ac:dyDescent="0.25">
      <c r="B3304" s="10"/>
    </row>
    <row r="3305" spans="2:2" x14ac:dyDescent="0.25">
      <c r="B3305" s="10"/>
    </row>
    <row r="3306" spans="2:2" x14ac:dyDescent="0.25">
      <c r="B3306" s="10"/>
    </row>
    <row r="3307" spans="2:2" x14ac:dyDescent="0.25">
      <c r="B3307" s="10"/>
    </row>
    <row r="3308" spans="2:2" x14ac:dyDescent="0.25">
      <c r="B3308" s="10"/>
    </row>
    <row r="3309" spans="2:2" x14ac:dyDescent="0.25">
      <c r="B3309" s="10"/>
    </row>
    <row r="3310" spans="2:2" x14ac:dyDescent="0.25">
      <c r="B3310" s="10"/>
    </row>
    <row r="3311" spans="2:2" x14ac:dyDescent="0.25">
      <c r="B3311" s="10"/>
    </row>
    <row r="3312" spans="2:2" x14ac:dyDescent="0.25">
      <c r="B3312" s="10"/>
    </row>
    <row r="3313" spans="2:2" x14ac:dyDescent="0.25">
      <c r="B3313" s="10"/>
    </row>
    <row r="3314" spans="2:2" x14ac:dyDescent="0.25">
      <c r="B3314" s="10"/>
    </row>
    <row r="3315" spans="2:2" x14ac:dyDescent="0.25">
      <c r="B3315" s="10"/>
    </row>
    <row r="3316" spans="2:2" x14ac:dyDescent="0.25">
      <c r="B3316" s="10"/>
    </row>
    <row r="3317" spans="2:2" x14ac:dyDescent="0.25">
      <c r="B3317" s="10"/>
    </row>
    <row r="3318" spans="2:2" x14ac:dyDescent="0.25">
      <c r="B3318" s="10"/>
    </row>
    <row r="3319" spans="2:2" x14ac:dyDescent="0.25">
      <c r="B3319" s="10"/>
    </row>
    <row r="3320" spans="2:2" x14ac:dyDescent="0.25">
      <c r="B3320" s="10"/>
    </row>
    <row r="3321" spans="2:2" x14ac:dyDescent="0.25">
      <c r="B3321" s="10"/>
    </row>
    <row r="3322" spans="2:2" x14ac:dyDescent="0.25">
      <c r="B3322" s="10"/>
    </row>
    <row r="3323" spans="2:2" x14ac:dyDescent="0.25">
      <c r="B3323" s="10"/>
    </row>
    <row r="3324" spans="2:2" x14ac:dyDescent="0.25">
      <c r="B3324" s="10"/>
    </row>
    <row r="3325" spans="2:2" x14ac:dyDescent="0.25">
      <c r="B3325" s="10"/>
    </row>
    <row r="3326" spans="2:2" x14ac:dyDescent="0.25">
      <c r="B3326" s="10"/>
    </row>
    <row r="3327" spans="2:2" x14ac:dyDescent="0.25">
      <c r="B3327" s="10"/>
    </row>
    <row r="3328" spans="2:2" x14ac:dyDescent="0.25">
      <c r="B3328" s="10"/>
    </row>
    <row r="3329" spans="2:2" x14ac:dyDescent="0.25">
      <c r="B3329" s="10"/>
    </row>
    <row r="3330" spans="2:2" x14ac:dyDescent="0.25">
      <c r="B3330" s="10"/>
    </row>
    <row r="3331" spans="2:2" x14ac:dyDescent="0.25">
      <c r="B3331" s="10"/>
    </row>
    <row r="3332" spans="2:2" x14ac:dyDescent="0.25">
      <c r="B3332" s="10"/>
    </row>
    <row r="3333" spans="2:2" x14ac:dyDescent="0.25">
      <c r="B3333" s="10"/>
    </row>
    <row r="3334" spans="2:2" x14ac:dyDescent="0.25">
      <c r="B3334" s="10"/>
    </row>
    <row r="3335" spans="2:2" x14ac:dyDescent="0.25">
      <c r="B3335" s="10"/>
    </row>
    <row r="3336" spans="2:2" x14ac:dyDescent="0.25">
      <c r="B3336" s="10"/>
    </row>
    <row r="3337" spans="2:2" x14ac:dyDescent="0.25">
      <c r="B3337" s="10"/>
    </row>
    <row r="3338" spans="2:2" x14ac:dyDescent="0.25">
      <c r="B3338" s="10"/>
    </row>
    <row r="3339" spans="2:2" x14ac:dyDescent="0.25">
      <c r="B3339" s="10"/>
    </row>
    <row r="3340" spans="2:2" x14ac:dyDescent="0.25">
      <c r="B3340" s="10"/>
    </row>
    <row r="3341" spans="2:2" x14ac:dyDescent="0.25">
      <c r="B3341" s="10"/>
    </row>
    <row r="3342" spans="2:2" x14ac:dyDescent="0.25">
      <c r="B3342" s="10"/>
    </row>
    <row r="3343" spans="2:2" x14ac:dyDescent="0.25">
      <c r="B3343" s="10"/>
    </row>
    <row r="3344" spans="2:2" x14ac:dyDescent="0.25">
      <c r="B3344" s="10"/>
    </row>
    <row r="3345" spans="2:2" x14ac:dyDescent="0.25">
      <c r="B3345" s="10"/>
    </row>
    <row r="3346" spans="2:2" x14ac:dyDescent="0.25">
      <c r="B3346" s="10"/>
    </row>
    <row r="3347" spans="2:2" x14ac:dyDescent="0.25">
      <c r="B3347" s="10"/>
    </row>
    <row r="3348" spans="2:2" x14ac:dyDescent="0.25">
      <c r="B3348" s="10"/>
    </row>
    <row r="3349" spans="2:2" x14ac:dyDescent="0.25">
      <c r="B3349" s="10"/>
    </row>
    <row r="3350" spans="2:2" x14ac:dyDescent="0.25">
      <c r="B3350" s="10"/>
    </row>
    <row r="3351" spans="2:2" x14ac:dyDescent="0.25">
      <c r="B3351" s="10"/>
    </row>
    <row r="3352" spans="2:2" x14ac:dyDescent="0.25">
      <c r="B3352" s="10"/>
    </row>
    <row r="3353" spans="2:2" x14ac:dyDescent="0.25">
      <c r="B3353" s="10"/>
    </row>
    <row r="3354" spans="2:2" x14ac:dyDescent="0.25">
      <c r="B3354" s="10"/>
    </row>
    <row r="3355" spans="2:2" x14ac:dyDescent="0.25">
      <c r="B3355" s="10"/>
    </row>
    <row r="3356" spans="2:2" x14ac:dyDescent="0.25">
      <c r="B3356" s="10"/>
    </row>
    <row r="3357" spans="2:2" x14ac:dyDescent="0.25">
      <c r="B3357" s="10"/>
    </row>
    <row r="3358" spans="2:2" x14ac:dyDescent="0.25">
      <c r="B3358" s="10"/>
    </row>
    <row r="3359" spans="2:2" x14ac:dyDescent="0.25">
      <c r="B3359" s="10"/>
    </row>
    <row r="3360" spans="2:2" x14ac:dyDescent="0.25">
      <c r="B3360" s="10"/>
    </row>
    <row r="3361" spans="2:2" x14ac:dyDescent="0.25">
      <c r="B3361" s="10"/>
    </row>
    <row r="3362" spans="2:2" x14ac:dyDescent="0.25">
      <c r="B3362" s="10"/>
    </row>
    <row r="3363" spans="2:2" x14ac:dyDescent="0.25">
      <c r="B3363" s="10"/>
    </row>
    <row r="3364" spans="2:2" x14ac:dyDescent="0.25">
      <c r="B3364" s="10"/>
    </row>
    <row r="3365" spans="2:2" x14ac:dyDescent="0.25">
      <c r="B3365" s="10"/>
    </row>
    <row r="3366" spans="2:2" x14ac:dyDescent="0.25">
      <c r="B3366" s="10"/>
    </row>
    <row r="3367" spans="2:2" x14ac:dyDescent="0.25">
      <c r="B3367" s="10"/>
    </row>
    <row r="3368" spans="2:2" x14ac:dyDescent="0.25">
      <c r="B3368" s="10"/>
    </row>
    <row r="3369" spans="2:2" x14ac:dyDescent="0.25">
      <c r="B3369" s="10"/>
    </row>
    <row r="3370" spans="2:2" x14ac:dyDescent="0.25">
      <c r="B3370" s="10"/>
    </row>
    <row r="3371" spans="2:2" x14ac:dyDescent="0.25">
      <c r="B3371" s="10"/>
    </row>
    <row r="3372" spans="2:2" x14ac:dyDescent="0.25">
      <c r="B3372" s="10"/>
    </row>
    <row r="3373" spans="2:2" x14ac:dyDescent="0.25">
      <c r="B3373" s="10"/>
    </row>
    <row r="3374" spans="2:2" x14ac:dyDescent="0.25">
      <c r="B3374" s="10"/>
    </row>
    <row r="3375" spans="2:2" x14ac:dyDescent="0.25">
      <c r="B3375" s="10"/>
    </row>
    <row r="3376" spans="2:2" x14ac:dyDescent="0.25">
      <c r="B3376" s="10"/>
    </row>
    <row r="3377" spans="2:2" x14ac:dyDescent="0.25">
      <c r="B3377" s="10"/>
    </row>
    <row r="3378" spans="2:2" x14ac:dyDescent="0.25">
      <c r="B3378" s="10"/>
    </row>
    <row r="3379" spans="2:2" x14ac:dyDescent="0.25">
      <c r="B3379" s="10"/>
    </row>
    <row r="3380" spans="2:2" x14ac:dyDescent="0.25">
      <c r="B3380" s="10"/>
    </row>
    <row r="3381" spans="2:2" x14ac:dyDescent="0.25">
      <c r="B3381" s="10"/>
    </row>
    <row r="3382" spans="2:2" x14ac:dyDescent="0.25">
      <c r="B3382" s="10"/>
    </row>
    <row r="3383" spans="2:2" x14ac:dyDescent="0.25">
      <c r="B3383" s="10"/>
    </row>
    <row r="3384" spans="2:2" x14ac:dyDescent="0.25">
      <c r="B3384" s="10"/>
    </row>
    <row r="3385" spans="2:2" x14ac:dyDescent="0.25">
      <c r="B3385" s="10"/>
    </row>
    <row r="3386" spans="2:2" x14ac:dyDescent="0.25">
      <c r="B3386" s="10"/>
    </row>
    <row r="3387" spans="2:2" x14ac:dyDescent="0.25">
      <c r="B3387" s="10"/>
    </row>
    <row r="3388" spans="2:2" x14ac:dyDescent="0.25">
      <c r="B3388" s="10"/>
    </row>
    <row r="3389" spans="2:2" x14ac:dyDescent="0.25">
      <c r="B3389" s="10"/>
    </row>
    <row r="3390" spans="2:2" x14ac:dyDescent="0.25">
      <c r="B3390" s="10"/>
    </row>
    <row r="3391" spans="2:2" x14ac:dyDescent="0.25">
      <c r="B3391" s="10"/>
    </row>
    <row r="3392" spans="2:2" x14ac:dyDescent="0.25">
      <c r="B3392" s="10"/>
    </row>
    <row r="3393" spans="2:2" x14ac:dyDescent="0.25">
      <c r="B3393" s="10"/>
    </row>
    <row r="3394" spans="2:2" x14ac:dyDescent="0.25">
      <c r="B3394" s="10"/>
    </row>
    <row r="3395" spans="2:2" x14ac:dyDescent="0.25">
      <c r="B3395" s="10"/>
    </row>
    <row r="3396" spans="2:2" x14ac:dyDescent="0.25">
      <c r="B3396" s="10"/>
    </row>
    <row r="3397" spans="2:2" x14ac:dyDescent="0.25">
      <c r="B3397" s="10"/>
    </row>
    <row r="3398" spans="2:2" x14ac:dyDescent="0.25">
      <c r="B3398" s="10"/>
    </row>
    <row r="3399" spans="2:2" x14ac:dyDescent="0.25">
      <c r="B3399" s="10"/>
    </row>
    <row r="3400" spans="2:2" x14ac:dyDescent="0.25">
      <c r="B3400" s="10"/>
    </row>
    <row r="3401" spans="2:2" x14ac:dyDescent="0.25">
      <c r="B3401" s="10"/>
    </row>
    <row r="3402" spans="2:2" x14ac:dyDescent="0.25">
      <c r="B3402" s="10"/>
    </row>
    <row r="3403" spans="2:2" x14ac:dyDescent="0.25">
      <c r="B3403" s="10"/>
    </row>
    <row r="3404" spans="2:2" x14ac:dyDescent="0.25">
      <c r="B3404" s="10"/>
    </row>
    <row r="3405" spans="2:2" x14ac:dyDescent="0.25">
      <c r="B3405" s="10"/>
    </row>
    <row r="3406" spans="2:2" x14ac:dyDescent="0.25">
      <c r="B3406" s="10"/>
    </row>
    <row r="3407" spans="2:2" x14ac:dyDescent="0.25">
      <c r="B3407" s="10"/>
    </row>
    <row r="3408" spans="2:2" x14ac:dyDescent="0.25">
      <c r="B3408" s="10"/>
    </row>
    <row r="3409" spans="2:2" x14ac:dyDescent="0.25">
      <c r="B3409" s="10"/>
    </row>
    <row r="3410" spans="2:2" x14ac:dyDescent="0.25">
      <c r="B3410" s="10"/>
    </row>
    <row r="3411" spans="2:2" x14ac:dyDescent="0.25">
      <c r="B3411" s="10"/>
    </row>
    <row r="3412" spans="2:2" x14ac:dyDescent="0.25">
      <c r="B3412" s="10"/>
    </row>
    <row r="3413" spans="2:2" x14ac:dyDescent="0.25">
      <c r="B3413" s="10"/>
    </row>
    <row r="3414" spans="2:2" x14ac:dyDescent="0.25">
      <c r="B3414" s="10"/>
    </row>
    <row r="3415" spans="2:2" x14ac:dyDescent="0.25">
      <c r="B3415" s="10"/>
    </row>
    <row r="3416" spans="2:2" x14ac:dyDescent="0.25">
      <c r="B3416" s="10"/>
    </row>
    <row r="3417" spans="2:2" x14ac:dyDescent="0.25">
      <c r="B3417" s="10"/>
    </row>
    <row r="3418" spans="2:2" x14ac:dyDescent="0.25">
      <c r="B3418" s="10"/>
    </row>
    <row r="3419" spans="2:2" x14ac:dyDescent="0.25">
      <c r="B3419" s="10"/>
    </row>
    <row r="3420" spans="2:2" x14ac:dyDescent="0.25">
      <c r="B3420" s="10"/>
    </row>
    <row r="3421" spans="2:2" x14ac:dyDescent="0.25">
      <c r="B3421" s="10"/>
    </row>
    <row r="3422" spans="2:2" x14ac:dyDescent="0.25">
      <c r="B3422" s="10"/>
    </row>
    <row r="3423" spans="2:2" x14ac:dyDescent="0.25">
      <c r="B3423" s="10"/>
    </row>
    <row r="3424" spans="2:2" x14ac:dyDescent="0.25">
      <c r="B3424" s="10"/>
    </row>
    <row r="3425" spans="2:2" x14ac:dyDescent="0.25">
      <c r="B3425" s="10"/>
    </row>
    <row r="3426" spans="2:2" x14ac:dyDescent="0.25">
      <c r="B3426" s="10"/>
    </row>
    <row r="3427" spans="2:2" x14ac:dyDescent="0.25">
      <c r="B3427" s="10"/>
    </row>
    <row r="3428" spans="2:2" x14ac:dyDescent="0.25">
      <c r="B3428" s="10"/>
    </row>
    <row r="3429" spans="2:2" x14ac:dyDescent="0.25">
      <c r="B3429" s="10"/>
    </row>
    <row r="3430" spans="2:2" x14ac:dyDescent="0.25">
      <c r="B3430" s="10"/>
    </row>
    <row r="3431" spans="2:2" x14ac:dyDescent="0.25">
      <c r="B3431" s="10"/>
    </row>
    <row r="3432" spans="2:2" x14ac:dyDescent="0.25">
      <c r="B3432" s="10"/>
    </row>
    <row r="3433" spans="2:2" x14ac:dyDescent="0.25">
      <c r="B3433" s="10"/>
    </row>
    <row r="3434" spans="2:2" x14ac:dyDescent="0.25">
      <c r="B3434" s="10"/>
    </row>
    <row r="3435" spans="2:2" x14ac:dyDescent="0.25">
      <c r="B3435" s="10"/>
    </row>
    <row r="3436" spans="2:2" x14ac:dyDescent="0.25">
      <c r="B3436" s="10"/>
    </row>
    <row r="3437" spans="2:2" x14ac:dyDescent="0.25">
      <c r="B3437" s="10"/>
    </row>
    <row r="3438" spans="2:2" x14ac:dyDescent="0.25">
      <c r="B3438" s="10"/>
    </row>
    <row r="3439" spans="2:2" x14ac:dyDescent="0.25">
      <c r="B3439" s="10"/>
    </row>
    <row r="3440" spans="2:2" x14ac:dyDescent="0.25">
      <c r="B3440" s="10"/>
    </row>
    <row r="3441" spans="2:2" x14ac:dyDescent="0.25">
      <c r="B3441" s="10"/>
    </row>
    <row r="3442" spans="2:2" x14ac:dyDescent="0.25">
      <c r="B3442" s="10"/>
    </row>
    <row r="3443" spans="2:2" x14ac:dyDescent="0.25">
      <c r="B3443" s="10"/>
    </row>
    <row r="3444" spans="2:2" x14ac:dyDescent="0.25">
      <c r="B3444" s="10"/>
    </row>
    <row r="3445" spans="2:2" x14ac:dyDescent="0.25">
      <c r="B3445" s="10"/>
    </row>
    <row r="3446" spans="2:2" x14ac:dyDescent="0.25">
      <c r="B3446" s="10"/>
    </row>
    <row r="3447" spans="2:2" x14ac:dyDescent="0.25">
      <c r="B3447" s="10"/>
    </row>
    <row r="3448" spans="2:2" x14ac:dyDescent="0.25">
      <c r="B3448" s="10"/>
    </row>
    <row r="3449" spans="2:2" x14ac:dyDescent="0.25">
      <c r="B3449" s="10"/>
    </row>
    <row r="3450" spans="2:2" x14ac:dyDescent="0.25">
      <c r="B3450" s="10"/>
    </row>
    <row r="3451" spans="2:2" x14ac:dyDescent="0.25">
      <c r="B3451" s="10"/>
    </row>
    <row r="3452" spans="2:2" x14ac:dyDescent="0.25">
      <c r="B3452" s="10"/>
    </row>
    <row r="3453" spans="2:2" x14ac:dyDescent="0.25">
      <c r="B3453" s="10"/>
    </row>
    <row r="3454" spans="2:2" x14ac:dyDescent="0.25">
      <c r="B3454" s="10"/>
    </row>
    <row r="3455" spans="2:2" x14ac:dyDescent="0.25">
      <c r="B3455" s="10"/>
    </row>
    <row r="3456" spans="2:2" x14ac:dyDescent="0.25">
      <c r="B3456" s="10"/>
    </row>
    <row r="3457" spans="2:2" x14ac:dyDescent="0.25">
      <c r="B3457" s="10"/>
    </row>
    <row r="3458" spans="2:2" x14ac:dyDescent="0.25">
      <c r="B3458" s="10"/>
    </row>
    <row r="3459" spans="2:2" x14ac:dyDescent="0.25">
      <c r="B3459" s="10"/>
    </row>
    <row r="3460" spans="2:2" x14ac:dyDescent="0.25">
      <c r="B3460" s="10"/>
    </row>
    <row r="3461" spans="2:2" x14ac:dyDescent="0.25">
      <c r="B3461" s="10"/>
    </row>
    <row r="3462" spans="2:2" x14ac:dyDescent="0.25">
      <c r="B3462" s="10"/>
    </row>
    <row r="3463" spans="2:2" x14ac:dyDescent="0.25">
      <c r="B3463" s="10"/>
    </row>
    <row r="3464" spans="2:2" x14ac:dyDescent="0.25">
      <c r="B3464" s="10"/>
    </row>
    <row r="3465" spans="2:2" x14ac:dyDescent="0.25">
      <c r="B3465" s="10"/>
    </row>
    <row r="3466" spans="2:2" x14ac:dyDescent="0.25">
      <c r="B3466" s="10"/>
    </row>
    <row r="3467" spans="2:2" x14ac:dyDescent="0.25">
      <c r="B3467" s="10"/>
    </row>
    <row r="3468" spans="2:2" x14ac:dyDescent="0.25">
      <c r="B3468" s="10"/>
    </row>
    <row r="3469" spans="2:2" x14ac:dyDescent="0.25">
      <c r="B3469" s="10"/>
    </row>
    <row r="3470" spans="2:2" x14ac:dyDescent="0.25">
      <c r="B3470" s="10"/>
    </row>
    <row r="3471" spans="2:2" x14ac:dyDescent="0.25">
      <c r="B3471" s="10"/>
    </row>
    <row r="3472" spans="2:2" x14ac:dyDescent="0.25">
      <c r="B3472" s="10"/>
    </row>
    <row r="3473" spans="2:2" x14ac:dyDescent="0.25">
      <c r="B3473" s="10"/>
    </row>
    <row r="3474" spans="2:2" x14ac:dyDescent="0.25">
      <c r="B3474" s="10"/>
    </row>
    <row r="3475" spans="2:2" x14ac:dyDescent="0.25">
      <c r="B3475" s="10"/>
    </row>
    <row r="3476" spans="2:2" x14ac:dyDescent="0.25">
      <c r="B3476" s="10"/>
    </row>
    <row r="3477" spans="2:2" x14ac:dyDescent="0.25">
      <c r="B3477" s="10"/>
    </row>
    <row r="3478" spans="2:2" x14ac:dyDescent="0.25">
      <c r="B3478" s="10"/>
    </row>
    <row r="3479" spans="2:2" x14ac:dyDescent="0.25">
      <c r="B3479" s="10"/>
    </row>
    <row r="3480" spans="2:2" x14ac:dyDescent="0.25">
      <c r="B3480" s="10"/>
    </row>
    <row r="3481" spans="2:2" x14ac:dyDescent="0.25">
      <c r="B3481" s="10"/>
    </row>
    <row r="3482" spans="2:2" x14ac:dyDescent="0.25">
      <c r="B3482" s="10"/>
    </row>
    <row r="3483" spans="2:2" x14ac:dyDescent="0.25">
      <c r="B3483" s="10"/>
    </row>
    <row r="3484" spans="2:2" x14ac:dyDescent="0.25">
      <c r="B3484" s="10"/>
    </row>
    <row r="3485" spans="2:2" x14ac:dyDescent="0.25">
      <c r="B3485" s="10"/>
    </row>
    <row r="3486" spans="2:2" x14ac:dyDescent="0.25">
      <c r="B3486" s="10"/>
    </row>
    <row r="3487" spans="2:2" x14ac:dyDescent="0.25">
      <c r="B3487" s="10"/>
    </row>
    <row r="3488" spans="2:2" x14ac:dyDescent="0.25">
      <c r="B3488" s="10"/>
    </row>
    <row r="3489" spans="2:2" x14ac:dyDescent="0.25">
      <c r="B3489" s="10"/>
    </row>
    <row r="3490" spans="2:2" x14ac:dyDescent="0.25">
      <c r="B3490" s="10"/>
    </row>
    <row r="3491" spans="2:2" x14ac:dyDescent="0.25">
      <c r="B3491" s="10"/>
    </row>
    <row r="3492" spans="2:2" x14ac:dyDescent="0.25">
      <c r="B3492" s="10"/>
    </row>
    <row r="3493" spans="2:2" x14ac:dyDescent="0.25">
      <c r="B3493" s="10"/>
    </row>
    <row r="3494" spans="2:2" x14ac:dyDescent="0.25">
      <c r="B3494" s="10"/>
    </row>
    <row r="3495" spans="2:2" x14ac:dyDescent="0.25">
      <c r="B3495" s="10"/>
    </row>
    <row r="3496" spans="2:2" x14ac:dyDescent="0.25">
      <c r="B3496" s="10"/>
    </row>
    <row r="3497" spans="2:2" x14ac:dyDescent="0.25">
      <c r="B3497" s="10"/>
    </row>
    <row r="3498" spans="2:2" x14ac:dyDescent="0.25">
      <c r="B3498" s="10"/>
    </row>
    <row r="3499" spans="2:2" x14ac:dyDescent="0.25">
      <c r="B3499" s="10"/>
    </row>
    <row r="3500" spans="2:2" x14ac:dyDescent="0.25">
      <c r="B3500" s="10"/>
    </row>
    <row r="3501" spans="2:2" x14ac:dyDescent="0.25">
      <c r="B3501" s="10"/>
    </row>
    <row r="3502" spans="2:2" x14ac:dyDescent="0.25">
      <c r="B3502" s="10"/>
    </row>
    <row r="3503" spans="2:2" x14ac:dyDescent="0.25">
      <c r="B3503" s="10"/>
    </row>
    <row r="3504" spans="2:2" x14ac:dyDescent="0.25">
      <c r="B3504" s="10"/>
    </row>
    <row r="3505" spans="2:2" x14ac:dyDescent="0.25">
      <c r="B3505" s="10"/>
    </row>
    <row r="3506" spans="2:2" x14ac:dyDescent="0.25">
      <c r="B3506" s="10"/>
    </row>
    <row r="3507" spans="2:2" x14ac:dyDescent="0.25">
      <c r="B3507" s="10"/>
    </row>
    <row r="3508" spans="2:2" x14ac:dyDescent="0.25">
      <c r="B3508" s="10"/>
    </row>
    <row r="3509" spans="2:2" x14ac:dyDescent="0.25">
      <c r="B3509" s="10"/>
    </row>
    <row r="3510" spans="2:2" x14ac:dyDescent="0.25">
      <c r="B3510" s="10"/>
    </row>
    <row r="3511" spans="2:2" x14ac:dyDescent="0.25">
      <c r="B3511" s="10"/>
    </row>
    <row r="3512" spans="2:2" x14ac:dyDescent="0.25">
      <c r="B3512" s="10"/>
    </row>
    <row r="3513" spans="2:2" x14ac:dyDescent="0.25">
      <c r="B3513" s="10"/>
    </row>
    <row r="3514" spans="2:2" x14ac:dyDescent="0.25">
      <c r="B3514" s="10"/>
    </row>
    <row r="3515" spans="2:2" x14ac:dyDescent="0.25">
      <c r="B3515" s="10"/>
    </row>
    <row r="3516" spans="2:2" x14ac:dyDescent="0.25">
      <c r="B3516" s="10"/>
    </row>
    <row r="3517" spans="2:2" x14ac:dyDescent="0.25">
      <c r="B3517" s="10"/>
    </row>
    <row r="3518" spans="2:2" x14ac:dyDescent="0.25">
      <c r="B3518" s="10"/>
    </row>
    <row r="3519" spans="2:2" x14ac:dyDescent="0.25">
      <c r="B3519" s="10"/>
    </row>
    <row r="3520" spans="2:2" x14ac:dyDescent="0.25">
      <c r="B3520" s="10"/>
    </row>
    <row r="3521" spans="2:2" x14ac:dyDescent="0.25">
      <c r="B3521" s="10"/>
    </row>
    <row r="3522" spans="2:2" x14ac:dyDescent="0.25">
      <c r="B3522" s="10"/>
    </row>
    <row r="3523" spans="2:2" x14ac:dyDescent="0.25">
      <c r="B3523" s="10"/>
    </row>
    <row r="3524" spans="2:2" x14ac:dyDescent="0.25">
      <c r="B3524" s="10"/>
    </row>
    <row r="3525" spans="2:2" x14ac:dyDescent="0.25">
      <c r="B3525" s="10"/>
    </row>
    <row r="3526" spans="2:2" x14ac:dyDescent="0.25">
      <c r="B3526" s="10"/>
    </row>
    <row r="3527" spans="2:2" x14ac:dyDescent="0.25">
      <c r="B3527" s="10"/>
    </row>
    <row r="3528" spans="2:2" x14ac:dyDescent="0.25">
      <c r="B3528" s="10"/>
    </row>
    <row r="3529" spans="2:2" x14ac:dyDescent="0.25">
      <c r="B3529" s="10"/>
    </row>
    <row r="3530" spans="2:2" x14ac:dyDescent="0.25">
      <c r="B3530" s="10"/>
    </row>
    <row r="3531" spans="2:2" x14ac:dyDescent="0.25">
      <c r="B3531" s="10"/>
    </row>
    <row r="3532" spans="2:2" x14ac:dyDescent="0.25">
      <c r="B3532" s="10"/>
    </row>
    <row r="3533" spans="2:2" x14ac:dyDescent="0.25">
      <c r="B3533" s="10"/>
    </row>
    <row r="3534" spans="2:2" x14ac:dyDescent="0.25">
      <c r="B3534" s="10"/>
    </row>
    <row r="3535" spans="2:2" x14ac:dyDescent="0.25">
      <c r="B3535" s="10"/>
    </row>
    <row r="3536" spans="2:2" x14ac:dyDescent="0.25">
      <c r="B3536" s="10"/>
    </row>
    <row r="3537" spans="2:2" x14ac:dyDescent="0.25">
      <c r="B3537" s="10"/>
    </row>
    <row r="3538" spans="2:2" x14ac:dyDescent="0.25">
      <c r="B3538" s="10"/>
    </row>
    <row r="3539" spans="2:2" x14ac:dyDescent="0.25">
      <c r="B3539" s="10"/>
    </row>
    <row r="3540" spans="2:2" x14ac:dyDescent="0.25">
      <c r="B3540" s="10"/>
    </row>
    <row r="3541" spans="2:2" x14ac:dyDescent="0.25">
      <c r="B3541" s="10"/>
    </row>
    <row r="3542" spans="2:2" x14ac:dyDescent="0.25">
      <c r="B3542" s="10"/>
    </row>
    <row r="3543" spans="2:2" x14ac:dyDescent="0.25">
      <c r="B3543" s="10"/>
    </row>
    <row r="3544" spans="2:2" x14ac:dyDescent="0.25">
      <c r="B3544" s="10"/>
    </row>
    <row r="3545" spans="2:2" x14ac:dyDescent="0.25">
      <c r="B3545" s="10"/>
    </row>
    <row r="3546" spans="2:2" x14ac:dyDescent="0.25">
      <c r="B3546" s="10"/>
    </row>
    <row r="3547" spans="2:2" x14ac:dyDescent="0.25">
      <c r="B3547" s="10"/>
    </row>
    <row r="3548" spans="2:2" x14ac:dyDescent="0.25">
      <c r="B3548" s="10"/>
    </row>
    <row r="3549" spans="2:2" x14ac:dyDescent="0.25">
      <c r="B3549" s="10"/>
    </row>
    <row r="3550" spans="2:2" x14ac:dyDescent="0.25">
      <c r="B3550" s="10"/>
    </row>
    <row r="3551" spans="2:2" x14ac:dyDescent="0.25">
      <c r="B3551" s="10"/>
    </row>
    <row r="3552" spans="2:2" x14ac:dyDescent="0.25">
      <c r="B3552" s="10"/>
    </row>
    <row r="3553" spans="2:2" x14ac:dyDescent="0.25">
      <c r="B3553" s="10"/>
    </row>
    <row r="3554" spans="2:2" x14ac:dyDescent="0.25">
      <c r="B3554" s="10"/>
    </row>
    <row r="3555" spans="2:2" x14ac:dyDescent="0.25">
      <c r="B3555" s="10"/>
    </row>
    <row r="3556" spans="2:2" x14ac:dyDescent="0.25">
      <c r="B3556" s="10"/>
    </row>
    <row r="3557" spans="2:2" x14ac:dyDescent="0.25">
      <c r="B3557" s="10"/>
    </row>
    <row r="3558" spans="2:2" x14ac:dyDescent="0.25">
      <c r="B3558" s="10"/>
    </row>
    <row r="3559" spans="2:2" x14ac:dyDescent="0.25">
      <c r="B3559" s="10"/>
    </row>
    <row r="3560" spans="2:2" x14ac:dyDescent="0.25">
      <c r="B3560" s="10"/>
    </row>
    <row r="3561" spans="2:2" x14ac:dyDescent="0.25">
      <c r="B3561" s="10"/>
    </row>
    <row r="3562" spans="2:2" x14ac:dyDescent="0.25">
      <c r="B3562" s="10"/>
    </row>
    <row r="3563" spans="2:2" x14ac:dyDescent="0.25">
      <c r="B3563" s="10"/>
    </row>
    <row r="3564" spans="2:2" x14ac:dyDescent="0.25">
      <c r="B3564" s="10"/>
    </row>
    <row r="3565" spans="2:2" x14ac:dyDescent="0.25">
      <c r="B3565" s="10"/>
    </row>
    <row r="3566" spans="2:2" x14ac:dyDescent="0.25">
      <c r="B3566" s="10"/>
    </row>
    <row r="3567" spans="2:2" x14ac:dyDescent="0.25">
      <c r="B3567" s="10"/>
    </row>
    <row r="3568" spans="2:2" x14ac:dyDescent="0.25">
      <c r="B3568" s="10"/>
    </row>
    <row r="3569" spans="2:2" x14ac:dyDescent="0.25">
      <c r="B3569" s="10"/>
    </row>
    <row r="3570" spans="2:2" x14ac:dyDescent="0.25">
      <c r="B3570" s="10"/>
    </row>
    <row r="3571" spans="2:2" x14ac:dyDescent="0.25">
      <c r="B3571" s="10"/>
    </row>
    <row r="3572" spans="2:2" x14ac:dyDescent="0.25">
      <c r="B3572" s="10"/>
    </row>
    <row r="3573" spans="2:2" x14ac:dyDescent="0.25">
      <c r="B3573" s="10"/>
    </row>
    <row r="3574" spans="2:2" x14ac:dyDescent="0.25">
      <c r="B3574" s="10"/>
    </row>
    <row r="3575" spans="2:2" x14ac:dyDescent="0.25">
      <c r="B3575" s="10"/>
    </row>
    <row r="3576" spans="2:2" x14ac:dyDescent="0.25">
      <c r="B3576" s="10"/>
    </row>
    <row r="3577" spans="2:2" x14ac:dyDescent="0.25">
      <c r="B3577" s="10"/>
    </row>
    <row r="3578" spans="2:2" x14ac:dyDescent="0.25">
      <c r="B3578" s="10"/>
    </row>
    <row r="3579" spans="2:2" x14ac:dyDescent="0.25">
      <c r="B3579" s="10"/>
    </row>
    <row r="3580" spans="2:2" x14ac:dyDescent="0.25">
      <c r="B3580" s="10"/>
    </row>
    <row r="3581" spans="2:2" x14ac:dyDescent="0.25">
      <c r="B3581" s="10"/>
    </row>
    <row r="3582" spans="2:2" x14ac:dyDescent="0.25">
      <c r="B3582" s="10"/>
    </row>
    <row r="3583" spans="2:2" x14ac:dyDescent="0.25">
      <c r="B3583" s="10"/>
    </row>
    <row r="3584" spans="2:2" x14ac:dyDescent="0.25">
      <c r="B3584" s="10"/>
    </row>
    <row r="3585" spans="2:2" x14ac:dyDescent="0.25">
      <c r="B3585" s="10"/>
    </row>
    <row r="3586" spans="2:2" x14ac:dyDescent="0.25">
      <c r="B3586" s="10"/>
    </row>
    <row r="3587" spans="2:2" x14ac:dyDescent="0.25">
      <c r="B3587" s="10"/>
    </row>
    <row r="3588" spans="2:2" x14ac:dyDescent="0.25">
      <c r="B3588" s="10"/>
    </row>
    <row r="3589" spans="2:2" x14ac:dyDescent="0.25">
      <c r="B3589" s="10"/>
    </row>
    <row r="3590" spans="2:2" x14ac:dyDescent="0.25">
      <c r="B3590" s="10"/>
    </row>
    <row r="3591" spans="2:2" x14ac:dyDescent="0.25">
      <c r="B3591" s="10"/>
    </row>
    <row r="3592" spans="2:2" x14ac:dyDescent="0.25">
      <c r="B3592" s="10"/>
    </row>
    <row r="3593" spans="2:2" x14ac:dyDescent="0.25">
      <c r="B3593" s="10"/>
    </row>
    <row r="3594" spans="2:2" x14ac:dyDescent="0.25">
      <c r="B3594" s="10"/>
    </row>
    <row r="3595" spans="2:2" x14ac:dyDescent="0.25">
      <c r="B3595" s="10"/>
    </row>
    <row r="3596" spans="2:2" x14ac:dyDescent="0.25">
      <c r="B3596" s="10"/>
    </row>
    <row r="3597" spans="2:2" x14ac:dyDescent="0.25">
      <c r="B3597" s="10"/>
    </row>
    <row r="3598" spans="2:2" x14ac:dyDescent="0.25">
      <c r="B3598" s="10"/>
    </row>
    <row r="3599" spans="2:2" x14ac:dyDescent="0.25">
      <c r="B3599" s="10"/>
    </row>
    <row r="3600" spans="2:2" x14ac:dyDescent="0.25">
      <c r="B3600" s="10"/>
    </row>
    <row r="3601" spans="2:2" x14ac:dyDescent="0.25">
      <c r="B3601" s="10"/>
    </row>
    <row r="3602" spans="2:2" x14ac:dyDescent="0.25">
      <c r="B3602" s="10"/>
    </row>
    <row r="3603" spans="2:2" x14ac:dyDescent="0.25">
      <c r="B3603" s="10"/>
    </row>
    <row r="3604" spans="2:2" x14ac:dyDescent="0.25">
      <c r="B3604" s="10"/>
    </row>
    <row r="3605" spans="2:2" x14ac:dyDescent="0.25">
      <c r="B3605" s="10"/>
    </row>
    <row r="3606" spans="2:2" x14ac:dyDescent="0.25">
      <c r="B3606" s="10"/>
    </row>
    <row r="3607" spans="2:2" x14ac:dyDescent="0.25">
      <c r="B3607" s="10"/>
    </row>
    <row r="3608" spans="2:2" x14ac:dyDescent="0.25">
      <c r="B3608" s="10"/>
    </row>
    <row r="3609" spans="2:2" x14ac:dyDescent="0.25">
      <c r="B3609" s="10"/>
    </row>
    <row r="3610" spans="2:2" x14ac:dyDescent="0.25">
      <c r="B3610" s="10"/>
    </row>
    <row r="3611" spans="2:2" x14ac:dyDescent="0.25">
      <c r="B3611" s="10"/>
    </row>
    <row r="3612" spans="2:2" x14ac:dyDescent="0.25">
      <c r="B3612" s="10"/>
    </row>
    <row r="3613" spans="2:2" x14ac:dyDescent="0.25">
      <c r="B3613" s="10"/>
    </row>
    <row r="3614" spans="2:2" x14ac:dyDescent="0.25">
      <c r="B3614" s="10"/>
    </row>
    <row r="3615" spans="2:2" x14ac:dyDescent="0.25">
      <c r="B3615" s="10"/>
    </row>
    <row r="3616" spans="2:2" x14ac:dyDescent="0.25">
      <c r="B3616" s="10"/>
    </row>
    <row r="3617" spans="2:2" x14ac:dyDescent="0.25">
      <c r="B3617" s="10"/>
    </row>
    <row r="3618" spans="2:2" x14ac:dyDescent="0.25">
      <c r="B3618" s="10"/>
    </row>
    <row r="3619" spans="2:2" x14ac:dyDescent="0.25">
      <c r="B3619" s="10"/>
    </row>
    <row r="3620" spans="2:2" x14ac:dyDescent="0.25">
      <c r="B3620" s="10"/>
    </row>
    <row r="3621" spans="2:2" x14ac:dyDescent="0.25">
      <c r="B3621" s="10"/>
    </row>
    <row r="3622" spans="2:2" x14ac:dyDescent="0.25">
      <c r="B3622" s="10"/>
    </row>
    <row r="3623" spans="2:2" x14ac:dyDescent="0.25">
      <c r="B3623" s="10"/>
    </row>
    <row r="3624" spans="2:2" x14ac:dyDescent="0.25">
      <c r="B3624" s="10"/>
    </row>
    <row r="3625" spans="2:2" x14ac:dyDescent="0.25">
      <c r="B3625" s="10"/>
    </row>
    <row r="3626" spans="2:2" x14ac:dyDescent="0.25">
      <c r="B3626" s="10"/>
    </row>
    <row r="3627" spans="2:2" x14ac:dyDescent="0.25">
      <c r="B3627" s="10"/>
    </row>
    <row r="3628" spans="2:2" x14ac:dyDescent="0.25">
      <c r="B3628" s="10"/>
    </row>
    <row r="3629" spans="2:2" x14ac:dyDescent="0.25">
      <c r="B3629" s="10"/>
    </row>
    <row r="3630" spans="2:2" x14ac:dyDescent="0.25">
      <c r="B3630" s="10"/>
    </row>
    <row r="3631" spans="2:2" x14ac:dyDescent="0.25">
      <c r="B3631" s="10"/>
    </row>
    <row r="3632" spans="2:2" x14ac:dyDescent="0.25">
      <c r="B3632" s="10"/>
    </row>
    <row r="3633" spans="2:2" x14ac:dyDescent="0.25">
      <c r="B3633" s="10"/>
    </row>
    <row r="3634" spans="2:2" x14ac:dyDescent="0.25">
      <c r="B3634" s="10"/>
    </row>
    <row r="3635" spans="2:2" x14ac:dyDescent="0.25">
      <c r="B3635" s="10"/>
    </row>
    <row r="3636" spans="2:2" x14ac:dyDescent="0.25">
      <c r="B3636" s="10"/>
    </row>
    <row r="3637" spans="2:2" x14ac:dyDescent="0.25">
      <c r="B3637" s="10"/>
    </row>
    <row r="3638" spans="2:2" x14ac:dyDescent="0.25">
      <c r="B3638" s="10"/>
    </row>
    <row r="3639" spans="2:2" x14ac:dyDescent="0.25">
      <c r="B3639" s="10"/>
    </row>
    <row r="3640" spans="2:2" x14ac:dyDescent="0.25">
      <c r="B3640" s="10"/>
    </row>
    <row r="3641" spans="2:2" x14ac:dyDescent="0.25">
      <c r="B3641" s="10"/>
    </row>
    <row r="3642" spans="2:2" x14ac:dyDescent="0.25">
      <c r="B3642" s="10"/>
    </row>
    <row r="3643" spans="2:2" x14ac:dyDescent="0.25">
      <c r="B3643" s="10"/>
    </row>
    <row r="3644" spans="2:2" x14ac:dyDescent="0.25">
      <c r="B3644" s="10"/>
    </row>
    <row r="3645" spans="2:2" x14ac:dyDescent="0.25">
      <c r="B3645" s="10"/>
    </row>
    <row r="3646" spans="2:2" x14ac:dyDescent="0.25">
      <c r="B3646" s="10"/>
    </row>
    <row r="3647" spans="2:2" x14ac:dyDescent="0.25">
      <c r="B3647" s="10"/>
    </row>
    <row r="3648" spans="2:2" x14ac:dyDescent="0.25">
      <c r="B3648" s="10"/>
    </row>
    <row r="3649" spans="2:2" x14ac:dyDescent="0.25">
      <c r="B3649" s="10"/>
    </row>
    <row r="3650" spans="2:2" x14ac:dyDescent="0.25">
      <c r="B3650" s="10"/>
    </row>
    <row r="3651" spans="2:2" x14ac:dyDescent="0.25">
      <c r="B3651" s="10"/>
    </row>
    <row r="3652" spans="2:2" x14ac:dyDescent="0.25">
      <c r="B3652" s="10"/>
    </row>
    <row r="3653" spans="2:2" x14ac:dyDescent="0.25">
      <c r="B3653" s="10"/>
    </row>
    <row r="3654" spans="2:2" x14ac:dyDescent="0.25">
      <c r="B3654" s="10"/>
    </row>
    <row r="3655" spans="2:2" x14ac:dyDescent="0.25">
      <c r="B3655" s="10"/>
    </row>
    <row r="3656" spans="2:2" x14ac:dyDescent="0.25">
      <c r="B3656" s="10"/>
    </row>
    <row r="3657" spans="2:2" x14ac:dyDescent="0.25">
      <c r="B3657" s="10"/>
    </row>
    <row r="3658" spans="2:2" x14ac:dyDescent="0.25">
      <c r="B3658" s="10"/>
    </row>
    <row r="3659" spans="2:2" x14ac:dyDescent="0.25">
      <c r="B3659" s="10"/>
    </row>
    <row r="3660" spans="2:2" x14ac:dyDescent="0.25">
      <c r="B3660" s="10"/>
    </row>
    <row r="3661" spans="2:2" x14ac:dyDescent="0.25">
      <c r="B3661" s="10"/>
    </row>
    <row r="3662" spans="2:2" x14ac:dyDescent="0.25">
      <c r="B3662" s="10"/>
    </row>
    <row r="3663" spans="2:2" x14ac:dyDescent="0.25">
      <c r="B3663" s="10"/>
    </row>
    <row r="3664" spans="2:2" x14ac:dyDescent="0.25">
      <c r="B3664" s="10"/>
    </row>
    <row r="3665" spans="2:2" x14ac:dyDescent="0.25">
      <c r="B3665" s="10"/>
    </row>
    <row r="3666" spans="2:2" x14ac:dyDescent="0.25">
      <c r="B3666" s="10"/>
    </row>
    <row r="3667" spans="2:2" x14ac:dyDescent="0.25">
      <c r="B3667" s="10"/>
    </row>
    <row r="3668" spans="2:2" x14ac:dyDescent="0.25">
      <c r="B3668" s="10"/>
    </row>
    <row r="3669" spans="2:2" x14ac:dyDescent="0.25">
      <c r="B3669" s="10"/>
    </row>
    <row r="3670" spans="2:2" x14ac:dyDescent="0.25">
      <c r="B3670" s="10"/>
    </row>
    <row r="3671" spans="2:2" x14ac:dyDescent="0.25">
      <c r="B3671" s="10"/>
    </row>
    <row r="3672" spans="2:2" x14ac:dyDescent="0.25">
      <c r="B3672" s="10"/>
    </row>
    <row r="3673" spans="2:2" x14ac:dyDescent="0.25">
      <c r="B3673" s="10"/>
    </row>
    <row r="3674" spans="2:2" x14ac:dyDescent="0.25">
      <c r="B3674" s="10"/>
    </row>
    <row r="3675" spans="2:2" x14ac:dyDescent="0.25">
      <c r="B3675" s="10"/>
    </row>
    <row r="3676" spans="2:2" x14ac:dyDescent="0.25">
      <c r="B3676" s="10"/>
    </row>
    <row r="3677" spans="2:2" x14ac:dyDescent="0.25">
      <c r="B3677" s="10"/>
    </row>
    <row r="3678" spans="2:2" x14ac:dyDescent="0.25">
      <c r="B3678" s="10"/>
    </row>
    <row r="3679" spans="2:2" x14ac:dyDescent="0.25">
      <c r="B3679" s="10"/>
    </row>
    <row r="3680" spans="2:2" x14ac:dyDescent="0.25">
      <c r="B3680" s="10"/>
    </row>
    <row r="3681" spans="2:2" x14ac:dyDescent="0.25">
      <c r="B3681" s="10"/>
    </row>
    <row r="3682" spans="2:2" x14ac:dyDescent="0.25">
      <c r="B3682" s="10"/>
    </row>
    <row r="3683" spans="2:2" x14ac:dyDescent="0.25">
      <c r="B3683" s="10"/>
    </row>
    <row r="3684" spans="2:2" x14ac:dyDescent="0.25">
      <c r="B3684" s="10"/>
    </row>
    <row r="3685" spans="2:2" x14ac:dyDescent="0.25">
      <c r="B3685" s="10"/>
    </row>
    <row r="3686" spans="2:2" x14ac:dyDescent="0.25">
      <c r="B3686" s="10"/>
    </row>
    <row r="3687" spans="2:2" x14ac:dyDescent="0.25">
      <c r="B3687" s="10"/>
    </row>
    <row r="3688" spans="2:2" x14ac:dyDescent="0.25">
      <c r="B3688" s="10"/>
    </row>
    <row r="3689" spans="2:2" x14ac:dyDescent="0.25">
      <c r="B3689" s="10"/>
    </row>
    <row r="3690" spans="2:2" x14ac:dyDescent="0.25">
      <c r="B3690" s="10"/>
    </row>
    <row r="3691" spans="2:2" x14ac:dyDescent="0.25">
      <c r="B3691" s="10"/>
    </row>
    <row r="3692" spans="2:2" x14ac:dyDescent="0.25">
      <c r="B3692" s="10"/>
    </row>
    <row r="3693" spans="2:2" x14ac:dyDescent="0.25">
      <c r="B3693" s="10"/>
    </row>
    <row r="3694" spans="2:2" x14ac:dyDescent="0.25">
      <c r="B3694" s="10"/>
    </row>
    <row r="3695" spans="2:2" x14ac:dyDescent="0.25">
      <c r="B3695" s="10"/>
    </row>
    <row r="3696" spans="2:2" x14ac:dyDescent="0.25">
      <c r="B3696" s="10"/>
    </row>
    <row r="3697" spans="2:2" x14ac:dyDescent="0.25">
      <c r="B3697" s="10"/>
    </row>
    <row r="3698" spans="2:2" x14ac:dyDescent="0.25">
      <c r="B3698" s="10"/>
    </row>
    <row r="3699" spans="2:2" x14ac:dyDescent="0.25">
      <c r="B3699" s="10"/>
    </row>
    <row r="3700" spans="2:2" x14ac:dyDescent="0.25">
      <c r="B3700" s="10"/>
    </row>
    <row r="3701" spans="2:2" x14ac:dyDescent="0.25">
      <c r="B3701" s="10"/>
    </row>
    <row r="3702" spans="2:2" x14ac:dyDescent="0.25">
      <c r="B3702" s="10"/>
    </row>
    <row r="3703" spans="2:2" x14ac:dyDescent="0.25">
      <c r="B3703" s="10"/>
    </row>
    <row r="3704" spans="2:2" x14ac:dyDescent="0.25">
      <c r="B3704" s="10"/>
    </row>
    <row r="3705" spans="2:2" x14ac:dyDescent="0.25">
      <c r="B3705" s="10"/>
    </row>
    <row r="3706" spans="2:2" x14ac:dyDescent="0.25">
      <c r="B3706" s="10"/>
    </row>
    <row r="3707" spans="2:2" x14ac:dyDescent="0.25">
      <c r="B3707" s="10"/>
    </row>
    <row r="3708" spans="2:2" x14ac:dyDescent="0.25">
      <c r="B3708" s="10"/>
    </row>
    <row r="3709" spans="2:2" x14ac:dyDescent="0.25">
      <c r="B3709" s="10"/>
    </row>
    <row r="3710" spans="2:2" x14ac:dyDescent="0.25">
      <c r="B3710" s="10"/>
    </row>
    <row r="3711" spans="2:2" x14ac:dyDescent="0.25">
      <c r="B3711" s="10"/>
    </row>
    <row r="3712" spans="2:2" x14ac:dyDescent="0.25">
      <c r="B3712" s="10"/>
    </row>
    <row r="3713" spans="2:2" x14ac:dyDescent="0.25">
      <c r="B3713" s="10"/>
    </row>
    <row r="3714" spans="2:2" x14ac:dyDescent="0.25">
      <c r="B3714" s="10"/>
    </row>
    <row r="3715" spans="2:2" x14ac:dyDescent="0.25">
      <c r="B3715" s="10"/>
    </row>
    <row r="3716" spans="2:2" x14ac:dyDescent="0.25">
      <c r="B3716" s="10"/>
    </row>
    <row r="3717" spans="2:2" x14ac:dyDescent="0.25">
      <c r="B3717" s="10"/>
    </row>
    <row r="3718" spans="2:2" x14ac:dyDescent="0.25">
      <c r="B3718" s="10"/>
    </row>
    <row r="3719" spans="2:2" x14ac:dyDescent="0.25">
      <c r="B3719" s="10"/>
    </row>
    <row r="3720" spans="2:2" x14ac:dyDescent="0.25">
      <c r="B3720" s="10"/>
    </row>
    <row r="3721" spans="2:2" x14ac:dyDescent="0.25">
      <c r="B3721" s="10"/>
    </row>
    <row r="3722" spans="2:2" x14ac:dyDescent="0.25">
      <c r="B3722" s="10"/>
    </row>
    <row r="3723" spans="2:2" x14ac:dyDescent="0.25">
      <c r="B3723" s="10"/>
    </row>
    <row r="3724" spans="2:2" x14ac:dyDescent="0.25">
      <c r="B3724" s="10"/>
    </row>
    <row r="3725" spans="2:2" x14ac:dyDescent="0.25">
      <c r="B3725" s="10"/>
    </row>
    <row r="3726" spans="2:2" x14ac:dyDescent="0.25">
      <c r="B3726" s="10"/>
    </row>
    <row r="3727" spans="2:2" x14ac:dyDescent="0.25">
      <c r="B3727" s="10"/>
    </row>
    <row r="3728" spans="2:2" x14ac:dyDescent="0.25">
      <c r="B3728" s="10"/>
    </row>
    <row r="3729" spans="2:2" x14ac:dyDescent="0.25">
      <c r="B3729" s="10"/>
    </row>
    <row r="3730" spans="2:2" x14ac:dyDescent="0.25">
      <c r="B3730" s="10"/>
    </row>
    <row r="3731" spans="2:2" x14ac:dyDescent="0.25">
      <c r="B3731" s="10"/>
    </row>
    <row r="3732" spans="2:2" x14ac:dyDescent="0.25">
      <c r="B3732" s="10"/>
    </row>
    <row r="3733" spans="2:2" x14ac:dyDescent="0.25">
      <c r="B3733" s="10"/>
    </row>
    <row r="3734" spans="2:2" x14ac:dyDescent="0.25">
      <c r="B3734" s="10"/>
    </row>
    <row r="3735" spans="2:2" x14ac:dyDescent="0.25">
      <c r="B3735" s="10"/>
    </row>
    <row r="3736" spans="2:2" x14ac:dyDescent="0.25">
      <c r="B3736" s="10"/>
    </row>
    <row r="3737" spans="2:2" x14ac:dyDescent="0.25">
      <c r="B3737" s="10"/>
    </row>
    <row r="3738" spans="2:2" x14ac:dyDescent="0.25">
      <c r="B3738" s="10"/>
    </row>
    <row r="3739" spans="2:2" x14ac:dyDescent="0.25">
      <c r="B3739" s="10"/>
    </row>
    <row r="3740" spans="2:2" x14ac:dyDescent="0.25">
      <c r="B3740" s="10"/>
    </row>
    <row r="3741" spans="2:2" x14ac:dyDescent="0.25">
      <c r="B3741" s="10"/>
    </row>
    <row r="3742" spans="2:2" x14ac:dyDescent="0.25">
      <c r="B3742" s="10"/>
    </row>
    <row r="3743" spans="2:2" x14ac:dyDescent="0.25">
      <c r="B3743" s="10"/>
    </row>
    <row r="3744" spans="2:2" x14ac:dyDescent="0.25">
      <c r="B3744" s="10"/>
    </row>
    <row r="3745" spans="2:2" x14ac:dyDescent="0.25">
      <c r="B3745" s="10"/>
    </row>
    <row r="3746" spans="2:2" x14ac:dyDescent="0.25">
      <c r="B3746" s="10"/>
    </row>
    <row r="3747" spans="2:2" x14ac:dyDescent="0.25">
      <c r="B3747" s="10"/>
    </row>
    <row r="3748" spans="2:2" x14ac:dyDescent="0.25">
      <c r="B3748" s="10"/>
    </row>
    <row r="3749" spans="2:2" x14ac:dyDescent="0.25">
      <c r="B3749" s="10"/>
    </row>
    <row r="3750" spans="2:2" x14ac:dyDescent="0.25">
      <c r="B3750" s="10"/>
    </row>
    <row r="3751" spans="2:2" x14ac:dyDescent="0.25">
      <c r="B3751" s="10"/>
    </row>
    <row r="3752" spans="2:2" x14ac:dyDescent="0.25">
      <c r="B3752" s="10"/>
    </row>
    <row r="3753" spans="2:2" x14ac:dyDescent="0.25">
      <c r="B3753" s="10"/>
    </row>
    <row r="3754" spans="2:2" x14ac:dyDescent="0.25">
      <c r="B3754" s="10"/>
    </row>
    <row r="3755" spans="2:2" x14ac:dyDescent="0.25">
      <c r="B3755" s="10"/>
    </row>
    <row r="3756" spans="2:2" x14ac:dyDescent="0.25">
      <c r="B3756" s="10"/>
    </row>
    <row r="3757" spans="2:2" x14ac:dyDescent="0.25">
      <c r="B3757" s="10"/>
    </row>
    <row r="3758" spans="2:2" x14ac:dyDescent="0.25">
      <c r="B3758" s="10"/>
    </row>
    <row r="3759" spans="2:2" x14ac:dyDescent="0.25">
      <c r="B3759" s="10"/>
    </row>
    <row r="3760" spans="2:2" x14ac:dyDescent="0.25">
      <c r="B3760" s="10"/>
    </row>
    <row r="3761" spans="2:2" x14ac:dyDescent="0.25">
      <c r="B3761" s="10"/>
    </row>
    <row r="3762" spans="2:2" x14ac:dyDescent="0.25">
      <c r="B3762" s="10"/>
    </row>
    <row r="3763" spans="2:2" x14ac:dyDescent="0.25">
      <c r="B3763" s="10"/>
    </row>
    <row r="3764" spans="2:2" x14ac:dyDescent="0.25">
      <c r="B3764" s="10"/>
    </row>
    <row r="3765" spans="2:2" x14ac:dyDescent="0.25">
      <c r="B3765" s="10"/>
    </row>
    <row r="3766" spans="2:2" x14ac:dyDescent="0.25">
      <c r="B3766" s="10"/>
    </row>
    <row r="3767" spans="2:2" x14ac:dyDescent="0.25">
      <c r="B3767" s="10"/>
    </row>
    <row r="3768" spans="2:2" x14ac:dyDescent="0.25">
      <c r="B3768" s="10"/>
    </row>
    <row r="3769" spans="2:2" x14ac:dyDescent="0.25">
      <c r="B3769" s="10"/>
    </row>
    <row r="3770" spans="2:2" x14ac:dyDescent="0.25">
      <c r="B3770" s="10"/>
    </row>
    <row r="3771" spans="2:2" x14ac:dyDescent="0.25">
      <c r="B3771" s="10"/>
    </row>
    <row r="3772" spans="2:2" x14ac:dyDescent="0.25">
      <c r="B3772" s="10"/>
    </row>
    <row r="3773" spans="2:2" x14ac:dyDescent="0.25">
      <c r="B3773" s="10"/>
    </row>
    <row r="3774" spans="2:2" x14ac:dyDescent="0.25">
      <c r="B3774" s="10"/>
    </row>
    <row r="3775" spans="2:2" x14ac:dyDescent="0.25">
      <c r="B3775" s="10"/>
    </row>
    <row r="3776" spans="2:2" x14ac:dyDescent="0.25">
      <c r="B3776" s="10"/>
    </row>
    <row r="3777" spans="2:2" x14ac:dyDescent="0.25">
      <c r="B3777" s="10"/>
    </row>
    <row r="3778" spans="2:2" x14ac:dyDescent="0.25">
      <c r="B3778" s="10"/>
    </row>
    <row r="3779" spans="2:2" x14ac:dyDescent="0.25">
      <c r="B3779" s="10"/>
    </row>
    <row r="3780" spans="2:2" x14ac:dyDescent="0.25">
      <c r="B3780" s="10"/>
    </row>
    <row r="3781" spans="2:2" x14ac:dyDescent="0.25">
      <c r="B3781" s="10"/>
    </row>
    <row r="3782" spans="2:2" x14ac:dyDescent="0.25">
      <c r="B3782" s="10"/>
    </row>
    <row r="3783" spans="2:2" x14ac:dyDescent="0.25">
      <c r="B3783" s="10"/>
    </row>
    <row r="3784" spans="2:2" x14ac:dyDescent="0.25">
      <c r="B3784" s="10"/>
    </row>
    <row r="3785" spans="2:2" x14ac:dyDescent="0.25">
      <c r="B3785" s="10"/>
    </row>
    <row r="3786" spans="2:2" x14ac:dyDescent="0.25">
      <c r="B3786" s="10"/>
    </row>
    <row r="3787" spans="2:2" x14ac:dyDescent="0.25">
      <c r="B3787" s="10"/>
    </row>
    <row r="3788" spans="2:2" x14ac:dyDescent="0.25">
      <c r="B3788" s="10"/>
    </row>
    <row r="3789" spans="2:2" x14ac:dyDescent="0.25">
      <c r="B3789" s="10"/>
    </row>
    <row r="3790" spans="2:2" x14ac:dyDescent="0.25">
      <c r="B3790" s="10"/>
    </row>
    <row r="3791" spans="2:2" x14ac:dyDescent="0.25">
      <c r="B3791" s="10"/>
    </row>
    <row r="3792" spans="2:2" x14ac:dyDescent="0.25">
      <c r="B3792" s="10"/>
    </row>
    <row r="3793" spans="2:2" x14ac:dyDescent="0.25">
      <c r="B3793" s="10"/>
    </row>
    <row r="3794" spans="2:2" x14ac:dyDescent="0.25">
      <c r="B3794" s="10"/>
    </row>
    <row r="3795" spans="2:2" x14ac:dyDescent="0.25">
      <c r="B3795" s="10"/>
    </row>
    <row r="3796" spans="2:2" x14ac:dyDescent="0.25">
      <c r="B3796" s="10"/>
    </row>
    <row r="3797" spans="2:2" x14ac:dyDescent="0.25">
      <c r="B3797" s="10"/>
    </row>
    <row r="3798" spans="2:2" x14ac:dyDescent="0.25">
      <c r="B3798" s="10"/>
    </row>
    <row r="3799" spans="2:2" x14ac:dyDescent="0.25">
      <c r="B3799" s="10"/>
    </row>
    <row r="3800" spans="2:2" x14ac:dyDescent="0.25">
      <c r="B3800" s="10"/>
    </row>
    <row r="3801" spans="2:2" x14ac:dyDescent="0.25">
      <c r="B3801" s="10"/>
    </row>
    <row r="3802" spans="2:2" x14ac:dyDescent="0.25">
      <c r="B3802" s="10"/>
    </row>
    <row r="3803" spans="2:2" x14ac:dyDescent="0.25">
      <c r="B3803" s="10"/>
    </row>
    <row r="3804" spans="2:2" x14ac:dyDescent="0.25">
      <c r="B3804" s="10"/>
    </row>
    <row r="3805" spans="2:2" x14ac:dyDescent="0.25">
      <c r="B3805" s="10"/>
    </row>
    <row r="3806" spans="2:2" x14ac:dyDescent="0.25">
      <c r="B3806" s="10"/>
    </row>
    <row r="3807" spans="2:2" x14ac:dyDescent="0.25">
      <c r="B3807" s="10"/>
    </row>
    <row r="3808" spans="2:2" x14ac:dyDescent="0.25">
      <c r="B3808" s="10"/>
    </row>
    <row r="3809" spans="2:2" x14ac:dyDescent="0.25">
      <c r="B3809" s="10"/>
    </row>
    <row r="3810" spans="2:2" x14ac:dyDescent="0.25">
      <c r="B3810" s="10"/>
    </row>
    <row r="3811" spans="2:2" x14ac:dyDescent="0.25">
      <c r="B3811" s="10"/>
    </row>
    <row r="3812" spans="2:2" x14ac:dyDescent="0.25">
      <c r="B3812" s="10"/>
    </row>
    <row r="3813" spans="2:2" x14ac:dyDescent="0.25">
      <c r="B3813" s="10"/>
    </row>
    <row r="3814" spans="2:2" x14ac:dyDescent="0.25">
      <c r="B3814" s="10"/>
    </row>
    <row r="3815" spans="2:2" x14ac:dyDescent="0.25">
      <c r="B3815" s="10"/>
    </row>
    <row r="3816" spans="2:2" x14ac:dyDescent="0.25">
      <c r="B3816" s="10"/>
    </row>
    <row r="3817" spans="2:2" x14ac:dyDescent="0.25">
      <c r="B3817" s="10"/>
    </row>
    <row r="3818" spans="2:2" x14ac:dyDescent="0.25">
      <c r="B3818" s="10"/>
    </row>
    <row r="3819" spans="2:2" x14ac:dyDescent="0.25">
      <c r="B3819" s="10"/>
    </row>
    <row r="3820" spans="2:2" x14ac:dyDescent="0.25">
      <c r="B3820" s="10"/>
    </row>
    <row r="3821" spans="2:2" x14ac:dyDescent="0.25">
      <c r="B3821" s="10"/>
    </row>
    <row r="3822" spans="2:2" x14ac:dyDescent="0.25">
      <c r="B3822" s="10"/>
    </row>
    <row r="3823" spans="2:2" x14ac:dyDescent="0.25">
      <c r="B3823" s="10"/>
    </row>
    <row r="3824" spans="2:2" x14ac:dyDescent="0.25">
      <c r="B3824" s="10"/>
    </row>
    <row r="3825" spans="2:2" x14ac:dyDescent="0.25">
      <c r="B3825" s="10"/>
    </row>
    <row r="3826" spans="2:2" x14ac:dyDescent="0.25">
      <c r="B3826" s="10"/>
    </row>
    <row r="3827" spans="2:2" x14ac:dyDescent="0.25">
      <c r="B3827" s="10"/>
    </row>
    <row r="3828" spans="2:2" x14ac:dyDescent="0.25">
      <c r="B3828" s="10"/>
    </row>
    <row r="3829" spans="2:2" x14ac:dyDescent="0.25">
      <c r="B3829" s="10"/>
    </row>
    <row r="3830" spans="2:2" x14ac:dyDescent="0.25">
      <c r="B3830" s="10"/>
    </row>
    <row r="3831" spans="2:2" x14ac:dyDescent="0.25">
      <c r="B3831" s="10"/>
    </row>
    <row r="3832" spans="2:2" x14ac:dyDescent="0.25">
      <c r="B3832" s="10"/>
    </row>
    <row r="3833" spans="2:2" x14ac:dyDescent="0.25">
      <c r="B3833" s="10"/>
    </row>
    <row r="3834" spans="2:2" x14ac:dyDescent="0.25">
      <c r="B3834" s="10"/>
    </row>
    <row r="3835" spans="2:2" x14ac:dyDescent="0.25">
      <c r="B3835" s="10"/>
    </row>
    <row r="3836" spans="2:2" x14ac:dyDescent="0.25">
      <c r="B3836" s="10"/>
    </row>
    <row r="3837" spans="2:2" x14ac:dyDescent="0.25">
      <c r="B3837" s="10"/>
    </row>
    <row r="3838" spans="2:2" x14ac:dyDescent="0.25">
      <c r="B3838" s="10"/>
    </row>
    <row r="3839" spans="2:2" x14ac:dyDescent="0.25">
      <c r="B3839" s="10"/>
    </row>
    <row r="3840" spans="2:2" x14ac:dyDescent="0.25">
      <c r="B3840" s="10"/>
    </row>
    <row r="3841" spans="2:2" x14ac:dyDescent="0.25">
      <c r="B3841" s="10"/>
    </row>
    <row r="3842" spans="2:2" x14ac:dyDescent="0.25">
      <c r="B3842" s="10"/>
    </row>
    <row r="3843" spans="2:2" x14ac:dyDescent="0.25">
      <c r="B3843" s="10"/>
    </row>
    <row r="3844" spans="2:2" x14ac:dyDescent="0.25">
      <c r="B3844" s="10"/>
    </row>
    <row r="3845" spans="2:2" x14ac:dyDescent="0.25">
      <c r="B3845" s="10"/>
    </row>
    <row r="3846" spans="2:2" x14ac:dyDescent="0.25">
      <c r="B3846" s="10"/>
    </row>
    <row r="3847" spans="2:2" x14ac:dyDescent="0.25">
      <c r="B3847" s="10"/>
    </row>
    <row r="3848" spans="2:2" x14ac:dyDescent="0.25">
      <c r="B3848" s="10"/>
    </row>
    <row r="3849" spans="2:2" x14ac:dyDescent="0.25">
      <c r="B3849" s="10"/>
    </row>
    <row r="3850" spans="2:2" x14ac:dyDescent="0.25">
      <c r="B3850" s="10"/>
    </row>
    <row r="3851" spans="2:2" x14ac:dyDescent="0.25">
      <c r="B3851" s="10"/>
    </row>
    <row r="3852" spans="2:2" x14ac:dyDescent="0.25">
      <c r="B3852" s="10"/>
    </row>
    <row r="3853" spans="2:2" x14ac:dyDescent="0.25">
      <c r="B3853" s="10"/>
    </row>
    <row r="3854" spans="2:2" x14ac:dyDescent="0.25">
      <c r="B3854" s="10"/>
    </row>
    <row r="3855" spans="2:2" x14ac:dyDescent="0.25">
      <c r="B3855" s="10"/>
    </row>
    <row r="3856" spans="2:2" x14ac:dyDescent="0.25">
      <c r="B3856" s="10"/>
    </row>
    <row r="3857" spans="2:2" x14ac:dyDescent="0.25">
      <c r="B3857" s="10"/>
    </row>
    <row r="3858" spans="2:2" x14ac:dyDescent="0.25">
      <c r="B3858" s="10"/>
    </row>
    <row r="3859" spans="2:2" x14ac:dyDescent="0.25">
      <c r="B3859" s="10"/>
    </row>
    <row r="3860" spans="2:2" x14ac:dyDescent="0.25">
      <c r="B3860" s="10"/>
    </row>
    <row r="3861" spans="2:2" x14ac:dyDescent="0.25">
      <c r="B3861" s="10"/>
    </row>
    <row r="3862" spans="2:2" x14ac:dyDescent="0.25">
      <c r="B3862" s="10"/>
    </row>
    <row r="3863" spans="2:2" x14ac:dyDescent="0.25">
      <c r="B3863" s="10"/>
    </row>
    <row r="3864" spans="2:2" x14ac:dyDescent="0.25">
      <c r="B3864" s="10"/>
    </row>
    <row r="3865" spans="2:2" x14ac:dyDescent="0.25">
      <c r="B3865" s="10"/>
    </row>
    <row r="3866" spans="2:2" x14ac:dyDescent="0.25">
      <c r="B3866" s="10"/>
    </row>
    <row r="3867" spans="2:2" x14ac:dyDescent="0.25">
      <c r="B3867" s="10"/>
    </row>
    <row r="3868" spans="2:2" x14ac:dyDescent="0.25">
      <c r="B3868" s="10"/>
    </row>
    <row r="3869" spans="2:2" x14ac:dyDescent="0.25">
      <c r="B3869" s="10"/>
    </row>
    <row r="3870" spans="2:2" x14ac:dyDescent="0.25">
      <c r="B3870" s="10"/>
    </row>
    <row r="3871" spans="2:2" x14ac:dyDescent="0.25">
      <c r="B3871" s="10"/>
    </row>
    <row r="3872" spans="2:2" x14ac:dyDescent="0.25">
      <c r="B3872" s="10"/>
    </row>
    <row r="3873" spans="2:2" x14ac:dyDescent="0.25">
      <c r="B3873" s="10"/>
    </row>
    <row r="3874" spans="2:2" x14ac:dyDescent="0.25">
      <c r="B3874" s="10"/>
    </row>
    <row r="3875" spans="2:2" x14ac:dyDescent="0.25">
      <c r="B3875" s="10"/>
    </row>
    <row r="3876" spans="2:2" x14ac:dyDescent="0.25">
      <c r="B3876" s="10"/>
    </row>
    <row r="3877" spans="2:2" x14ac:dyDescent="0.25">
      <c r="B3877" s="10"/>
    </row>
    <row r="3878" spans="2:2" x14ac:dyDescent="0.25">
      <c r="B3878" s="10"/>
    </row>
    <row r="3879" spans="2:2" x14ac:dyDescent="0.25">
      <c r="B3879" s="10"/>
    </row>
    <row r="3880" spans="2:2" x14ac:dyDescent="0.25">
      <c r="B3880" s="10"/>
    </row>
    <row r="3881" spans="2:2" x14ac:dyDescent="0.25">
      <c r="B3881" s="10"/>
    </row>
    <row r="3882" spans="2:2" x14ac:dyDescent="0.25">
      <c r="B3882" s="10"/>
    </row>
    <row r="3883" spans="2:2" x14ac:dyDescent="0.25">
      <c r="B3883" s="10"/>
    </row>
    <row r="3884" spans="2:2" x14ac:dyDescent="0.25">
      <c r="B3884" s="10"/>
    </row>
    <row r="3885" spans="2:2" x14ac:dyDescent="0.25">
      <c r="B3885" s="10"/>
    </row>
    <row r="3886" spans="2:2" x14ac:dyDescent="0.25">
      <c r="B3886" s="10"/>
    </row>
    <row r="3887" spans="2:2" x14ac:dyDescent="0.25">
      <c r="B3887" s="10"/>
    </row>
    <row r="3888" spans="2:2" x14ac:dyDescent="0.25">
      <c r="B3888" s="10"/>
    </row>
    <row r="3889" spans="2:2" x14ac:dyDescent="0.25">
      <c r="B3889" s="10"/>
    </row>
    <row r="3890" spans="2:2" x14ac:dyDescent="0.25">
      <c r="B3890" s="10"/>
    </row>
    <row r="3891" spans="2:2" x14ac:dyDescent="0.25">
      <c r="B3891" s="10"/>
    </row>
    <row r="3892" spans="2:2" x14ac:dyDescent="0.25">
      <c r="B3892" s="10"/>
    </row>
    <row r="3893" spans="2:2" x14ac:dyDescent="0.25">
      <c r="B3893" s="10"/>
    </row>
    <row r="3894" spans="2:2" x14ac:dyDescent="0.25">
      <c r="B3894" s="10"/>
    </row>
    <row r="3895" spans="2:2" x14ac:dyDescent="0.25">
      <c r="B3895" s="10"/>
    </row>
    <row r="3896" spans="2:2" x14ac:dyDescent="0.25">
      <c r="B3896" s="10"/>
    </row>
    <row r="3897" spans="2:2" x14ac:dyDescent="0.25">
      <c r="B3897" s="10"/>
    </row>
    <row r="3898" spans="2:2" x14ac:dyDescent="0.25">
      <c r="B3898" s="10"/>
    </row>
    <row r="3899" spans="2:2" x14ac:dyDescent="0.25">
      <c r="B3899" s="10"/>
    </row>
    <row r="3900" spans="2:2" x14ac:dyDescent="0.25">
      <c r="B3900" s="10"/>
    </row>
    <row r="3901" spans="2:2" x14ac:dyDescent="0.25">
      <c r="B3901" s="10"/>
    </row>
    <row r="3902" spans="2:2" x14ac:dyDescent="0.25">
      <c r="B3902" s="10"/>
    </row>
    <row r="3903" spans="2:2" x14ac:dyDescent="0.25">
      <c r="B3903" s="10"/>
    </row>
    <row r="3904" spans="2:2" x14ac:dyDescent="0.25">
      <c r="B3904" s="10"/>
    </row>
    <row r="3905" spans="2:2" x14ac:dyDescent="0.25">
      <c r="B3905" s="10"/>
    </row>
    <row r="3906" spans="2:2" x14ac:dyDescent="0.25">
      <c r="B3906" s="10"/>
    </row>
    <row r="3907" spans="2:2" x14ac:dyDescent="0.25">
      <c r="B3907" s="10"/>
    </row>
    <row r="3908" spans="2:2" x14ac:dyDescent="0.25">
      <c r="B3908" s="10"/>
    </row>
    <row r="3909" spans="2:2" x14ac:dyDescent="0.25">
      <c r="B3909" s="10"/>
    </row>
    <row r="3910" spans="2:2" x14ac:dyDescent="0.25">
      <c r="B3910" s="10"/>
    </row>
    <row r="3911" spans="2:2" x14ac:dyDescent="0.25">
      <c r="B3911" s="10"/>
    </row>
    <row r="3912" spans="2:2" x14ac:dyDescent="0.25">
      <c r="B3912" s="10"/>
    </row>
    <row r="3913" spans="2:2" x14ac:dyDescent="0.25">
      <c r="B3913" s="10"/>
    </row>
    <row r="3914" spans="2:2" x14ac:dyDescent="0.25">
      <c r="B3914" s="10"/>
    </row>
    <row r="3915" spans="2:2" x14ac:dyDescent="0.25">
      <c r="B3915" s="10"/>
    </row>
    <row r="3916" spans="2:2" x14ac:dyDescent="0.25">
      <c r="B3916" s="10"/>
    </row>
    <row r="3917" spans="2:2" x14ac:dyDescent="0.25">
      <c r="B3917" s="10"/>
    </row>
    <row r="3918" spans="2:2" x14ac:dyDescent="0.25">
      <c r="B3918" s="10"/>
    </row>
    <row r="3919" spans="2:2" x14ac:dyDescent="0.25">
      <c r="B3919" s="10"/>
    </row>
    <row r="3920" spans="2:2" x14ac:dyDescent="0.25">
      <c r="B3920" s="10"/>
    </row>
    <row r="3921" spans="2:2" x14ac:dyDescent="0.25">
      <c r="B3921" s="10"/>
    </row>
    <row r="3922" spans="2:2" x14ac:dyDescent="0.25">
      <c r="B3922" s="10"/>
    </row>
    <row r="3923" spans="2:2" x14ac:dyDescent="0.25">
      <c r="B3923" s="10"/>
    </row>
    <row r="3924" spans="2:2" x14ac:dyDescent="0.25">
      <c r="B3924" s="10"/>
    </row>
    <row r="3925" spans="2:2" x14ac:dyDescent="0.25">
      <c r="B3925" s="10"/>
    </row>
    <row r="3926" spans="2:2" x14ac:dyDescent="0.25">
      <c r="B3926" s="10"/>
    </row>
    <row r="3927" spans="2:2" x14ac:dyDescent="0.25">
      <c r="B3927" s="10"/>
    </row>
    <row r="3928" spans="2:2" x14ac:dyDescent="0.25">
      <c r="B3928" s="10"/>
    </row>
    <row r="3929" spans="2:2" x14ac:dyDescent="0.25">
      <c r="B3929" s="10"/>
    </row>
    <row r="3930" spans="2:2" x14ac:dyDescent="0.25">
      <c r="B3930" s="10"/>
    </row>
    <row r="3931" spans="2:2" x14ac:dyDescent="0.25">
      <c r="B3931" s="10"/>
    </row>
    <row r="3932" spans="2:2" x14ac:dyDescent="0.25">
      <c r="B3932" s="10"/>
    </row>
    <row r="3933" spans="2:2" x14ac:dyDescent="0.25">
      <c r="B3933" s="10"/>
    </row>
    <row r="3934" spans="2:2" x14ac:dyDescent="0.25">
      <c r="B3934" s="10"/>
    </row>
    <row r="3935" spans="2:2" x14ac:dyDescent="0.25">
      <c r="B3935" s="10"/>
    </row>
    <row r="3936" spans="2:2" x14ac:dyDescent="0.25">
      <c r="B3936" s="10"/>
    </row>
    <row r="3937" spans="2:2" x14ac:dyDescent="0.25">
      <c r="B3937" s="10"/>
    </row>
    <row r="3938" spans="2:2" x14ac:dyDescent="0.25">
      <c r="B3938" s="10"/>
    </row>
    <row r="3939" spans="2:2" x14ac:dyDescent="0.25">
      <c r="B3939" s="10"/>
    </row>
    <row r="3940" spans="2:2" x14ac:dyDescent="0.25">
      <c r="B3940" s="10"/>
    </row>
    <row r="3941" spans="2:2" x14ac:dyDescent="0.25">
      <c r="B3941" s="10"/>
    </row>
    <row r="3942" spans="2:2" x14ac:dyDescent="0.25">
      <c r="B3942" s="10"/>
    </row>
    <row r="3943" spans="2:2" x14ac:dyDescent="0.25">
      <c r="B3943" s="10"/>
    </row>
    <row r="3944" spans="2:2" x14ac:dyDescent="0.25">
      <c r="B3944" s="10"/>
    </row>
    <row r="3945" spans="2:2" x14ac:dyDescent="0.25">
      <c r="B3945" s="10"/>
    </row>
    <row r="3946" spans="2:2" x14ac:dyDescent="0.25">
      <c r="B3946" s="10"/>
    </row>
    <row r="3947" spans="2:2" x14ac:dyDescent="0.25">
      <c r="B3947" s="10"/>
    </row>
    <row r="3948" spans="2:2" x14ac:dyDescent="0.25">
      <c r="B3948" s="10"/>
    </row>
    <row r="3949" spans="2:2" x14ac:dyDescent="0.25">
      <c r="B3949" s="10"/>
    </row>
    <row r="3950" spans="2:2" x14ac:dyDescent="0.25">
      <c r="B3950" s="10"/>
    </row>
    <row r="3951" spans="2:2" x14ac:dyDescent="0.25">
      <c r="B3951" s="10"/>
    </row>
    <row r="3952" spans="2:2" x14ac:dyDescent="0.25">
      <c r="B3952" s="10"/>
    </row>
    <row r="3953" spans="2:2" x14ac:dyDescent="0.25">
      <c r="B3953" s="10"/>
    </row>
    <row r="3954" spans="2:2" x14ac:dyDescent="0.25">
      <c r="B3954" s="10"/>
    </row>
    <row r="3955" spans="2:2" x14ac:dyDescent="0.25">
      <c r="B3955" s="10"/>
    </row>
    <row r="3956" spans="2:2" x14ac:dyDescent="0.25">
      <c r="B3956" s="10"/>
    </row>
    <row r="3957" spans="2:2" x14ac:dyDescent="0.25">
      <c r="B3957" s="10"/>
    </row>
    <row r="3958" spans="2:2" x14ac:dyDescent="0.25">
      <c r="B3958" s="10"/>
    </row>
    <row r="3959" spans="2:2" x14ac:dyDescent="0.25">
      <c r="B3959" s="10"/>
    </row>
    <row r="3960" spans="2:2" x14ac:dyDescent="0.25">
      <c r="B3960" s="10"/>
    </row>
    <row r="3961" spans="2:2" x14ac:dyDescent="0.25">
      <c r="B3961" s="10"/>
    </row>
    <row r="3962" spans="2:2" x14ac:dyDescent="0.25">
      <c r="B3962" s="10"/>
    </row>
    <row r="3963" spans="2:2" x14ac:dyDescent="0.25">
      <c r="B3963" s="10"/>
    </row>
    <row r="3964" spans="2:2" x14ac:dyDescent="0.25">
      <c r="B3964" s="10"/>
    </row>
    <row r="3965" spans="2:2" x14ac:dyDescent="0.25">
      <c r="B3965" s="10"/>
    </row>
    <row r="3966" spans="2:2" x14ac:dyDescent="0.25">
      <c r="B3966" s="10"/>
    </row>
    <row r="3967" spans="2:2" x14ac:dyDescent="0.25">
      <c r="B3967" s="10"/>
    </row>
    <row r="3968" spans="2:2" x14ac:dyDescent="0.25">
      <c r="B3968" s="10"/>
    </row>
    <row r="3969" spans="2:2" x14ac:dyDescent="0.25">
      <c r="B3969" s="10"/>
    </row>
    <row r="3970" spans="2:2" x14ac:dyDescent="0.25">
      <c r="B3970" s="10"/>
    </row>
    <row r="3971" spans="2:2" x14ac:dyDescent="0.25">
      <c r="B3971" s="10"/>
    </row>
    <row r="3972" spans="2:2" x14ac:dyDescent="0.25">
      <c r="B3972" s="10"/>
    </row>
    <row r="3973" spans="2:2" x14ac:dyDescent="0.25">
      <c r="B3973" s="10"/>
    </row>
    <row r="3974" spans="2:2" x14ac:dyDescent="0.25">
      <c r="B3974" s="10"/>
    </row>
    <row r="3975" spans="2:2" x14ac:dyDescent="0.25">
      <c r="B3975" s="10"/>
    </row>
    <row r="3976" spans="2:2" x14ac:dyDescent="0.25">
      <c r="B3976" s="10"/>
    </row>
    <row r="3977" spans="2:2" x14ac:dyDescent="0.25">
      <c r="B3977" s="10"/>
    </row>
    <row r="3978" spans="2:2" x14ac:dyDescent="0.25">
      <c r="B3978" s="10"/>
    </row>
    <row r="3979" spans="2:2" x14ac:dyDescent="0.25">
      <c r="B3979" s="10"/>
    </row>
    <row r="3980" spans="2:2" x14ac:dyDescent="0.25">
      <c r="B3980" s="10"/>
    </row>
    <row r="3981" spans="2:2" x14ac:dyDescent="0.25">
      <c r="B3981" s="10"/>
    </row>
    <row r="3982" spans="2:2" x14ac:dyDescent="0.25">
      <c r="B3982" s="10"/>
    </row>
    <row r="3983" spans="2:2" x14ac:dyDescent="0.25">
      <c r="B3983" s="10"/>
    </row>
    <row r="3984" spans="2:2" x14ac:dyDescent="0.25">
      <c r="B3984" s="10"/>
    </row>
    <row r="3985" spans="2:2" x14ac:dyDescent="0.25">
      <c r="B3985" s="10"/>
    </row>
    <row r="3986" spans="2:2" x14ac:dyDescent="0.25">
      <c r="B3986" s="10"/>
    </row>
    <row r="3987" spans="2:2" x14ac:dyDescent="0.25">
      <c r="B3987" s="10"/>
    </row>
    <row r="3988" spans="2:2" x14ac:dyDescent="0.25">
      <c r="B3988" s="10"/>
    </row>
    <row r="3989" spans="2:2" x14ac:dyDescent="0.25">
      <c r="B3989" s="10"/>
    </row>
    <row r="3990" spans="2:2" x14ac:dyDescent="0.25">
      <c r="B3990" s="10"/>
    </row>
    <row r="3991" spans="2:2" x14ac:dyDescent="0.25">
      <c r="B3991" s="10"/>
    </row>
    <row r="3992" spans="2:2" x14ac:dyDescent="0.25">
      <c r="B3992" s="10"/>
    </row>
    <row r="3993" spans="2:2" x14ac:dyDescent="0.25">
      <c r="B3993" s="10"/>
    </row>
    <row r="3994" spans="2:2" x14ac:dyDescent="0.25">
      <c r="B3994" s="10"/>
    </row>
    <row r="3995" spans="2:2" x14ac:dyDescent="0.25">
      <c r="B3995" s="10"/>
    </row>
    <row r="3996" spans="2:2" x14ac:dyDescent="0.25">
      <c r="B3996" s="10"/>
    </row>
    <row r="3997" spans="2:2" x14ac:dyDescent="0.25">
      <c r="B3997" s="10"/>
    </row>
    <row r="3998" spans="2:2" x14ac:dyDescent="0.25">
      <c r="B3998" s="10"/>
    </row>
    <row r="3999" spans="2:2" x14ac:dyDescent="0.25">
      <c r="B3999" s="10"/>
    </row>
    <row r="4000" spans="2:2" x14ac:dyDescent="0.25">
      <c r="B4000" s="10"/>
    </row>
    <row r="4001" spans="2:2" x14ac:dyDescent="0.25">
      <c r="B4001" s="10"/>
    </row>
    <row r="4002" spans="2:2" x14ac:dyDescent="0.25">
      <c r="B4002" s="10"/>
    </row>
    <row r="4003" spans="2:2" x14ac:dyDescent="0.25">
      <c r="B4003" s="10"/>
    </row>
    <row r="4004" spans="2:2" x14ac:dyDescent="0.25">
      <c r="B4004" s="10"/>
    </row>
    <row r="4005" spans="2:2" x14ac:dyDescent="0.25">
      <c r="B4005" s="10"/>
    </row>
    <row r="4006" spans="2:2" x14ac:dyDescent="0.25">
      <c r="B4006" s="10"/>
    </row>
    <row r="4007" spans="2:2" x14ac:dyDescent="0.25">
      <c r="B4007" s="10"/>
    </row>
    <row r="4008" spans="2:2" x14ac:dyDescent="0.25">
      <c r="B4008" s="10"/>
    </row>
    <row r="4009" spans="2:2" x14ac:dyDescent="0.25">
      <c r="B4009" s="10"/>
    </row>
    <row r="4010" spans="2:2" x14ac:dyDescent="0.25">
      <c r="B4010" s="10"/>
    </row>
    <row r="4011" spans="2:2" x14ac:dyDescent="0.25">
      <c r="B4011" s="10"/>
    </row>
    <row r="4012" spans="2:2" x14ac:dyDescent="0.25">
      <c r="B4012" s="10"/>
    </row>
    <row r="4013" spans="2:2" x14ac:dyDescent="0.25">
      <c r="B4013" s="10"/>
    </row>
    <row r="4014" spans="2:2" x14ac:dyDescent="0.25">
      <c r="B4014" s="10"/>
    </row>
    <row r="4015" spans="2:2" x14ac:dyDescent="0.25">
      <c r="B4015" s="10"/>
    </row>
    <row r="4016" spans="2:2" x14ac:dyDescent="0.25">
      <c r="B4016" s="10"/>
    </row>
    <row r="4017" spans="2:2" x14ac:dyDescent="0.25">
      <c r="B4017" s="10"/>
    </row>
    <row r="4018" spans="2:2" x14ac:dyDescent="0.25">
      <c r="B4018" s="10"/>
    </row>
    <row r="4019" spans="2:2" x14ac:dyDescent="0.25">
      <c r="B4019" s="10"/>
    </row>
    <row r="4020" spans="2:2" x14ac:dyDescent="0.25">
      <c r="B4020" s="10"/>
    </row>
    <row r="4021" spans="2:2" x14ac:dyDescent="0.25">
      <c r="B4021" s="10"/>
    </row>
    <row r="4022" spans="2:2" x14ac:dyDescent="0.25">
      <c r="B4022" s="10"/>
    </row>
    <row r="4023" spans="2:2" x14ac:dyDescent="0.25">
      <c r="B4023" s="10"/>
    </row>
    <row r="4024" spans="2:2" x14ac:dyDescent="0.25">
      <c r="B4024" s="10"/>
    </row>
    <row r="4025" spans="2:2" x14ac:dyDescent="0.25">
      <c r="B4025" s="10"/>
    </row>
    <row r="4026" spans="2:2" x14ac:dyDescent="0.25">
      <c r="B4026" s="10"/>
    </row>
    <row r="4027" spans="2:2" x14ac:dyDescent="0.25">
      <c r="B4027" s="10"/>
    </row>
    <row r="4028" spans="2:2" x14ac:dyDescent="0.25">
      <c r="B4028" s="10"/>
    </row>
    <row r="4029" spans="2:2" x14ac:dyDescent="0.25">
      <c r="B4029" s="10"/>
    </row>
    <row r="4030" spans="2:2" x14ac:dyDescent="0.25">
      <c r="B4030" s="10"/>
    </row>
    <row r="4031" spans="2:2" x14ac:dyDescent="0.25">
      <c r="B4031" s="10"/>
    </row>
    <row r="4032" spans="2:2" x14ac:dyDescent="0.25">
      <c r="B4032" s="10"/>
    </row>
    <row r="4033" spans="2:2" x14ac:dyDescent="0.25">
      <c r="B4033" s="10"/>
    </row>
    <row r="4034" spans="2:2" x14ac:dyDescent="0.25">
      <c r="B4034" s="10"/>
    </row>
    <row r="4035" spans="2:2" x14ac:dyDescent="0.25">
      <c r="B4035" s="10"/>
    </row>
    <row r="4036" spans="2:2" x14ac:dyDescent="0.25">
      <c r="B4036" s="10"/>
    </row>
    <row r="4037" spans="2:2" x14ac:dyDescent="0.25">
      <c r="B4037" s="10"/>
    </row>
    <row r="4038" spans="2:2" x14ac:dyDescent="0.25">
      <c r="B4038" s="10"/>
    </row>
    <row r="4039" spans="2:2" x14ac:dyDescent="0.25">
      <c r="B4039" s="10"/>
    </row>
    <row r="4040" spans="2:2" x14ac:dyDescent="0.25">
      <c r="B4040" s="10"/>
    </row>
    <row r="4041" spans="2:2" x14ac:dyDescent="0.25">
      <c r="B4041" s="10"/>
    </row>
    <row r="4042" spans="2:2" x14ac:dyDescent="0.25">
      <c r="B4042" s="10"/>
    </row>
    <row r="4043" spans="2:2" x14ac:dyDescent="0.25">
      <c r="B4043" s="10"/>
    </row>
    <row r="4044" spans="2:2" x14ac:dyDescent="0.25">
      <c r="B4044" s="10"/>
    </row>
    <row r="4045" spans="2:2" x14ac:dyDescent="0.25">
      <c r="B4045" s="10"/>
    </row>
    <row r="4046" spans="2:2" x14ac:dyDescent="0.25">
      <c r="B4046" s="10"/>
    </row>
    <row r="4047" spans="2:2" x14ac:dyDescent="0.25">
      <c r="B4047" s="10"/>
    </row>
    <row r="4048" spans="2:2" x14ac:dyDescent="0.25">
      <c r="B4048" s="10"/>
    </row>
    <row r="4049" spans="2:2" x14ac:dyDescent="0.25">
      <c r="B4049" s="10"/>
    </row>
    <row r="4050" spans="2:2" x14ac:dyDescent="0.25">
      <c r="B4050" s="10"/>
    </row>
    <row r="4051" spans="2:2" x14ac:dyDescent="0.25">
      <c r="B4051" s="10"/>
    </row>
    <row r="4052" spans="2:2" x14ac:dyDescent="0.25">
      <c r="B4052" s="10"/>
    </row>
    <row r="4053" spans="2:2" x14ac:dyDescent="0.25">
      <c r="B4053" s="10"/>
    </row>
    <row r="4054" spans="2:2" x14ac:dyDescent="0.25">
      <c r="B4054" s="10"/>
    </row>
    <row r="4055" spans="2:2" x14ac:dyDescent="0.25">
      <c r="B4055" s="10"/>
    </row>
    <row r="4056" spans="2:2" x14ac:dyDescent="0.25">
      <c r="B4056" s="10"/>
    </row>
    <row r="4057" spans="2:2" x14ac:dyDescent="0.25">
      <c r="B4057" s="10"/>
    </row>
    <row r="4058" spans="2:2" x14ac:dyDescent="0.25">
      <c r="B4058" s="10"/>
    </row>
    <row r="4059" spans="2:2" x14ac:dyDescent="0.25">
      <c r="B4059" s="10"/>
    </row>
    <row r="4060" spans="2:2" x14ac:dyDescent="0.25">
      <c r="B4060" s="10"/>
    </row>
    <row r="4061" spans="2:2" x14ac:dyDescent="0.25">
      <c r="B4061" s="10"/>
    </row>
    <row r="4062" spans="2:2" x14ac:dyDescent="0.25">
      <c r="B4062" s="10"/>
    </row>
    <row r="4063" spans="2:2" x14ac:dyDescent="0.25">
      <c r="B4063" s="10"/>
    </row>
    <row r="4064" spans="2:2" x14ac:dyDescent="0.25">
      <c r="B4064" s="10"/>
    </row>
    <row r="4065" spans="2:2" x14ac:dyDescent="0.25">
      <c r="B4065" s="10"/>
    </row>
    <row r="4066" spans="2:2" x14ac:dyDescent="0.25">
      <c r="B4066" s="10"/>
    </row>
    <row r="4067" spans="2:2" x14ac:dyDescent="0.25">
      <c r="B4067" s="10"/>
    </row>
    <row r="4068" spans="2:2" x14ac:dyDescent="0.25">
      <c r="B4068" s="10"/>
    </row>
    <row r="4069" spans="2:2" x14ac:dyDescent="0.25">
      <c r="B4069" s="10"/>
    </row>
    <row r="4070" spans="2:2" x14ac:dyDescent="0.25">
      <c r="B4070" s="10"/>
    </row>
    <row r="4071" spans="2:2" x14ac:dyDescent="0.25">
      <c r="B4071" s="10"/>
    </row>
    <row r="4072" spans="2:2" x14ac:dyDescent="0.25">
      <c r="B4072" s="10"/>
    </row>
    <row r="4073" spans="2:2" x14ac:dyDescent="0.25">
      <c r="B4073" s="10"/>
    </row>
    <row r="4074" spans="2:2" x14ac:dyDescent="0.25">
      <c r="B4074" s="10"/>
    </row>
    <row r="4075" spans="2:2" x14ac:dyDescent="0.25">
      <c r="B4075" s="10"/>
    </row>
    <row r="4076" spans="2:2" x14ac:dyDescent="0.25">
      <c r="B4076" s="10"/>
    </row>
    <row r="4077" spans="2:2" x14ac:dyDescent="0.25">
      <c r="B4077" s="10"/>
    </row>
    <row r="4078" spans="2:2" x14ac:dyDescent="0.25">
      <c r="B4078" s="10"/>
    </row>
    <row r="4079" spans="2:2" x14ac:dyDescent="0.25">
      <c r="B4079" s="10"/>
    </row>
    <row r="4080" spans="2:2" x14ac:dyDescent="0.25">
      <c r="B4080" s="10"/>
    </row>
    <row r="4081" spans="2:2" x14ac:dyDescent="0.25">
      <c r="B4081" s="10"/>
    </row>
    <row r="4082" spans="2:2" x14ac:dyDescent="0.25">
      <c r="B4082" s="10"/>
    </row>
    <row r="4083" spans="2:2" x14ac:dyDescent="0.25">
      <c r="B4083" s="10"/>
    </row>
    <row r="4084" spans="2:2" x14ac:dyDescent="0.25">
      <c r="B4084" s="10"/>
    </row>
    <row r="4085" spans="2:2" x14ac:dyDescent="0.25">
      <c r="B4085" s="10"/>
    </row>
    <row r="4086" spans="2:2" x14ac:dyDescent="0.25">
      <c r="B4086" s="10"/>
    </row>
    <row r="4087" spans="2:2" x14ac:dyDescent="0.25">
      <c r="B4087" s="10"/>
    </row>
    <row r="4088" spans="2:2" x14ac:dyDescent="0.25">
      <c r="B4088" s="10"/>
    </row>
    <row r="4089" spans="2:2" x14ac:dyDescent="0.25">
      <c r="B4089" s="10"/>
    </row>
    <row r="4090" spans="2:2" x14ac:dyDescent="0.25">
      <c r="B4090" s="10"/>
    </row>
    <row r="4091" spans="2:2" x14ac:dyDescent="0.25">
      <c r="B4091" s="10"/>
    </row>
    <row r="4092" spans="2:2" x14ac:dyDescent="0.25">
      <c r="B4092" s="10"/>
    </row>
    <row r="4093" spans="2:2" x14ac:dyDescent="0.25">
      <c r="B4093" s="10"/>
    </row>
    <row r="4094" spans="2:2" x14ac:dyDescent="0.25">
      <c r="B4094" s="10"/>
    </row>
    <row r="4095" spans="2:2" x14ac:dyDescent="0.25">
      <c r="B4095" s="10"/>
    </row>
    <row r="4096" spans="2:2" x14ac:dyDescent="0.25">
      <c r="B4096" s="10"/>
    </row>
    <row r="4097" spans="2:2" x14ac:dyDescent="0.25">
      <c r="B4097" s="10"/>
    </row>
    <row r="4098" spans="2:2" x14ac:dyDescent="0.25">
      <c r="B4098" s="10"/>
    </row>
    <row r="4099" spans="2:2" x14ac:dyDescent="0.25">
      <c r="B4099" s="10"/>
    </row>
    <row r="4100" spans="2:2" x14ac:dyDescent="0.25">
      <c r="B4100" s="10"/>
    </row>
    <row r="4101" spans="2:2" x14ac:dyDescent="0.25">
      <c r="B4101" s="10"/>
    </row>
    <row r="4102" spans="2:2" x14ac:dyDescent="0.25">
      <c r="B4102" s="10"/>
    </row>
    <row r="4103" spans="2:2" x14ac:dyDescent="0.25">
      <c r="B4103" s="10"/>
    </row>
    <row r="4104" spans="2:2" x14ac:dyDescent="0.25">
      <c r="B4104" s="10"/>
    </row>
    <row r="4105" spans="2:2" x14ac:dyDescent="0.25">
      <c r="B4105" s="10"/>
    </row>
    <row r="4106" spans="2:2" x14ac:dyDescent="0.25">
      <c r="B4106" s="10"/>
    </row>
    <row r="4107" spans="2:2" x14ac:dyDescent="0.25">
      <c r="B4107" s="10"/>
    </row>
    <row r="4108" spans="2:2" x14ac:dyDescent="0.25">
      <c r="B4108" s="10"/>
    </row>
    <row r="4109" spans="2:2" x14ac:dyDescent="0.25">
      <c r="B4109" s="10"/>
    </row>
    <row r="4110" spans="2:2" x14ac:dyDescent="0.25">
      <c r="B4110" s="10"/>
    </row>
    <row r="4111" spans="2:2" x14ac:dyDescent="0.25">
      <c r="B4111" s="10"/>
    </row>
    <row r="4112" spans="2:2" x14ac:dyDescent="0.25">
      <c r="B4112" s="10"/>
    </row>
    <row r="4113" spans="2:2" x14ac:dyDescent="0.25">
      <c r="B4113" s="10"/>
    </row>
    <row r="4114" spans="2:2" x14ac:dyDescent="0.25">
      <c r="B4114" s="10"/>
    </row>
    <row r="4115" spans="2:2" x14ac:dyDescent="0.25">
      <c r="B4115" s="10"/>
    </row>
    <row r="4116" spans="2:2" x14ac:dyDescent="0.25">
      <c r="B4116" s="10"/>
    </row>
    <row r="4117" spans="2:2" x14ac:dyDescent="0.25">
      <c r="B4117" s="10"/>
    </row>
    <row r="4118" spans="2:2" x14ac:dyDescent="0.25">
      <c r="B4118" s="10"/>
    </row>
    <row r="4119" spans="2:2" x14ac:dyDescent="0.25">
      <c r="B4119" s="10"/>
    </row>
    <row r="4120" spans="2:2" x14ac:dyDescent="0.25">
      <c r="B4120" s="10"/>
    </row>
    <row r="4121" spans="2:2" x14ac:dyDescent="0.25">
      <c r="B4121" s="10"/>
    </row>
    <row r="4122" spans="2:2" x14ac:dyDescent="0.25">
      <c r="B4122" s="10"/>
    </row>
    <row r="4123" spans="2:2" x14ac:dyDescent="0.25">
      <c r="B4123" s="10"/>
    </row>
    <row r="4124" spans="2:2" x14ac:dyDescent="0.25">
      <c r="B4124" s="10"/>
    </row>
    <row r="4125" spans="2:2" x14ac:dyDescent="0.25">
      <c r="B4125" s="10"/>
    </row>
    <row r="4126" spans="2:2" x14ac:dyDescent="0.25">
      <c r="B4126" s="10"/>
    </row>
    <row r="4127" spans="2:2" x14ac:dyDescent="0.25">
      <c r="B4127" s="10"/>
    </row>
    <row r="4128" spans="2:2" x14ac:dyDescent="0.25">
      <c r="B4128" s="10"/>
    </row>
    <row r="4129" spans="2:2" x14ac:dyDescent="0.25">
      <c r="B4129" s="10"/>
    </row>
    <row r="4130" spans="2:2" x14ac:dyDescent="0.25">
      <c r="B4130" s="10"/>
    </row>
    <row r="4131" spans="2:2" x14ac:dyDescent="0.25">
      <c r="B4131" s="10"/>
    </row>
    <row r="4132" spans="2:2" x14ac:dyDescent="0.25">
      <c r="B4132" s="10"/>
    </row>
    <row r="4133" spans="2:2" x14ac:dyDescent="0.25">
      <c r="B4133" s="10"/>
    </row>
    <row r="4134" spans="2:2" x14ac:dyDescent="0.25">
      <c r="B4134" s="10"/>
    </row>
    <row r="4135" spans="2:2" x14ac:dyDescent="0.25">
      <c r="B4135" s="10"/>
    </row>
    <row r="4136" spans="2:2" x14ac:dyDescent="0.25">
      <c r="B4136" s="10"/>
    </row>
    <row r="4137" spans="2:2" x14ac:dyDescent="0.25">
      <c r="B4137" s="10"/>
    </row>
    <row r="4138" spans="2:2" x14ac:dyDescent="0.25">
      <c r="B4138" s="10"/>
    </row>
    <row r="4139" spans="2:2" x14ac:dyDescent="0.25">
      <c r="B4139" s="10"/>
    </row>
    <row r="4140" spans="2:2" x14ac:dyDescent="0.25">
      <c r="B4140" s="10"/>
    </row>
    <row r="4141" spans="2:2" x14ac:dyDescent="0.25">
      <c r="B4141" s="10"/>
    </row>
    <row r="4142" spans="2:2" x14ac:dyDescent="0.25">
      <c r="B4142" s="10"/>
    </row>
    <row r="4143" spans="2:2" x14ac:dyDescent="0.25">
      <c r="B4143" s="10"/>
    </row>
    <row r="4144" spans="2:2" x14ac:dyDescent="0.25">
      <c r="B4144" s="10"/>
    </row>
    <row r="4145" spans="2:2" x14ac:dyDescent="0.25">
      <c r="B4145" s="10"/>
    </row>
    <row r="4146" spans="2:2" x14ac:dyDescent="0.25">
      <c r="B4146" s="10"/>
    </row>
    <row r="4147" spans="2:2" x14ac:dyDescent="0.25">
      <c r="B4147" s="10"/>
    </row>
    <row r="4148" spans="2:2" x14ac:dyDescent="0.25">
      <c r="B4148" s="10"/>
    </row>
    <row r="4149" spans="2:2" x14ac:dyDescent="0.25">
      <c r="B4149" s="10"/>
    </row>
    <row r="4150" spans="2:2" x14ac:dyDescent="0.25">
      <c r="B4150" s="10"/>
    </row>
    <row r="4151" spans="2:2" x14ac:dyDescent="0.25">
      <c r="B4151" s="10"/>
    </row>
    <row r="4152" spans="2:2" x14ac:dyDescent="0.25">
      <c r="B4152" s="10"/>
    </row>
    <row r="4153" spans="2:2" x14ac:dyDescent="0.25">
      <c r="B4153" s="10"/>
    </row>
    <row r="4154" spans="2:2" x14ac:dyDescent="0.25">
      <c r="B4154" s="10"/>
    </row>
    <row r="4155" spans="2:2" x14ac:dyDescent="0.25">
      <c r="B4155" s="10"/>
    </row>
    <row r="4156" spans="2:2" x14ac:dyDescent="0.25">
      <c r="B4156" s="10"/>
    </row>
    <row r="4157" spans="2:2" x14ac:dyDescent="0.25">
      <c r="B4157" s="10"/>
    </row>
    <row r="4158" spans="2:2" x14ac:dyDescent="0.25">
      <c r="B4158" s="10"/>
    </row>
    <row r="4159" spans="2:2" x14ac:dyDescent="0.25">
      <c r="B4159" s="10"/>
    </row>
    <row r="4160" spans="2:2" x14ac:dyDescent="0.25">
      <c r="B4160" s="10"/>
    </row>
    <row r="4161" spans="2:2" x14ac:dyDescent="0.25">
      <c r="B4161" s="10"/>
    </row>
    <row r="4162" spans="2:2" x14ac:dyDescent="0.25">
      <c r="B4162" s="10"/>
    </row>
    <row r="4163" spans="2:2" x14ac:dyDescent="0.25">
      <c r="B4163" s="10"/>
    </row>
    <row r="4164" spans="2:2" x14ac:dyDescent="0.25">
      <c r="B4164" s="10"/>
    </row>
    <row r="4165" spans="2:2" x14ac:dyDescent="0.25">
      <c r="B4165" s="10"/>
    </row>
    <row r="4166" spans="2:2" x14ac:dyDescent="0.25">
      <c r="B4166" s="10"/>
    </row>
    <row r="4167" spans="2:2" x14ac:dyDescent="0.25">
      <c r="B4167" s="10"/>
    </row>
    <row r="4168" spans="2:2" x14ac:dyDescent="0.25">
      <c r="B4168" s="10"/>
    </row>
    <row r="4169" spans="2:2" x14ac:dyDescent="0.25">
      <c r="B4169" s="10"/>
    </row>
    <row r="4170" spans="2:2" x14ac:dyDescent="0.25">
      <c r="B4170" s="10"/>
    </row>
    <row r="4171" spans="2:2" x14ac:dyDescent="0.25">
      <c r="B4171" s="10"/>
    </row>
    <row r="4172" spans="2:2" x14ac:dyDescent="0.25">
      <c r="B4172" s="10"/>
    </row>
    <row r="4173" spans="2:2" x14ac:dyDescent="0.25">
      <c r="B4173" s="10"/>
    </row>
    <row r="4174" spans="2:2" x14ac:dyDescent="0.25">
      <c r="B4174" s="10"/>
    </row>
    <row r="4175" spans="2:2" x14ac:dyDescent="0.25">
      <c r="B4175" s="10"/>
    </row>
    <row r="4176" spans="2:2" x14ac:dyDescent="0.25">
      <c r="B4176" s="10"/>
    </row>
    <row r="4177" spans="2:2" x14ac:dyDescent="0.25">
      <c r="B4177" s="10"/>
    </row>
    <row r="4178" spans="2:2" x14ac:dyDescent="0.25">
      <c r="B4178" s="10"/>
    </row>
    <row r="4179" spans="2:2" x14ac:dyDescent="0.25">
      <c r="B4179" s="10"/>
    </row>
    <row r="4180" spans="2:2" x14ac:dyDescent="0.25">
      <c r="B4180" s="10"/>
    </row>
    <row r="4181" spans="2:2" x14ac:dyDescent="0.25">
      <c r="B4181" s="10"/>
    </row>
    <row r="4182" spans="2:2" x14ac:dyDescent="0.25">
      <c r="B4182" s="10"/>
    </row>
    <row r="4183" spans="2:2" x14ac:dyDescent="0.25">
      <c r="B4183" s="10"/>
    </row>
    <row r="4184" spans="2:2" x14ac:dyDescent="0.25">
      <c r="B4184" s="10"/>
    </row>
    <row r="4185" spans="2:2" x14ac:dyDescent="0.25">
      <c r="B4185" s="10"/>
    </row>
    <row r="4186" spans="2:2" x14ac:dyDescent="0.25">
      <c r="B4186" s="10"/>
    </row>
    <row r="4187" spans="2:2" x14ac:dyDescent="0.25">
      <c r="B4187" s="10"/>
    </row>
    <row r="4188" spans="2:2" x14ac:dyDescent="0.25">
      <c r="B4188" s="10"/>
    </row>
    <row r="4189" spans="2:2" x14ac:dyDescent="0.25">
      <c r="B4189" s="10"/>
    </row>
    <row r="4190" spans="2:2" x14ac:dyDescent="0.25">
      <c r="B4190" s="10"/>
    </row>
    <row r="4191" spans="2:2" x14ac:dyDescent="0.25">
      <c r="B4191" s="10"/>
    </row>
    <row r="4192" spans="2:2" x14ac:dyDescent="0.25">
      <c r="B4192" s="10"/>
    </row>
    <row r="4193" spans="2:2" x14ac:dyDescent="0.25">
      <c r="B4193" s="10"/>
    </row>
    <row r="4194" spans="2:2" x14ac:dyDescent="0.25">
      <c r="B4194" s="10"/>
    </row>
    <row r="4195" spans="2:2" x14ac:dyDescent="0.25">
      <c r="B4195" s="10"/>
    </row>
    <row r="4196" spans="2:2" x14ac:dyDescent="0.25">
      <c r="B4196" s="10"/>
    </row>
    <row r="4197" spans="2:2" x14ac:dyDescent="0.25">
      <c r="B4197" s="10"/>
    </row>
    <row r="4198" spans="2:2" x14ac:dyDescent="0.25">
      <c r="B4198" s="10"/>
    </row>
    <row r="4199" spans="2:2" x14ac:dyDescent="0.25">
      <c r="B4199" s="10"/>
    </row>
    <row r="4200" spans="2:2" x14ac:dyDescent="0.25">
      <c r="B4200" s="10"/>
    </row>
    <row r="4201" spans="2:2" x14ac:dyDescent="0.25">
      <c r="B4201" s="10"/>
    </row>
    <row r="4202" spans="2:2" x14ac:dyDescent="0.25">
      <c r="B4202" s="10"/>
    </row>
    <row r="4203" spans="2:2" x14ac:dyDescent="0.25">
      <c r="B4203" s="10"/>
    </row>
    <row r="4204" spans="2:2" x14ac:dyDescent="0.25">
      <c r="B4204" s="10"/>
    </row>
    <row r="4205" spans="2:2" x14ac:dyDescent="0.25">
      <c r="B4205" s="10"/>
    </row>
    <row r="4206" spans="2:2" x14ac:dyDescent="0.25">
      <c r="B4206" s="10"/>
    </row>
    <row r="4207" spans="2:2" x14ac:dyDescent="0.25">
      <c r="B4207" s="10"/>
    </row>
    <row r="4208" spans="2:2" x14ac:dyDescent="0.25">
      <c r="B4208" s="10"/>
    </row>
    <row r="4209" spans="2:2" x14ac:dyDescent="0.25">
      <c r="B4209" s="10"/>
    </row>
    <row r="4210" spans="2:2" x14ac:dyDescent="0.25">
      <c r="B4210" s="10"/>
    </row>
    <row r="4211" spans="2:2" x14ac:dyDescent="0.25">
      <c r="B4211" s="10"/>
    </row>
    <row r="4212" spans="2:2" x14ac:dyDescent="0.25">
      <c r="B4212" s="10"/>
    </row>
    <row r="4213" spans="2:2" x14ac:dyDescent="0.25">
      <c r="B4213" s="10"/>
    </row>
    <row r="4214" spans="2:2" x14ac:dyDescent="0.25">
      <c r="B4214" s="10"/>
    </row>
    <row r="4215" spans="2:2" x14ac:dyDescent="0.25">
      <c r="B4215" s="10"/>
    </row>
    <row r="4216" spans="2:2" x14ac:dyDescent="0.25">
      <c r="B4216" s="10"/>
    </row>
    <row r="4217" spans="2:2" x14ac:dyDescent="0.25">
      <c r="B4217" s="10"/>
    </row>
    <row r="4218" spans="2:2" x14ac:dyDescent="0.25">
      <c r="B4218" s="10"/>
    </row>
    <row r="4219" spans="2:2" x14ac:dyDescent="0.25">
      <c r="B4219" s="10"/>
    </row>
    <row r="4220" spans="2:2" x14ac:dyDescent="0.25">
      <c r="B4220" s="10"/>
    </row>
    <row r="4221" spans="2:2" x14ac:dyDescent="0.25">
      <c r="B4221" s="10"/>
    </row>
    <row r="4222" spans="2:2" x14ac:dyDescent="0.25">
      <c r="B4222" s="10"/>
    </row>
    <row r="4223" spans="2:2" x14ac:dyDescent="0.25">
      <c r="B4223" s="10"/>
    </row>
    <row r="4224" spans="2:2" x14ac:dyDescent="0.25">
      <c r="B4224" s="10"/>
    </row>
    <row r="4225" spans="2:2" x14ac:dyDescent="0.25">
      <c r="B4225" s="10"/>
    </row>
    <row r="4226" spans="2:2" x14ac:dyDescent="0.25">
      <c r="B4226" s="10"/>
    </row>
    <row r="4227" spans="2:2" x14ac:dyDescent="0.25">
      <c r="B4227" s="10"/>
    </row>
    <row r="4228" spans="2:2" x14ac:dyDescent="0.25">
      <c r="B4228" s="10"/>
    </row>
    <row r="4229" spans="2:2" x14ac:dyDescent="0.25">
      <c r="B4229" s="10"/>
    </row>
    <row r="4230" spans="2:2" x14ac:dyDescent="0.25">
      <c r="B4230" s="10"/>
    </row>
    <row r="4231" spans="2:2" x14ac:dyDescent="0.25">
      <c r="B4231" s="10"/>
    </row>
    <row r="4232" spans="2:2" x14ac:dyDescent="0.25">
      <c r="B4232" s="10"/>
    </row>
    <row r="4233" spans="2:2" x14ac:dyDescent="0.25">
      <c r="B4233" s="10"/>
    </row>
    <row r="4234" spans="2:2" x14ac:dyDescent="0.25">
      <c r="B4234" s="10"/>
    </row>
    <row r="4235" spans="2:2" x14ac:dyDescent="0.25">
      <c r="B4235" s="10"/>
    </row>
    <row r="4236" spans="2:2" x14ac:dyDescent="0.25">
      <c r="B4236" s="10"/>
    </row>
    <row r="4237" spans="2:2" x14ac:dyDescent="0.25">
      <c r="B4237" s="10"/>
    </row>
    <row r="4238" spans="2:2" x14ac:dyDescent="0.25">
      <c r="B4238" s="10"/>
    </row>
    <row r="4239" spans="2:2" x14ac:dyDescent="0.25">
      <c r="B4239" s="10"/>
    </row>
    <row r="4240" spans="2:2" x14ac:dyDescent="0.25">
      <c r="B4240" s="10"/>
    </row>
    <row r="4241" spans="2:2" x14ac:dyDescent="0.25">
      <c r="B4241" s="10"/>
    </row>
    <row r="4242" spans="2:2" x14ac:dyDescent="0.25">
      <c r="B4242" s="10"/>
    </row>
    <row r="4243" spans="2:2" x14ac:dyDescent="0.25">
      <c r="B4243" s="10"/>
    </row>
    <row r="4244" spans="2:2" x14ac:dyDescent="0.25">
      <c r="B4244" s="10"/>
    </row>
    <row r="4245" spans="2:2" x14ac:dyDescent="0.25">
      <c r="B4245" s="10"/>
    </row>
    <row r="4246" spans="2:2" x14ac:dyDescent="0.25">
      <c r="B4246" s="10"/>
    </row>
    <row r="4247" spans="2:2" x14ac:dyDescent="0.25">
      <c r="B4247" s="10"/>
    </row>
    <row r="4248" spans="2:2" x14ac:dyDescent="0.25">
      <c r="B4248" s="10"/>
    </row>
    <row r="4249" spans="2:2" x14ac:dyDescent="0.25">
      <c r="B4249" s="10"/>
    </row>
    <row r="4250" spans="2:2" x14ac:dyDescent="0.25">
      <c r="B4250" s="10"/>
    </row>
    <row r="4251" spans="2:2" x14ac:dyDescent="0.25">
      <c r="B4251" s="10"/>
    </row>
    <row r="4252" spans="2:2" x14ac:dyDescent="0.25">
      <c r="B4252" s="10"/>
    </row>
    <row r="4253" spans="2:2" x14ac:dyDescent="0.25">
      <c r="B4253" s="10"/>
    </row>
    <row r="4254" spans="2:2" x14ac:dyDescent="0.25">
      <c r="B4254" s="10"/>
    </row>
    <row r="4255" spans="2:2" x14ac:dyDescent="0.25">
      <c r="B4255" s="10"/>
    </row>
    <row r="4256" spans="2:2" x14ac:dyDescent="0.25">
      <c r="B4256" s="10"/>
    </row>
    <row r="4257" spans="2:2" x14ac:dyDescent="0.25">
      <c r="B4257" s="10"/>
    </row>
    <row r="4258" spans="2:2" x14ac:dyDescent="0.25">
      <c r="B4258" s="10"/>
    </row>
    <row r="4259" spans="2:2" x14ac:dyDescent="0.25">
      <c r="B4259" s="10"/>
    </row>
    <row r="4260" spans="2:2" x14ac:dyDescent="0.25">
      <c r="B4260" s="10"/>
    </row>
    <row r="4261" spans="2:2" x14ac:dyDescent="0.25">
      <c r="B4261" s="10"/>
    </row>
    <row r="4262" spans="2:2" x14ac:dyDescent="0.25">
      <c r="B4262" s="10"/>
    </row>
    <row r="4263" spans="2:2" x14ac:dyDescent="0.25">
      <c r="B4263" s="10"/>
    </row>
    <row r="4264" spans="2:2" x14ac:dyDescent="0.25">
      <c r="B4264" s="10"/>
    </row>
    <row r="4265" spans="2:2" x14ac:dyDescent="0.25">
      <c r="B4265" s="10"/>
    </row>
    <row r="4266" spans="2:2" x14ac:dyDescent="0.25">
      <c r="B4266" s="10"/>
    </row>
    <row r="4267" spans="2:2" x14ac:dyDescent="0.25">
      <c r="B4267" s="10"/>
    </row>
    <row r="4268" spans="2:2" x14ac:dyDescent="0.25">
      <c r="B4268" s="10"/>
    </row>
    <row r="4269" spans="2:2" x14ac:dyDescent="0.25">
      <c r="B4269" s="10"/>
    </row>
    <row r="4270" spans="2:2" x14ac:dyDescent="0.25">
      <c r="B4270" s="10"/>
    </row>
    <row r="4271" spans="2:2" x14ac:dyDescent="0.25">
      <c r="B4271" s="10"/>
    </row>
    <row r="4272" spans="2:2" x14ac:dyDescent="0.25">
      <c r="B4272" s="10"/>
    </row>
    <row r="4273" spans="2:2" x14ac:dyDescent="0.25">
      <c r="B4273" s="10"/>
    </row>
    <row r="4274" spans="2:2" x14ac:dyDescent="0.25">
      <c r="B4274" s="10"/>
    </row>
    <row r="4275" spans="2:2" x14ac:dyDescent="0.25">
      <c r="B4275" s="10"/>
    </row>
    <row r="4276" spans="2:2" x14ac:dyDescent="0.25">
      <c r="B4276" s="10"/>
    </row>
    <row r="4277" spans="2:2" x14ac:dyDescent="0.25">
      <c r="B4277" s="10"/>
    </row>
    <row r="4278" spans="2:2" x14ac:dyDescent="0.25">
      <c r="B4278" s="10"/>
    </row>
    <row r="4279" spans="2:2" x14ac:dyDescent="0.25">
      <c r="B4279" s="10"/>
    </row>
    <row r="4280" spans="2:2" x14ac:dyDescent="0.25">
      <c r="B4280" s="10"/>
    </row>
    <row r="4281" spans="2:2" x14ac:dyDescent="0.25">
      <c r="B4281" s="10"/>
    </row>
    <row r="4282" spans="2:2" x14ac:dyDescent="0.25">
      <c r="B4282" s="10"/>
    </row>
    <row r="4283" spans="2:2" x14ac:dyDescent="0.25">
      <c r="B4283" s="10"/>
    </row>
    <row r="4284" spans="2:2" x14ac:dyDescent="0.25">
      <c r="B4284" s="10"/>
    </row>
    <row r="4285" spans="2:2" x14ac:dyDescent="0.25">
      <c r="B4285" s="10"/>
    </row>
    <row r="4286" spans="2:2" x14ac:dyDescent="0.25">
      <c r="B4286" s="10"/>
    </row>
    <row r="4287" spans="2:2" x14ac:dyDescent="0.25">
      <c r="B4287" s="10"/>
    </row>
    <row r="4288" spans="2:2" x14ac:dyDescent="0.25">
      <c r="B4288" s="10"/>
    </row>
    <row r="4289" spans="2:2" x14ac:dyDescent="0.25">
      <c r="B4289" s="10"/>
    </row>
    <row r="4290" spans="2:2" x14ac:dyDescent="0.25">
      <c r="B4290" s="10"/>
    </row>
    <row r="4291" spans="2:2" x14ac:dyDescent="0.25">
      <c r="B4291" s="10"/>
    </row>
    <row r="4292" spans="2:2" x14ac:dyDescent="0.25">
      <c r="B4292" s="10"/>
    </row>
    <row r="4293" spans="2:2" x14ac:dyDescent="0.25">
      <c r="B4293" s="10"/>
    </row>
    <row r="4294" spans="2:2" x14ac:dyDescent="0.25">
      <c r="B4294" s="10"/>
    </row>
    <row r="4295" spans="2:2" x14ac:dyDescent="0.25">
      <c r="B4295" s="10"/>
    </row>
    <row r="4296" spans="2:2" x14ac:dyDescent="0.25">
      <c r="B4296" s="10"/>
    </row>
    <row r="4297" spans="2:2" x14ac:dyDescent="0.25">
      <c r="B4297" s="10"/>
    </row>
    <row r="4298" spans="2:2" x14ac:dyDescent="0.25">
      <c r="B4298" s="10"/>
    </row>
    <row r="4299" spans="2:2" x14ac:dyDescent="0.25">
      <c r="B4299" s="10"/>
    </row>
    <row r="4300" spans="2:2" x14ac:dyDescent="0.25">
      <c r="B4300" s="10"/>
    </row>
    <row r="4301" spans="2:2" x14ac:dyDescent="0.25">
      <c r="B4301" s="10"/>
    </row>
    <row r="4302" spans="2:2" x14ac:dyDescent="0.25">
      <c r="B4302" s="10"/>
    </row>
    <row r="4303" spans="2:2" x14ac:dyDescent="0.25">
      <c r="B4303" s="10"/>
    </row>
    <row r="4304" spans="2:2" x14ac:dyDescent="0.25">
      <c r="B4304" s="10"/>
    </row>
    <row r="4305" spans="2:2" x14ac:dyDescent="0.25">
      <c r="B4305" s="10"/>
    </row>
    <row r="4306" spans="2:2" x14ac:dyDescent="0.25">
      <c r="B4306" s="10"/>
    </row>
    <row r="4307" spans="2:2" x14ac:dyDescent="0.25">
      <c r="B4307" s="10"/>
    </row>
    <row r="4308" spans="2:2" x14ac:dyDescent="0.25">
      <c r="B4308" s="10"/>
    </row>
    <row r="4309" spans="2:2" x14ac:dyDescent="0.25">
      <c r="B4309" s="10"/>
    </row>
    <row r="4310" spans="2:2" x14ac:dyDescent="0.25">
      <c r="B4310" s="10"/>
    </row>
    <row r="4311" spans="2:2" x14ac:dyDescent="0.25">
      <c r="B4311" s="10"/>
    </row>
    <row r="4312" spans="2:2" x14ac:dyDescent="0.25">
      <c r="B4312" s="10"/>
    </row>
    <row r="4313" spans="2:2" x14ac:dyDescent="0.25">
      <c r="B4313" s="10"/>
    </row>
    <row r="4314" spans="2:2" x14ac:dyDescent="0.25">
      <c r="B4314" s="10"/>
    </row>
    <row r="4315" spans="2:2" x14ac:dyDescent="0.25">
      <c r="B4315" s="10"/>
    </row>
    <row r="4316" spans="2:2" x14ac:dyDescent="0.25">
      <c r="B4316" s="10"/>
    </row>
    <row r="4317" spans="2:2" x14ac:dyDescent="0.25">
      <c r="B4317" s="10"/>
    </row>
    <row r="4318" spans="2:2" x14ac:dyDescent="0.25">
      <c r="B4318" s="10"/>
    </row>
    <row r="4319" spans="2:2" x14ac:dyDescent="0.25">
      <c r="B4319" s="10"/>
    </row>
    <row r="4320" spans="2:2" x14ac:dyDescent="0.25">
      <c r="B4320" s="10"/>
    </row>
    <row r="4321" spans="2:2" x14ac:dyDescent="0.25">
      <c r="B4321" s="10"/>
    </row>
    <row r="4322" spans="2:2" x14ac:dyDescent="0.25">
      <c r="B4322" s="10"/>
    </row>
    <row r="4323" spans="2:2" x14ac:dyDescent="0.25">
      <c r="B4323" s="10"/>
    </row>
    <row r="4324" spans="2:2" x14ac:dyDescent="0.25">
      <c r="B4324" s="10"/>
    </row>
    <row r="4325" spans="2:2" x14ac:dyDescent="0.25">
      <c r="B4325" s="10"/>
    </row>
    <row r="4326" spans="2:2" x14ac:dyDescent="0.25">
      <c r="B4326" s="10"/>
    </row>
    <row r="4327" spans="2:2" x14ac:dyDescent="0.25">
      <c r="B4327" s="10"/>
    </row>
    <row r="4328" spans="2:2" x14ac:dyDescent="0.25">
      <c r="B4328" s="10"/>
    </row>
    <row r="4329" spans="2:2" x14ac:dyDescent="0.25">
      <c r="B4329" s="10"/>
    </row>
    <row r="4330" spans="2:2" x14ac:dyDescent="0.25">
      <c r="B4330" s="10"/>
    </row>
    <row r="4331" spans="2:2" x14ac:dyDescent="0.25">
      <c r="B4331" s="10"/>
    </row>
    <row r="4332" spans="2:2" x14ac:dyDescent="0.25">
      <c r="B4332" s="10"/>
    </row>
    <row r="4333" spans="2:2" x14ac:dyDescent="0.25">
      <c r="B4333" s="10"/>
    </row>
    <row r="4334" spans="2:2" x14ac:dyDescent="0.25">
      <c r="B4334" s="10"/>
    </row>
    <row r="4335" spans="2:2" x14ac:dyDescent="0.25">
      <c r="B4335" s="10"/>
    </row>
    <row r="4336" spans="2:2" x14ac:dyDescent="0.25">
      <c r="B4336" s="10"/>
    </row>
    <row r="4337" spans="2:2" x14ac:dyDescent="0.25">
      <c r="B4337" s="10"/>
    </row>
    <row r="4338" spans="2:2" x14ac:dyDescent="0.25">
      <c r="B4338" s="10"/>
    </row>
    <row r="4339" spans="2:2" x14ac:dyDescent="0.25">
      <c r="B4339" s="10"/>
    </row>
    <row r="4340" spans="2:2" x14ac:dyDescent="0.25">
      <c r="B4340" s="10"/>
    </row>
    <row r="4341" spans="2:2" x14ac:dyDescent="0.25">
      <c r="B4341" s="10"/>
    </row>
    <row r="4342" spans="2:2" x14ac:dyDescent="0.25">
      <c r="B4342" s="10"/>
    </row>
    <row r="4343" spans="2:2" x14ac:dyDescent="0.25">
      <c r="B4343" s="10"/>
    </row>
    <row r="4344" spans="2:2" x14ac:dyDescent="0.25">
      <c r="B4344" s="10"/>
    </row>
    <row r="4345" spans="2:2" x14ac:dyDescent="0.25">
      <c r="B4345" s="10"/>
    </row>
    <row r="4346" spans="2:2" x14ac:dyDescent="0.25">
      <c r="B4346" s="10"/>
    </row>
    <row r="4347" spans="2:2" x14ac:dyDescent="0.25">
      <c r="B4347" s="10"/>
    </row>
    <row r="4348" spans="2:2" x14ac:dyDescent="0.25">
      <c r="B4348" s="10"/>
    </row>
    <row r="4349" spans="2:2" x14ac:dyDescent="0.25">
      <c r="B4349" s="10"/>
    </row>
    <row r="4350" spans="2:2" x14ac:dyDescent="0.25">
      <c r="B4350" s="10"/>
    </row>
    <row r="4351" spans="2:2" x14ac:dyDescent="0.25">
      <c r="B4351" s="10"/>
    </row>
    <row r="4352" spans="2:2" x14ac:dyDescent="0.25">
      <c r="B4352" s="10"/>
    </row>
    <row r="4353" spans="2:2" x14ac:dyDescent="0.25">
      <c r="B4353" s="10"/>
    </row>
    <row r="4354" spans="2:2" x14ac:dyDescent="0.25">
      <c r="B4354" s="10"/>
    </row>
    <row r="4355" spans="2:2" x14ac:dyDescent="0.25">
      <c r="B4355" s="10"/>
    </row>
    <row r="4356" spans="2:2" x14ac:dyDescent="0.25">
      <c r="B4356" s="10"/>
    </row>
    <row r="4357" spans="2:2" x14ac:dyDescent="0.25">
      <c r="B4357" s="10"/>
    </row>
    <row r="4358" spans="2:2" x14ac:dyDescent="0.25">
      <c r="B4358" s="10"/>
    </row>
    <row r="4359" spans="2:2" x14ac:dyDescent="0.25">
      <c r="B4359" s="10"/>
    </row>
    <row r="4360" spans="2:2" x14ac:dyDescent="0.25">
      <c r="B4360" s="10"/>
    </row>
    <row r="4361" spans="2:2" x14ac:dyDescent="0.25">
      <c r="B4361" s="10"/>
    </row>
    <row r="4362" spans="2:2" x14ac:dyDescent="0.25">
      <c r="B4362" s="10"/>
    </row>
    <row r="4363" spans="2:2" x14ac:dyDescent="0.25">
      <c r="B4363" s="10"/>
    </row>
    <row r="4364" spans="2:2" x14ac:dyDescent="0.25">
      <c r="B4364" s="10"/>
    </row>
    <row r="4365" spans="2:2" x14ac:dyDescent="0.25">
      <c r="B4365" s="10"/>
    </row>
    <row r="4366" spans="2:2" x14ac:dyDescent="0.25">
      <c r="B4366" s="10"/>
    </row>
    <row r="4367" spans="2:2" x14ac:dyDescent="0.25">
      <c r="B4367" s="10"/>
    </row>
    <row r="4368" spans="2:2" x14ac:dyDescent="0.25">
      <c r="B4368" s="10"/>
    </row>
    <row r="4369" spans="2:2" x14ac:dyDescent="0.25">
      <c r="B4369" s="10"/>
    </row>
    <row r="4370" spans="2:2" x14ac:dyDescent="0.25">
      <c r="B4370" s="10"/>
    </row>
    <row r="4371" spans="2:2" x14ac:dyDescent="0.25">
      <c r="B4371" s="10"/>
    </row>
    <row r="4372" spans="2:2" x14ac:dyDescent="0.25">
      <c r="B4372" s="10"/>
    </row>
    <row r="4373" spans="2:2" x14ac:dyDescent="0.25">
      <c r="B4373" s="10"/>
    </row>
    <row r="4374" spans="2:2" x14ac:dyDescent="0.25">
      <c r="B4374" s="10"/>
    </row>
    <row r="4375" spans="2:2" x14ac:dyDescent="0.25">
      <c r="B4375" s="10"/>
    </row>
    <row r="4376" spans="2:2" x14ac:dyDescent="0.25">
      <c r="B4376" s="10"/>
    </row>
    <row r="4377" spans="2:2" x14ac:dyDescent="0.25">
      <c r="B4377" s="10"/>
    </row>
    <row r="4378" spans="2:2" x14ac:dyDescent="0.25">
      <c r="B4378" s="10"/>
    </row>
    <row r="4379" spans="2:2" x14ac:dyDescent="0.25">
      <c r="B4379" s="10"/>
    </row>
    <row r="4380" spans="2:2" x14ac:dyDescent="0.25">
      <c r="B4380" s="10"/>
    </row>
    <row r="4381" spans="2:2" x14ac:dyDescent="0.25">
      <c r="B4381" s="10"/>
    </row>
    <row r="4382" spans="2:2" x14ac:dyDescent="0.25">
      <c r="B4382" s="10"/>
    </row>
    <row r="4383" spans="2:2" x14ac:dyDescent="0.25">
      <c r="B4383" s="10"/>
    </row>
    <row r="4384" spans="2:2" x14ac:dyDescent="0.25">
      <c r="B4384" s="10"/>
    </row>
    <row r="4385" spans="2:2" x14ac:dyDescent="0.25">
      <c r="B4385" s="10"/>
    </row>
    <row r="4386" spans="2:2" x14ac:dyDescent="0.25">
      <c r="B4386" s="10"/>
    </row>
    <row r="4387" spans="2:2" x14ac:dyDescent="0.25">
      <c r="B4387" s="10"/>
    </row>
    <row r="4388" spans="2:2" x14ac:dyDescent="0.25">
      <c r="B4388" s="10"/>
    </row>
    <row r="4389" spans="2:2" x14ac:dyDescent="0.25">
      <c r="B4389" s="10"/>
    </row>
    <row r="4390" spans="2:2" x14ac:dyDescent="0.25">
      <c r="B4390" s="10"/>
    </row>
    <row r="4391" spans="2:2" x14ac:dyDescent="0.25">
      <c r="B4391" s="10"/>
    </row>
    <row r="4392" spans="2:2" x14ac:dyDescent="0.25">
      <c r="B4392" s="10"/>
    </row>
    <row r="4393" spans="2:2" x14ac:dyDescent="0.25">
      <c r="B4393" s="10"/>
    </row>
    <row r="4394" spans="2:2" x14ac:dyDescent="0.25">
      <c r="B4394" s="10"/>
    </row>
    <row r="4395" spans="2:2" x14ac:dyDescent="0.25">
      <c r="B4395" s="10"/>
    </row>
    <row r="4396" spans="2:2" x14ac:dyDescent="0.25">
      <c r="B4396" s="10"/>
    </row>
    <row r="4397" spans="2:2" x14ac:dyDescent="0.25">
      <c r="B4397" s="10"/>
    </row>
    <row r="4398" spans="2:2" x14ac:dyDescent="0.25">
      <c r="B4398" s="10"/>
    </row>
    <row r="4399" spans="2:2" x14ac:dyDescent="0.25">
      <c r="B4399" s="10"/>
    </row>
    <row r="4400" spans="2:2" x14ac:dyDescent="0.25">
      <c r="B4400" s="10"/>
    </row>
    <row r="4401" spans="2:2" x14ac:dyDescent="0.25">
      <c r="B4401" s="10"/>
    </row>
    <row r="4402" spans="2:2" x14ac:dyDescent="0.25">
      <c r="B4402" s="10"/>
    </row>
    <row r="4403" spans="2:2" x14ac:dyDescent="0.25">
      <c r="B4403" s="10"/>
    </row>
    <row r="4404" spans="2:2" x14ac:dyDescent="0.25">
      <c r="B4404" s="10"/>
    </row>
    <row r="4405" spans="2:2" x14ac:dyDescent="0.25">
      <c r="B4405" s="10"/>
    </row>
    <row r="4406" spans="2:2" x14ac:dyDescent="0.25">
      <c r="B4406" s="10"/>
    </row>
    <row r="4407" spans="2:2" x14ac:dyDescent="0.25">
      <c r="B4407" s="10"/>
    </row>
    <row r="4408" spans="2:2" x14ac:dyDescent="0.25">
      <c r="B4408" s="10"/>
    </row>
    <row r="4409" spans="2:2" x14ac:dyDescent="0.25">
      <c r="B4409" s="10"/>
    </row>
    <row r="4410" spans="2:2" x14ac:dyDescent="0.25">
      <c r="B4410" s="10"/>
    </row>
    <row r="4411" spans="2:2" x14ac:dyDescent="0.25">
      <c r="B4411" s="10"/>
    </row>
    <row r="4412" spans="2:2" x14ac:dyDescent="0.25">
      <c r="B4412" s="10"/>
    </row>
    <row r="4413" spans="2:2" x14ac:dyDescent="0.25">
      <c r="B4413" s="10"/>
    </row>
    <row r="4414" spans="2:2" x14ac:dyDescent="0.25">
      <c r="B4414" s="10"/>
    </row>
    <row r="4415" spans="2:2" x14ac:dyDescent="0.25">
      <c r="B4415" s="10"/>
    </row>
    <row r="4416" spans="2:2" x14ac:dyDescent="0.25">
      <c r="B4416" s="10"/>
    </row>
    <row r="4417" spans="2:2" x14ac:dyDescent="0.25">
      <c r="B4417" s="10"/>
    </row>
    <row r="4418" spans="2:2" x14ac:dyDescent="0.25">
      <c r="B4418" s="10"/>
    </row>
    <row r="4419" spans="2:2" x14ac:dyDescent="0.25">
      <c r="B4419" s="10"/>
    </row>
    <row r="4420" spans="2:2" x14ac:dyDescent="0.25">
      <c r="B4420" s="10"/>
    </row>
    <row r="4421" spans="2:2" x14ac:dyDescent="0.25">
      <c r="B4421" s="10"/>
    </row>
    <row r="4422" spans="2:2" x14ac:dyDescent="0.25">
      <c r="B4422" s="10"/>
    </row>
    <row r="4423" spans="2:2" x14ac:dyDescent="0.25">
      <c r="B4423" s="10"/>
    </row>
    <row r="4424" spans="2:2" x14ac:dyDescent="0.25">
      <c r="B4424" s="10"/>
    </row>
    <row r="4425" spans="2:2" x14ac:dyDescent="0.25">
      <c r="B4425" s="10"/>
    </row>
    <row r="4426" spans="2:2" x14ac:dyDescent="0.25">
      <c r="B4426" s="10"/>
    </row>
    <row r="4427" spans="2:2" x14ac:dyDescent="0.25">
      <c r="B4427" s="10"/>
    </row>
    <row r="4428" spans="2:2" x14ac:dyDescent="0.25">
      <c r="B4428" s="10"/>
    </row>
    <row r="4429" spans="2:2" x14ac:dyDescent="0.25">
      <c r="B4429" s="10"/>
    </row>
    <row r="4430" spans="2:2" x14ac:dyDescent="0.25">
      <c r="B4430" s="10"/>
    </row>
    <row r="4431" spans="2:2" x14ac:dyDescent="0.25">
      <c r="B4431" s="10"/>
    </row>
    <row r="4432" spans="2:2" x14ac:dyDescent="0.25">
      <c r="B4432" s="10"/>
    </row>
    <row r="4433" spans="2:2" x14ac:dyDescent="0.25">
      <c r="B4433" s="10"/>
    </row>
    <row r="4434" spans="2:2" x14ac:dyDescent="0.25">
      <c r="B4434" s="10"/>
    </row>
    <row r="4435" spans="2:2" x14ac:dyDescent="0.25">
      <c r="B4435" s="10"/>
    </row>
    <row r="4436" spans="2:2" x14ac:dyDescent="0.25">
      <c r="B4436" s="10"/>
    </row>
    <row r="4437" spans="2:2" x14ac:dyDescent="0.25">
      <c r="B4437" s="10"/>
    </row>
    <row r="4438" spans="2:2" x14ac:dyDescent="0.25">
      <c r="B4438" s="10"/>
    </row>
    <row r="4439" spans="2:2" x14ac:dyDescent="0.25">
      <c r="B4439" s="10"/>
    </row>
    <row r="4440" spans="2:2" x14ac:dyDescent="0.25">
      <c r="B4440" s="10"/>
    </row>
    <row r="4441" spans="2:2" x14ac:dyDescent="0.25">
      <c r="B4441" s="10"/>
    </row>
    <row r="4442" spans="2:2" x14ac:dyDescent="0.25">
      <c r="B4442" s="10"/>
    </row>
    <row r="4443" spans="2:2" x14ac:dyDescent="0.25">
      <c r="B4443" s="10"/>
    </row>
    <row r="4444" spans="2:2" x14ac:dyDescent="0.25">
      <c r="B4444" s="10"/>
    </row>
    <row r="4445" spans="2:2" x14ac:dyDescent="0.25">
      <c r="B4445" s="10"/>
    </row>
    <row r="4446" spans="2:2" x14ac:dyDescent="0.25">
      <c r="B4446" s="10"/>
    </row>
    <row r="4447" spans="2:2" x14ac:dyDescent="0.25">
      <c r="B4447" s="10"/>
    </row>
    <row r="4448" spans="2:2" x14ac:dyDescent="0.25">
      <c r="B4448" s="10"/>
    </row>
    <row r="4449" spans="2:2" x14ac:dyDescent="0.25">
      <c r="B4449" s="10"/>
    </row>
    <row r="4450" spans="2:2" x14ac:dyDescent="0.25">
      <c r="B4450" s="10"/>
    </row>
    <row r="4451" spans="2:2" x14ac:dyDescent="0.25">
      <c r="B4451" s="10"/>
    </row>
    <row r="4452" spans="2:2" x14ac:dyDescent="0.25">
      <c r="B4452" s="10"/>
    </row>
    <row r="4453" spans="2:2" x14ac:dyDescent="0.25">
      <c r="B4453" s="10"/>
    </row>
    <row r="4454" spans="2:2" x14ac:dyDescent="0.25">
      <c r="B4454" s="10"/>
    </row>
    <row r="4455" spans="2:2" x14ac:dyDescent="0.25">
      <c r="B4455" s="10"/>
    </row>
    <row r="4456" spans="2:2" x14ac:dyDescent="0.25">
      <c r="B4456" s="10"/>
    </row>
    <row r="4457" spans="2:2" x14ac:dyDescent="0.25">
      <c r="B4457" s="10"/>
    </row>
    <row r="4458" spans="2:2" x14ac:dyDescent="0.25">
      <c r="B4458" s="10"/>
    </row>
    <row r="4459" spans="2:2" x14ac:dyDescent="0.25">
      <c r="B4459" s="10"/>
    </row>
    <row r="4460" spans="2:2" x14ac:dyDescent="0.25">
      <c r="B4460" s="10"/>
    </row>
    <row r="4461" spans="2:2" x14ac:dyDescent="0.25">
      <c r="B4461" s="10"/>
    </row>
    <row r="4462" spans="2:2" x14ac:dyDescent="0.25">
      <c r="B4462" s="10"/>
    </row>
    <row r="4463" spans="2:2" x14ac:dyDescent="0.25">
      <c r="B4463" s="10"/>
    </row>
    <row r="4464" spans="2:2" x14ac:dyDescent="0.25">
      <c r="B4464" s="10"/>
    </row>
    <row r="4465" spans="2:2" x14ac:dyDescent="0.25">
      <c r="B4465" s="10"/>
    </row>
    <row r="4466" spans="2:2" x14ac:dyDescent="0.25">
      <c r="B4466" s="10"/>
    </row>
    <row r="4467" spans="2:2" x14ac:dyDescent="0.25">
      <c r="B4467" s="10"/>
    </row>
    <row r="4468" spans="2:2" x14ac:dyDescent="0.25">
      <c r="B4468" s="10"/>
    </row>
    <row r="4469" spans="2:2" x14ac:dyDescent="0.25">
      <c r="B4469" s="10"/>
    </row>
    <row r="4470" spans="2:2" x14ac:dyDescent="0.25">
      <c r="B4470" s="10"/>
    </row>
    <row r="4471" spans="2:2" x14ac:dyDescent="0.25">
      <c r="B4471" s="10"/>
    </row>
    <row r="4472" spans="2:2" x14ac:dyDescent="0.25">
      <c r="B4472" s="10"/>
    </row>
    <row r="4473" spans="2:2" x14ac:dyDescent="0.25">
      <c r="B4473" s="10"/>
    </row>
    <row r="4474" spans="2:2" x14ac:dyDescent="0.25">
      <c r="B4474" s="10"/>
    </row>
    <row r="4475" spans="2:2" x14ac:dyDescent="0.25">
      <c r="B4475" s="10"/>
    </row>
    <row r="4476" spans="2:2" x14ac:dyDescent="0.25">
      <c r="B4476" s="10"/>
    </row>
    <row r="4477" spans="2:2" x14ac:dyDescent="0.25">
      <c r="B4477" s="10"/>
    </row>
    <row r="4478" spans="2:2" x14ac:dyDescent="0.25">
      <c r="B4478" s="10"/>
    </row>
    <row r="4479" spans="2:2" x14ac:dyDescent="0.25">
      <c r="B4479" s="10"/>
    </row>
    <row r="4480" spans="2:2" x14ac:dyDescent="0.25">
      <c r="B4480" s="10"/>
    </row>
    <row r="4481" spans="2:2" x14ac:dyDescent="0.25">
      <c r="B4481" s="10"/>
    </row>
    <row r="4482" spans="2:2" x14ac:dyDescent="0.25">
      <c r="B4482" s="10"/>
    </row>
    <row r="4483" spans="2:2" x14ac:dyDescent="0.25">
      <c r="B4483" s="10"/>
    </row>
    <row r="4484" spans="2:2" x14ac:dyDescent="0.25">
      <c r="B4484" s="10"/>
    </row>
    <row r="4485" spans="2:2" x14ac:dyDescent="0.25">
      <c r="B4485" s="10"/>
    </row>
    <row r="4486" spans="2:2" x14ac:dyDescent="0.25">
      <c r="B4486" s="10"/>
    </row>
    <row r="4487" spans="2:2" x14ac:dyDescent="0.25">
      <c r="B4487" s="10"/>
    </row>
    <row r="4488" spans="2:2" x14ac:dyDescent="0.25">
      <c r="B4488" s="10"/>
    </row>
    <row r="4489" spans="2:2" x14ac:dyDescent="0.25">
      <c r="B4489" s="10"/>
    </row>
    <row r="4490" spans="2:2" x14ac:dyDescent="0.25">
      <c r="B4490" s="10"/>
    </row>
    <row r="4491" spans="2:2" x14ac:dyDescent="0.25">
      <c r="B4491" s="10"/>
    </row>
    <row r="4492" spans="2:2" x14ac:dyDescent="0.25">
      <c r="B4492" s="10"/>
    </row>
    <row r="4493" spans="2:2" x14ac:dyDescent="0.25">
      <c r="B4493" s="10"/>
    </row>
    <row r="4494" spans="2:2" x14ac:dyDescent="0.25">
      <c r="B4494" s="10"/>
    </row>
    <row r="4495" spans="2:2" x14ac:dyDescent="0.25">
      <c r="B4495" s="10"/>
    </row>
    <row r="4496" spans="2:2" x14ac:dyDescent="0.25">
      <c r="B4496" s="10"/>
    </row>
    <row r="4497" spans="2:2" x14ac:dyDescent="0.25">
      <c r="B4497" s="10"/>
    </row>
    <row r="4498" spans="2:2" x14ac:dyDescent="0.25">
      <c r="B4498" s="10"/>
    </row>
    <row r="4499" spans="2:2" x14ac:dyDescent="0.25">
      <c r="B4499" s="10"/>
    </row>
    <row r="4500" spans="2:2" x14ac:dyDescent="0.25">
      <c r="B4500" s="10"/>
    </row>
    <row r="4501" spans="2:2" x14ac:dyDescent="0.25">
      <c r="B4501" s="10"/>
    </row>
    <row r="4502" spans="2:2" x14ac:dyDescent="0.25">
      <c r="B4502" s="10"/>
    </row>
    <row r="4503" spans="2:2" x14ac:dyDescent="0.25">
      <c r="B4503" s="10"/>
    </row>
    <row r="4504" spans="2:2" x14ac:dyDescent="0.25">
      <c r="B4504" s="10"/>
    </row>
    <row r="4505" spans="2:2" x14ac:dyDescent="0.25">
      <c r="B4505" s="10"/>
    </row>
    <row r="4506" spans="2:2" x14ac:dyDescent="0.25">
      <c r="B4506" s="10"/>
    </row>
    <row r="4507" spans="2:2" x14ac:dyDescent="0.25">
      <c r="B4507" s="10"/>
    </row>
    <row r="4508" spans="2:2" x14ac:dyDescent="0.25">
      <c r="B4508" s="10"/>
    </row>
    <row r="4509" spans="2:2" x14ac:dyDescent="0.25">
      <c r="B4509" s="10"/>
    </row>
    <row r="4510" spans="2:2" x14ac:dyDescent="0.25">
      <c r="B4510" s="10"/>
    </row>
    <row r="4511" spans="2:2" x14ac:dyDescent="0.25">
      <c r="B4511" s="10"/>
    </row>
    <row r="4512" spans="2:2" x14ac:dyDescent="0.25">
      <c r="B4512" s="10"/>
    </row>
    <row r="4513" spans="2:2" x14ac:dyDescent="0.25">
      <c r="B4513" s="10"/>
    </row>
    <row r="4514" spans="2:2" x14ac:dyDescent="0.25">
      <c r="B4514" s="10"/>
    </row>
    <row r="4515" spans="2:2" x14ac:dyDescent="0.25">
      <c r="B4515" s="10"/>
    </row>
    <row r="4516" spans="2:2" x14ac:dyDescent="0.25">
      <c r="B4516" s="10"/>
    </row>
    <row r="4517" spans="2:2" x14ac:dyDescent="0.25">
      <c r="B4517" s="10"/>
    </row>
    <row r="4518" spans="2:2" x14ac:dyDescent="0.25">
      <c r="B4518" s="10"/>
    </row>
    <row r="4519" spans="2:2" x14ac:dyDescent="0.25">
      <c r="B4519" s="10"/>
    </row>
    <row r="4520" spans="2:2" x14ac:dyDescent="0.25">
      <c r="B4520" s="10"/>
    </row>
    <row r="4521" spans="2:2" x14ac:dyDescent="0.25">
      <c r="B4521" s="10"/>
    </row>
    <row r="4522" spans="2:2" x14ac:dyDescent="0.25">
      <c r="B4522" s="10"/>
    </row>
    <row r="4523" spans="2:2" x14ac:dyDescent="0.25">
      <c r="B4523" s="10"/>
    </row>
    <row r="4524" spans="2:2" x14ac:dyDescent="0.25">
      <c r="B4524" s="10"/>
    </row>
    <row r="4525" spans="2:2" x14ac:dyDescent="0.25">
      <c r="B4525" s="10"/>
    </row>
    <row r="4526" spans="2:2" x14ac:dyDescent="0.25">
      <c r="B4526" s="10"/>
    </row>
    <row r="4527" spans="2:2" x14ac:dyDescent="0.25">
      <c r="B4527" s="10"/>
    </row>
    <row r="4528" spans="2:2" x14ac:dyDescent="0.25">
      <c r="B4528" s="10"/>
    </row>
    <row r="4529" spans="2:2" x14ac:dyDescent="0.25">
      <c r="B4529" s="10"/>
    </row>
    <row r="4530" spans="2:2" x14ac:dyDescent="0.25">
      <c r="B4530" s="10"/>
    </row>
    <row r="4531" spans="2:2" x14ac:dyDescent="0.25">
      <c r="B4531" s="10"/>
    </row>
    <row r="4532" spans="2:2" x14ac:dyDescent="0.25">
      <c r="B4532" s="10"/>
    </row>
    <row r="4533" spans="2:2" x14ac:dyDescent="0.25">
      <c r="B4533" s="10"/>
    </row>
    <row r="4534" spans="2:2" x14ac:dyDescent="0.25">
      <c r="B4534" s="10"/>
    </row>
    <row r="4535" spans="2:2" x14ac:dyDescent="0.25">
      <c r="B4535" s="10"/>
    </row>
    <row r="4536" spans="2:2" x14ac:dyDescent="0.25">
      <c r="B4536" s="10"/>
    </row>
    <row r="4537" spans="2:2" x14ac:dyDescent="0.25">
      <c r="B4537" s="10"/>
    </row>
    <row r="4538" spans="2:2" x14ac:dyDescent="0.25">
      <c r="B4538" s="10"/>
    </row>
    <row r="4539" spans="2:2" x14ac:dyDescent="0.25">
      <c r="B4539" s="10"/>
    </row>
    <row r="4540" spans="2:2" x14ac:dyDescent="0.25">
      <c r="B4540" s="10"/>
    </row>
    <row r="4541" spans="2:2" x14ac:dyDescent="0.25">
      <c r="B4541" s="10"/>
    </row>
    <row r="4542" spans="2:2" x14ac:dyDescent="0.25">
      <c r="B4542" s="10"/>
    </row>
    <row r="4543" spans="2:2" x14ac:dyDescent="0.25">
      <c r="B4543" s="10"/>
    </row>
    <row r="4544" spans="2:2" x14ac:dyDescent="0.25">
      <c r="B4544" s="10"/>
    </row>
    <row r="4545" spans="2:2" x14ac:dyDescent="0.25">
      <c r="B4545" s="10"/>
    </row>
    <row r="4546" spans="2:2" x14ac:dyDescent="0.25">
      <c r="B4546" s="10"/>
    </row>
    <row r="4547" spans="2:2" x14ac:dyDescent="0.25">
      <c r="B4547" s="10"/>
    </row>
    <row r="4548" spans="2:2" x14ac:dyDescent="0.25">
      <c r="B4548" s="10"/>
    </row>
    <row r="4549" spans="2:2" x14ac:dyDescent="0.25">
      <c r="B4549" s="10"/>
    </row>
    <row r="4550" spans="2:2" x14ac:dyDescent="0.25">
      <c r="B4550" s="10"/>
    </row>
    <row r="4551" spans="2:2" x14ac:dyDescent="0.25">
      <c r="B4551" s="10"/>
    </row>
    <row r="4552" spans="2:2" x14ac:dyDescent="0.25">
      <c r="B4552" s="10"/>
    </row>
    <row r="4553" spans="2:2" x14ac:dyDescent="0.25">
      <c r="B4553" s="10"/>
    </row>
    <row r="4554" spans="2:2" x14ac:dyDescent="0.25">
      <c r="B4554" s="10"/>
    </row>
    <row r="4555" spans="2:2" x14ac:dyDescent="0.25">
      <c r="B4555" s="10"/>
    </row>
    <row r="4556" spans="2:2" x14ac:dyDescent="0.25">
      <c r="B4556" s="10"/>
    </row>
    <row r="4557" spans="2:2" x14ac:dyDescent="0.25">
      <c r="B4557" s="10"/>
    </row>
    <row r="4558" spans="2:2" x14ac:dyDescent="0.25">
      <c r="B4558" s="10"/>
    </row>
    <row r="4559" spans="2:2" x14ac:dyDescent="0.25">
      <c r="B4559" s="10"/>
    </row>
    <row r="4560" spans="2:2" x14ac:dyDescent="0.25">
      <c r="B4560" s="10"/>
    </row>
    <row r="4561" spans="2:2" x14ac:dyDescent="0.25">
      <c r="B4561" s="10"/>
    </row>
    <row r="4562" spans="2:2" x14ac:dyDescent="0.25">
      <c r="B4562" s="10"/>
    </row>
    <row r="4563" spans="2:2" x14ac:dyDescent="0.25">
      <c r="B4563" s="10"/>
    </row>
    <row r="4564" spans="2:2" x14ac:dyDescent="0.25">
      <c r="B4564" s="10"/>
    </row>
    <row r="4565" spans="2:2" x14ac:dyDescent="0.25">
      <c r="B4565" s="10"/>
    </row>
    <row r="4566" spans="2:2" x14ac:dyDescent="0.25">
      <c r="B4566" s="10"/>
    </row>
    <row r="4567" spans="2:2" x14ac:dyDescent="0.25">
      <c r="B4567" s="10"/>
    </row>
    <row r="4568" spans="2:2" x14ac:dyDescent="0.25">
      <c r="B4568" s="10"/>
    </row>
    <row r="4569" spans="2:2" x14ac:dyDescent="0.25">
      <c r="B4569" s="10"/>
    </row>
    <row r="4570" spans="2:2" x14ac:dyDescent="0.25">
      <c r="B4570" s="10"/>
    </row>
    <row r="4571" spans="2:2" x14ac:dyDescent="0.25">
      <c r="B4571" s="10"/>
    </row>
    <row r="4572" spans="2:2" x14ac:dyDescent="0.25">
      <c r="B4572" s="10"/>
    </row>
    <row r="4573" spans="2:2" x14ac:dyDescent="0.25">
      <c r="B4573" s="10"/>
    </row>
    <row r="4574" spans="2:2" x14ac:dyDescent="0.25">
      <c r="B4574" s="10"/>
    </row>
    <row r="4575" spans="2:2" x14ac:dyDescent="0.25">
      <c r="B4575" s="10"/>
    </row>
    <row r="4576" spans="2:2" x14ac:dyDescent="0.25">
      <c r="B4576" s="10"/>
    </row>
    <row r="4577" spans="2:2" x14ac:dyDescent="0.25">
      <c r="B4577" s="10"/>
    </row>
    <row r="4578" spans="2:2" x14ac:dyDescent="0.25">
      <c r="B4578" s="10"/>
    </row>
    <row r="4579" spans="2:2" x14ac:dyDescent="0.25">
      <c r="B4579" s="10"/>
    </row>
    <row r="4580" spans="2:2" x14ac:dyDescent="0.25">
      <c r="B4580" s="10"/>
    </row>
    <row r="4581" spans="2:2" x14ac:dyDescent="0.25">
      <c r="B4581" s="10"/>
    </row>
    <row r="4582" spans="2:2" x14ac:dyDescent="0.25">
      <c r="B4582" s="10"/>
    </row>
    <row r="4583" spans="2:2" x14ac:dyDescent="0.25">
      <c r="B4583" s="10"/>
    </row>
    <row r="4584" spans="2:2" x14ac:dyDescent="0.25">
      <c r="B4584" s="10"/>
    </row>
    <row r="4585" spans="2:2" x14ac:dyDescent="0.25">
      <c r="B4585" s="10"/>
    </row>
    <row r="4586" spans="2:2" x14ac:dyDescent="0.25">
      <c r="B4586" s="10"/>
    </row>
    <row r="4587" spans="2:2" x14ac:dyDescent="0.25">
      <c r="B4587" s="10"/>
    </row>
    <row r="4588" spans="2:2" x14ac:dyDescent="0.25">
      <c r="B4588" s="10"/>
    </row>
    <row r="4589" spans="2:2" x14ac:dyDescent="0.25">
      <c r="B4589" s="10"/>
    </row>
    <row r="4590" spans="2:2" x14ac:dyDescent="0.25">
      <c r="B4590" s="10"/>
    </row>
    <row r="4591" spans="2:2" x14ac:dyDescent="0.25">
      <c r="B4591" s="10"/>
    </row>
    <row r="4592" spans="2:2" x14ac:dyDescent="0.25">
      <c r="B4592" s="10"/>
    </row>
    <row r="4593" spans="2:2" x14ac:dyDescent="0.25">
      <c r="B4593" s="10"/>
    </row>
    <row r="4594" spans="2:2" x14ac:dyDescent="0.25">
      <c r="B4594" s="10"/>
    </row>
    <row r="4595" spans="2:2" x14ac:dyDescent="0.25">
      <c r="B4595" s="10"/>
    </row>
    <row r="4596" spans="2:2" x14ac:dyDescent="0.25">
      <c r="B4596" s="10"/>
    </row>
    <row r="4597" spans="2:2" x14ac:dyDescent="0.25">
      <c r="B4597" s="10"/>
    </row>
    <row r="4598" spans="2:2" x14ac:dyDescent="0.25">
      <c r="B4598" s="10"/>
    </row>
    <row r="4599" spans="2:2" x14ac:dyDescent="0.25">
      <c r="B4599" s="10"/>
    </row>
    <row r="4600" spans="2:2" x14ac:dyDescent="0.25">
      <c r="B4600" s="10"/>
    </row>
    <row r="4601" spans="2:2" x14ac:dyDescent="0.25">
      <c r="B4601" s="10"/>
    </row>
    <row r="4602" spans="2:2" x14ac:dyDescent="0.25">
      <c r="B4602" s="10"/>
    </row>
    <row r="4603" spans="2:2" x14ac:dyDescent="0.25">
      <c r="B4603" s="10"/>
    </row>
    <row r="4604" spans="2:2" x14ac:dyDescent="0.25">
      <c r="B4604" s="10"/>
    </row>
    <row r="4605" spans="2:2" x14ac:dyDescent="0.25">
      <c r="B4605" s="10"/>
    </row>
    <row r="4606" spans="2:2" x14ac:dyDescent="0.25">
      <c r="B4606" s="10"/>
    </row>
    <row r="4607" spans="2:2" x14ac:dyDescent="0.25">
      <c r="B4607" s="10"/>
    </row>
    <row r="4608" spans="2:2" x14ac:dyDescent="0.25">
      <c r="B4608" s="10"/>
    </row>
    <row r="4609" spans="2:2" x14ac:dyDescent="0.25">
      <c r="B4609" s="10"/>
    </row>
    <row r="4610" spans="2:2" x14ac:dyDescent="0.25">
      <c r="B4610" s="10"/>
    </row>
    <row r="4611" spans="2:2" x14ac:dyDescent="0.25">
      <c r="B4611" s="10"/>
    </row>
    <row r="4612" spans="2:2" x14ac:dyDescent="0.25">
      <c r="B4612" s="10"/>
    </row>
    <row r="4613" spans="2:2" x14ac:dyDescent="0.25">
      <c r="B4613" s="10"/>
    </row>
    <row r="4614" spans="2:2" x14ac:dyDescent="0.25">
      <c r="B4614" s="10"/>
    </row>
    <row r="4615" spans="2:2" x14ac:dyDescent="0.25">
      <c r="B4615" s="10"/>
    </row>
    <row r="4616" spans="2:2" x14ac:dyDescent="0.25">
      <c r="B4616" s="10"/>
    </row>
    <row r="4617" spans="2:2" x14ac:dyDescent="0.25">
      <c r="B4617" s="10"/>
    </row>
    <row r="4618" spans="2:2" x14ac:dyDescent="0.25">
      <c r="B4618" s="10"/>
    </row>
    <row r="4619" spans="2:2" x14ac:dyDescent="0.25">
      <c r="B4619" s="10"/>
    </row>
    <row r="4620" spans="2:2" x14ac:dyDescent="0.25">
      <c r="B4620" s="10"/>
    </row>
    <row r="4621" spans="2:2" x14ac:dyDescent="0.25">
      <c r="B4621" s="10"/>
    </row>
    <row r="4622" spans="2:2" x14ac:dyDescent="0.25">
      <c r="B4622" s="10"/>
    </row>
    <row r="4623" spans="2:2" x14ac:dyDescent="0.25">
      <c r="B4623" s="10"/>
    </row>
    <row r="4624" spans="2:2" x14ac:dyDescent="0.25">
      <c r="B4624" s="10"/>
    </row>
    <row r="4625" spans="2:2" x14ac:dyDescent="0.25">
      <c r="B4625" s="10"/>
    </row>
    <row r="4626" spans="2:2" x14ac:dyDescent="0.25">
      <c r="B4626" s="10"/>
    </row>
    <row r="4627" spans="2:2" x14ac:dyDescent="0.25">
      <c r="B4627" s="10"/>
    </row>
    <row r="4628" spans="2:2" x14ac:dyDescent="0.25">
      <c r="B4628" s="10"/>
    </row>
    <row r="4629" spans="2:2" x14ac:dyDescent="0.25">
      <c r="B4629" s="10"/>
    </row>
    <row r="4630" spans="2:2" x14ac:dyDescent="0.25">
      <c r="B4630" s="10"/>
    </row>
    <row r="4631" spans="2:2" x14ac:dyDescent="0.25">
      <c r="B4631" s="10"/>
    </row>
    <row r="4632" spans="2:2" x14ac:dyDescent="0.25">
      <c r="B4632" s="10"/>
    </row>
    <row r="4633" spans="2:2" x14ac:dyDescent="0.25">
      <c r="B4633" s="10"/>
    </row>
    <row r="4634" spans="2:2" x14ac:dyDescent="0.25">
      <c r="B4634" s="10"/>
    </row>
    <row r="4635" spans="2:2" x14ac:dyDescent="0.25">
      <c r="B4635" s="10"/>
    </row>
    <row r="4636" spans="2:2" x14ac:dyDescent="0.25">
      <c r="B4636" s="10"/>
    </row>
    <row r="4637" spans="2:2" x14ac:dyDescent="0.25">
      <c r="B4637" s="10"/>
    </row>
    <row r="4638" spans="2:2" x14ac:dyDescent="0.25">
      <c r="B4638" s="10"/>
    </row>
    <row r="4639" spans="2:2" x14ac:dyDescent="0.25">
      <c r="B4639" s="10"/>
    </row>
    <row r="4640" spans="2:2" x14ac:dyDescent="0.25">
      <c r="B4640" s="10"/>
    </row>
    <row r="4641" spans="2:2" x14ac:dyDescent="0.25">
      <c r="B4641" s="10"/>
    </row>
    <row r="4642" spans="2:2" x14ac:dyDescent="0.25">
      <c r="B4642" s="10"/>
    </row>
    <row r="4643" spans="2:2" x14ac:dyDescent="0.25">
      <c r="B4643" s="10"/>
    </row>
    <row r="4644" spans="2:2" x14ac:dyDescent="0.25">
      <c r="B4644" s="10"/>
    </row>
    <row r="4645" spans="2:2" x14ac:dyDescent="0.25">
      <c r="B4645" s="10"/>
    </row>
    <row r="4646" spans="2:2" x14ac:dyDescent="0.25">
      <c r="B4646" s="10"/>
    </row>
    <row r="4647" spans="2:2" x14ac:dyDescent="0.25">
      <c r="B4647" s="10"/>
    </row>
    <row r="4648" spans="2:2" x14ac:dyDescent="0.25">
      <c r="B4648" s="10"/>
    </row>
    <row r="4649" spans="2:2" x14ac:dyDescent="0.25">
      <c r="B4649" s="10"/>
    </row>
    <row r="4650" spans="2:2" x14ac:dyDescent="0.25">
      <c r="B4650" s="10"/>
    </row>
    <row r="4651" spans="2:2" x14ac:dyDescent="0.25">
      <c r="B4651" s="10"/>
    </row>
    <row r="4652" spans="2:2" x14ac:dyDescent="0.25">
      <c r="B4652" s="10"/>
    </row>
    <row r="4653" spans="2:2" x14ac:dyDescent="0.25">
      <c r="B4653" s="10"/>
    </row>
    <row r="4654" spans="2:2" x14ac:dyDescent="0.25">
      <c r="B4654" s="10"/>
    </row>
    <row r="4655" spans="2:2" x14ac:dyDescent="0.25">
      <c r="B4655" s="10"/>
    </row>
    <row r="4656" spans="2:2" x14ac:dyDescent="0.25">
      <c r="B4656" s="10"/>
    </row>
    <row r="4657" spans="2:2" x14ac:dyDescent="0.25">
      <c r="B4657" s="10"/>
    </row>
    <row r="4658" spans="2:2" x14ac:dyDescent="0.25">
      <c r="B4658" s="10"/>
    </row>
    <row r="4659" spans="2:2" x14ac:dyDescent="0.25">
      <c r="B4659" s="10"/>
    </row>
    <row r="4660" spans="2:2" x14ac:dyDescent="0.25">
      <c r="B4660" s="10"/>
    </row>
    <row r="4661" spans="2:2" x14ac:dyDescent="0.25">
      <c r="B4661" s="10"/>
    </row>
    <row r="4662" spans="2:2" x14ac:dyDescent="0.25">
      <c r="B4662" s="10"/>
    </row>
    <row r="4663" spans="2:2" x14ac:dyDescent="0.25">
      <c r="B4663" s="10"/>
    </row>
    <row r="4664" spans="2:2" x14ac:dyDescent="0.25">
      <c r="B4664" s="10"/>
    </row>
    <row r="4665" spans="2:2" x14ac:dyDescent="0.25">
      <c r="B4665" s="10"/>
    </row>
    <row r="4666" spans="2:2" x14ac:dyDescent="0.25">
      <c r="B4666" s="10"/>
    </row>
    <row r="4667" spans="2:2" x14ac:dyDescent="0.25">
      <c r="B4667" s="10"/>
    </row>
    <row r="4668" spans="2:2" x14ac:dyDescent="0.25">
      <c r="B4668" s="10"/>
    </row>
    <row r="4669" spans="2:2" x14ac:dyDescent="0.25">
      <c r="B4669" s="10"/>
    </row>
    <row r="4670" spans="2:2" x14ac:dyDescent="0.25">
      <c r="B4670" s="10"/>
    </row>
    <row r="4671" spans="2:2" x14ac:dyDescent="0.25">
      <c r="B4671" s="10"/>
    </row>
    <row r="4672" spans="2:2" x14ac:dyDescent="0.25">
      <c r="B4672" s="10"/>
    </row>
    <row r="4673" spans="2:2" x14ac:dyDescent="0.25">
      <c r="B4673" s="10"/>
    </row>
    <row r="4674" spans="2:2" x14ac:dyDescent="0.25">
      <c r="B4674" s="10"/>
    </row>
    <row r="4675" spans="2:2" x14ac:dyDescent="0.25">
      <c r="B4675" s="10"/>
    </row>
    <row r="4676" spans="2:2" x14ac:dyDescent="0.25">
      <c r="B4676" s="10"/>
    </row>
    <row r="4677" spans="2:2" x14ac:dyDescent="0.25">
      <c r="B4677" s="10"/>
    </row>
    <row r="4678" spans="2:2" x14ac:dyDescent="0.25">
      <c r="B4678" s="10"/>
    </row>
    <row r="4679" spans="2:2" x14ac:dyDescent="0.25">
      <c r="B4679" s="10"/>
    </row>
    <row r="4680" spans="2:2" x14ac:dyDescent="0.25">
      <c r="B4680" s="10"/>
    </row>
    <row r="4681" spans="2:2" x14ac:dyDescent="0.25">
      <c r="B4681" s="10"/>
    </row>
    <row r="4682" spans="2:2" x14ac:dyDescent="0.25">
      <c r="B4682" s="10"/>
    </row>
    <row r="4683" spans="2:2" x14ac:dyDescent="0.25">
      <c r="B4683" s="10"/>
    </row>
    <row r="4684" spans="2:2" x14ac:dyDescent="0.25">
      <c r="B4684" s="10"/>
    </row>
    <row r="4685" spans="2:2" x14ac:dyDescent="0.25">
      <c r="B4685" s="10"/>
    </row>
    <row r="4686" spans="2:2" x14ac:dyDescent="0.25">
      <c r="B4686" s="10"/>
    </row>
    <row r="4687" spans="2:2" x14ac:dyDescent="0.25">
      <c r="B4687" s="10"/>
    </row>
    <row r="4688" spans="2:2" x14ac:dyDescent="0.25">
      <c r="B4688" s="10"/>
    </row>
    <row r="4689" spans="2:2" x14ac:dyDescent="0.25">
      <c r="B4689" s="10"/>
    </row>
    <row r="4690" spans="2:2" x14ac:dyDescent="0.25">
      <c r="B4690" s="10"/>
    </row>
    <row r="4691" spans="2:2" x14ac:dyDescent="0.25">
      <c r="B4691" s="10"/>
    </row>
    <row r="4692" spans="2:2" x14ac:dyDescent="0.25">
      <c r="B4692" s="10"/>
    </row>
    <row r="4693" spans="2:2" x14ac:dyDescent="0.25">
      <c r="B4693" s="10"/>
    </row>
    <row r="4694" spans="2:2" x14ac:dyDescent="0.25">
      <c r="B4694" s="10"/>
    </row>
    <row r="4695" spans="2:2" x14ac:dyDescent="0.25">
      <c r="B4695" s="10"/>
    </row>
    <row r="4696" spans="2:2" x14ac:dyDescent="0.25">
      <c r="B4696" s="10"/>
    </row>
    <row r="4697" spans="2:2" x14ac:dyDescent="0.25">
      <c r="B4697" s="10"/>
    </row>
    <row r="4698" spans="2:2" x14ac:dyDescent="0.25">
      <c r="B4698" s="10"/>
    </row>
    <row r="4699" spans="2:2" x14ac:dyDescent="0.25">
      <c r="B4699" s="10"/>
    </row>
    <row r="4700" spans="2:2" x14ac:dyDescent="0.25">
      <c r="B4700" s="10"/>
    </row>
    <row r="4701" spans="2:2" x14ac:dyDescent="0.25">
      <c r="B4701" s="10"/>
    </row>
    <row r="4702" spans="2:2" x14ac:dyDescent="0.25">
      <c r="B4702" s="10"/>
    </row>
    <row r="4703" spans="2:2" x14ac:dyDescent="0.25">
      <c r="B4703" s="10"/>
    </row>
    <row r="4704" spans="2:2" x14ac:dyDescent="0.25">
      <c r="B4704" s="10"/>
    </row>
    <row r="4705" spans="2:2" x14ac:dyDescent="0.25">
      <c r="B4705" s="10"/>
    </row>
    <row r="4706" spans="2:2" x14ac:dyDescent="0.25">
      <c r="B4706" s="10"/>
    </row>
    <row r="4707" spans="2:2" x14ac:dyDescent="0.25">
      <c r="B4707" s="10"/>
    </row>
    <row r="4708" spans="2:2" x14ac:dyDescent="0.25">
      <c r="B4708" s="10"/>
    </row>
    <row r="4709" spans="2:2" x14ac:dyDescent="0.25">
      <c r="B4709" s="10"/>
    </row>
    <row r="4710" spans="2:2" x14ac:dyDescent="0.25">
      <c r="B4710" s="10"/>
    </row>
    <row r="4711" spans="2:2" x14ac:dyDescent="0.25">
      <c r="B4711" s="10"/>
    </row>
    <row r="4712" spans="2:2" x14ac:dyDescent="0.25">
      <c r="B4712" s="10"/>
    </row>
    <row r="4713" spans="2:2" x14ac:dyDescent="0.25">
      <c r="B4713" s="10"/>
    </row>
    <row r="4714" spans="2:2" x14ac:dyDescent="0.25">
      <c r="B4714" s="10"/>
    </row>
    <row r="4715" spans="2:2" x14ac:dyDescent="0.25">
      <c r="B4715" s="10"/>
    </row>
    <row r="4716" spans="2:2" x14ac:dyDescent="0.25">
      <c r="B4716" s="10"/>
    </row>
    <row r="4717" spans="2:2" x14ac:dyDescent="0.25">
      <c r="B4717" s="10"/>
    </row>
    <row r="4718" spans="2:2" x14ac:dyDescent="0.25">
      <c r="B4718" s="10"/>
    </row>
    <row r="4719" spans="2:2" x14ac:dyDescent="0.25">
      <c r="B4719" s="10"/>
    </row>
    <row r="4720" spans="2:2" x14ac:dyDescent="0.25">
      <c r="B4720" s="10"/>
    </row>
    <row r="4721" spans="2:2" x14ac:dyDescent="0.25">
      <c r="B4721" s="10"/>
    </row>
    <row r="4722" spans="2:2" x14ac:dyDescent="0.25">
      <c r="B4722" s="10"/>
    </row>
    <row r="4723" spans="2:2" x14ac:dyDescent="0.25">
      <c r="B4723" s="10"/>
    </row>
    <row r="4724" spans="2:2" x14ac:dyDescent="0.25">
      <c r="B4724" s="10"/>
    </row>
    <row r="4725" spans="2:2" x14ac:dyDescent="0.25">
      <c r="B4725" s="10"/>
    </row>
    <row r="4726" spans="2:2" x14ac:dyDescent="0.25">
      <c r="B4726" s="10"/>
    </row>
    <row r="4727" spans="2:2" x14ac:dyDescent="0.25">
      <c r="B4727" s="10"/>
    </row>
    <row r="4728" spans="2:2" x14ac:dyDescent="0.25">
      <c r="B4728" s="10"/>
    </row>
    <row r="4729" spans="2:2" x14ac:dyDescent="0.25">
      <c r="B4729" s="10"/>
    </row>
    <row r="4730" spans="2:2" x14ac:dyDescent="0.25">
      <c r="B4730" s="10"/>
    </row>
    <row r="4731" spans="2:2" x14ac:dyDescent="0.25">
      <c r="B4731" s="10"/>
    </row>
    <row r="4732" spans="2:2" x14ac:dyDescent="0.25">
      <c r="B4732" s="10"/>
    </row>
    <row r="4733" spans="2:2" x14ac:dyDescent="0.25">
      <c r="B4733" s="10"/>
    </row>
    <row r="4734" spans="2:2" x14ac:dyDescent="0.25">
      <c r="B4734" s="10"/>
    </row>
    <row r="4735" spans="2:2" x14ac:dyDescent="0.25">
      <c r="B4735" s="10"/>
    </row>
    <row r="4736" spans="2:2" x14ac:dyDescent="0.25">
      <c r="B4736" s="10"/>
    </row>
    <row r="4737" spans="2:2" x14ac:dyDescent="0.25">
      <c r="B4737" s="10"/>
    </row>
    <row r="4738" spans="2:2" x14ac:dyDescent="0.25">
      <c r="B4738" s="10"/>
    </row>
    <row r="4739" spans="2:2" x14ac:dyDescent="0.25">
      <c r="B4739" s="10"/>
    </row>
    <row r="4740" spans="2:2" x14ac:dyDescent="0.25">
      <c r="B4740" s="10"/>
    </row>
    <row r="4741" spans="2:2" x14ac:dyDescent="0.25">
      <c r="B4741" s="10"/>
    </row>
    <row r="4742" spans="2:2" x14ac:dyDescent="0.25">
      <c r="B4742" s="10"/>
    </row>
    <row r="4743" spans="2:2" x14ac:dyDescent="0.25">
      <c r="B4743" s="10"/>
    </row>
    <row r="4744" spans="2:2" x14ac:dyDescent="0.25">
      <c r="B4744" s="10"/>
    </row>
    <row r="4745" spans="2:2" x14ac:dyDescent="0.25">
      <c r="B4745" s="10"/>
    </row>
    <row r="4746" spans="2:2" x14ac:dyDescent="0.25">
      <c r="B4746" s="10"/>
    </row>
    <row r="4747" spans="2:2" x14ac:dyDescent="0.25">
      <c r="B4747" s="10"/>
    </row>
    <row r="4748" spans="2:2" x14ac:dyDescent="0.25">
      <c r="B4748" s="10"/>
    </row>
    <row r="4749" spans="2:2" x14ac:dyDescent="0.25">
      <c r="B4749" s="10"/>
    </row>
    <row r="4750" spans="2:2" x14ac:dyDescent="0.25">
      <c r="B4750" s="10"/>
    </row>
    <row r="4751" spans="2:2" x14ac:dyDescent="0.25">
      <c r="B4751" s="10"/>
    </row>
    <row r="4752" spans="2:2" x14ac:dyDescent="0.25">
      <c r="B4752" s="10"/>
    </row>
    <row r="4753" spans="2:2" x14ac:dyDescent="0.25">
      <c r="B4753" s="10"/>
    </row>
    <row r="4754" spans="2:2" x14ac:dyDescent="0.25">
      <c r="B4754" s="10"/>
    </row>
    <row r="4755" spans="2:2" x14ac:dyDescent="0.25">
      <c r="B4755" s="10"/>
    </row>
    <row r="4756" spans="2:2" x14ac:dyDescent="0.25">
      <c r="B4756" s="10"/>
    </row>
    <row r="4757" spans="2:2" x14ac:dyDescent="0.25">
      <c r="B4757" s="10"/>
    </row>
    <row r="4758" spans="2:2" x14ac:dyDescent="0.25">
      <c r="B4758" s="10"/>
    </row>
    <row r="4759" spans="2:2" x14ac:dyDescent="0.25">
      <c r="B4759" s="10"/>
    </row>
    <row r="4760" spans="2:2" x14ac:dyDescent="0.25">
      <c r="B4760" s="10"/>
    </row>
    <row r="4761" spans="2:2" x14ac:dyDescent="0.25">
      <c r="B4761" s="10"/>
    </row>
    <row r="4762" spans="2:2" x14ac:dyDescent="0.25">
      <c r="B4762" s="10"/>
    </row>
    <row r="4763" spans="2:2" x14ac:dyDescent="0.25">
      <c r="B4763" s="10"/>
    </row>
    <row r="4764" spans="2:2" x14ac:dyDescent="0.25">
      <c r="B4764" s="10"/>
    </row>
    <row r="4765" spans="2:2" x14ac:dyDescent="0.25">
      <c r="B4765" s="10"/>
    </row>
    <row r="4766" spans="2:2" x14ac:dyDescent="0.25">
      <c r="B4766" s="10"/>
    </row>
    <row r="4767" spans="2:2" x14ac:dyDescent="0.25">
      <c r="B4767" s="10"/>
    </row>
    <row r="4768" spans="2:2" x14ac:dyDescent="0.25">
      <c r="B4768" s="10"/>
    </row>
    <row r="4769" spans="2:2" x14ac:dyDescent="0.25">
      <c r="B4769" s="10"/>
    </row>
    <row r="4770" spans="2:2" x14ac:dyDescent="0.25">
      <c r="B4770" s="10"/>
    </row>
    <row r="4771" spans="2:2" x14ac:dyDescent="0.25">
      <c r="B4771" s="10"/>
    </row>
    <row r="4772" spans="2:2" x14ac:dyDescent="0.25">
      <c r="B4772" s="10"/>
    </row>
    <row r="4773" spans="2:2" x14ac:dyDescent="0.25">
      <c r="B4773" s="10"/>
    </row>
    <row r="4774" spans="2:2" x14ac:dyDescent="0.25">
      <c r="B4774" s="10"/>
    </row>
    <row r="4775" spans="2:2" x14ac:dyDescent="0.25">
      <c r="B4775" s="10"/>
    </row>
    <row r="4776" spans="2:2" x14ac:dyDescent="0.25">
      <c r="B4776" s="10"/>
    </row>
    <row r="4777" spans="2:2" x14ac:dyDescent="0.25">
      <c r="B4777" s="10"/>
    </row>
    <row r="4778" spans="2:2" x14ac:dyDescent="0.25">
      <c r="B4778" s="10"/>
    </row>
    <row r="4779" spans="2:2" x14ac:dyDescent="0.25">
      <c r="B4779" s="10"/>
    </row>
    <row r="4780" spans="2:2" x14ac:dyDescent="0.25">
      <c r="B4780" s="10"/>
    </row>
    <row r="4781" spans="2:2" x14ac:dyDescent="0.25">
      <c r="B4781" s="10"/>
    </row>
    <row r="4782" spans="2:2" x14ac:dyDescent="0.25">
      <c r="B4782" s="10"/>
    </row>
    <row r="4783" spans="2:2" x14ac:dyDescent="0.25">
      <c r="B4783" s="10"/>
    </row>
    <row r="4784" spans="2:2" x14ac:dyDescent="0.25">
      <c r="B4784" s="10"/>
    </row>
    <row r="4785" spans="2:2" x14ac:dyDescent="0.25">
      <c r="B4785" s="10"/>
    </row>
    <row r="4786" spans="2:2" x14ac:dyDescent="0.25">
      <c r="B4786" s="10"/>
    </row>
    <row r="4787" spans="2:2" x14ac:dyDescent="0.25">
      <c r="B4787" s="10"/>
    </row>
    <row r="4788" spans="2:2" x14ac:dyDescent="0.25">
      <c r="B4788" s="10"/>
    </row>
    <row r="4789" spans="2:2" x14ac:dyDescent="0.25">
      <c r="B4789" s="10"/>
    </row>
    <row r="4790" spans="2:2" x14ac:dyDescent="0.25">
      <c r="B4790" s="10"/>
    </row>
    <row r="4791" spans="2:2" x14ac:dyDescent="0.25">
      <c r="B4791" s="10"/>
    </row>
    <row r="4792" spans="2:2" x14ac:dyDescent="0.25">
      <c r="B4792" s="10"/>
    </row>
    <row r="4793" spans="2:2" x14ac:dyDescent="0.25">
      <c r="B4793" s="10"/>
    </row>
    <row r="4794" spans="2:2" x14ac:dyDescent="0.25">
      <c r="B4794" s="10"/>
    </row>
    <row r="4795" spans="2:2" x14ac:dyDescent="0.25">
      <c r="B4795" s="10"/>
    </row>
    <row r="4796" spans="2:2" x14ac:dyDescent="0.25">
      <c r="B4796" s="10"/>
    </row>
    <row r="4797" spans="2:2" x14ac:dyDescent="0.25">
      <c r="B4797" s="10"/>
    </row>
    <row r="4798" spans="2:2" x14ac:dyDescent="0.25">
      <c r="B4798" s="10"/>
    </row>
    <row r="4799" spans="2:2" x14ac:dyDescent="0.25">
      <c r="B4799" s="10"/>
    </row>
    <row r="4800" spans="2:2" x14ac:dyDescent="0.25">
      <c r="B4800" s="10"/>
    </row>
    <row r="4801" spans="2:2" x14ac:dyDescent="0.25">
      <c r="B4801" s="10"/>
    </row>
    <row r="4802" spans="2:2" x14ac:dyDescent="0.25">
      <c r="B4802" s="10"/>
    </row>
    <row r="4803" spans="2:2" x14ac:dyDescent="0.25">
      <c r="B4803" s="10"/>
    </row>
    <row r="4804" spans="2:2" x14ac:dyDescent="0.25">
      <c r="B4804" s="10"/>
    </row>
    <row r="4805" spans="2:2" x14ac:dyDescent="0.25">
      <c r="B4805" s="10"/>
    </row>
    <row r="4806" spans="2:2" x14ac:dyDescent="0.25">
      <c r="B4806" s="10"/>
    </row>
    <row r="4807" spans="2:2" x14ac:dyDescent="0.25">
      <c r="B4807" s="10"/>
    </row>
    <row r="4808" spans="2:2" x14ac:dyDescent="0.25">
      <c r="B4808" s="10"/>
    </row>
    <row r="4809" spans="2:2" x14ac:dyDescent="0.25">
      <c r="B4809" s="10"/>
    </row>
    <row r="4810" spans="2:2" x14ac:dyDescent="0.25">
      <c r="B4810" s="10"/>
    </row>
    <row r="4811" spans="2:2" x14ac:dyDescent="0.25">
      <c r="B4811" s="10"/>
    </row>
    <row r="4812" spans="2:2" x14ac:dyDescent="0.25">
      <c r="B4812" s="10"/>
    </row>
    <row r="4813" spans="2:2" x14ac:dyDescent="0.25">
      <c r="B4813" s="10"/>
    </row>
    <row r="4814" spans="2:2" x14ac:dyDescent="0.25">
      <c r="B4814" s="10"/>
    </row>
    <row r="4815" spans="2:2" x14ac:dyDescent="0.25">
      <c r="B4815" s="10"/>
    </row>
    <row r="4816" spans="2:2" x14ac:dyDescent="0.25">
      <c r="B4816" s="10"/>
    </row>
    <row r="4817" spans="2:2" x14ac:dyDescent="0.25">
      <c r="B4817" s="10"/>
    </row>
    <row r="4818" spans="2:2" x14ac:dyDescent="0.25">
      <c r="B4818" s="10"/>
    </row>
    <row r="4819" spans="2:2" x14ac:dyDescent="0.25">
      <c r="B4819" s="10"/>
    </row>
    <row r="4820" spans="2:2" x14ac:dyDescent="0.25">
      <c r="B4820" s="10"/>
    </row>
    <row r="4821" spans="2:2" x14ac:dyDescent="0.25">
      <c r="B4821" s="10"/>
    </row>
    <row r="4822" spans="2:2" x14ac:dyDescent="0.25">
      <c r="B4822" s="10"/>
    </row>
    <row r="4823" spans="2:2" x14ac:dyDescent="0.25">
      <c r="B4823" s="10"/>
    </row>
    <row r="4824" spans="2:2" x14ac:dyDescent="0.25">
      <c r="B4824" s="10"/>
    </row>
    <row r="4825" spans="2:2" x14ac:dyDescent="0.25">
      <c r="B4825" s="10"/>
    </row>
    <row r="4826" spans="2:2" x14ac:dyDescent="0.25">
      <c r="B4826" s="10"/>
    </row>
    <row r="4827" spans="2:2" x14ac:dyDescent="0.25">
      <c r="B4827" s="10"/>
    </row>
    <row r="4828" spans="2:2" x14ac:dyDescent="0.25">
      <c r="B4828" s="10"/>
    </row>
    <row r="4829" spans="2:2" x14ac:dyDescent="0.25">
      <c r="B4829" s="10"/>
    </row>
    <row r="4830" spans="2:2" x14ac:dyDescent="0.25">
      <c r="B4830" s="10"/>
    </row>
    <row r="4831" spans="2:2" x14ac:dyDescent="0.25">
      <c r="B4831" s="10"/>
    </row>
    <row r="4832" spans="2:2" x14ac:dyDescent="0.25">
      <c r="B4832" s="10"/>
    </row>
    <row r="4833" spans="2:2" x14ac:dyDescent="0.25">
      <c r="B4833" s="10"/>
    </row>
    <row r="4834" spans="2:2" x14ac:dyDescent="0.25">
      <c r="B4834" s="10"/>
    </row>
    <row r="4835" spans="2:2" x14ac:dyDescent="0.25">
      <c r="B4835" s="10"/>
    </row>
    <row r="4836" spans="2:2" x14ac:dyDescent="0.25">
      <c r="B4836" s="10"/>
    </row>
    <row r="4837" spans="2:2" x14ac:dyDescent="0.25">
      <c r="B4837" s="10"/>
    </row>
    <row r="4838" spans="2:2" x14ac:dyDescent="0.25">
      <c r="B4838" s="10"/>
    </row>
    <row r="4839" spans="2:2" x14ac:dyDescent="0.25">
      <c r="B4839" s="10"/>
    </row>
    <row r="4840" spans="2:2" x14ac:dyDescent="0.25">
      <c r="B4840" s="10"/>
    </row>
    <row r="4841" spans="2:2" x14ac:dyDescent="0.25">
      <c r="B4841" s="10"/>
    </row>
    <row r="4842" spans="2:2" x14ac:dyDescent="0.25">
      <c r="B4842" s="10"/>
    </row>
    <row r="4843" spans="2:2" x14ac:dyDescent="0.25">
      <c r="B4843" s="10"/>
    </row>
    <row r="4844" spans="2:2" x14ac:dyDescent="0.25">
      <c r="B4844" s="10"/>
    </row>
    <row r="4845" spans="2:2" x14ac:dyDescent="0.25">
      <c r="B4845" s="10"/>
    </row>
    <row r="4846" spans="2:2" x14ac:dyDescent="0.25">
      <c r="B4846" s="10"/>
    </row>
    <row r="4847" spans="2:2" x14ac:dyDescent="0.25">
      <c r="B4847" s="10"/>
    </row>
    <row r="4848" spans="2:2" x14ac:dyDescent="0.25">
      <c r="B4848" s="10"/>
    </row>
    <row r="4849" spans="2:2" x14ac:dyDescent="0.25">
      <c r="B4849" s="10"/>
    </row>
    <row r="4850" spans="2:2" x14ac:dyDescent="0.25">
      <c r="B4850" s="10"/>
    </row>
    <row r="4851" spans="2:2" x14ac:dyDescent="0.25">
      <c r="B4851" s="10"/>
    </row>
    <row r="4852" spans="2:2" x14ac:dyDescent="0.25">
      <c r="B4852" s="10"/>
    </row>
    <row r="4853" spans="2:2" x14ac:dyDescent="0.25">
      <c r="B4853" s="10"/>
    </row>
    <row r="4854" spans="2:2" x14ac:dyDescent="0.25">
      <c r="B4854" s="10"/>
    </row>
    <row r="4855" spans="2:2" x14ac:dyDescent="0.25">
      <c r="B4855" s="10"/>
    </row>
    <row r="4856" spans="2:2" x14ac:dyDescent="0.25">
      <c r="B4856" s="10"/>
    </row>
    <row r="4857" spans="2:2" x14ac:dyDescent="0.25">
      <c r="B4857" s="10"/>
    </row>
    <row r="4858" spans="2:2" x14ac:dyDescent="0.25">
      <c r="B4858" s="10"/>
    </row>
    <row r="4859" spans="2:2" x14ac:dyDescent="0.25">
      <c r="B4859" s="10"/>
    </row>
    <row r="4860" spans="2:2" x14ac:dyDescent="0.25">
      <c r="B4860" s="10"/>
    </row>
    <row r="4861" spans="2:2" x14ac:dyDescent="0.25">
      <c r="B4861" s="10"/>
    </row>
    <row r="4862" spans="2:2" x14ac:dyDescent="0.25">
      <c r="B4862" s="10"/>
    </row>
    <row r="4863" spans="2:2" x14ac:dyDescent="0.25">
      <c r="B4863" s="10"/>
    </row>
    <row r="4864" spans="2:2" x14ac:dyDescent="0.25">
      <c r="B4864" s="10"/>
    </row>
    <row r="4865" spans="2:2" x14ac:dyDescent="0.25">
      <c r="B4865" s="10"/>
    </row>
    <row r="4866" spans="2:2" x14ac:dyDescent="0.25">
      <c r="B4866" s="10"/>
    </row>
    <row r="4867" spans="2:2" x14ac:dyDescent="0.25">
      <c r="B4867" s="10"/>
    </row>
    <row r="4868" spans="2:2" x14ac:dyDescent="0.25">
      <c r="B4868" s="10"/>
    </row>
    <row r="4869" spans="2:2" x14ac:dyDescent="0.25">
      <c r="B4869" s="10"/>
    </row>
    <row r="4870" spans="2:2" x14ac:dyDescent="0.25">
      <c r="B4870" s="10"/>
    </row>
    <row r="4871" spans="2:2" x14ac:dyDescent="0.25">
      <c r="B4871" s="10"/>
    </row>
    <row r="4872" spans="2:2" x14ac:dyDescent="0.25">
      <c r="B4872" s="10"/>
    </row>
    <row r="4873" spans="2:2" x14ac:dyDescent="0.25">
      <c r="B4873" s="10"/>
    </row>
    <row r="4874" spans="2:2" x14ac:dyDescent="0.25">
      <c r="B4874" s="10"/>
    </row>
    <row r="4875" spans="2:2" x14ac:dyDescent="0.25">
      <c r="B4875" s="10"/>
    </row>
    <row r="4876" spans="2:2" x14ac:dyDescent="0.25">
      <c r="B4876" s="10"/>
    </row>
    <row r="4877" spans="2:2" x14ac:dyDescent="0.25">
      <c r="B4877" s="10"/>
    </row>
    <row r="4878" spans="2:2" x14ac:dyDescent="0.25">
      <c r="B4878" s="10"/>
    </row>
    <row r="4879" spans="2:2" x14ac:dyDescent="0.25">
      <c r="B4879" s="10"/>
    </row>
    <row r="4880" spans="2:2" x14ac:dyDescent="0.25">
      <c r="B4880" s="10"/>
    </row>
    <row r="4881" spans="2:2" x14ac:dyDescent="0.25">
      <c r="B4881" s="10"/>
    </row>
    <row r="4882" spans="2:2" x14ac:dyDescent="0.25">
      <c r="B4882" s="10"/>
    </row>
    <row r="4883" spans="2:2" x14ac:dyDescent="0.25">
      <c r="B4883" s="10"/>
    </row>
    <row r="4884" spans="2:2" x14ac:dyDescent="0.25">
      <c r="B4884" s="10"/>
    </row>
    <row r="4885" spans="2:2" x14ac:dyDescent="0.25">
      <c r="B4885" s="10"/>
    </row>
    <row r="4886" spans="2:2" x14ac:dyDescent="0.25">
      <c r="B4886" s="10"/>
    </row>
    <row r="4887" spans="2:2" x14ac:dyDescent="0.25">
      <c r="B4887" s="10"/>
    </row>
    <row r="4888" spans="2:2" x14ac:dyDescent="0.25">
      <c r="B4888" s="10"/>
    </row>
    <row r="4889" spans="2:2" x14ac:dyDescent="0.25">
      <c r="B4889" s="10"/>
    </row>
    <row r="4890" spans="2:2" x14ac:dyDescent="0.25">
      <c r="B4890" s="10"/>
    </row>
    <row r="4891" spans="2:2" x14ac:dyDescent="0.25">
      <c r="B4891" s="10"/>
    </row>
    <row r="4892" spans="2:2" x14ac:dyDescent="0.25">
      <c r="B4892" s="10"/>
    </row>
    <row r="4893" spans="2:2" x14ac:dyDescent="0.25">
      <c r="B4893" s="10"/>
    </row>
    <row r="4894" spans="2:2" x14ac:dyDescent="0.25">
      <c r="B4894" s="10"/>
    </row>
    <row r="4895" spans="2:2" x14ac:dyDescent="0.25">
      <c r="B4895" s="10"/>
    </row>
    <row r="4896" spans="2:2" x14ac:dyDescent="0.25">
      <c r="B4896" s="10"/>
    </row>
    <row r="4897" spans="2:2" x14ac:dyDescent="0.25">
      <c r="B4897" s="10"/>
    </row>
    <row r="4898" spans="2:2" x14ac:dyDescent="0.25">
      <c r="B4898" s="10"/>
    </row>
    <row r="4899" spans="2:2" x14ac:dyDescent="0.25">
      <c r="B4899" s="10"/>
    </row>
    <row r="4900" spans="2:2" x14ac:dyDescent="0.25">
      <c r="B4900" s="10"/>
    </row>
    <row r="4901" spans="2:2" x14ac:dyDescent="0.25">
      <c r="B4901" s="10"/>
    </row>
    <row r="4902" spans="2:2" x14ac:dyDescent="0.25">
      <c r="B4902" s="10"/>
    </row>
    <row r="4903" spans="2:2" x14ac:dyDescent="0.25">
      <c r="B4903" s="10"/>
    </row>
    <row r="4904" spans="2:2" x14ac:dyDescent="0.25">
      <c r="B4904" s="10"/>
    </row>
    <row r="4905" spans="2:2" x14ac:dyDescent="0.25">
      <c r="B4905" s="10"/>
    </row>
    <row r="4906" spans="2:2" x14ac:dyDescent="0.25">
      <c r="B4906" s="10"/>
    </row>
    <row r="4907" spans="2:2" x14ac:dyDescent="0.25">
      <c r="B4907" s="10"/>
    </row>
    <row r="4908" spans="2:2" x14ac:dyDescent="0.25">
      <c r="B4908" s="10"/>
    </row>
    <row r="4909" spans="2:2" x14ac:dyDescent="0.25">
      <c r="B4909" s="10"/>
    </row>
    <row r="4910" spans="2:2" x14ac:dyDescent="0.25">
      <c r="B4910" s="10"/>
    </row>
    <row r="4911" spans="2:2" x14ac:dyDescent="0.25">
      <c r="B4911" s="10"/>
    </row>
    <row r="4912" spans="2:2" x14ac:dyDescent="0.25">
      <c r="B4912" s="10"/>
    </row>
    <row r="4913" spans="2:2" x14ac:dyDescent="0.25">
      <c r="B4913" s="10"/>
    </row>
    <row r="4914" spans="2:2" x14ac:dyDescent="0.25">
      <c r="B4914" s="10"/>
    </row>
    <row r="4915" spans="2:2" x14ac:dyDescent="0.25">
      <c r="B4915" s="10"/>
    </row>
    <row r="4916" spans="2:2" x14ac:dyDescent="0.25">
      <c r="B4916" s="10"/>
    </row>
    <row r="4917" spans="2:2" x14ac:dyDescent="0.25">
      <c r="B4917" s="10"/>
    </row>
    <row r="4918" spans="2:2" x14ac:dyDescent="0.25">
      <c r="B4918" s="10"/>
    </row>
    <row r="4919" spans="2:2" x14ac:dyDescent="0.25">
      <c r="B4919" s="10"/>
    </row>
    <row r="4920" spans="2:2" x14ac:dyDescent="0.25">
      <c r="B4920" s="10"/>
    </row>
    <row r="4921" spans="2:2" x14ac:dyDescent="0.25">
      <c r="B4921" s="10"/>
    </row>
    <row r="4922" spans="2:2" x14ac:dyDescent="0.25">
      <c r="B4922" s="10"/>
    </row>
    <row r="4923" spans="2:2" x14ac:dyDescent="0.25">
      <c r="B4923" s="10"/>
    </row>
    <row r="4924" spans="2:2" x14ac:dyDescent="0.25">
      <c r="B4924" s="10"/>
    </row>
    <row r="4925" spans="2:2" x14ac:dyDescent="0.25">
      <c r="B4925" s="10"/>
    </row>
    <row r="4926" spans="2:2" x14ac:dyDescent="0.25">
      <c r="B4926" s="10"/>
    </row>
    <row r="4927" spans="2:2" x14ac:dyDescent="0.25">
      <c r="B4927" s="10"/>
    </row>
    <row r="4928" spans="2:2" x14ac:dyDescent="0.25">
      <c r="B4928" s="10"/>
    </row>
    <row r="4929" spans="2:2" x14ac:dyDescent="0.25">
      <c r="B4929" s="10"/>
    </row>
    <row r="4930" spans="2:2" x14ac:dyDescent="0.25">
      <c r="B4930" s="10"/>
    </row>
    <row r="4931" spans="2:2" x14ac:dyDescent="0.25">
      <c r="B4931" s="10"/>
    </row>
    <row r="4932" spans="2:2" x14ac:dyDescent="0.25">
      <c r="B4932" s="10"/>
    </row>
    <row r="4933" spans="2:2" x14ac:dyDescent="0.25">
      <c r="B4933" s="10"/>
    </row>
    <row r="4934" spans="2:2" x14ac:dyDescent="0.25">
      <c r="B4934" s="10"/>
    </row>
    <row r="4935" spans="2:2" x14ac:dyDescent="0.25">
      <c r="B4935" s="10"/>
    </row>
    <row r="4936" spans="2:2" x14ac:dyDescent="0.25">
      <c r="B4936" s="10"/>
    </row>
    <row r="4937" spans="2:2" x14ac:dyDescent="0.25">
      <c r="B4937" s="10"/>
    </row>
    <row r="4938" spans="2:2" x14ac:dyDescent="0.25">
      <c r="B4938" s="10"/>
    </row>
    <row r="4939" spans="2:2" x14ac:dyDescent="0.25">
      <c r="B4939" s="10"/>
    </row>
    <row r="4940" spans="2:2" x14ac:dyDescent="0.25">
      <c r="B4940" s="10"/>
    </row>
    <row r="4941" spans="2:2" x14ac:dyDescent="0.25">
      <c r="B4941" s="10"/>
    </row>
    <row r="4942" spans="2:2" x14ac:dyDescent="0.25">
      <c r="B4942" s="10"/>
    </row>
    <row r="4943" spans="2:2" x14ac:dyDescent="0.25">
      <c r="B4943" s="10"/>
    </row>
    <row r="4944" spans="2:2" x14ac:dyDescent="0.25">
      <c r="B4944" s="10"/>
    </row>
    <row r="4945" spans="2:2" x14ac:dyDescent="0.25">
      <c r="B4945" s="10"/>
    </row>
    <row r="4946" spans="2:2" x14ac:dyDescent="0.25">
      <c r="B4946" s="10"/>
    </row>
    <row r="4947" spans="2:2" x14ac:dyDescent="0.25">
      <c r="B4947" s="10"/>
    </row>
    <row r="4948" spans="2:2" x14ac:dyDescent="0.25">
      <c r="B4948" s="10"/>
    </row>
    <row r="4949" spans="2:2" x14ac:dyDescent="0.25">
      <c r="B4949" s="10"/>
    </row>
    <row r="4950" spans="2:2" x14ac:dyDescent="0.25">
      <c r="B4950" s="10"/>
    </row>
    <row r="4951" spans="2:2" x14ac:dyDescent="0.25">
      <c r="B4951" s="10"/>
    </row>
    <row r="4952" spans="2:2" x14ac:dyDescent="0.25">
      <c r="B4952" s="10"/>
    </row>
    <row r="4953" spans="2:2" x14ac:dyDescent="0.25">
      <c r="B4953" s="10"/>
    </row>
    <row r="4954" spans="2:2" x14ac:dyDescent="0.25">
      <c r="B4954" s="10"/>
    </row>
    <row r="4955" spans="2:2" x14ac:dyDescent="0.25">
      <c r="B4955" s="10"/>
    </row>
    <row r="4956" spans="2:2" x14ac:dyDescent="0.25">
      <c r="B4956" s="10"/>
    </row>
    <row r="4957" spans="2:2" x14ac:dyDescent="0.25">
      <c r="B4957" s="10"/>
    </row>
    <row r="4958" spans="2:2" x14ac:dyDescent="0.25">
      <c r="B4958" s="10"/>
    </row>
    <row r="4959" spans="2:2" x14ac:dyDescent="0.25">
      <c r="B4959" s="10"/>
    </row>
    <row r="4960" spans="2:2" x14ac:dyDescent="0.25">
      <c r="B4960" s="10"/>
    </row>
    <row r="4961" spans="2:2" x14ac:dyDescent="0.25">
      <c r="B4961" s="10"/>
    </row>
    <row r="4962" spans="2:2" x14ac:dyDescent="0.25">
      <c r="B4962" s="10"/>
    </row>
    <row r="4963" spans="2:2" x14ac:dyDescent="0.25">
      <c r="B4963" s="10"/>
    </row>
    <row r="4964" spans="2:2" x14ac:dyDescent="0.25">
      <c r="B4964" s="10"/>
    </row>
    <row r="4965" spans="2:2" x14ac:dyDescent="0.25">
      <c r="B4965" s="10"/>
    </row>
    <row r="4966" spans="2:2" x14ac:dyDescent="0.25">
      <c r="B4966" s="10"/>
    </row>
    <row r="4967" spans="2:2" x14ac:dyDescent="0.25">
      <c r="B4967" s="10"/>
    </row>
    <row r="4968" spans="2:2" x14ac:dyDescent="0.25">
      <c r="B4968" s="10"/>
    </row>
    <row r="4969" spans="2:2" x14ac:dyDescent="0.25">
      <c r="B4969" s="10"/>
    </row>
    <row r="4970" spans="2:2" x14ac:dyDescent="0.25">
      <c r="B4970" s="10"/>
    </row>
    <row r="4971" spans="2:2" x14ac:dyDescent="0.25">
      <c r="B4971" s="10"/>
    </row>
    <row r="4972" spans="2:2" x14ac:dyDescent="0.25">
      <c r="B4972" s="10"/>
    </row>
    <row r="4973" spans="2:2" x14ac:dyDescent="0.25">
      <c r="B4973" s="10"/>
    </row>
    <row r="4974" spans="2:2" x14ac:dyDescent="0.25">
      <c r="B4974" s="10"/>
    </row>
    <row r="4975" spans="2:2" x14ac:dyDescent="0.25">
      <c r="B4975" s="10"/>
    </row>
    <row r="4976" spans="2:2" x14ac:dyDescent="0.25">
      <c r="B4976" s="10"/>
    </row>
    <row r="4977" spans="2:2" x14ac:dyDescent="0.25">
      <c r="B4977" s="10"/>
    </row>
    <row r="4978" spans="2:2" x14ac:dyDescent="0.25">
      <c r="B4978" s="10"/>
    </row>
    <row r="4979" spans="2:2" x14ac:dyDescent="0.25">
      <c r="B4979" s="10"/>
    </row>
    <row r="4980" spans="2:2" x14ac:dyDescent="0.25">
      <c r="B4980" s="10"/>
    </row>
    <row r="4981" spans="2:2" x14ac:dyDescent="0.25">
      <c r="B4981" s="10"/>
    </row>
    <row r="4982" spans="2:2" x14ac:dyDescent="0.25">
      <c r="B4982" s="10"/>
    </row>
    <row r="4983" spans="2:2" x14ac:dyDescent="0.25">
      <c r="B4983" s="10"/>
    </row>
    <row r="4984" spans="2:2" x14ac:dyDescent="0.25">
      <c r="B4984" s="10"/>
    </row>
    <row r="4985" spans="2:2" x14ac:dyDescent="0.25">
      <c r="B4985" s="10"/>
    </row>
    <row r="4986" spans="2:2" x14ac:dyDescent="0.25">
      <c r="B4986" s="10"/>
    </row>
    <row r="4987" spans="2:2" x14ac:dyDescent="0.25">
      <c r="B4987" s="10"/>
    </row>
    <row r="4988" spans="2:2" x14ac:dyDescent="0.25">
      <c r="B4988" s="10"/>
    </row>
    <row r="4989" spans="2:2" x14ac:dyDescent="0.25">
      <c r="B4989" s="10"/>
    </row>
    <row r="4990" spans="2:2" x14ac:dyDescent="0.25">
      <c r="B4990" s="10"/>
    </row>
    <row r="4991" spans="2:2" x14ac:dyDescent="0.25">
      <c r="B4991" s="10"/>
    </row>
    <row r="4992" spans="2:2" x14ac:dyDescent="0.25">
      <c r="B4992" s="10"/>
    </row>
    <row r="4993" spans="2:2" x14ac:dyDescent="0.25">
      <c r="B4993" s="10"/>
    </row>
    <row r="4994" spans="2:2" x14ac:dyDescent="0.25">
      <c r="B4994" s="10"/>
    </row>
    <row r="4995" spans="2:2" x14ac:dyDescent="0.25">
      <c r="B4995" s="10"/>
    </row>
    <row r="4996" spans="2:2" x14ac:dyDescent="0.25">
      <c r="B4996" s="10"/>
    </row>
    <row r="4997" spans="2:2" x14ac:dyDescent="0.25">
      <c r="B4997" s="10"/>
    </row>
    <row r="4998" spans="2:2" x14ac:dyDescent="0.25">
      <c r="B4998" s="10"/>
    </row>
    <row r="4999" spans="2:2" x14ac:dyDescent="0.25">
      <c r="B4999" s="10"/>
    </row>
    <row r="5000" spans="2:2" x14ac:dyDescent="0.25">
      <c r="B5000" s="10"/>
    </row>
    <row r="5001" spans="2:2" x14ac:dyDescent="0.25">
      <c r="B5001" s="10"/>
    </row>
    <row r="5002" spans="2:2" x14ac:dyDescent="0.25">
      <c r="B5002" s="10"/>
    </row>
    <row r="5003" spans="2:2" x14ac:dyDescent="0.25">
      <c r="B5003" s="10"/>
    </row>
    <row r="5004" spans="2:2" x14ac:dyDescent="0.25">
      <c r="B5004" s="10"/>
    </row>
    <row r="5005" spans="2:2" x14ac:dyDescent="0.25">
      <c r="B5005" s="10"/>
    </row>
    <row r="5006" spans="2:2" x14ac:dyDescent="0.25">
      <c r="B5006" s="10"/>
    </row>
    <row r="5007" spans="2:2" x14ac:dyDescent="0.25">
      <c r="B5007" s="10"/>
    </row>
    <row r="5008" spans="2:2" x14ac:dyDescent="0.25">
      <c r="B5008" s="10"/>
    </row>
    <row r="5009" spans="2:2" x14ac:dyDescent="0.25">
      <c r="B5009" s="10"/>
    </row>
    <row r="5010" spans="2:2" x14ac:dyDescent="0.25">
      <c r="B5010" s="10"/>
    </row>
    <row r="5011" spans="2:2" x14ac:dyDescent="0.25">
      <c r="B5011" s="10"/>
    </row>
    <row r="5012" spans="2:2" x14ac:dyDescent="0.25">
      <c r="B5012" s="10"/>
    </row>
    <row r="5013" spans="2:2" x14ac:dyDescent="0.25">
      <c r="B5013" s="10"/>
    </row>
    <row r="5014" spans="2:2" x14ac:dyDescent="0.25">
      <c r="B5014" s="10"/>
    </row>
    <row r="5015" spans="2:2" x14ac:dyDescent="0.25">
      <c r="B5015" s="10"/>
    </row>
    <row r="5016" spans="2:2" x14ac:dyDescent="0.25">
      <c r="B5016" s="10"/>
    </row>
    <row r="5017" spans="2:2" x14ac:dyDescent="0.25">
      <c r="B5017" s="10"/>
    </row>
    <row r="5018" spans="2:2" x14ac:dyDescent="0.25">
      <c r="B5018" s="10"/>
    </row>
    <row r="5019" spans="2:2" x14ac:dyDescent="0.25">
      <c r="B5019" s="10"/>
    </row>
    <row r="5020" spans="2:2" x14ac:dyDescent="0.25">
      <c r="B5020" s="10"/>
    </row>
    <row r="5021" spans="2:2" x14ac:dyDescent="0.25">
      <c r="B5021" s="10"/>
    </row>
    <row r="5022" spans="2:2" x14ac:dyDescent="0.25">
      <c r="B5022" s="10"/>
    </row>
    <row r="5023" spans="2:2" x14ac:dyDescent="0.25">
      <c r="B5023" s="10"/>
    </row>
    <row r="5024" spans="2:2" x14ac:dyDescent="0.25">
      <c r="B5024" s="10"/>
    </row>
    <row r="5025" spans="2:2" x14ac:dyDescent="0.25">
      <c r="B5025" s="10"/>
    </row>
    <row r="5026" spans="2:2" x14ac:dyDescent="0.25">
      <c r="B5026" s="10"/>
    </row>
    <row r="5027" spans="2:2" x14ac:dyDescent="0.25">
      <c r="B5027" s="10"/>
    </row>
    <row r="5028" spans="2:2" x14ac:dyDescent="0.25">
      <c r="B5028" s="10"/>
    </row>
    <row r="5029" spans="2:2" x14ac:dyDescent="0.25">
      <c r="B5029" s="10"/>
    </row>
    <row r="5030" spans="2:2" x14ac:dyDescent="0.25">
      <c r="B5030" s="10"/>
    </row>
    <row r="5031" spans="2:2" x14ac:dyDescent="0.25">
      <c r="B5031" s="10"/>
    </row>
    <row r="5032" spans="2:2" x14ac:dyDescent="0.25">
      <c r="B5032" s="10"/>
    </row>
    <row r="5033" spans="2:2" x14ac:dyDescent="0.25">
      <c r="B5033" s="10"/>
    </row>
    <row r="5034" spans="2:2" x14ac:dyDescent="0.25">
      <c r="B5034" s="10"/>
    </row>
    <row r="5035" spans="2:2" x14ac:dyDescent="0.25">
      <c r="B5035" s="10"/>
    </row>
    <row r="5036" spans="2:2" x14ac:dyDescent="0.25">
      <c r="B5036" s="10"/>
    </row>
    <row r="5037" spans="2:2" x14ac:dyDescent="0.25">
      <c r="B5037" s="10"/>
    </row>
    <row r="5038" spans="2:2" x14ac:dyDescent="0.25">
      <c r="B5038" s="10"/>
    </row>
    <row r="5039" spans="2:2" x14ac:dyDescent="0.25">
      <c r="B5039" s="10"/>
    </row>
    <row r="5040" spans="2:2" x14ac:dyDescent="0.25">
      <c r="B5040" s="10"/>
    </row>
    <row r="5041" spans="2:2" x14ac:dyDescent="0.25">
      <c r="B5041" s="10"/>
    </row>
    <row r="5042" spans="2:2" x14ac:dyDescent="0.25">
      <c r="B5042" s="10"/>
    </row>
    <row r="5043" spans="2:2" x14ac:dyDescent="0.25">
      <c r="B5043" s="10"/>
    </row>
    <row r="5044" spans="2:2" x14ac:dyDescent="0.25">
      <c r="B5044" s="10"/>
    </row>
    <row r="5045" spans="2:2" x14ac:dyDescent="0.25">
      <c r="B5045" s="10"/>
    </row>
    <row r="5046" spans="2:2" x14ac:dyDescent="0.25">
      <c r="B5046" s="10"/>
    </row>
    <row r="5047" spans="2:2" x14ac:dyDescent="0.25">
      <c r="B5047" s="10"/>
    </row>
    <row r="5048" spans="2:2" x14ac:dyDescent="0.25">
      <c r="B5048" s="10"/>
    </row>
    <row r="5049" spans="2:2" x14ac:dyDescent="0.25">
      <c r="B5049" s="10"/>
    </row>
    <row r="5050" spans="2:2" x14ac:dyDescent="0.25">
      <c r="B5050" s="10"/>
    </row>
    <row r="5051" spans="2:2" x14ac:dyDescent="0.25">
      <c r="B5051" s="10"/>
    </row>
    <row r="5052" spans="2:2" x14ac:dyDescent="0.25">
      <c r="B5052" s="10"/>
    </row>
    <row r="5053" spans="2:2" x14ac:dyDescent="0.25">
      <c r="B5053" s="10"/>
    </row>
    <row r="5054" spans="2:2" x14ac:dyDescent="0.25">
      <c r="B5054" s="10"/>
    </row>
    <row r="5055" spans="2:2" x14ac:dyDescent="0.25">
      <c r="B5055" s="10"/>
    </row>
    <row r="5056" spans="2:2" x14ac:dyDescent="0.25">
      <c r="B5056" s="10"/>
    </row>
    <row r="5057" spans="2:2" x14ac:dyDescent="0.25">
      <c r="B5057" s="10"/>
    </row>
    <row r="5058" spans="2:2" x14ac:dyDescent="0.25">
      <c r="B5058" s="10"/>
    </row>
    <row r="5059" spans="2:2" x14ac:dyDescent="0.25">
      <c r="B5059" s="10"/>
    </row>
    <row r="5060" spans="2:2" x14ac:dyDescent="0.25">
      <c r="B5060" s="10"/>
    </row>
    <row r="5061" spans="2:2" x14ac:dyDescent="0.25">
      <c r="B5061" s="10"/>
    </row>
    <row r="5062" spans="2:2" x14ac:dyDescent="0.25">
      <c r="B5062" s="10"/>
    </row>
    <row r="5063" spans="2:2" x14ac:dyDescent="0.25">
      <c r="B5063" s="10"/>
    </row>
    <row r="5064" spans="2:2" x14ac:dyDescent="0.25">
      <c r="B5064" s="10"/>
    </row>
    <row r="5065" spans="2:2" x14ac:dyDescent="0.25">
      <c r="B5065" s="10"/>
    </row>
    <row r="5066" spans="2:2" x14ac:dyDescent="0.25">
      <c r="B5066" s="10"/>
    </row>
    <row r="5067" spans="2:2" x14ac:dyDescent="0.25">
      <c r="B5067" s="10"/>
    </row>
    <row r="5068" spans="2:2" x14ac:dyDescent="0.25">
      <c r="B5068" s="10"/>
    </row>
    <row r="5069" spans="2:2" x14ac:dyDescent="0.25">
      <c r="B5069" s="10"/>
    </row>
    <row r="5070" spans="2:2" x14ac:dyDescent="0.25">
      <c r="B5070" s="10"/>
    </row>
    <row r="5071" spans="2:2" x14ac:dyDescent="0.25">
      <c r="B5071" s="10"/>
    </row>
    <row r="5072" spans="2:2" x14ac:dyDescent="0.25">
      <c r="B5072" s="10"/>
    </row>
    <row r="5073" spans="2:2" x14ac:dyDescent="0.25">
      <c r="B5073" s="10"/>
    </row>
    <row r="5074" spans="2:2" x14ac:dyDescent="0.25">
      <c r="B5074" s="10"/>
    </row>
    <row r="5075" spans="2:2" x14ac:dyDescent="0.25">
      <c r="B5075" s="10"/>
    </row>
    <row r="5076" spans="2:2" x14ac:dyDescent="0.25">
      <c r="B5076" s="10"/>
    </row>
    <row r="5077" spans="2:2" x14ac:dyDescent="0.25">
      <c r="B5077" s="10"/>
    </row>
    <row r="5078" spans="2:2" x14ac:dyDescent="0.25">
      <c r="B5078" s="10"/>
    </row>
    <row r="5079" spans="2:2" x14ac:dyDescent="0.25">
      <c r="B5079" s="10"/>
    </row>
    <row r="5080" spans="2:2" x14ac:dyDescent="0.25">
      <c r="B5080" s="10"/>
    </row>
    <row r="5081" spans="2:2" x14ac:dyDescent="0.25">
      <c r="B5081" s="10"/>
    </row>
    <row r="5082" spans="2:2" x14ac:dyDescent="0.25">
      <c r="B5082" s="10"/>
    </row>
    <row r="5083" spans="2:2" x14ac:dyDescent="0.25">
      <c r="B5083" s="10"/>
    </row>
    <row r="5084" spans="2:2" x14ac:dyDescent="0.25">
      <c r="B5084" s="10"/>
    </row>
    <row r="5085" spans="2:2" x14ac:dyDescent="0.25">
      <c r="B5085" s="10"/>
    </row>
    <row r="5086" spans="2:2" x14ac:dyDescent="0.25">
      <c r="B5086" s="10"/>
    </row>
    <row r="5087" spans="2:2" x14ac:dyDescent="0.25">
      <c r="B5087" s="10"/>
    </row>
    <row r="5088" spans="2:2" x14ac:dyDescent="0.25">
      <c r="B5088" s="10"/>
    </row>
    <row r="5089" spans="2:2" x14ac:dyDescent="0.25">
      <c r="B5089" s="10"/>
    </row>
    <row r="5090" spans="2:2" x14ac:dyDescent="0.25">
      <c r="B5090" s="10"/>
    </row>
    <row r="5091" spans="2:2" x14ac:dyDescent="0.25">
      <c r="B5091" s="10"/>
    </row>
    <row r="5092" spans="2:2" x14ac:dyDescent="0.25">
      <c r="B5092" s="10"/>
    </row>
    <row r="5093" spans="2:2" x14ac:dyDescent="0.25">
      <c r="B5093" s="10"/>
    </row>
    <row r="5094" spans="2:2" x14ac:dyDescent="0.25">
      <c r="B5094" s="10"/>
    </row>
    <row r="5095" spans="2:2" x14ac:dyDescent="0.25">
      <c r="B5095" s="10"/>
    </row>
    <row r="5096" spans="2:2" x14ac:dyDescent="0.25">
      <c r="B5096" s="10"/>
    </row>
    <row r="5097" spans="2:2" x14ac:dyDescent="0.25">
      <c r="B5097" s="10"/>
    </row>
    <row r="5098" spans="2:2" x14ac:dyDescent="0.25">
      <c r="B5098" s="10"/>
    </row>
    <row r="5099" spans="2:2" x14ac:dyDescent="0.25">
      <c r="B5099" s="10"/>
    </row>
    <row r="5100" spans="2:2" x14ac:dyDescent="0.25">
      <c r="B5100" s="10"/>
    </row>
    <row r="5101" spans="2:2" x14ac:dyDescent="0.25">
      <c r="B5101" s="10"/>
    </row>
    <row r="5102" spans="2:2" x14ac:dyDescent="0.25">
      <c r="B5102" s="10"/>
    </row>
    <row r="5103" spans="2:2" x14ac:dyDescent="0.25">
      <c r="B5103" s="10"/>
    </row>
    <row r="5104" spans="2:2" x14ac:dyDescent="0.25">
      <c r="B5104" s="10"/>
    </row>
    <row r="5105" spans="2:2" x14ac:dyDescent="0.25">
      <c r="B5105" s="10"/>
    </row>
    <row r="5106" spans="2:2" x14ac:dyDescent="0.25">
      <c r="B5106" s="10"/>
    </row>
    <row r="5107" spans="2:2" x14ac:dyDescent="0.25">
      <c r="B5107" s="10"/>
    </row>
    <row r="5108" spans="2:2" x14ac:dyDescent="0.25">
      <c r="B5108" s="10"/>
    </row>
    <row r="5109" spans="2:2" x14ac:dyDescent="0.25">
      <c r="B5109" s="10"/>
    </row>
    <row r="5110" spans="2:2" x14ac:dyDescent="0.25">
      <c r="B5110" s="10"/>
    </row>
    <row r="5111" spans="2:2" x14ac:dyDescent="0.25">
      <c r="B5111" s="10"/>
    </row>
    <row r="5112" spans="2:2" x14ac:dyDescent="0.25">
      <c r="B5112" s="10"/>
    </row>
    <row r="5113" spans="2:2" x14ac:dyDescent="0.25">
      <c r="B5113" s="10"/>
    </row>
    <row r="5114" spans="2:2" x14ac:dyDescent="0.25">
      <c r="B5114" s="10"/>
    </row>
    <row r="5115" spans="2:2" x14ac:dyDescent="0.25">
      <c r="B5115" s="10"/>
    </row>
    <row r="5116" spans="2:2" x14ac:dyDescent="0.25">
      <c r="B5116" s="10"/>
    </row>
    <row r="5117" spans="2:2" x14ac:dyDescent="0.25">
      <c r="B5117" s="10"/>
    </row>
    <row r="5118" spans="2:2" x14ac:dyDescent="0.25">
      <c r="B5118" s="10"/>
    </row>
    <row r="5119" spans="2:2" x14ac:dyDescent="0.25">
      <c r="B5119" s="10"/>
    </row>
    <row r="5120" spans="2:2" x14ac:dyDescent="0.25">
      <c r="B5120" s="10"/>
    </row>
    <row r="5121" spans="2:2" x14ac:dyDescent="0.25">
      <c r="B5121" s="10"/>
    </row>
    <row r="5122" spans="2:2" x14ac:dyDescent="0.25">
      <c r="B5122" s="10"/>
    </row>
    <row r="5123" spans="2:2" x14ac:dyDescent="0.25">
      <c r="B5123" s="10"/>
    </row>
    <row r="5124" spans="2:2" x14ac:dyDescent="0.25">
      <c r="B5124" s="10"/>
    </row>
    <row r="5125" spans="2:2" x14ac:dyDescent="0.25">
      <c r="B5125" s="10"/>
    </row>
    <row r="5126" spans="2:2" x14ac:dyDescent="0.25">
      <c r="B5126" s="10"/>
    </row>
    <row r="5127" spans="2:2" x14ac:dyDescent="0.25">
      <c r="B5127" s="10"/>
    </row>
    <row r="5128" spans="2:2" x14ac:dyDescent="0.25">
      <c r="B5128" s="10"/>
    </row>
    <row r="5129" spans="2:2" x14ac:dyDescent="0.25">
      <c r="B5129" s="10"/>
    </row>
    <row r="5130" spans="2:2" x14ac:dyDescent="0.25">
      <c r="B5130" s="10"/>
    </row>
    <row r="5131" spans="2:2" x14ac:dyDescent="0.25">
      <c r="B5131" s="10"/>
    </row>
    <row r="5132" spans="2:2" x14ac:dyDescent="0.25">
      <c r="B5132" s="10"/>
    </row>
    <row r="5133" spans="2:2" x14ac:dyDescent="0.25">
      <c r="B5133" s="10"/>
    </row>
    <row r="5134" spans="2:2" x14ac:dyDescent="0.25">
      <c r="B5134" s="10"/>
    </row>
    <row r="5135" spans="2:2" x14ac:dyDescent="0.25">
      <c r="B5135" s="10"/>
    </row>
    <row r="5136" spans="2:2" x14ac:dyDescent="0.25">
      <c r="B5136" s="10"/>
    </row>
    <row r="5137" spans="2:2" x14ac:dyDescent="0.25">
      <c r="B5137" s="10"/>
    </row>
    <row r="5138" spans="2:2" x14ac:dyDescent="0.25">
      <c r="B5138" s="10"/>
    </row>
    <row r="5139" spans="2:2" x14ac:dyDescent="0.25">
      <c r="B5139" s="10"/>
    </row>
    <row r="5140" spans="2:2" x14ac:dyDescent="0.25">
      <c r="B5140" s="10"/>
    </row>
    <row r="5141" spans="2:2" x14ac:dyDescent="0.25">
      <c r="B5141" s="10"/>
    </row>
    <row r="5142" spans="2:2" x14ac:dyDescent="0.25">
      <c r="B5142" s="10"/>
    </row>
    <row r="5143" spans="2:2" x14ac:dyDescent="0.25">
      <c r="B5143" s="10"/>
    </row>
    <row r="5144" spans="2:2" x14ac:dyDescent="0.25">
      <c r="B5144" s="10"/>
    </row>
    <row r="5145" spans="2:2" x14ac:dyDescent="0.25">
      <c r="B5145" s="10"/>
    </row>
    <row r="5146" spans="2:2" x14ac:dyDescent="0.25">
      <c r="B5146" s="10"/>
    </row>
    <row r="5147" spans="2:2" x14ac:dyDescent="0.25">
      <c r="B5147" s="10"/>
    </row>
    <row r="5148" spans="2:2" x14ac:dyDescent="0.25">
      <c r="B5148" s="10"/>
    </row>
    <row r="5149" spans="2:2" x14ac:dyDescent="0.25">
      <c r="B5149" s="10"/>
    </row>
    <row r="5150" spans="2:2" x14ac:dyDescent="0.25">
      <c r="B5150" s="10"/>
    </row>
    <row r="5151" spans="2:2" x14ac:dyDescent="0.25">
      <c r="B5151" s="10"/>
    </row>
    <row r="5152" spans="2:2" x14ac:dyDescent="0.25">
      <c r="B5152" s="10"/>
    </row>
    <row r="5153" spans="2:2" x14ac:dyDescent="0.25">
      <c r="B5153" s="10"/>
    </row>
    <row r="5154" spans="2:2" x14ac:dyDescent="0.25">
      <c r="B5154" s="10"/>
    </row>
    <row r="5155" spans="2:2" x14ac:dyDescent="0.25">
      <c r="B5155" s="10"/>
    </row>
    <row r="5156" spans="2:2" x14ac:dyDescent="0.25">
      <c r="B5156" s="10"/>
    </row>
    <row r="5157" spans="2:2" x14ac:dyDescent="0.25">
      <c r="B5157" s="10"/>
    </row>
    <row r="5158" spans="2:2" x14ac:dyDescent="0.25">
      <c r="B5158" s="10"/>
    </row>
    <row r="5159" spans="2:2" x14ac:dyDescent="0.25">
      <c r="B5159" s="10"/>
    </row>
    <row r="5160" spans="2:2" x14ac:dyDescent="0.25">
      <c r="B5160" s="10"/>
    </row>
    <row r="5161" spans="2:2" x14ac:dyDescent="0.25">
      <c r="B5161" s="10"/>
    </row>
    <row r="5162" spans="2:2" x14ac:dyDescent="0.25">
      <c r="B5162" s="10"/>
    </row>
    <row r="5163" spans="2:2" x14ac:dyDescent="0.25">
      <c r="B5163" s="10"/>
    </row>
    <row r="5164" spans="2:2" x14ac:dyDescent="0.25">
      <c r="B5164" s="10"/>
    </row>
    <row r="5165" spans="2:2" x14ac:dyDescent="0.25">
      <c r="B5165" s="10"/>
    </row>
    <row r="5166" spans="2:2" x14ac:dyDescent="0.25">
      <c r="B5166" s="10"/>
    </row>
    <row r="5167" spans="2:2" x14ac:dyDescent="0.25">
      <c r="B5167" s="10"/>
    </row>
    <row r="5168" spans="2:2" x14ac:dyDescent="0.25">
      <c r="B5168" s="10"/>
    </row>
    <row r="5169" spans="2:2" x14ac:dyDescent="0.25">
      <c r="B5169" s="10"/>
    </row>
    <row r="5170" spans="2:2" x14ac:dyDescent="0.25">
      <c r="B5170" s="10"/>
    </row>
    <row r="5171" spans="2:2" x14ac:dyDescent="0.25">
      <c r="B5171" s="10"/>
    </row>
    <row r="5172" spans="2:2" x14ac:dyDescent="0.25">
      <c r="B5172" s="10"/>
    </row>
    <row r="5173" spans="2:2" x14ac:dyDescent="0.25">
      <c r="B5173" s="10"/>
    </row>
    <row r="5174" spans="2:2" x14ac:dyDescent="0.25">
      <c r="B5174" s="10"/>
    </row>
    <row r="5175" spans="2:2" x14ac:dyDescent="0.25">
      <c r="B5175" s="10"/>
    </row>
    <row r="5176" spans="2:2" x14ac:dyDescent="0.25">
      <c r="B5176" s="10"/>
    </row>
    <row r="5177" spans="2:2" x14ac:dyDescent="0.25">
      <c r="B5177" s="10"/>
    </row>
    <row r="5178" spans="2:2" x14ac:dyDescent="0.25">
      <c r="B5178" s="10"/>
    </row>
    <row r="5179" spans="2:2" x14ac:dyDescent="0.25">
      <c r="B5179" s="10"/>
    </row>
    <row r="5180" spans="2:2" x14ac:dyDescent="0.25">
      <c r="B5180" s="10"/>
    </row>
    <row r="5181" spans="2:2" x14ac:dyDescent="0.25">
      <c r="B5181" s="10"/>
    </row>
    <row r="5182" spans="2:2" x14ac:dyDescent="0.25">
      <c r="B5182" s="10"/>
    </row>
    <row r="5183" spans="2:2" x14ac:dyDescent="0.25">
      <c r="B5183" s="10"/>
    </row>
    <row r="5184" spans="2:2" x14ac:dyDescent="0.25">
      <c r="B5184" s="10"/>
    </row>
    <row r="5185" spans="2:2" x14ac:dyDescent="0.25">
      <c r="B5185" s="10"/>
    </row>
    <row r="5186" spans="2:2" x14ac:dyDescent="0.25">
      <c r="B5186" s="10"/>
    </row>
    <row r="5187" spans="2:2" x14ac:dyDescent="0.25">
      <c r="B5187" s="10"/>
    </row>
    <row r="5188" spans="2:2" x14ac:dyDescent="0.25">
      <c r="B5188" s="10"/>
    </row>
    <row r="5189" spans="2:2" x14ac:dyDescent="0.25">
      <c r="B5189" s="10"/>
    </row>
    <row r="5190" spans="2:2" x14ac:dyDescent="0.25">
      <c r="B5190" s="10"/>
    </row>
    <row r="5191" spans="2:2" x14ac:dyDescent="0.25">
      <c r="B5191" s="10"/>
    </row>
    <row r="5192" spans="2:2" x14ac:dyDescent="0.25">
      <c r="B5192" s="10"/>
    </row>
    <row r="5193" spans="2:2" x14ac:dyDescent="0.25">
      <c r="B5193" s="10"/>
    </row>
    <row r="5194" spans="2:2" x14ac:dyDescent="0.25">
      <c r="B5194" s="10"/>
    </row>
    <row r="5195" spans="2:2" x14ac:dyDescent="0.25">
      <c r="B5195" s="10"/>
    </row>
    <row r="5196" spans="2:2" x14ac:dyDescent="0.25">
      <c r="B5196" s="10"/>
    </row>
    <row r="5197" spans="2:2" x14ac:dyDescent="0.25">
      <c r="B5197" s="10"/>
    </row>
    <row r="5198" spans="2:2" x14ac:dyDescent="0.25">
      <c r="B5198" s="10"/>
    </row>
    <row r="5199" spans="2:2" x14ac:dyDescent="0.25">
      <c r="B5199" s="10"/>
    </row>
    <row r="5200" spans="2:2" x14ac:dyDescent="0.25">
      <c r="B5200" s="10"/>
    </row>
    <row r="5201" spans="2:2" x14ac:dyDescent="0.25">
      <c r="B5201" s="10"/>
    </row>
    <row r="5202" spans="2:2" x14ac:dyDescent="0.25">
      <c r="B5202" s="10"/>
    </row>
    <row r="5203" spans="2:2" x14ac:dyDescent="0.25">
      <c r="B5203" s="10"/>
    </row>
    <row r="5204" spans="2:2" x14ac:dyDescent="0.25">
      <c r="B5204" s="10"/>
    </row>
    <row r="5205" spans="2:2" x14ac:dyDescent="0.25">
      <c r="B5205" s="10"/>
    </row>
    <row r="5206" spans="2:2" x14ac:dyDescent="0.25">
      <c r="B5206" s="10"/>
    </row>
    <row r="5207" spans="2:2" x14ac:dyDescent="0.25">
      <c r="B5207" s="10"/>
    </row>
    <row r="5208" spans="2:2" x14ac:dyDescent="0.25">
      <c r="B5208" s="10"/>
    </row>
    <row r="5209" spans="2:2" x14ac:dyDescent="0.25">
      <c r="B5209" s="10"/>
    </row>
    <row r="5210" spans="2:2" x14ac:dyDescent="0.25">
      <c r="B5210" s="10"/>
    </row>
    <row r="5211" spans="2:2" x14ac:dyDescent="0.25">
      <c r="B5211" s="10"/>
    </row>
    <row r="5212" spans="2:2" x14ac:dyDescent="0.25">
      <c r="B5212" s="10"/>
    </row>
    <row r="5213" spans="2:2" x14ac:dyDescent="0.25">
      <c r="B5213" s="10"/>
    </row>
    <row r="5214" spans="2:2" x14ac:dyDescent="0.25">
      <c r="B5214" s="10"/>
    </row>
    <row r="5215" spans="2:2" x14ac:dyDescent="0.25">
      <c r="B5215" s="10"/>
    </row>
    <row r="5216" spans="2:2" x14ac:dyDescent="0.25">
      <c r="B5216" s="10"/>
    </row>
    <row r="5217" spans="2:2" x14ac:dyDescent="0.25">
      <c r="B5217" s="10"/>
    </row>
    <row r="5218" spans="2:2" x14ac:dyDescent="0.25">
      <c r="B5218" s="10"/>
    </row>
    <row r="5219" spans="2:2" x14ac:dyDescent="0.25">
      <c r="B5219" s="10"/>
    </row>
    <row r="5220" spans="2:2" x14ac:dyDescent="0.25">
      <c r="B5220" s="10"/>
    </row>
    <row r="5221" spans="2:2" x14ac:dyDescent="0.25">
      <c r="B5221" s="10"/>
    </row>
    <row r="5222" spans="2:2" x14ac:dyDescent="0.25">
      <c r="B5222" s="10"/>
    </row>
    <row r="5223" spans="2:2" x14ac:dyDescent="0.25">
      <c r="B5223" s="10"/>
    </row>
    <row r="5224" spans="2:2" x14ac:dyDescent="0.25">
      <c r="B5224" s="10"/>
    </row>
    <row r="5225" spans="2:2" x14ac:dyDescent="0.25">
      <c r="B5225" s="10"/>
    </row>
    <row r="5226" spans="2:2" x14ac:dyDescent="0.25">
      <c r="B5226" s="10"/>
    </row>
    <row r="5227" spans="2:2" x14ac:dyDescent="0.25">
      <c r="B5227" s="10"/>
    </row>
    <row r="5228" spans="2:2" x14ac:dyDescent="0.25">
      <c r="B5228" s="10"/>
    </row>
    <row r="5229" spans="2:2" x14ac:dyDescent="0.25">
      <c r="B5229" s="10"/>
    </row>
    <row r="5230" spans="2:2" x14ac:dyDescent="0.25">
      <c r="B5230" s="10"/>
    </row>
    <row r="5231" spans="2:2" x14ac:dyDescent="0.25">
      <c r="B5231" s="10"/>
    </row>
    <row r="5232" spans="2:2" x14ac:dyDescent="0.25">
      <c r="B5232" s="10"/>
    </row>
    <row r="5233" spans="2:2" x14ac:dyDescent="0.25">
      <c r="B5233" s="10"/>
    </row>
    <row r="5234" spans="2:2" x14ac:dyDescent="0.25">
      <c r="B5234" s="10"/>
    </row>
    <row r="5235" spans="2:2" x14ac:dyDescent="0.25">
      <c r="B5235" s="10"/>
    </row>
    <row r="5236" spans="2:2" x14ac:dyDescent="0.25">
      <c r="B5236" s="10"/>
    </row>
    <row r="5237" spans="2:2" x14ac:dyDescent="0.25">
      <c r="B5237" s="10"/>
    </row>
    <row r="5238" spans="2:2" x14ac:dyDescent="0.25">
      <c r="B5238" s="10"/>
    </row>
    <row r="5239" spans="2:2" x14ac:dyDescent="0.25">
      <c r="B5239" s="10"/>
    </row>
    <row r="5240" spans="2:2" x14ac:dyDescent="0.25">
      <c r="B5240" s="10"/>
    </row>
    <row r="5241" spans="2:2" x14ac:dyDescent="0.25">
      <c r="B5241" s="10"/>
    </row>
    <row r="5242" spans="2:2" x14ac:dyDescent="0.25">
      <c r="B5242" s="10"/>
    </row>
    <row r="5243" spans="2:2" x14ac:dyDescent="0.25">
      <c r="B5243" s="10"/>
    </row>
    <row r="5244" spans="2:2" x14ac:dyDescent="0.25">
      <c r="B5244" s="10"/>
    </row>
    <row r="5245" spans="2:2" x14ac:dyDescent="0.25">
      <c r="B5245" s="10"/>
    </row>
    <row r="5246" spans="2:2" x14ac:dyDescent="0.25">
      <c r="B5246" s="10"/>
    </row>
    <row r="5247" spans="2:2" x14ac:dyDescent="0.25">
      <c r="B5247" s="10"/>
    </row>
    <row r="5248" spans="2:2" x14ac:dyDescent="0.25">
      <c r="B5248" s="10"/>
    </row>
    <row r="5249" spans="2:2" x14ac:dyDescent="0.25">
      <c r="B5249" s="10"/>
    </row>
    <row r="5250" spans="2:2" x14ac:dyDescent="0.25">
      <c r="B5250" s="10"/>
    </row>
    <row r="5251" spans="2:2" x14ac:dyDescent="0.25">
      <c r="B5251" s="10"/>
    </row>
    <row r="5252" spans="2:2" x14ac:dyDescent="0.25">
      <c r="B5252" s="10"/>
    </row>
    <row r="5253" spans="2:2" x14ac:dyDescent="0.25">
      <c r="B5253" s="10"/>
    </row>
    <row r="5254" spans="2:2" x14ac:dyDescent="0.25">
      <c r="B5254" s="10"/>
    </row>
    <row r="5255" spans="2:2" x14ac:dyDescent="0.25">
      <c r="B5255" s="10"/>
    </row>
    <row r="5256" spans="2:2" x14ac:dyDescent="0.25">
      <c r="B5256" s="10"/>
    </row>
    <row r="5257" spans="2:2" x14ac:dyDescent="0.25">
      <c r="B5257" s="10"/>
    </row>
    <row r="5258" spans="2:2" x14ac:dyDescent="0.25">
      <c r="B5258" s="10"/>
    </row>
    <row r="5259" spans="2:2" x14ac:dyDescent="0.25">
      <c r="B5259" s="10"/>
    </row>
    <row r="5260" spans="2:2" x14ac:dyDescent="0.25">
      <c r="B5260" s="10"/>
    </row>
    <row r="5261" spans="2:2" x14ac:dyDescent="0.25">
      <c r="B5261" s="10"/>
    </row>
    <row r="5262" spans="2:2" x14ac:dyDescent="0.25">
      <c r="B5262" s="10"/>
    </row>
    <row r="5263" spans="2:2" x14ac:dyDescent="0.25">
      <c r="B5263" s="10"/>
    </row>
    <row r="5264" spans="2:2" x14ac:dyDescent="0.25">
      <c r="B5264" s="10"/>
    </row>
    <row r="5265" spans="2:2" x14ac:dyDescent="0.25">
      <c r="B5265" s="10"/>
    </row>
    <row r="5266" spans="2:2" x14ac:dyDescent="0.25">
      <c r="B5266" s="10"/>
    </row>
    <row r="5267" spans="2:2" x14ac:dyDescent="0.25">
      <c r="B5267" s="10"/>
    </row>
    <row r="5268" spans="2:2" x14ac:dyDescent="0.25">
      <c r="B5268" s="10"/>
    </row>
    <row r="5269" spans="2:2" x14ac:dyDescent="0.25">
      <c r="B5269" s="10"/>
    </row>
    <row r="5270" spans="2:2" x14ac:dyDescent="0.25">
      <c r="B5270" s="10"/>
    </row>
    <row r="5271" spans="2:2" x14ac:dyDescent="0.25">
      <c r="B5271" s="10"/>
    </row>
    <row r="5272" spans="2:2" x14ac:dyDescent="0.25">
      <c r="B5272" s="10"/>
    </row>
    <row r="5273" spans="2:2" x14ac:dyDescent="0.25">
      <c r="B5273" s="10"/>
    </row>
    <row r="5274" spans="2:2" x14ac:dyDescent="0.25">
      <c r="B5274" s="10"/>
    </row>
    <row r="5275" spans="2:2" x14ac:dyDescent="0.25">
      <c r="B5275" s="10"/>
    </row>
    <row r="5276" spans="2:2" x14ac:dyDescent="0.25">
      <c r="B5276" s="10"/>
    </row>
    <row r="5277" spans="2:2" x14ac:dyDescent="0.25">
      <c r="B5277" s="10"/>
    </row>
    <row r="5278" spans="2:2" x14ac:dyDescent="0.25">
      <c r="B5278" s="10"/>
    </row>
    <row r="5279" spans="2:2" x14ac:dyDescent="0.25">
      <c r="B5279" s="10"/>
    </row>
    <row r="5280" spans="2:2" x14ac:dyDescent="0.25">
      <c r="B5280" s="10"/>
    </row>
    <row r="5281" spans="2:2" x14ac:dyDescent="0.25">
      <c r="B5281" s="10"/>
    </row>
    <row r="5282" spans="2:2" x14ac:dyDescent="0.25">
      <c r="B5282" s="10"/>
    </row>
    <row r="5283" spans="2:2" x14ac:dyDescent="0.25">
      <c r="B5283" s="10"/>
    </row>
    <row r="5284" spans="2:2" x14ac:dyDescent="0.25">
      <c r="B5284" s="10"/>
    </row>
    <row r="5285" spans="2:2" x14ac:dyDescent="0.25">
      <c r="B5285" s="10"/>
    </row>
    <row r="5286" spans="2:2" x14ac:dyDescent="0.25">
      <c r="B5286" s="10"/>
    </row>
    <row r="5287" spans="2:2" x14ac:dyDescent="0.25">
      <c r="B5287" s="10"/>
    </row>
    <row r="5288" spans="2:2" x14ac:dyDescent="0.25">
      <c r="B5288" s="10"/>
    </row>
    <row r="5289" spans="2:2" x14ac:dyDescent="0.25">
      <c r="B5289" s="10"/>
    </row>
    <row r="5290" spans="2:2" x14ac:dyDescent="0.25">
      <c r="B5290" s="10"/>
    </row>
    <row r="5291" spans="2:2" x14ac:dyDescent="0.25">
      <c r="B5291" s="10"/>
    </row>
    <row r="5292" spans="2:2" x14ac:dyDescent="0.25">
      <c r="B5292" s="10"/>
    </row>
    <row r="5293" spans="2:2" x14ac:dyDescent="0.25">
      <c r="B5293" s="10"/>
    </row>
    <row r="5294" spans="2:2" x14ac:dyDescent="0.25">
      <c r="B5294" s="10"/>
    </row>
    <row r="5295" spans="2:2" x14ac:dyDescent="0.25">
      <c r="B5295" s="10"/>
    </row>
    <row r="5296" spans="2:2" x14ac:dyDescent="0.25">
      <c r="B5296" s="10"/>
    </row>
    <row r="5297" spans="2:2" x14ac:dyDescent="0.25">
      <c r="B5297" s="10"/>
    </row>
    <row r="5298" spans="2:2" x14ac:dyDescent="0.25">
      <c r="B5298" s="10"/>
    </row>
    <row r="5299" spans="2:2" x14ac:dyDescent="0.25">
      <c r="B5299" s="10"/>
    </row>
    <row r="5300" spans="2:2" x14ac:dyDescent="0.25">
      <c r="B5300" s="10"/>
    </row>
    <row r="5301" spans="2:2" x14ac:dyDescent="0.25">
      <c r="B5301" s="10"/>
    </row>
    <row r="5302" spans="2:2" x14ac:dyDescent="0.25">
      <c r="B5302" s="10"/>
    </row>
    <row r="5303" spans="2:2" x14ac:dyDescent="0.25">
      <c r="B5303" s="10"/>
    </row>
    <row r="5304" spans="2:2" x14ac:dyDescent="0.25">
      <c r="B5304" s="10"/>
    </row>
    <row r="5305" spans="2:2" x14ac:dyDescent="0.25">
      <c r="B5305" s="10"/>
    </row>
    <row r="5306" spans="2:2" x14ac:dyDescent="0.25">
      <c r="B5306" s="10"/>
    </row>
    <row r="5307" spans="2:2" x14ac:dyDescent="0.25">
      <c r="B5307" s="10"/>
    </row>
    <row r="5308" spans="2:2" x14ac:dyDescent="0.25">
      <c r="B5308" s="10"/>
    </row>
    <row r="5309" spans="2:2" x14ac:dyDescent="0.25">
      <c r="B5309" s="10"/>
    </row>
    <row r="5310" spans="2:2" x14ac:dyDescent="0.25">
      <c r="B5310" s="10"/>
    </row>
    <row r="5311" spans="2:2" x14ac:dyDescent="0.25">
      <c r="B5311" s="10"/>
    </row>
    <row r="5312" spans="2:2" x14ac:dyDescent="0.25">
      <c r="B5312" s="10"/>
    </row>
    <row r="5313" spans="2:2" x14ac:dyDescent="0.25">
      <c r="B5313" s="10"/>
    </row>
    <row r="5314" spans="2:2" x14ac:dyDescent="0.25">
      <c r="B5314" s="10"/>
    </row>
    <row r="5315" spans="2:2" x14ac:dyDescent="0.25">
      <c r="B5315" s="10"/>
    </row>
    <row r="5316" spans="2:2" x14ac:dyDescent="0.25">
      <c r="B5316" s="10"/>
    </row>
    <row r="5317" spans="2:2" x14ac:dyDescent="0.25">
      <c r="B5317" s="10"/>
    </row>
    <row r="5318" spans="2:2" x14ac:dyDescent="0.25">
      <c r="B5318" s="10"/>
    </row>
    <row r="5319" spans="2:2" x14ac:dyDescent="0.25">
      <c r="B5319" s="10"/>
    </row>
    <row r="5320" spans="2:2" x14ac:dyDescent="0.25">
      <c r="B5320" s="10"/>
    </row>
    <row r="5321" spans="2:2" x14ac:dyDescent="0.25">
      <c r="B5321" s="10"/>
    </row>
    <row r="5322" spans="2:2" x14ac:dyDescent="0.25">
      <c r="B5322" s="10"/>
    </row>
    <row r="5323" spans="2:2" x14ac:dyDescent="0.25">
      <c r="B5323" s="10"/>
    </row>
    <row r="5324" spans="2:2" x14ac:dyDescent="0.25">
      <c r="B5324" s="10"/>
    </row>
    <row r="5325" spans="2:2" x14ac:dyDescent="0.25">
      <c r="B5325" s="10"/>
    </row>
    <row r="5326" spans="2:2" x14ac:dyDescent="0.25">
      <c r="B5326" s="10"/>
    </row>
    <row r="5327" spans="2:2" x14ac:dyDescent="0.25">
      <c r="B5327" s="10"/>
    </row>
    <row r="5328" spans="2:2" x14ac:dyDescent="0.25">
      <c r="B5328" s="10"/>
    </row>
    <row r="5329" spans="2:2" x14ac:dyDescent="0.25">
      <c r="B5329" s="10"/>
    </row>
    <row r="5330" spans="2:2" x14ac:dyDescent="0.25">
      <c r="B5330" s="10"/>
    </row>
    <row r="5331" spans="2:2" x14ac:dyDescent="0.25">
      <c r="B5331" s="10"/>
    </row>
    <row r="5332" spans="2:2" x14ac:dyDescent="0.25">
      <c r="B5332" s="10"/>
    </row>
    <row r="5333" spans="2:2" x14ac:dyDescent="0.25">
      <c r="B5333" s="10"/>
    </row>
    <row r="5334" spans="2:2" x14ac:dyDescent="0.25">
      <c r="B5334" s="10"/>
    </row>
    <row r="5335" spans="2:2" x14ac:dyDescent="0.25">
      <c r="B5335" s="10"/>
    </row>
    <row r="5336" spans="2:2" x14ac:dyDescent="0.25">
      <c r="B5336" s="10"/>
    </row>
    <row r="5337" spans="2:2" x14ac:dyDescent="0.25">
      <c r="B5337" s="10"/>
    </row>
    <row r="5338" spans="2:2" x14ac:dyDescent="0.25">
      <c r="B5338" s="10"/>
    </row>
    <row r="5339" spans="2:2" x14ac:dyDescent="0.25">
      <c r="B5339" s="10"/>
    </row>
    <row r="5340" spans="2:2" x14ac:dyDescent="0.25">
      <c r="B5340" s="10"/>
    </row>
    <row r="5341" spans="2:2" x14ac:dyDescent="0.25">
      <c r="B5341" s="10"/>
    </row>
    <row r="5342" spans="2:2" x14ac:dyDescent="0.25">
      <c r="B5342" s="10"/>
    </row>
    <row r="5343" spans="2:2" x14ac:dyDescent="0.25">
      <c r="B5343" s="10"/>
    </row>
    <row r="5344" spans="2:2" x14ac:dyDescent="0.25">
      <c r="B5344" s="10"/>
    </row>
    <row r="5345" spans="2:2" x14ac:dyDescent="0.25">
      <c r="B5345" s="10"/>
    </row>
    <row r="5346" spans="2:2" x14ac:dyDescent="0.25">
      <c r="B5346" s="10"/>
    </row>
    <row r="5347" spans="2:2" x14ac:dyDescent="0.25">
      <c r="B5347" s="10"/>
    </row>
    <row r="5348" spans="2:2" x14ac:dyDescent="0.25">
      <c r="B5348" s="10"/>
    </row>
    <row r="5349" spans="2:2" x14ac:dyDescent="0.25">
      <c r="B5349" s="10"/>
    </row>
    <row r="5350" spans="2:2" x14ac:dyDescent="0.25">
      <c r="B5350" s="10"/>
    </row>
    <row r="5351" spans="2:2" x14ac:dyDescent="0.25">
      <c r="B5351" s="10"/>
    </row>
    <row r="5352" spans="2:2" x14ac:dyDescent="0.25">
      <c r="B5352" s="10"/>
    </row>
    <row r="5353" spans="2:2" x14ac:dyDescent="0.25">
      <c r="B5353" s="10"/>
    </row>
    <row r="5354" spans="2:2" x14ac:dyDescent="0.25">
      <c r="B5354" s="10"/>
    </row>
    <row r="5355" spans="2:2" x14ac:dyDescent="0.25">
      <c r="B5355" s="10"/>
    </row>
    <row r="5356" spans="2:2" x14ac:dyDescent="0.25">
      <c r="B5356" s="10"/>
    </row>
    <row r="5357" spans="2:2" x14ac:dyDescent="0.25">
      <c r="B5357" s="10"/>
    </row>
    <row r="5358" spans="2:2" x14ac:dyDescent="0.25">
      <c r="B5358" s="10"/>
    </row>
    <row r="5359" spans="2:2" x14ac:dyDescent="0.25">
      <c r="B5359" s="10"/>
    </row>
    <row r="5360" spans="2:2" x14ac:dyDescent="0.25">
      <c r="B5360" s="10"/>
    </row>
    <row r="5361" spans="2:2" x14ac:dyDescent="0.25">
      <c r="B5361" s="10"/>
    </row>
    <row r="5362" spans="2:2" x14ac:dyDescent="0.25">
      <c r="B5362" s="10"/>
    </row>
    <row r="5363" spans="2:2" x14ac:dyDescent="0.25">
      <c r="B5363" s="10"/>
    </row>
    <row r="5364" spans="2:2" x14ac:dyDescent="0.25">
      <c r="B5364" s="10"/>
    </row>
    <row r="5365" spans="2:2" x14ac:dyDescent="0.25">
      <c r="B5365" s="10"/>
    </row>
    <row r="5366" spans="2:2" x14ac:dyDescent="0.25">
      <c r="B5366" s="10"/>
    </row>
    <row r="5367" spans="2:2" x14ac:dyDescent="0.25">
      <c r="B5367" s="10"/>
    </row>
    <row r="5368" spans="2:2" x14ac:dyDescent="0.25">
      <c r="B5368" s="10"/>
    </row>
    <row r="5369" spans="2:2" x14ac:dyDescent="0.25">
      <c r="B5369" s="10"/>
    </row>
    <row r="5370" spans="2:2" x14ac:dyDescent="0.25">
      <c r="B5370" s="10"/>
    </row>
    <row r="5371" spans="2:2" x14ac:dyDescent="0.25">
      <c r="B5371" s="10"/>
    </row>
    <row r="5372" spans="2:2" x14ac:dyDescent="0.25">
      <c r="B5372" s="10"/>
    </row>
    <row r="5373" spans="2:2" x14ac:dyDescent="0.25">
      <c r="B5373" s="10"/>
    </row>
    <row r="5374" spans="2:2" x14ac:dyDescent="0.25">
      <c r="B5374" s="10"/>
    </row>
    <row r="5375" spans="2:2" x14ac:dyDescent="0.25">
      <c r="B5375" s="10"/>
    </row>
    <row r="5376" spans="2:2" x14ac:dyDescent="0.25">
      <c r="B5376" s="10"/>
    </row>
    <row r="5377" spans="2:2" x14ac:dyDescent="0.25">
      <c r="B5377" s="10"/>
    </row>
    <row r="5378" spans="2:2" x14ac:dyDescent="0.25">
      <c r="B5378" s="10"/>
    </row>
    <row r="5379" spans="2:2" x14ac:dyDescent="0.25">
      <c r="B5379" s="10"/>
    </row>
    <row r="5380" spans="2:2" x14ac:dyDescent="0.25">
      <c r="B5380" s="10"/>
    </row>
    <row r="5381" spans="2:2" x14ac:dyDescent="0.25">
      <c r="B5381" s="10"/>
    </row>
    <row r="5382" spans="2:2" x14ac:dyDescent="0.25">
      <c r="B5382" s="10"/>
    </row>
    <row r="5383" spans="2:2" x14ac:dyDescent="0.25">
      <c r="B5383" s="10"/>
    </row>
    <row r="5384" spans="2:2" x14ac:dyDescent="0.25">
      <c r="B5384" s="10"/>
    </row>
    <row r="5385" spans="2:2" x14ac:dyDescent="0.25">
      <c r="B5385" s="10"/>
    </row>
    <row r="5386" spans="2:2" x14ac:dyDescent="0.25">
      <c r="B5386" s="10"/>
    </row>
    <row r="5387" spans="2:2" x14ac:dyDescent="0.25">
      <c r="B5387" s="10"/>
    </row>
    <row r="5388" spans="2:2" x14ac:dyDescent="0.25">
      <c r="B5388" s="10"/>
    </row>
    <row r="5389" spans="2:2" x14ac:dyDescent="0.25">
      <c r="B5389" s="10"/>
    </row>
    <row r="5390" spans="2:2" x14ac:dyDescent="0.25">
      <c r="B5390" s="10"/>
    </row>
    <row r="5391" spans="2:2" x14ac:dyDescent="0.25">
      <c r="B5391" s="10"/>
    </row>
    <row r="5392" spans="2:2" x14ac:dyDescent="0.25">
      <c r="B5392" s="10"/>
    </row>
    <row r="5393" spans="2:2" x14ac:dyDescent="0.25">
      <c r="B5393" s="10"/>
    </row>
    <row r="5394" spans="2:2" x14ac:dyDescent="0.25">
      <c r="B5394" s="10"/>
    </row>
    <row r="5395" spans="2:2" x14ac:dyDescent="0.25">
      <c r="B5395" s="10"/>
    </row>
    <row r="5396" spans="2:2" x14ac:dyDescent="0.25">
      <c r="B5396" s="10"/>
    </row>
    <row r="5397" spans="2:2" x14ac:dyDescent="0.25">
      <c r="B5397" s="10"/>
    </row>
    <row r="5398" spans="2:2" x14ac:dyDescent="0.25">
      <c r="B5398" s="10"/>
    </row>
    <row r="5399" spans="2:2" x14ac:dyDescent="0.25">
      <c r="B5399" s="10"/>
    </row>
    <row r="5400" spans="2:2" x14ac:dyDescent="0.25">
      <c r="B5400" s="10"/>
    </row>
    <row r="5401" spans="2:2" x14ac:dyDescent="0.25">
      <c r="B5401" s="10"/>
    </row>
    <row r="5402" spans="2:2" x14ac:dyDescent="0.25">
      <c r="B5402" s="10"/>
    </row>
    <row r="5403" spans="2:2" x14ac:dyDescent="0.25">
      <c r="B5403" s="10"/>
    </row>
    <row r="5404" spans="2:2" x14ac:dyDescent="0.25">
      <c r="B5404" s="10"/>
    </row>
    <row r="5405" spans="2:2" x14ac:dyDescent="0.25">
      <c r="B5405" s="10"/>
    </row>
    <row r="5406" spans="2:2" x14ac:dyDescent="0.25">
      <c r="B5406" s="10"/>
    </row>
    <row r="5407" spans="2:2" x14ac:dyDescent="0.25">
      <c r="B5407" s="10"/>
    </row>
    <row r="5408" spans="2:2" x14ac:dyDescent="0.25">
      <c r="B5408" s="10"/>
    </row>
    <row r="5409" spans="2:2" x14ac:dyDescent="0.25">
      <c r="B5409" s="10"/>
    </row>
    <row r="5410" spans="2:2" x14ac:dyDescent="0.25">
      <c r="B5410" s="10"/>
    </row>
    <row r="5411" spans="2:2" x14ac:dyDescent="0.25">
      <c r="B5411" s="10"/>
    </row>
    <row r="5412" spans="2:2" x14ac:dyDescent="0.25">
      <c r="B5412" s="10"/>
    </row>
    <row r="5413" spans="2:2" x14ac:dyDescent="0.25">
      <c r="B5413" s="10"/>
    </row>
    <row r="5414" spans="2:2" x14ac:dyDescent="0.25">
      <c r="B5414" s="10"/>
    </row>
    <row r="5415" spans="2:2" x14ac:dyDescent="0.25">
      <c r="B5415" s="10"/>
    </row>
    <row r="5416" spans="2:2" x14ac:dyDescent="0.25">
      <c r="B5416" s="10"/>
    </row>
    <row r="5417" spans="2:2" x14ac:dyDescent="0.25">
      <c r="B5417" s="10"/>
    </row>
    <row r="5418" spans="2:2" x14ac:dyDescent="0.25">
      <c r="B5418" s="10"/>
    </row>
    <row r="5419" spans="2:2" x14ac:dyDescent="0.25">
      <c r="B5419" s="10"/>
    </row>
    <row r="5420" spans="2:2" x14ac:dyDescent="0.25">
      <c r="B5420" s="10"/>
    </row>
    <row r="5421" spans="2:2" x14ac:dyDescent="0.25">
      <c r="B5421" s="10"/>
    </row>
    <row r="5422" spans="2:2" x14ac:dyDescent="0.25">
      <c r="B5422" s="10"/>
    </row>
    <row r="5423" spans="2:2" x14ac:dyDescent="0.25">
      <c r="B5423" s="10"/>
    </row>
    <row r="5424" spans="2:2" x14ac:dyDescent="0.25">
      <c r="B5424" s="10"/>
    </row>
    <row r="5425" spans="2:2" x14ac:dyDescent="0.25">
      <c r="B5425" s="10"/>
    </row>
    <row r="5426" spans="2:2" x14ac:dyDescent="0.25">
      <c r="B5426" s="10"/>
    </row>
    <row r="5427" spans="2:2" x14ac:dyDescent="0.25">
      <c r="B5427" s="10"/>
    </row>
    <row r="5428" spans="2:2" x14ac:dyDescent="0.25">
      <c r="B5428" s="10"/>
    </row>
    <row r="5429" spans="2:2" x14ac:dyDescent="0.25">
      <c r="B5429" s="10"/>
    </row>
    <row r="5430" spans="2:2" x14ac:dyDescent="0.25">
      <c r="B5430" s="10"/>
    </row>
    <row r="5431" spans="2:2" x14ac:dyDescent="0.25">
      <c r="B5431" s="10"/>
    </row>
    <row r="5432" spans="2:2" x14ac:dyDescent="0.25">
      <c r="B5432" s="10"/>
    </row>
    <row r="5433" spans="2:2" x14ac:dyDescent="0.25">
      <c r="B5433" s="10"/>
    </row>
    <row r="5434" spans="2:2" x14ac:dyDescent="0.25">
      <c r="B5434" s="10"/>
    </row>
    <row r="5435" spans="2:2" x14ac:dyDescent="0.25">
      <c r="B5435" s="10"/>
    </row>
    <row r="5436" spans="2:2" x14ac:dyDescent="0.25">
      <c r="B5436" s="10"/>
    </row>
    <row r="5437" spans="2:2" x14ac:dyDescent="0.25">
      <c r="B5437" s="10"/>
    </row>
    <row r="5438" spans="2:2" x14ac:dyDescent="0.25">
      <c r="B5438" s="10"/>
    </row>
    <row r="5439" spans="2:2" x14ac:dyDescent="0.25">
      <c r="B5439" s="10"/>
    </row>
    <row r="5440" spans="2:2" x14ac:dyDescent="0.25">
      <c r="B5440" s="10"/>
    </row>
    <row r="5441" spans="2:2" x14ac:dyDescent="0.25">
      <c r="B5441" s="10"/>
    </row>
    <row r="5442" spans="2:2" x14ac:dyDescent="0.25">
      <c r="B5442" s="10"/>
    </row>
    <row r="5443" spans="2:2" x14ac:dyDescent="0.25">
      <c r="B5443" s="10"/>
    </row>
    <row r="5444" spans="2:2" x14ac:dyDescent="0.25">
      <c r="B5444" s="10"/>
    </row>
    <row r="5445" spans="2:2" x14ac:dyDescent="0.25">
      <c r="B5445" s="10"/>
    </row>
    <row r="5446" spans="2:2" x14ac:dyDescent="0.25">
      <c r="B5446" s="10"/>
    </row>
    <row r="5447" spans="2:2" x14ac:dyDescent="0.25">
      <c r="B5447" s="10"/>
    </row>
    <row r="5448" spans="2:2" x14ac:dyDescent="0.25">
      <c r="B5448" s="10"/>
    </row>
    <row r="5449" spans="2:2" x14ac:dyDescent="0.25">
      <c r="B5449" s="10"/>
    </row>
    <row r="5450" spans="2:2" x14ac:dyDescent="0.25">
      <c r="B5450" s="10"/>
    </row>
    <row r="5451" spans="2:2" x14ac:dyDescent="0.25">
      <c r="B5451" s="10"/>
    </row>
    <row r="5452" spans="2:2" x14ac:dyDescent="0.25">
      <c r="B5452" s="10"/>
    </row>
    <row r="5453" spans="2:2" x14ac:dyDescent="0.25">
      <c r="B5453" s="10"/>
    </row>
    <row r="5454" spans="2:2" x14ac:dyDescent="0.25">
      <c r="B5454" s="10"/>
    </row>
    <row r="5455" spans="2:2" x14ac:dyDescent="0.25">
      <c r="B5455" s="10"/>
    </row>
    <row r="5456" spans="2:2" x14ac:dyDescent="0.25">
      <c r="B5456" s="10"/>
    </row>
    <row r="5457" spans="2:2" x14ac:dyDescent="0.25">
      <c r="B5457" s="10"/>
    </row>
    <row r="5458" spans="2:2" x14ac:dyDescent="0.25">
      <c r="B5458" s="10"/>
    </row>
    <row r="5459" spans="2:2" x14ac:dyDescent="0.25">
      <c r="B5459" s="10"/>
    </row>
    <row r="5460" spans="2:2" x14ac:dyDescent="0.25">
      <c r="B5460" s="10"/>
    </row>
    <row r="5461" spans="2:2" x14ac:dyDescent="0.25">
      <c r="B5461" s="10"/>
    </row>
    <row r="5462" spans="2:2" x14ac:dyDescent="0.25">
      <c r="B5462" s="10"/>
    </row>
    <row r="5463" spans="2:2" x14ac:dyDescent="0.25">
      <c r="B5463" s="10"/>
    </row>
    <row r="5464" spans="2:2" x14ac:dyDescent="0.25">
      <c r="B5464" s="10"/>
    </row>
    <row r="5465" spans="2:2" x14ac:dyDescent="0.25">
      <c r="B5465" s="10"/>
    </row>
    <row r="5466" spans="2:2" x14ac:dyDescent="0.25">
      <c r="B5466" s="10"/>
    </row>
    <row r="5467" spans="2:2" x14ac:dyDescent="0.25">
      <c r="B5467" s="10"/>
    </row>
    <row r="5468" spans="2:2" x14ac:dyDescent="0.25">
      <c r="B5468" s="10"/>
    </row>
    <row r="5469" spans="2:2" x14ac:dyDescent="0.25">
      <c r="B5469" s="10"/>
    </row>
    <row r="5470" spans="2:2" x14ac:dyDescent="0.25">
      <c r="B5470" s="10"/>
    </row>
    <row r="5471" spans="2:2" x14ac:dyDescent="0.25">
      <c r="B5471" s="10"/>
    </row>
    <row r="5472" spans="2:2" x14ac:dyDescent="0.25">
      <c r="B5472" s="10"/>
    </row>
    <row r="5473" spans="2:2" x14ac:dyDescent="0.25">
      <c r="B5473" s="10"/>
    </row>
    <row r="5474" spans="2:2" x14ac:dyDescent="0.25">
      <c r="B5474" s="10"/>
    </row>
    <row r="5475" spans="2:2" x14ac:dyDescent="0.25">
      <c r="B5475" s="10"/>
    </row>
    <row r="5476" spans="2:2" x14ac:dyDescent="0.25">
      <c r="B5476" s="10"/>
    </row>
    <row r="5477" spans="2:2" x14ac:dyDescent="0.25">
      <c r="B5477" s="10"/>
    </row>
    <row r="5478" spans="2:2" x14ac:dyDescent="0.25">
      <c r="B5478" s="10"/>
    </row>
    <row r="5479" spans="2:2" x14ac:dyDescent="0.25">
      <c r="B5479" s="10"/>
    </row>
    <row r="5480" spans="2:2" x14ac:dyDescent="0.25">
      <c r="B5480" s="10"/>
    </row>
    <row r="5481" spans="2:2" x14ac:dyDescent="0.25">
      <c r="B5481" s="10"/>
    </row>
    <row r="5482" spans="2:2" x14ac:dyDescent="0.25">
      <c r="B5482" s="10"/>
    </row>
    <row r="5483" spans="2:2" x14ac:dyDescent="0.25">
      <c r="B5483" s="10"/>
    </row>
    <row r="5484" spans="2:2" x14ac:dyDescent="0.25">
      <c r="B5484" s="10"/>
    </row>
    <row r="5485" spans="2:2" x14ac:dyDescent="0.25">
      <c r="B5485" s="10"/>
    </row>
    <row r="5486" spans="2:2" x14ac:dyDescent="0.25">
      <c r="B5486" s="10"/>
    </row>
    <row r="5487" spans="2:2" x14ac:dyDescent="0.25">
      <c r="B5487" s="10"/>
    </row>
    <row r="5488" spans="2:2" x14ac:dyDescent="0.25">
      <c r="B5488" s="10"/>
    </row>
    <row r="5489" spans="2:2" x14ac:dyDescent="0.25">
      <c r="B5489" s="10"/>
    </row>
    <row r="5490" spans="2:2" x14ac:dyDescent="0.25">
      <c r="B5490" s="10"/>
    </row>
    <row r="5491" spans="2:2" x14ac:dyDescent="0.25">
      <c r="B5491" s="10"/>
    </row>
    <row r="5492" spans="2:2" x14ac:dyDescent="0.25">
      <c r="B5492" s="10"/>
    </row>
    <row r="5493" spans="2:2" x14ac:dyDescent="0.25">
      <c r="B5493" s="10"/>
    </row>
    <row r="5494" spans="2:2" x14ac:dyDescent="0.25">
      <c r="B5494" s="10"/>
    </row>
    <row r="5495" spans="2:2" x14ac:dyDescent="0.25">
      <c r="B5495" s="10"/>
    </row>
    <row r="5496" spans="2:2" x14ac:dyDescent="0.25">
      <c r="B5496" s="10"/>
    </row>
    <row r="5497" spans="2:2" x14ac:dyDescent="0.25">
      <c r="B5497" s="10"/>
    </row>
    <row r="5498" spans="2:2" x14ac:dyDescent="0.25">
      <c r="B5498" s="10"/>
    </row>
    <row r="5499" spans="2:2" x14ac:dyDescent="0.25">
      <c r="B5499" s="10"/>
    </row>
    <row r="5500" spans="2:2" x14ac:dyDescent="0.25">
      <c r="B5500" s="10"/>
    </row>
    <row r="5501" spans="2:2" x14ac:dyDescent="0.25">
      <c r="B5501" s="10"/>
    </row>
    <row r="5502" spans="2:2" x14ac:dyDescent="0.25">
      <c r="B5502" s="10"/>
    </row>
    <row r="5503" spans="2:2" x14ac:dyDescent="0.25">
      <c r="B5503" s="10"/>
    </row>
    <row r="5504" spans="2:2" x14ac:dyDescent="0.25">
      <c r="B5504" s="10"/>
    </row>
    <row r="5505" spans="2:2" x14ac:dyDescent="0.25">
      <c r="B5505" s="10"/>
    </row>
    <row r="5506" spans="2:2" x14ac:dyDescent="0.25">
      <c r="B5506" s="10"/>
    </row>
    <row r="5507" spans="2:2" x14ac:dyDescent="0.25">
      <c r="B5507" s="10"/>
    </row>
    <row r="5508" spans="2:2" x14ac:dyDescent="0.25">
      <c r="B5508" s="10"/>
    </row>
    <row r="5509" spans="2:2" x14ac:dyDescent="0.25">
      <c r="B5509" s="10"/>
    </row>
    <row r="5510" spans="2:2" x14ac:dyDescent="0.25">
      <c r="B5510" s="10"/>
    </row>
    <row r="5511" spans="2:2" x14ac:dyDescent="0.25">
      <c r="B5511" s="10"/>
    </row>
    <row r="5512" spans="2:2" x14ac:dyDescent="0.25">
      <c r="B5512" s="10"/>
    </row>
    <row r="5513" spans="2:2" x14ac:dyDescent="0.25">
      <c r="B5513" s="10"/>
    </row>
    <row r="5514" spans="2:2" x14ac:dyDescent="0.25">
      <c r="B5514" s="10"/>
    </row>
    <row r="5515" spans="2:2" x14ac:dyDescent="0.25">
      <c r="B5515" s="10"/>
    </row>
    <row r="5516" spans="2:2" x14ac:dyDescent="0.25">
      <c r="B5516" s="10"/>
    </row>
    <row r="5517" spans="2:2" x14ac:dyDescent="0.25">
      <c r="B5517" s="10"/>
    </row>
    <row r="5518" spans="2:2" x14ac:dyDescent="0.25">
      <c r="B5518" s="10"/>
    </row>
    <row r="5519" spans="2:2" x14ac:dyDescent="0.25">
      <c r="B5519" s="10"/>
    </row>
    <row r="5520" spans="2:2" x14ac:dyDescent="0.25">
      <c r="B5520" s="10"/>
    </row>
    <row r="5521" spans="2:2" x14ac:dyDescent="0.25">
      <c r="B5521" s="10"/>
    </row>
    <row r="5522" spans="2:2" x14ac:dyDescent="0.25">
      <c r="B5522" s="10"/>
    </row>
    <row r="5523" spans="2:2" x14ac:dyDescent="0.25">
      <c r="B5523" s="10"/>
    </row>
    <row r="5524" spans="2:2" x14ac:dyDescent="0.25">
      <c r="B5524" s="10"/>
    </row>
    <row r="5525" spans="2:2" x14ac:dyDescent="0.25">
      <c r="B5525" s="10"/>
    </row>
    <row r="5526" spans="2:2" x14ac:dyDescent="0.25">
      <c r="B5526" s="10"/>
    </row>
    <row r="5527" spans="2:2" x14ac:dyDescent="0.25">
      <c r="B5527" s="10"/>
    </row>
    <row r="5528" spans="2:2" x14ac:dyDescent="0.25">
      <c r="B5528" s="10"/>
    </row>
    <row r="5529" spans="2:2" x14ac:dyDescent="0.25">
      <c r="B5529" s="10"/>
    </row>
    <row r="5530" spans="2:2" x14ac:dyDescent="0.25">
      <c r="B5530" s="10"/>
    </row>
    <row r="5531" spans="2:2" x14ac:dyDescent="0.25">
      <c r="B5531" s="10"/>
    </row>
    <row r="5532" spans="2:2" x14ac:dyDescent="0.25">
      <c r="B5532" s="10"/>
    </row>
    <row r="5533" spans="2:2" x14ac:dyDescent="0.25">
      <c r="B5533" s="10"/>
    </row>
    <row r="5534" spans="2:2" x14ac:dyDescent="0.25">
      <c r="B5534" s="10"/>
    </row>
    <row r="5535" spans="2:2" x14ac:dyDescent="0.25">
      <c r="B5535" s="10"/>
    </row>
    <row r="5536" spans="2:2" x14ac:dyDescent="0.25">
      <c r="B5536" s="10"/>
    </row>
    <row r="5537" spans="2:2" x14ac:dyDescent="0.25">
      <c r="B5537" s="10"/>
    </row>
    <row r="5538" spans="2:2" x14ac:dyDescent="0.25">
      <c r="B5538" s="10"/>
    </row>
    <row r="5539" spans="2:2" x14ac:dyDescent="0.25">
      <c r="B5539" s="10"/>
    </row>
    <row r="5540" spans="2:2" x14ac:dyDescent="0.25">
      <c r="B5540" s="10"/>
    </row>
    <row r="5541" spans="2:2" x14ac:dyDescent="0.25">
      <c r="B5541" s="10"/>
    </row>
    <row r="5542" spans="2:2" x14ac:dyDescent="0.25">
      <c r="B5542" s="10"/>
    </row>
    <row r="5543" spans="2:2" x14ac:dyDescent="0.25">
      <c r="B5543" s="10"/>
    </row>
    <row r="5544" spans="2:2" x14ac:dyDescent="0.25">
      <c r="B5544" s="10"/>
    </row>
    <row r="5545" spans="2:2" x14ac:dyDescent="0.25">
      <c r="B5545" s="10"/>
    </row>
    <row r="5546" spans="2:2" x14ac:dyDescent="0.25">
      <c r="B5546" s="10"/>
    </row>
    <row r="5547" spans="2:2" x14ac:dyDescent="0.25">
      <c r="B5547" s="10"/>
    </row>
    <row r="5548" spans="2:2" x14ac:dyDescent="0.25">
      <c r="B5548" s="10"/>
    </row>
    <row r="5549" spans="2:2" x14ac:dyDescent="0.25">
      <c r="B5549" s="10"/>
    </row>
    <row r="5550" spans="2:2" x14ac:dyDescent="0.25">
      <c r="B5550" s="10"/>
    </row>
    <row r="5551" spans="2:2" x14ac:dyDescent="0.25">
      <c r="B5551" s="10"/>
    </row>
    <row r="5552" spans="2:2" x14ac:dyDescent="0.25">
      <c r="B5552" s="10"/>
    </row>
    <row r="5553" spans="2:2" x14ac:dyDescent="0.25">
      <c r="B5553" s="10"/>
    </row>
    <row r="5554" spans="2:2" x14ac:dyDescent="0.25">
      <c r="B5554" s="10"/>
    </row>
    <row r="5555" spans="2:2" x14ac:dyDescent="0.25">
      <c r="B5555" s="10"/>
    </row>
    <row r="5556" spans="2:2" x14ac:dyDescent="0.25">
      <c r="B5556" s="10"/>
    </row>
    <row r="5557" spans="2:2" x14ac:dyDescent="0.25">
      <c r="B5557" s="10"/>
    </row>
    <row r="5558" spans="2:2" x14ac:dyDescent="0.25">
      <c r="B5558" s="10"/>
    </row>
    <row r="5559" spans="2:2" x14ac:dyDescent="0.25">
      <c r="B5559" s="10"/>
    </row>
    <row r="5560" spans="2:2" x14ac:dyDescent="0.25">
      <c r="B5560" s="10"/>
    </row>
    <row r="5561" spans="2:2" x14ac:dyDescent="0.25">
      <c r="B5561" s="10"/>
    </row>
    <row r="5562" spans="2:2" x14ac:dyDescent="0.25">
      <c r="B5562" s="10"/>
    </row>
    <row r="5563" spans="2:2" x14ac:dyDescent="0.25">
      <c r="B5563" s="10"/>
    </row>
    <row r="5564" spans="2:2" x14ac:dyDescent="0.25">
      <c r="B5564" s="10"/>
    </row>
    <row r="5565" spans="2:2" x14ac:dyDescent="0.25">
      <c r="B5565" s="10"/>
    </row>
    <row r="5566" spans="2:2" x14ac:dyDescent="0.25">
      <c r="B5566" s="10"/>
    </row>
    <row r="5567" spans="2:2" x14ac:dyDescent="0.25">
      <c r="B5567" s="10"/>
    </row>
    <row r="5568" spans="2:2" x14ac:dyDescent="0.25">
      <c r="B5568" s="10"/>
    </row>
    <row r="5569" spans="2:2" x14ac:dyDescent="0.25">
      <c r="B5569" s="10"/>
    </row>
    <row r="5570" spans="2:2" x14ac:dyDescent="0.25">
      <c r="B5570" s="10"/>
    </row>
    <row r="5571" spans="2:2" x14ac:dyDescent="0.25">
      <c r="B5571" s="10"/>
    </row>
    <row r="5572" spans="2:2" x14ac:dyDescent="0.25">
      <c r="B5572" s="10"/>
    </row>
    <row r="5573" spans="2:2" x14ac:dyDescent="0.25">
      <c r="B5573" s="10"/>
    </row>
    <row r="5574" spans="2:2" x14ac:dyDescent="0.25">
      <c r="B5574" s="10"/>
    </row>
    <row r="5575" spans="2:2" x14ac:dyDescent="0.25">
      <c r="B5575" s="10"/>
    </row>
    <row r="5576" spans="2:2" x14ac:dyDescent="0.25">
      <c r="B5576" s="10"/>
    </row>
    <row r="5577" spans="2:2" x14ac:dyDescent="0.25">
      <c r="B5577" s="10"/>
    </row>
    <row r="5578" spans="2:2" x14ac:dyDescent="0.25">
      <c r="B5578" s="10"/>
    </row>
    <row r="5579" spans="2:2" x14ac:dyDescent="0.25">
      <c r="B5579" s="10"/>
    </row>
    <row r="5580" spans="2:2" x14ac:dyDescent="0.25">
      <c r="B5580" s="10"/>
    </row>
    <row r="5581" spans="2:2" x14ac:dyDescent="0.25">
      <c r="B5581" s="10"/>
    </row>
    <row r="5582" spans="2:2" x14ac:dyDescent="0.25">
      <c r="B5582" s="10"/>
    </row>
    <row r="5583" spans="2:2" x14ac:dyDescent="0.25">
      <c r="B5583" s="10"/>
    </row>
    <row r="5584" spans="2:2" x14ac:dyDescent="0.25">
      <c r="B5584" s="10"/>
    </row>
    <row r="5585" spans="2:2" x14ac:dyDescent="0.25">
      <c r="B5585" s="10"/>
    </row>
    <row r="5586" spans="2:2" x14ac:dyDescent="0.25">
      <c r="B5586" s="10"/>
    </row>
    <row r="5587" spans="2:2" x14ac:dyDescent="0.25">
      <c r="B5587" s="10"/>
    </row>
    <row r="5588" spans="2:2" x14ac:dyDescent="0.25">
      <c r="B5588" s="10"/>
    </row>
    <row r="5589" spans="2:2" x14ac:dyDescent="0.25">
      <c r="B5589" s="10"/>
    </row>
    <row r="5590" spans="2:2" x14ac:dyDescent="0.25">
      <c r="B5590" s="10"/>
    </row>
    <row r="5591" spans="2:2" x14ac:dyDescent="0.25">
      <c r="B5591" s="10"/>
    </row>
    <row r="5592" spans="2:2" x14ac:dyDescent="0.25">
      <c r="B5592" s="10"/>
    </row>
    <row r="5593" spans="2:2" x14ac:dyDescent="0.25">
      <c r="B5593" s="10"/>
    </row>
    <row r="5594" spans="2:2" x14ac:dyDescent="0.25">
      <c r="B5594" s="10"/>
    </row>
    <row r="5595" spans="2:2" x14ac:dyDescent="0.25">
      <c r="B5595" s="10"/>
    </row>
    <row r="5596" spans="2:2" x14ac:dyDescent="0.25">
      <c r="B5596" s="10"/>
    </row>
    <row r="5597" spans="2:2" x14ac:dyDescent="0.25">
      <c r="B5597" s="10"/>
    </row>
    <row r="5598" spans="2:2" x14ac:dyDescent="0.25">
      <c r="B5598" s="10"/>
    </row>
    <row r="5599" spans="2:2" x14ac:dyDescent="0.25">
      <c r="B5599" s="10"/>
    </row>
    <row r="5600" spans="2:2" x14ac:dyDescent="0.25">
      <c r="B5600" s="10"/>
    </row>
    <row r="5601" spans="2:2" x14ac:dyDescent="0.25">
      <c r="B5601" s="10"/>
    </row>
    <row r="5602" spans="2:2" x14ac:dyDescent="0.25">
      <c r="B5602" s="10"/>
    </row>
    <row r="5603" spans="2:2" x14ac:dyDescent="0.25">
      <c r="B5603" s="10"/>
    </row>
    <row r="5604" spans="2:2" x14ac:dyDescent="0.25">
      <c r="B5604" s="10"/>
    </row>
    <row r="5605" spans="2:2" x14ac:dyDescent="0.25">
      <c r="B5605" s="10"/>
    </row>
    <row r="5606" spans="2:2" x14ac:dyDescent="0.25">
      <c r="B5606" s="10"/>
    </row>
    <row r="5607" spans="2:2" x14ac:dyDescent="0.25">
      <c r="B5607" s="10"/>
    </row>
    <row r="5608" spans="2:2" x14ac:dyDescent="0.25">
      <c r="B5608" s="10"/>
    </row>
    <row r="5609" spans="2:2" x14ac:dyDescent="0.25">
      <c r="B5609" s="10"/>
    </row>
    <row r="5610" spans="2:2" x14ac:dyDescent="0.25">
      <c r="B5610" s="10"/>
    </row>
    <row r="5611" spans="2:2" x14ac:dyDescent="0.25">
      <c r="B5611" s="10"/>
    </row>
    <row r="5612" spans="2:2" x14ac:dyDescent="0.25">
      <c r="B5612" s="10"/>
    </row>
    <row r="5613" spans="2:2" x14ac:dyDescent="0.25">
      <c r="B5613" s="10"/>
    </row>
    <row r="5614" spans="2:2" x14ac:dyDescent="0.25">
      <c r="B5614" s="10"/>
    </row>
    <row r="5615" spans="2:2" x14ac:dyDescent="0.25">
      <c r="B5615" s="10"/>
    </row>
    <row r="5616" spans="2:2" x14ac:dyDescent="0.25">
      <c r="B5616" s="10"/>
    </row>
    <row r="5617" spans="2:2" x14ac:dyDescent="0.25">
      <c r="B5617" s="10"/>
    </row>
    <row r="5618" spans="2:2" x14ac:dyDescent="0.25">
      <c r="B5618" s="10"/>
    </row>
    <row r="5619" spans="2:2" x14ac:dyDescent="0.25">
      <c r="B5619" s="10"/>
    </row>
    <row r="5620" spans="2:2" x14ac:dyDescent="0.25">
      <c r="B5620" s="10"/>
    </row>
    <row r="5621" spans="2:2" x14ac:dyDescent="0.25">
      <c r="B5621" s="10"/>
    </row>
    <row r="5622" spans="2:2" x14ac:dyDescent="0.25">
      <c r="B5622" s="10"/>
    </row>
    <row r="5623" spans="2:2" x14ac:dyDescent="0.25">
      <c r="B5623" s="10"/>
    </row>
    <row r="5624" spans="2:2" x14ac:dyDescent="0.25">
      <c r="B5624" s="10"/>
    </row>
    <row r="5625" spans="2:2" x14ac:dyDescent="0.25">
      <c r="B5625" s="10"/>
    </row>
    <row r="5626" spans="2:2" x14ac:dyDescent="0.25">
      <c r="B5626" s="10"/>
    </row>
    <row r="5627" spans="2:2" x14ac:dyDescent="0.25">
      <c r="B5627" s="10"/>
    </row>
    <row r="5628" spans="2:2" x14ac:dyDescent="0.25">
      <c r="B5628" s="10"/>
    </row>
    <row r="5629" spans="2:2" x14ac:dyDescent="0.25">
      <c r="B5629" s="10"/>
    </row>
    <row r="5630" spans="2:2" x14ac:dyDescent="0.25">
      <c r="B5630" s="10"/>
    </row>
    <row r="5631" spans="2:2" x14ac:dyDescent="0.25">
      <c r="B5631" s="10"/>
    </row>
    <row r="5632" spans="2:2" x14ac:dyDescent="0.25">
      <c r="B5632" s="10"/>
    </row>
    <row r="5633" spans="2:2" x14ac:dyDescent="0.25">
      <c r="B5633" s="10"/>
    </row>
    <row r="5634" spans="2:2" x14ac:dyDescent="0.25">
      <c r="B5634" s="10"/>
    </row>
    <row r="5635" spans="2:2" x14ac:dyDescent="0.25">
      <c r="B5635" s="10"/>
    </row>
    <row r="5636" spans="2:2" x14ac:dyDescent="0.25">
      <c r="B5636" s="10"/>
    </row>
    <row r="5637" spans="2:2" x14ac:dyDescent="0.25">
      <c r="B5637" s="10"/>
    </row>
    <row r="5638" spans="2:2" x14ac:dyDescent="0.25">
      <c r="B5638" s="10"/>
    </row>
    <row r="5639" spans="2:2" x14ac:dyDescent="0.25">
      <c r="B5639" s="10"/>
    </row>
    <row r="5640" spans="2:2" x14ac:dyDescent="0.25">
      <c r="B5640" s="10"/>
    </row>
    <row r="5641" spans="2:2" x14ac:dyDescent="0.25">
      <c r="B5641" s="10"/>
    </row>
    <row r="5642" spans="2:2" x14ac:dyDescent="0.25">
      <c r="B5642" s="10"/>
    </row>
    <row r="5643" spans="2:2" x14ac:dyDescent="0.25">
      <c r="B5643" s="10"/>
    </row>
    <row r="5644" spans="2:2" x14ac:dyDescent="0.25">
      <c r="B5644" s="10"/>
    </row>
    <row r="5645" spans="2:2" x14ac:dyDescent="0.25">
      <c r="B5645" s="10"/>
    </row>
    <row r="5646" spans="2:2" x14ac:dyDescent="0.25">
      <c r="B5646" s="10"/>
    </row>
    <row r="5647" spans="2:2" x14ac:dyDescent="0.25">
      <c r="B5647" s="10"/>
    </row>
    <row r="5648" spans="2:2" x14ac:dyDescent="0.25">
      <c r="B5648" s="10"/>
    </row>
    <row r="5649" spans="2:2" x14ac:dyDescent="0.25">
      <c r="B5649" s="10"/>
    </row>
    <row r="5650" spans="2:2" x14ac:dyDescent="0.25">
      <c r="B5650" s="10"/>
    </row>
    <row r="5651" spans="2:2" x14ac:dyDescent="0.25">
      <c r="B5651" s="10"/>
    </row>
    <row r="5652" spans="2:2" x14ac:dyDescent="0.25">
      <c r="B5652" s="10"/>
    </row>
    <row r="5653" spans="2:2" x14ac:dyDescent="0.25">
      <c r="B5653" s="10"/>
    </row>
    <row r="5654" spans="2:2" x14ac:dyDescent="0.25">
      <c r="B5654" s="10"/>
    </row>
    <row r="5655" spans="2:2" x14ac:dyDescent="0.25">
      <c r="B5655" s="10"/>
    </row>
    <row r="5656" spans="2:2" x14ac:dyDescent="0.25">
      <c r="B5656" s="10"/>
    </row>
    <row r="5657" spans="2:2" x14ac:dyDescent="0.25">
      <c r="B5657" s="10"/>
    </row>
    <row r="5658" spans="2:2" x14ac:dyDescent="0.25">
      <c r="B5658" s="10"/>
    </row>
    <row r="5659" spans="2:2" x14ac:dyDescent="0.25">
      <c r="B5659" s="10"/>
    </row>
    <row r="5660" spans="2:2" x14ac:dyDescent="0.25">
      <c r="B5660" s="10"/>
    </row>
    <row r="5661" spans="2:2" x14ac:dyDescent="0.25">
      <c r="B5661" s="10"/>
    </row>
    <row r="5662" spans="2:2" x14ac:dyDescent="0.25">
      <c r="B5662" s="10"/>
    </row>
    <row r="5663" spans="2:2" x14ac:dyDescent="0.25">
      <c r="B5663" s="10"/>
    </row>
    <row r="5664" spans="2:2" x14ac:dyDescent="0.25">
      <c r="B5664" s="10"/>
    </row>
    <row r="5665" spans="2:2" x14ac:dyDescent="0.25">
      <c r="B5665" s="10"/>
    </row>
    <row r="5666" spans="2:2" x14ac:dyDescent="0.25">
      <c r="B5666" s="10"/>
    </row>
    <row r="5667" spans="2:2" x14ac:dyDescent="0.25">
      <c r="B5667" s="10"/>
    </row>
    <row r="5668" spans="2:2" x14ac:dyDescent="0.25">
      <c r="B5668" s="10"/>
    </row>
    <row r="5669" spans="2:2" x14ac:dyDescent="0.25">
      <c r="B5669" s="10"/>
    </row>
    <row r="5670" spans="2:2" x14ac:dyDescent="0.25">
      <c r="B5670" s="10"/>
    </row>
    <row r="5671" spans="2:2" x14ac:dyDescent="0.25">
      <c r="B5671" s="10"/>
    </row>
    <row r="5672" spans="2:2" x14ac:dyDescent="0.25">
      <c r="B5672" s="10"/>
    </row>
    <row r="5673" spans="2:2" x14ac:dyDescent="0.25">
      <c r="B5673" s="10"/>
    </row>
    <row r="5674" spans="2:2" x14ac:dyDescent="0.25">
      <c r="B5674" s="10"/>
    </row>
    <row r="5675" spans="2:2" x14ac:dyDescent="0.25">
      <c r="B5675" s="10"/>
    </row>
    <row r="5676" spans="2:2" x14ac:dyDescent="0.25">
      <c r="B5676" s="10"/>
    </row>
    <row r="5677" spans="2:2" x14ac:dyDescent="0.25">
      <c r="B5677" s="10"/>
    </row>
    <row r="5678" spans="2:2" x14ac:dyDescent="0.25">
      <c r="B5678" s="10"/>
    </row>
    <row r="5679" spans="2:2" x14ac:dyDescent="0.25">
      <c r="B5679" s="10"/>
    </row>
    <row r="5680" spans="2:2" x14ac:dyDescent="0.25">
      <c r="B5680" s="10"/>
    </row>
    <row r="5681" spans="2:2" x14ac:dyDescent="0.25">
      <c r="B5681" s="10"/>
    </row>
    <row r="5682" spans="2:2" x14ac:dyDescent="0.25">
      <c r="B5682" s="10"/>
    </row>
    <row r="5683" spans="2:2" x14ac:dyDescent="0.25">
      <c r="B5683" s="10"/>
    </row>
    <row r="5684" spans="2:2" x14ac:dyDescent="0.25">
      <c r="B5684" s="10"/>
    </row>
    <row r="5685" spans="2:2" x14ac:dyDescent="0.25">
      <c r="B5685" s="10"/>
    </row>
    <row r="5686" spans="2:2" x14ac:dyDescent="0.25">
      <c r="B5686" s="10"/>
    </row>
    <row r="5687" spans="2:2" x14ac:dyDescent="0.25">
      <c r="B5687" s="10"/>
    </row>
    <row r="5688" spans="2:2" x14ac:dyDescent="0.25">
      <c r="B5688" s="10"/>
    </row>
    <row r="5689" spans="2:2" x14ac:dyDescent="0.25">
      <c r="B5689" s="10"/>
    </row>
    <row r="5690" spans="2:2" x14ac:dyDescent="0.25">
      <c r="B5690" s="10"/>
    </row>
    <row r="5691" spans="2:2" x14ac:dyDescent="0.25">
      <c r="B5691" s="10"/>
    </row>
    <row r="5692" spans="2:2" x14ac:dyDescent="0.25">
      <c r="B5692" s="10"/>
    </row>
    <row r="5693" spans="2:2" x14ac:dyDescent="0.25">
      <c r="B5693" s="10"/>
    </row>
    <row r="5694" spans="2:2" x14ac:dyDescent="0.25">
      <c r="B5694" s="10"/>
    </row>
    <row r="5695" spans="2:2" x14ac:dyDescent="0.25">
      <c r="B5695" s="10"/>
    </row>
    <row r="5696" spans="2:2" x14ac:dyDescent="0.25">
      <c r="B5696" s="10"/>
    </row>
    <row r="5697" spans="2:2" x14ac:dyDescent="0.25">
      <c r="B5697" s="10"/>
    </row>
    <row r="5698" spans="2:2" x14ac:dyDescent="0.25">
      <c r="B5698" s="10"/>
    </row>
    <row r="5699" spans="2:2" x14ac:dyDescent="0.25">
      <c r="B5699" s="10"/>
    </row>
    <row r="5700" spans="2:2" x14ac:dyDescent="0.25">
      <c r="B5700" s="10"/>
    </row>
    <row r="5701" spans="2:2" x14ac:dyDescent="0.25">
      <c r="B5701" s="10"/>
    </row>
    <row r="5702" spans="2:2" x14ac:dyDescent="0.25">
      <c r="B5702" s="10"/>
    </row>
    <row r="5703" spans="2:2" x14ac:dyDescent="0.25">
      <c r="B5703" s="10"/>
    </row>
    <row r="5704" spans="2:2" x14ac:dyDescent="0.25">
      <c r="B5704" s="10"/>
    </row>
    <row r="5705" spans="2:2" x14ac:dyDescent="0.25">
      <c r="B5705" s="10"/>
    </row>
    <row r="5706" spans="2:2" x14ac:dyDescent="0.25">
      <c r="B5706" s="10"/>
    </row>
    <row r="5707" spans="2:2" x14ac:dyDescent="0.25">
      <c r="B5707" s="10"/>
    </row>
    <row r="5708" spans="2:2" x14ac:dyDescent="0.25">
      <c r="B5708" s="10"/>
    </row>
    <row r="5709" spans="2:2" x14ac:dyDescent="0.25">
      <c r="B5709" s="10"/>
    </row>
    <row r="5710" spans="2:2" x14ac:dyDescent="0.25">
      <c r="B5710" s="10"/>
    </row>
    <row r="5711" spans="2:2" x14ac:dyDescent="0.25">
      <c r="B5711" s="10"/>
    </row>
    <row r="5712" spans="2:2" x14ac:dyDescent="0.25">
      <c r="B5712" s="10"/>
    </row>
    <row r="5713" spans="2:2" x14ac:dyDescent="0.25">
      <c r="B5713" s="10"/>
    </row>
    <row r="5714" spans="2:2" x14ac:dyDescent="0.25">
      <c r="B5714" s="10"/>
    </row>
    <row r="5715" spans="2:2" x14ac:dyDescent="0.25">
      <c r="B5715" s="10"/>
    </row>
    <row r="5716" spans="2:2" x14ac:dyDescent="0.25">
      <c r="B5716" s="10"/>
    </row>
    <row r="5717" spans="2:2" x14ac:dyDescent="0.25">
      <c r="B5717" s="10"/>
    </row>
    <row r="5718" spans="2:2" x14ac:dyDescent="0.25">
      <c r="B5718" s="10"/>
    </row>
    <row r="5719" spans="2:2" x14ac:dyDescent="0.25">
      <c r="B5719" s="10"/>
    </row>
    <row r="5720" spans="2:2" x14ac:dyDescent="0.25">
      <c r="B5720" s="10"/>
    </row>
    <row r="5721" spans="2:2" x14ac:dyDescent="0.25">
      <c r="B5721" s="10"/>
    </row>
    <row r="5722" spans="2:2" x14ac:dyDescent="0.25">
      <c r="B5722" s="10"/>
    </row>
    <row r="5723" spans="2:2" x14ac:dyDescent="0.25">
      <c r="B5723" s="10"/>
    </row>
    <row r="5724" spans="2:2" x14ac:dyDescent="0.25">
      <c r="B5724" s="10"/>
    </row>
    <row r="5725" spans="2:2" x14ac:dyDescent="0.25">
      <c r="B5725" s="10"/>
    </row>
    <row r="5726" spans="2:2" x14ac:dyDescent="0.25">
      <c r="B5726" s="10"/>
    </row>
    <row r="5727" spans="2:2" x14ac:dyDescent="0.25">
      <c r="B5727" s="10"/>
    </row>
    <row r="5728" spans="2:2" x14ac:dyDescent="0.25">
      <c r="B5728" s="10"/>
    </row>
    <row r="5729" spans="2:2" x14ac:dyDescent="0.25">
      <c r="B5729" s="10"/>
    </row>
    <row r="5730" spans="2:2" x14ac:dyDescent="0.25">
      <c r="B5730" s="10"/>
    </row>
    <row r="5731" spans="2:2" x14ac:dyDescent="0.25">
      <c r="B5731" s="10"/>
    </row>
    <row r="5732" spans="2:2" x14ac:dyDescent="0.25">
      <c r="B5732" s="10"/>
    </row>
    <row r="5733" spans="2:2" x14ac:dyDescent="0.25">
      <c r="B5733" s="10"/>
    </row>
    <row r="5734" spans="2:2" x14ac:dyDescent="0.25">
      <c r="B5734" s="10"/>
    </row>
    <row r="5735" spans="2:2" x14ac:dyDescent="0.25">
      <c r="B5735" s="10"/>
    </row>
    <row r="5736" spans="2:2" x14ac:dyDescent="0.25">
      <c r="B5736" s="10"/>
    </row>
    <row r="5737" spans="2:2" x14ac:dyDescent="0.25">
      <c r="B5737" s="10"/>
    </row>
    <row r="5738" spans="2:2" x14ac:dyDescent="0.25">
      <c r="B5738" s="10"/>
    </row>
    <row r="5739" spans="2:2" x14ac:dyDescent="0.25">
      <c r="B5739" s="10"/>
    </row>
    <row r="5740" spans="2:2" x14ac:dyDescent="0.25">
      <c r="B5740" s="10"/>
    </row>
    <row r="5741" spans="2:2" x14ac:dyDescent="0.25">
      <c r="B5741" s="10"/>
    </row>
    <row r="5742" spans="2:2" x14ac:dyDescent="0.25">
      <c r="B5742" s="10"/>
    </row>
    <row r="5743" spans="2:2" x14ac:dyDescent="0.25">
      <c r="B5743" s="10"/>
    </row>
    <row r="5744" spans="2:2" x14ac:dyDescent="0.25">
      <c r="B5744" s="10"/>
    </row>
    <row r="5745" spans="2:2" x14ac:dyDescent="0.25">
      <c r="B5745" s="10"/>
    </row>
    <row r="5746" spans="2:2" x14ac:dyDescent="0.25">
      <c r="B5746" s="10"/>
    </row>
    <row r="5747" spans="2:2" x14ac:dyDescent="0.25">
      <c r="B5747" s="10"/>
    </row>
    <row r="5748" spans="2:2" x14ac:dyDescent="0.25">
      <c r="B5748" s="10"/>
    </row>
    <row r="5749" spans="2:2" x14ac:dyDescent="0.25">
      <c r="B5749" s="10"/>
    </row>
    <row r="5750" spans="2:2" x14ac:dyDescent="0.25">
      <c r="B5750" s="10"/>
    </row>
    <row r="5751" spans="2:2" x14ac:dyDescent="0.25">
      <c r="B5751" s="10"/>
    </row>
    <row r="5752" spans="2:2" x14ac:dyDescent="0.25">
      <c r="B5752" s="10"/>
    </row>
    <row r="5753" spans="2:2" x14ac:dyDescent="0.25">
      <c r="B5753" s="10"/>
    </row>
    <row r="5754" spans="2:2" x14ac:dyDescent="0.25">
      <c r="B5754" s="10"/>
    </row>
    <row r="5755" spans="2:2" x14ac:dyDescent="0.25">
      <c r="B5755" s="10"/>
    </row>
    <row r="5756" spans="2:2" x14ac:dyDescent="0.25">
      <c r="B5756" s="10"/>
    </row>
    <row r="5757" spans="2:2" x14ac:dyDescent="0.25">
      <c r="B5757" s="10"/>
    </row>
    <row r="5758" spans="2:2" x14ac:dyDescent="0.25">
      <c r="B5758" s="10"/>
    </row>
    <row r="5759" spans="2:2" x14ac:dyDescent="0.25">
      <c r="B5759" s="10"/>
    </row>
    <row r="5760" spans="2:2" x14ac:dyDescent="0.25">
      <c r="B5760" s="10"/>
    </row>
    <row r="5761" spans="2:2" x14ac:dyDescent="0.25">
      <c r="B5761" s="10"/>
    </row>
    <row r="5762" spans="2:2" x14ac:dyDescent="0.25">
      <c r="B5762" s="10"/>
    </row>
    <row r="5763" spans="2:2" x14ac:dyDescent="0.25">
      <c r="B5763" s="10"/>
    </row>
    <row r="5764" spans="2:2" x14ac:dyDescent="0.25">
      <c r="B5764" s="10"/>
    </row>
    <row r="5765" spans="2:2" x14ac:dyDescent="0.25">
      <c r="B5765" s="10"/>
    </row>
    <row r="5766" spans="2:2" x14ac:dyDescent="0.25">
      <c r="B5766" s="10"/>
    </row>
    <row r="5767" spans="2:2" x14ac:dyDescent="0.25">
      <c r="B5767" s="10"/>
    </row>
    <row r="5768" spans="2:2" x14ac:dyDescent="0.25">
      <c r="B5768" s="10"/>
    </row>
    <row r="5769" spans="2:2" x14ac:dyDescent="0.25">
      <c r="B5769" s="10"/>
    </row>
    <row r="5770" spans="2:2" x14ac:dyDescent="0.25">
      <c r="B5770" s="10"/>
    </row>
    <row r="5771" spans="2:2" x14ac:dyDescent="0.25">
      <c r="B5771" s="10"/>
    </row>
    <row r="5772" spans="2:2" x14ac:dyDescent="0.25">
      <c r="B5772" s="10"/>
    </row>
    <row r="5773" spans="2:2" x14ac:dyDescent="0.25">
      <c r="B5773" s="10"/>
    </row>
    <row r="5774" spans="2:2" x14ac:dyDescent="0.25">
      <c r="B5774" s="10"/>
    </row>
    <row r="5775" spans="2:2" x14ac:dyDescent="0.25">
      <c r="B5775" s="10"/>
    </row>
    <row r="5776" spans="2:2" x14ac:dyDescent="0.25">
      <c r="B5776" s="10"/>
    </row>
    <row r="5777" spans="2:2" x14ac:dyDescent="0.25">
      <c r="B5777" s="10"/>
    </row>
    <row r="5778" spans="2:2" x14ac:dyDescent="0.25">
      <c r="B5778" s="10"/>
    </row>
    <row r="5779" spans="2:2" x14ac:dyDescent="0.25">
      <c r="B5779" s="10"/>
    </row>
    <row r="5780" spans="2:2" x14ac:dyDescent="0.25">
      <c r="B5780" s="10"/>
    </row>
    <row r="5781" spans="2:2" x14ac:dyDescent="0.25">
      <c r="B5781" s="10"/>
    </row>
    <row r="5782" spans="2:2" x14ac:dyDescent="0.25">
      <c r="B5782" s="10"/>
    </row>
    <row r="5783" spans="2:2" x14ac:dyDescent="0.25">
      <c r="B5783" s="10"/>
    </row>
    <row r="5784" spans="2:2" x14ac:dyDescent="0.25">
      <c r="B5784" s="10"/>
    </row>
    <row r="5785" spans="2:2" x14ac:dyDescent="0.25">
      <c r="B5785" s="10"/>
    </row>
    <row r="5786" spans="2:2" x14ac:dyDescent="0.25">
      <c r="B5786" s="10"/>
    </row>
    <row r="5787" spans="2:2" x14ac:dyDescent="0.25">
      <c r="B5787" s="10"/>
    </row>
    <row r="5788" spans="2:2" x14ac:dyDescent="0.25">
      <c r="B5788" s="10"/>
    </row>
    <row r="5789" spans="2:2" x14ac:dyDescent="0.25">
      <c r="B5789" s="10"/>
    </row>
    <row r="5790" spans="2:2" x14ac:dyDescent="0.25">
      <c r="B5790" s="10"/>
    </row>
    <row r="5791" spans="2:2" x14ac:dyDescent="0.25">
      <c r="B5791" s="10"/>
    </row>
    <row r="5792" spans="2:2" x14ac:dyDescent="0.25">
      <c r="B5792" s="10"/>
    </row>
    <row r="5793" spans="2:2" x14ac:dyDescent="0.25">
      <c r="B5793" s="10"/>
    </row>
    <row r="5794" spans="2:2" x14ac:dyDescent="0.25">
      <c r="B5794" s="10"/>
    </row>
    <row r="5795" spans="2:2" x14ac:dyDescent="0.25">
      <c r="B5795" s="10"/>
    </row>
    <row r="5796" spans="2:2" x14ac:dyDescent="0.25">
      <c r="B5796" s="10"/>
    </row>
    <row r="5797" spans="2:2" x14ac:dyDescent="0.25">
      <c r="B5797" s="10"/>
    </row>
    <row r="5798" spans="2:2" x14ac:dyDescent="0.25">
      <c r="B5798" s="10"/>
    </row>
    <row r="5799" spans="2:2" x14ac:dyDescent="0.25">
      <c r="B5799" s="10"/>
    </row>
    <row r="5800" spans="2:2" x14ac:dyDescent="0.25">
      <c r="B5800" s="10"/>
    </row>
    <row r="5801" spans="2:2" x14ac:dyDescent="0.25">
      <c r="B5801" s="10"/>
    </row>
    <row r="5802" spans="2:2" x14ac:dyDescent="0.25">
      <c r="B5802" s="10"/>
    </row>
    <row r="5803" spans="2:2" x14ac:dyDescent="0.25">
      <c r="B5803" s="10"/>
    </row>
    <row r="5804" spans="2:2" x14ac:dyDescent="0.25">
      <c r="B5804" s="10"/>
    </row>
    <row r="5805" spans="2:2" x14ac:dyDescent="0.25">
      <c r="B5805" s="10"/>
    </row>
    <row r="5806" spans="2:2" x14ac:dyDescent="0.25">
      <c r="B5806" s="10"/>
    </row>
    <row r="5807" spans="2:2" x14ac:dyDescent="0.25">
      <c r="B5807" s="10"/>
    </row>
    <row r="5808" spans="2:2" x14ac:dyDescent="0.25">
      <c r="B5808" s="10"/>
    </row>
    <row r="5809" spans="2:2" x14ac:dyDescent="0.25">
      <c r="B5809" s="10"/>
    </row>
    <row r="5810" spans="2:2" x14ac:dyDescent="0.25">
      <c r="B5810" s="10"/>
    </row>
    <row r="5811" spans="2:2" x14ac:dyDescent="0.25">
      <c r="B5811" s="10"/>
    </row>
    <row r="5812" spans="2:2" x14ac:dyDescent="0.25">
      <c r="B5812" s="10"/>
    </row>
    <row r="5813" spans="2:2" x14ac:dyDescent="0.25">
      <c r="B5813" s="10"/>
    </row>
    <row r="5814" spans="2:2" x14ac:dyDescent="0.25">
      <c r="B5814" s="10"/>
    </row>
    <row r="5815" spans="2:2" x14ac:dyDescent="0.25">
      <c r="B5815" s="10"/>
    </row>
    <row r="5816" spans="2:2" x14ac:dyDescent="0.25">
      <c r="B5816" s="10"/>
    </row>
    <row r="5817" spans="2:2" x14ac:dyDescent="0.25">
      <c r="B5817" s="10"/>
    </row>
    <row r="5818" spans="2:2" x14ac:dyDescent="0.25">
      <c r="B5818" s="10"/>
    </row>
    <row r="5819" spans="2:2" x14ac:dyDescent="0.25">
      <c r="B5819" s="10"/>
    </row>
    <row r="5820" spans="2:2" x14ac:dyDescent="0.25">
      <c r="B5820" s="10"/>
    </row>
    <row r="5821" spans="2:2" x14ac:dyDescent="0.25">
      <c r="B5821" s="10"/>
    </row>
    <row r="5822" spans="2:2" x14ac:dyDescent="0.25">
      <c r="B5822" s="10"/>
    </row>
    <row r="5823" spans="2:2" x14ac:dyDescent="0.25">
      <c r="B5823" s="10"/>
    </row>
    <row r="5824" spans="2:2" x14ac:dyDescent="0.25">
      <c r="B5824" s="10"/>
    </row>
    <row r="5825" spans="2:2" x14ac:dyDescent="0.25">
      <c r="B5825" s="10"/>
    </row>
    <row r="5826" spans="2:2" x14ac:dyDescent="0.25">
      <c r="B5826" s="10"/>
    </row>
    <row r="5827" spans="2:2" x14ac:dyDescent="0.25">
      <c r="B5827" s="10"/>
    </row>
    <row r="5828" spans="2:2" x14ac:dyDescent="0.25">
      <c r="B5828" s="10"/>
    </row>
    <row r="5829" spans="2:2" x14ac:dyDescent="0.25">
      <c r="B5829" s="10"/>
    </row>
    <row r="5830" spans="2:2" x14ac:dyDescent="0.25">
      <c r="B5830" s="10"/>
    </row>
    <row r="5831" spans="2:2" x14ac:dyDescent="0.25">
      <c r="B5831" s="10"/>
    </row>
    <row r="5832" spans="2:2" x14ac:dyDescent="0.25">
      <c r="B5832" s="10"/>
    </row>
    <row r="5833" spans="2:2" x14ac:dyDescent="0.25">
      <c r="B5833" s="10"/>
    </row>
    <row r="5834" spans="2:2" x14ac:dyDescent="0.25">
      <c r="B5834" s="10"/>
    </row>
    <row r="5835" spans="2:2" x14ac:dyDescent="0.25">
      <c r="B5835" s="10"/>
    </row>
    <row r="5836" spans="2:2" x14ac:dyDescent="0.25">
      <c r="B5836" s="10"/>
    </row>
    <row r="5837" spans="2:2" x14ac:dyDescent="0.25">
      <c r="B5837" s="10"/>
    </row>
    <row r="5838" spans="2:2" x14ac:dyDescent="0.25">
      <c r="B5838" s="10"/>
    </row>
    <row r="5839" spans="2:2" x14ac:dyDescent="0.25">
      <c r="B5839" s="10"/>
    </row>
    <row r="5840" spans="2:2" x14ac:dyDescent="0.25">
      <c r="B5840" s="10"/>
    </row>
    <row r="5841" spans="2:2" x14ac:dyDescent="0.25">
      <c r="B5841" s="10"/>
    </row>
    <row r="5842" spans="2:2" x14ac:dyDescent="0.25">
      <c r="B5842" s="10"/>
    </row>
    <row r="5843" spans="2:2" x14ac:dyDescent="0.25">
      <c r="B5843" s="10"/>
    </row>
    <row r="5844" spans="2:2" x14ac:dyDescent="0.25">
      <c r="B5844" s="10"/>
    </row>
    <row r="5845" spans="2:2" x14ac:dyDescent="0.25">
      <c r="B5845" s="10"/>
    </row>
    <row r="5846" spans="2:2" x14ac:dyDescent="0.25">
      <c r="B5846" s="10"/>
    </row>
    <row r="5847" spans="2:2" x14ac:dyDescent="0.25">
      <c r="B5847" s="10"/>
    </row>
    <row r="5848" spans="2:2" x14ac:dyDescent="0.25">
      <c r="B5848" s="10"/>
    </row>
    <row r="5849" spans="2:2" x14ac:dyDescent="0.25">
      <c r="B5849" s="10"/>
    </row>
    <row r="5850" spans="2:2" x14ac:dyDescent="0.25">
      <c r="B5850" s="10"/>
    </row>
    <row r="5851" spans="2:2" x14ac:dyDescent="0.25">
      <c r="B5851" s="10"/>
    </row>
    <row r="5852" spans="2:2" x14ac:dyDescent="0.25">
      <c r="B5852" s="10"/>
    </row>
    <row r="5853" spans="2:2" x14ac:dyDescent="0.25">
      <c r="B5853" s="10"/>
    </row>
    <row r="5854" spans="2:2" x14ac:dyDescent="0.25">
      <c r="B5854" s="10"/>
    </row>
    <row r="5855" spans="2:2" x14ac:dyDescent="0.25">
      <c r="B5855" s="10"/>
    </row>
    <row r="5856" spans="2:2" x14ac:dyDescent="0.25">
      <c r="B5856" s="10"/>
    </row>
    <row r="5857" spans="2:2" x14ac:dyDescent="0.25">
      <c r="B5857" s="10"/>
    </row>
    <row r="5858" spans="2:2" x14ac:dyDescent="0.25">
      <c r="B5858" s="10"/>
    </row>
    <row r="5859" spans="2:2" x14ac:dyDescent="0.25">
      <c r="B5859" s="10"/>
    </row>
    <row r="5860" spans="2:2" x14ac:dyDescent="0.25">
      <c r="B5860" s="10"/>
    </row>
    <row r="5861" spans="2:2" x14ac:dyDescent="0.25">
      <c r="B5861" s="10"/>
    </row>
    <row r="5862" spans="2:2" x14ac:dyDescent="0.25">
      <c r="B5862" s="10"/>
    </row>
    <row r="5863" spans="2:2" x14ac:dyDescent="0.25">
      <c r="B5863" s="10"/>
    </row>
    <row r="5864" spans="2:2" x14ac:dyDescent="0.25">
      <c r="B5864" s="10"/>
    </row>
    <row r="5865" spans="2:2" x14ac:dyDescent="0.25">
      <c r="B5865" s="10"/>
    </row>
    <row r="5866" spans="2:2" x14ac:dyDescent="0.25">
      <c r="B5866" s="10"/>
    </row>
    <row r="5867" spans="2:2" x14ac:dyDescent="0.25">
      <c r="B5867" s="10"/>
    </row>
    <row r="5868" spans="2:2" x14ac:dyDescent="0.25">
      <c r="B5868" s="10"/>
    </row>
    <row r="5869" spans="2:2" x14ac:dyDescent="0.25">
      <c r="B5869" s="10"/>
    </row>
    <row r="5870" spans="2:2" x14ac:dyDescent="0.25">
      <c r="B5870" s="10"/>
    </row>
    <row r="5871" spans="2:2" x14ac:dyDescent="0.25">
      <c r="B5871" s="10"/>
    </row>
    <row r="5872" spans="2:2" x14ac:dyDescent="0.25">
      <c r="B5872" s="10"/>
    </row>
    <row r="5873" spans="2:2" x14ac:dyDescent="0.25">
      <c r="B5873" s="10"/>
    </row>
    <row r="5874" spans="2:2" x14ac:dyDescent="0.25">
      <c r="B5874" s="10"/>
    </row>
    <row r="5875" spans="2:2" x14ac:dyDescent="0.25">
      <c r="B5875" s="10"/>
    </row>
    <row r="5876" spans="2:2" x14ac:dyDescent="0.25">
      <c r="B5876" s="10"/>
    </row>
    <row r="5877" spans="2:2" x14ac:dyDescent="0.25">
      <c r="B5877" s="10"/>
    </row>
    <row r="5878" spans="2:2" x14ac:dyDescent="0.25">
      <c r="B5878" s="10"/>
    </row>
    <row r="5879" spans="2:2" x14ac:dyDescent="0.25">
      <c r="B5879" s="10"/>
    </row>
    <row r="5880" spans="2:2" x14ac:dyDescent="0.25">
      <c r="B5880" s="10"/>
    </row>
    <row r="5881" spans="2:2" x14ac:dyDescent="0.25">
      <c r="B5881" s="10"/>
    </row>
    <row r="5882" spans="2:2" x14ac:dyDescent="0.25">
      <c r="B5882" s="10"/>
    </row>
    <row r="5883" spans="2:2" x14ac:dyDescent="0.25">
      <c r="B5883" s="10"/>
    </row>
    <row r="5884" spans="2:2" x14ac:dyDescent="0.25">
      <c r="B5884" s="10"/>
    </row>
    <row r="5885" spans="2:2" x14ac:dyDescent="0.25">
      <c r="B5885" s="10"/>
    </row>
    <row r="5886" spans="2:2" x14ac:dyDescent="0.25">
      <c r="B5886" s="10"/>
    </row>
    <row r="5887" spans="2:2" x14ac:dyDescent="0.25">
      <c r="B5887" s="10"/>
    </row>
    <row r="5888" spans="2:2" x14ac:dyDescent="0.25">
      <c r="B5888" s="10"/>
    </row>
    <row r="5889" spans="2:2" x14ac:dyDescent="0.25">
      <c r="B5889" s="10"/>
    </row>
    <row r="5890" spans="2:2" x14ac:dyDescent="0.25">
      <c r="B5890" s="10"/>
    </row>
    <row r="5891" spans="2:2" x14ac:dyDescent="0.25">
      <c r="B5891" s="10"/>
    </row>
    <row r="5892" spans="2:2" x14ac:dyDescent="0.25">
      <c r="B5892" s="10"/>
    </row>
    <row r="5893" spans="2:2" x14ac:dyDescent="0.25">
      <c r="B5893" s="10"/>
    </row>
    <row r="5894" spans="2:2" x14ac:dyDescent="0.25">
      <c r="B5894" s="10"/>
    </row>
    <row r="5895" spans="2:2" x14ac:dyDescent="0.25">
      <c r="B5895" s="10"/>
    </row>
    <row r="5896" spans="2:2" x14ac:dyDescent="0.25">
      <c r="B5896" s="10"/>
    </row>
    <row r="5897" spans="2:2" x14ac:dyDescent="0.25">
      <c r="B5897" s="10"/>
    </row>
    <row r="5898" spans="2:2" x14ac:dyDescent="0.25">
      <c r="B5898" s="10"/>
    </row>
    <row r="5899" spans="2:2" x14ac:dyDescent="0.25">
      <c r="B5899" s="10"/>
    </row>
    <row r="5900" spans="2:2" x14ac:dyDescent="0.25">
      <c r="B5900" s="10"/>
    </row>
    <row r="5901" spans="2:2" x14ac:dyDescent="0.25">
      <c r="B5901" s="10"/>
    </row>
    <row r="5902" spans="2:2" x14ac:dyDescent="0.25">
      <c r="B5902" s="10"/>
    </row>
    <row r="5903" spans="2:2" x14ac:dyDescent="0.25">
      <c r="B5903" s="10"/>
    </row>
    <row r="5904" spans="2:2" x14ac:dyDescent="0.25">
      <c r="B5904" s="10"/>
    </row>
    <row r="5905" spans="2:2" x14ac:dyDescent="0.25">
      <c r="B5905" s="10"/>
    </row>
    <row r="5906" spans="2:2" x14ac:dyDescent="0.25">
      <c r="B5906" s="10"/>
    </row>
    <row r="5907" spans="2:2" x14ac:dyDescent="0.25">
      <c r="B5907" s="10"/>
    </row>
    <row r="5908" spans="2:2" x14ac:dyDescent="0.25">
      <c r="B5908" s="10"/>
    </row>
    <row r="5909" spans="2:2" x14ac:dyDescent="0.25">
      <c r="B5909" s="10"/>
    </row>
    <row r="5910" spans="2:2" x14ac:dyDescent="0.25">
      <c r="B5910" s="10"/>
    </row>
    <row r="5911" spans="2:2" x14ac:dyDescent="0.25">
      <c r="B5911" s="10"/>
    </row>
    <row r="5912" spans="2:2" x14ac:dyDescent="0.25">
      <c r="B5912" s="10"/>
    </row>
    <row r="5913" spans="2:2" x14ac:dyDescent="0.25">
      <c r="B5913" s="10"/>
    </row>
    <row r="5914" spans="2:2" x14ac:dyDescent="0.25">
      <c r="B5914" s="10"/>
    </row>
    <row r="5915" spans="2:2" x14ac:dyDescent="0.25">
      <c r="B5915" s="10"/>
    </row>
    <row r="5916" spans="2:2" x14ac:dyDescent="0.25">
      <c r="B5916" s="10"/>
    </row>
    <row r="5917" spans="2:2" x14ac:dyDescent="0.25">
      <c r="B5917" s="10"/>
    </row>
    <row r="5918" spans="2:2" x14ac:dyDescent="0.25">
      <c r="B5918" s="10"/>
    </row>
    <row r="5919" spans="2:2" x14ac:dyDescent="0.25">
      <c r="B5919" s="10"/>
    </row>
    <row r="5920" spans="2:2" x14ac:dyDescent="0.25">
      <c r="B5920" s="10"/>
    </row>
    <row r="5921" spans="2:2" x14ac:dyDescent="0.25">
      <c r="B5921" s="10"/>
    </row>
    <row r="5922" spans="2:2" x14ac:dyDescent="0.25">
      <c r="B5922" s="10"/>
    </row>
    <row r="5923" spans="2:2" x14ac:dyDescent="0.25">
      <c r="B5923" s="10"/>
    </row>
    <row r="5924" spans="2:2" x14ac:dyDescent="0.25">
      <c r="B5924" s="10"/>
    </row>
    <row r="5925" spans="2:2" x14ac:dyDescent="0.25">
      <c r="B5925" s="10"/>
    </row>
    <row r="5926" spans="2:2" x14ac:dyDescent="0.25">
      <c r="B5926" s="10"/>
    </row>
    <row r="5927" spans="2:2" x14ac:dyDescent="0.25">
      <c r="B5927" s="10"/>
    </row>
    <row r="5928" spans="2:2" x14ac:dyDescent="0.25">
      <c r="B5928" s="10"/>
    </row>
    <row r="5929" spans="2:2" x14ac:dyDescent="0.25">
      <c r="B5929" s="10"/>
    </row>
    <row r="5930" spans="2:2" x14ac:dyDescent="0.25">
      <c r="B5930" s="10"/>
    </row>
    <row r="5931" spans="2:2" x14ac:dyDescent="0.25">
      <c r="B5931" s="10"/>
    </row>
    <row r="5932" spans="2:2" x14ac:dyDescent="0.25">
      <c r="B5932" s="10"/>
    </row>
    <row r="5933" spans="2:2" x14ac:dyDescent="0.25">
      <c r="B5933" s="10"/>
    </row>
    <row r="5934" spans="2:2" x14ac:dyDescent="0.25">
      <c r="B5934" s="10"/>
    </row>
    <row r="5935" spans="2:2" x14ac:dyDescent="0.25">
      <c r="B5935" s="10"/>
    </row>
    <row r="5936" spans="2:2" x14ac:dyDescent="0.25">
      <c r="B5936" s="10"/>
    </row>
    <row r="5937" spans="2:2" x14ac:dyDescent="0.25">
      <c r="B5937" s="10"/>
    </row>
    <row r="5938" spans="2:2" x14ac:dyDescent="0.25">
      <c r="B5938" s="10"/>
    </row>
    <row r="5939" spans="2:2" x14ac:dyDescent="0.25">
      <c r="B5939" s="10"/>
    </row>
    <row r="5940" spans="2:2" x14ac:dyDescent="0.25">
      <c r="B5940" s="10"/>
    </row>
    <row r="5941" spans="2:2" x14ac:dyDescent="0.25">
      <c r="B5941" s="10"/>
    </row>
    <row r="5942" spans="2:2" x14ac:dyDescent="0.25">
      <c r="B5942" s="10"/>
    </row>
    <row r="5943" spans="2:2" x14ac:dyDescent="0.25">
      <c r="B5943" s="10"/>
    </row>
    <row r="5944" spans="2:2" x14ac:dyDescent="0.25">
      <c r="B5944" s="10"/>
    </row>
    <row r="5945" spans="2:2" x14ac:dyDescent="0.25">
      <c r="B5945" s="10"/>
    </row>
    <row r="5946" spans="2:2" x14ac:dyDescent="0.25">
      <c r="B5946" s="10"/>
    </row>
    <row r="5947" spans="2:2" x14ac:dyDescent="0.25">
      <c r="B5947" s="10"/>
    </row>
    <row r="5948" spans="2:2" x14ac:dyDescent="0.25">
      <c r="B5948" s="10"/>
    </row>
    <row r="5949" spans="2:2" x14ac:dyDescent="0.25">
      <c r="B5949" s="10"/>
    </row>
    <row r="5950" spans="2:2" x14ac:dyDescent="0.25">
      <c r="B5950" s="10"/>
    </row>
    <row r="5951" spans="2:2" x14ac:dyDescent="0.25">
      <c r="B5951" s="10"/>
    </row>
    <row r="5952" spans="2:2" x14ac:dyDescent="0.25">
      <c r="B5952" s="10"/>
    </row>
    <row r="5953" spans="2:2" x14ac:dyDescent="0.25">
      <c r="B5953" s="10"/>
    </row>
    <row r="5954" spans="2:2" x14ac:dyDescent="0.25">
      <c r="B5954" s="10"/>
    </row>
    <row r="5955" spans="2:2" x14ac:dyDescent="0.25">
      <c r="B5955" s="10"/>
    </row>
    <row r="5956" spans="2:2" x14ac:dyDescent="0.25">
      <c r="B5956" s="10"/>
    </row>
    <row r="5957" spans="2:2" x14ac:dyDescent="0.25">
      <c r="B5957" s="10"/>
    </row>
    <row r="5958" spans="2:2" x14ac:dyDescent="0.25">
      <c r="B5958" s="10"/>
    </row>
    <row r="5959" spans="2:2" x14ac:dyDescent="0.25">
      <c r="B5959" s="10"/>
    </row>
    <row r="5960" spans="2:2" x14ac:dyDescent="0.25">
      <c r="B5960" s="10"/>
    </row>
    <row r="5961" spans="2:2" x14ac:dyDescent="0.25">
      <c r="B5961" s="10"/>
    </row>
    <row r="5962" spans="2:2" x14ac:dyDescent="0.25">
      <c r="B5962" s="10"/>
    </row>
    <row r="5963" spans="2:2" x14ac:dyDescent="0.25">
      <c r="B5963" s="10"/>
    </row>
    <row r="5964" spans="2:2" x14ac:dyDescent="0.25">
      <c r="B5964" s="10"/>
    </row>
    <row r="5965" spans="2:2" x14ac:dyDescent="0.25">
      <c r="B5965" s="10"/>
    </row>
    <row r="5966" spans="2:2" x14ac:dyDescent="0.25">
      <c r="B5966" s="10"/>
    </row>
    <row r="5967" spans="2:2" x14ac:dyDescent="0.25">
      <c r="B5967" s="10"/>
    </row>
    <row r="5968" spans="2:2" x14ac:dyDescent="0.25">
      <c r="B5968" s="10"/>
    </row>
    <row r="5969" spans="2:2" x14ac:dyDescent="0.25">
      <c r="B5969" s="10"/>
    </row>
    <row r="5970" spans="2:2" x14ac:dyDescent="0.25">
      <c r="B5970" s="10"/>
    </row>
    <row r="5971" spans="2:2" x14ac:dyDescent="0.25">
      <c r="B5971" s="10"/>
    </row>
    <row r="5972" spans="2:2" x14ac:dyDescent="0.25">
      <c r="B5972" s="10"/>
    </row>
    <row r="5973" spans="2:2" x14ac:dyDescent="0.25">
      <c r="B5973" s="10"/>
    </row>
    <row r="5974" spans="2:2" x14ac:dyDescent="0.25">
      <c r="B5974" s="10"/>
    </row>
    <row r="5975" spans="2:2" x14ac:dyDescent="0.25">
      <c r="B5975" s="10"/>
    </row>
    <row r="5976" spans="2:2" x14ac:dyDescent="0.25">
      <c r="B5976" s="10"/>
    </row>
    <row r="5977" spans="2:2" x14ac:dyDescent="0.25">
      <c r="B5977" s="10"/>
    </row>
    <row r="5978" spans="2:2" x14ac:dyDescent="0.25">
      <c r="B5978" s="10"/>
    </row>
    <row r="5979" spans="2:2" x14ac:dyDescent="0.25">
      <c r="B5979" s="10"/>
    </row>
    <row r="5980" spans="2:2" x14ac:dyDescent="0.25">
      <c r="B5980" s="10"/>
    </row>
    <row r="5981" spans="2:2" x14ac:dyDescent="0.25">
      <c r="B5981" s="10"/>
    </row>
    <row r="5982" spans="2:2" x14ac:dyDescent="0.25">
      <c r="B5982" s="10"/>
    </row>
    <row r="5983" spans="2:2" x14ac:dyDescent="0.25">
      <c r="B5983" s="10"/>
    </row>
    <row r="5984" spans="2:2" x14ac:dyDescent="0.25">
      <c r="B5984" s="10"/>
    </row>
    <row r="5985" spans="2:2" x14ac:dyDescent="0.25">
      <c r="B5985" s="10"/>
    </row>
    <row r="5986" spans="2:2" x14ac:dyDescent="0.25">
      <c r="B5986" s="10"/>
    </row>
    <row r="5987" spans="2:2" x14ac:dyDescent="0.25">
      <c r="B5987" s="10"/>
    </row>
    <row r="5988" spans="2:2" x14ac:dyDescent="0.25">
      <c r="B5988" s="10"/>
    </row>
    <row r="5989" spans="2:2" x14ac:dyDescent="0.25">
      <c r="B5989" s="10"/>
    </row>
    <row r="5990" spans="2:2" x14ac:dyDescent="0.25">
      <c r="B5990" s="10"/>
    </row>
    <row r="5991" spans="2:2" x14ac:dyDescent="0.25">
      <c r="B5991" s="10"/>
    </row>
    <row r="5992" spans="2:2" x14ac:dyDescent="0.25">
      <c r="B5992" s="10"/>
    </row>
    <row r="5993" spans="2:2" x14ac:dyDescent="0.25">
      <c r="B5993" s="10"/>
    </row>
    <row r="5994" spans="2:2" x14ac:dyDescent="0.25">
      <c r="B5994" s="10"/>
    </row>
    <row r="5995" spans="2:2" x14ac:dyDescent="0.25">
      <c r="B5995" s="10"/>
    </row>
    <row r="5996" spans="2:2" x14ac:dyDescent="0.25">
      <c r="B5996" s="10"/>
    </row>
    <row r="5997" spans="2:2" x14ac:dyDescent="0.25">
      <c r="B5997" s="10"/>
    </row>
    <row r="5998" spans="2:2" x14ac:dyDescent="0.25">
      <c r="B5998" s="10"/>
    </row>
    <row r="5999" spans="2:2" x14ac:dyDescent="0.25">
      <c r="B5999" s="10"/>
    </row>
    <row r="6000" spans="2:2" x14ac:dyDescent="0.25">
      <c r="B6000" s="10"/>
    </row>
    <row r="6001" spans="2:2" x14ac:dyDescent="0.25">
      <c r="B6001" s="10"/>
    </row>
    <row r="6002" spans="2:2" x14ac:dyDescent="0.25">
      <c r="B6002" s="10"/>
    </row>
    <row r="6003" spans="2:2" x14ac:dyDescent="0.25">
      <c r="B6003" s="10"/>
    </row>
    <row r="6004" spans="2:2" x14ac:dyDescent="0.25">
      <c r="B6004" s="10"/>
    </row>
    <row r="6005" spans="2:2" x14ac:dyDescent="0.25">
      <c r="B6005" s="10"/>
    </row>
    <row r="6006" spans="2:2" x14ac:dyDescent="0.25">
      <c r="B6006" s="10"/>
    </row>
    <row r="6007" spans="2:2" x14ac:dyDescent="0.25">
      <c r="B6007" s="10"/>
    </row>
    <row r="6008" spans="2:2" x14ac:dyDescent="0.25">
      <c r="B6008" s="10"/>
    </row>
    <row r="6009" spans="2:2" x14ac:dyDescent="0.25">
      <c r="B6009" s="10"/>
    </row>
    <row r="6010" spans="2:2" x14ac:dyDescent="0.25">
      <c r="B6010" s="10"/>
    </row>
    <row r="6011" spans="2:2" x14ac:dyDescent="0.25">
      <c r="B6011" s="10"/>
    </row>
    <row r="6012" spans="2:2" x14ac:dyDescent="0.25">
      <c r="B6012" s="10"/>
    </row>
    <row r="6013" spans="2:2" x14ac:dyDescent="0.25">
      <c r="B6013" s="10"/>
    </row>
    <row r="6014" spans="2:2" x14ac:dyDescent="0.25">
      <c r="B6014" s="10"/>
    </row>
    <row r="6015" spans="2:2" x14ac:dyDescent="0.25">
      <c r="B6015" s="10"/>
    </row>
    <row r="6016" spans="2:2" x14ac:dyDescent="0.25">
      <c r="B6016" s="10"/>
    </row>
    <row r="6017" spans="2:2" x14ac:dyDescent="0.25">
      <c r="B6017" s="10"/>
    </row>
    <row r="6018" spans="2:2" x14ac:dyDescent="0.25">
      <c r="B6018" s="10"/>
    </row>
    <row r="6019" spans="2:2" x14ac:dyDescent="0.25">
      <c r="B6019" s="10"/>
    </row>
    <row r="6020" spans="2:2" x14ac:dyDescent="0.25">
      <c r="B6020" s="10"/>
    </row>
    <row r="6021" spans="2:2" x14ac:dyDescent="0.25">
      <c r="B6021" s="10"/>
    </row>
    <row r="6022" spans="2:2" x14ac:dyDescent="0.25">
      <c r="B6022" s="10"/>
    </row>
    <row r="6023" spans="2:2" x14ac:dyDescent="0.25">
      <c r="B6023" s="10"/>
    </row>
    <row r="6024" spans="2:2" x14ac:dyDescent="0.25">
      <c r="B6024" s="10"/>
    </row>
    <row r="6025" spans="2:2" x14ac:dyDescent="0.25">
      <c r="B6025" s="10"/>
    </row>
    <row r="6026" spans="2:2" x14ac:dyDescent="0.25">
      <c r="B6026" s="10"/>
    </row>
    <row r="6027" spans="2:2" x14ac:dyDescent="0.25">
      <c r="B6027" s="10"/>
    </row>
    <row r="6028" spans="2:2" x14ac:dyDescent="0.25">
      <c r="B6028" s="10"/>
    </row>
    <row r="6029" spans="2:2" x14ac:dyDescent="0.25">
      <c r="B6029" s="10"/>
    </row>
    <row r="6030" spans="2:2" x14ac:dyDescent="0.25">
      <c r="B6030" s="10"/>
    </row>
    <row r="6031" spans="2:2" x14ac:dyDescent="0.25">
      <c r="B6031" s="10"/>
    </row>
    <row r="6032" spans="2:2" x14ac:dyDescent="0.25">
      <c r="B6032" s="10"/>
    </row>
    <row r="6033" spans="2:2" x14ac:dyDescent="0.25">
      <c r="B6033" s="10"/>
    </row>
    <row r="6034" spans="2:2" x14ac:dyDescent="0.25">
      <c r="B6034" s="10"/>
    </row>
    <row r="6035" spans="2:2" x14ac:dyDescent="0.25">
      <c r="B6035" s="10"/>
    </row>
    <row r="6036" spans="2:2" x14ac:dyDescent="0.25">
      <c r="B6036" s="10"/>
    </row>
    <row r="6037" spans="2:2" x14ac:dyDescent="0.25">
      <c r="B6037" s="10"/>
    </row>
    <row r="6038" spans="2:2" x14ac:dyDescent="0.25">
      <c r="B6038" s="10"/>
    </row>
    <row r="6039" spans="2:2" x14ac:dyDescent="0.25">
      <c r="B6039" s="10"/>
    </row>
    <row r="6040" spans="2:2" x14ac:dyDescent="0.25">
      <c r="B6040" s="10"/>
    </row>
    <row r="6041" spans="2:2" x14ac:dyDescent="0.25">
      <c r="B6041" s="10"/>
    </row>
    <row r="6042" spans="2:2" x14ac:dyDescent="0.25">
      <c r="B6042" s="10"/>
    </row>
    <row r="6043" spans="2:2" x14ac:dyDescent="0.25">
      <c r="B6043" s="10"/>
    </row>
    <row r="6044" spans="2:2" x14ac:dyDescent="0.25">
      <c r="B6044" s="10"/>
    </row>
    <row r="6045" spans="2:2" x14ac:dyDescent="0.25">
      <c r="B6045" s="10"/>
    </row>
    <row r="6046" spans="2:2" x14ac:dyDescent="0.25">
      <c r="B6046" s="10"/>
    </row>
    <row r="6047" spans="2:2" x14ac:dyDescent="0.25">
      <c r="B6047" s="10"/>
    </row>
    <row r="6048" spans="2:2" x14ac:dyDescent="0.25">
      <c r="B6048" s="10"/>
    </row>
    <row r="6049" spans="2:2" x14ac:dyDescent="0.25">
      <c r="B6049" s="10"/>
    </row>
    <row r="6050" spans="2:2" x14ac:dyDescent="0.25">
      <c r="B6050" s="10"/>
    </row>
    <row r="6051" spans="2:2" x14ac:dyDescent="0.25">
      <c r="B6051" s="10"/>
    </row>
    <row r="6052" spans="2:2" x14ac:dyDescent="0.25">
      <c r="B6052" s="10"/>
    </row>
    <row r="6053" spans="2:2" x14ac:dyDescent="0.25">
      <c r="B6053" s="10"/>
    </row>
    <row r="6054" spans="2:2" x14ac:dyDescent="0.25">
      <c r="B6054" s="10"/>
    </row>
    <row r="6055" spans="2:2" x14ac:dyDescent="0.25">
      <c r="B6055" s="10"/>
    </row>
    <row r="6056" spans="2:2" x14ac:dyDescent="0.25">
      <c r="B6056" s="10"/>
    </row>
    <row r="6057" spans="2:2" x14ac:dyDescent="0.25">
      <c r="B6057" s="10"/>
    </row>
    <row r="6058" spans="2:2" x14ac:dyDescent="0.25">
      <c r="B6058" s="10"/>
    </row>
    <row r="6059" spans="2:2" x14ac:dyDescent="0.25">
      <c r="B6059" s="10"/>
    </row>
    <row r="6060" spans="2:2" x14ac:dyDescent="0.25">
      <c r="B6060" s="10"/>
    </row>
    <row r="6061" spans="2:2" x14ac:dyDescent="0.25">
      <c r="B6061" s="10"/>
    </row>
    <row r="6062" spans="2:2" x14ac:dyDescent="0.25">
      <c r="B6062" s="10"/>
    </row>
    <row r="6063" spans="2:2" x14ac:dyDescent="0.25">
      <c r="B6063" s="10"/>
    </row>
    <row r="6064" spans="2:2" x14ac:dyDescent="0.25">
      <c r="B6064" s="10"/>
    </row>
    <row r="6065" spans="2:2" x14ac:dyDescent="0.25">
      <c r="B6065" s="10"/>
    </row>
    <row r="6066" spans="2:2" x14ac:dyDescent="0.25">
      <c r="B6066" s="10"/>
    </row>
    <row r="6067" spans="2:2" x14ac:dyDescent="0.25">
      <c r="B6067" s="10"/>
    </row>
    <row r="6068" spans="2:2" x14ac:dyDescent="0.25">
      <c r="B6068" s="10"/>
    </row>
    <row r="6069" spans="2:2" x14ac:dyDescent="0.25">
      <c r="B6069" s="10"/>
    </row>
    <row r="6070" spans="2:2" x14ac:dyDescent="0.25">
      <c r="B6070" s="10"/>
    </row>
    <row r="6071" spans="2:2" x14ac:dyDescent="0.25">
      <c r="B6071" s="10"/>
    </row>
    <row r="6072" spans="2:2" x14ac:dyDescent="0.25">
      <c r="B6072" s="10"/>
    </row>
    <row r="6073" spans="2:2" x14ac:dyDescent="0.25">
      <c r="B6073" s="10"/>
    </row>
    <row r="6074" spans="2:2" x14ac:dyDescent="0.25">
      <c r="B6074" s="10"/>
    </row>
    <row r="6075" spans="2:2" x14ac:dyDescent="0.25">
      <c r="B6075" s="10"/>
    </row>
    <row r="6076" spans="2:2" x14ac:dyDescent="0.25">
      <c r="B6076" s="10"/>
    </row>
    <row r="6077" spans="2:2" x14ac:dyDescent="0.25">
      <c r="B6077" s="10"/>
    </row>
    <row r="6078" spans="2:2" x14ac:dyDescent="0.25">
      <c r="B6078" s="10"/>
    </row>
    <row r="6079" spans="2:2" x14ac:dyDescent="0.25">
      <c r="B6079" s="10"/>
    </row>
    <row r="6080" spans="2:2" x14ac:dyDescent="0.25">
      <c r="B6080" s="10"/>
    </row>
    <row r="6081" spans="2:2" x14ac:dyDescent="0.25">
      <c r="B6081" s="10"/>
    </row>
    <row r="6082" spans="2:2" x14ac:dyDescent="0.25">
      <c r="B6082" s="10"/>
    </row>
    <row r="6083" spans="2:2" x14ac:dyDescent="0.25">
      <c r="B6083" s="10"/>
    </row>
    <row r="6084" spans="2:2" x14ac:dyDescent="0.25">
      <c r="B6084" s="10"/>
    </row>
    <row r="6085" spans="2:2" x14ac:dyDescent="0.25">
      <c r="B6085" s="10"/>
    </row>
    <row r="6086" spans="2:2" x14ac:dyDescent="0.25">
      <c r="B6086" s="10"/>
    </row>
    <row r="6087" spans="2:2" x14ac:dyDescent="0.25">
      <c r="B6087" s="10"/>
    </row>
    <row r="6088" spans="2:2" x14ac:dyDescent="0.25">
      <c r="B6088" s="10"/>
    </row>
    <row r="6089" spans="2:2" x14ac:dyDescent="0.25">
      <c r="B6089" s="10"/>
    </row>
    <row r="6090" spans="2:2" x14ac:dyDescent="0.25">
      <c r="B6090" s="10"/>
    </row>
    <row r="6091" spans="2:2" x14ac:dyDescent="0.25">
      <c r="B6091" s="10"/>
    </row>
    <row r="6092" spans="2:2" x14ac:dyDescent="0.25">
      <c r="B6092" s="10"/>
    </row>
    <row r="6093" spans="2:2" x14ac:dyDescent="0.25">
      <c r="B6093" s="10"/>
    </row>
    <row r="6094" spans="2:2" x14ac:dyDescent="0.25">
      <c r="B6094" s="10"/>
    </row>
    <row r="6095" spans="2:2" x14ac:dyDescent="0.25">
      <c r="B6095" s="10"/>
    </row>
    <row r="6096" spans="2:2" x14ac:dyDescent="0.25">
      <c r="B6096" s="10"/>
    </row>
    <row r="6097" spans="2:2" x14ac:dyDescent="0.25">
      <c r="B6097" s="10"/>
    </row>
    <row r="6098" spans="2:2" x14ac:dyDescent="0.25">
      <c r="B6098" s="10"/>
    </row>
    <row r="6099" spans="2:2" x14ac:dyDescent="0.25">
      <c r="B6099" s="10"/>
    </row>
    <row r="6100" spans="2:2" x14ac:dyDescent="0.25">
      <c r="B6100" s="10"/>
    </row>
    <row r="6101" spans="2:2" x14ac:dyDescent="0.25">
      <c r="B6101" s="10"/>
    </row>
    <row r="6102" spans="2:2" x14ac:dyDescent="0.25">
      <c r="B6102" s="10"/>
    </row>
    <row r="6103" spans="2:2" x14ac:dyDescent="0.25">
      <c r="B6103" s="10"/>
    </row>
    <row r="6104" spans="2:2" x14ac:dyDescent="0.25">
      <c r="B6104" s="10"/>
    </row>
    <row r="6105" spans="2:2" x14ac:dyDescent="0.25">
      <c r="B6105" s="10"/>
    </row>
    <row r="6106" spans="2:2" x14ac:dyDescent="0.25">
      <c r="B6106" s="10"/>
    </row>
    <row r="6107" spans="2:2" x14ac:dyDescent="0.25">
      <c r="B6107" s="10"/>
    </row>
    <row r="6108" spans="2:2" x14ac:dyDescent="0.25">
      <c r="B6108" s="10"/>
    </row>
    <row r="6109" spans="2:2" x14ac:dyDescent="0.25">
      <c r="B6109" s="10"/>
    </row>
    <row r="6110" spans="2:2" x14ac:dyDescent="0.25">
      <c r="B6110" s="10"/>
    </row>
    <row r="6111" spans="2:2" x14ac:dyDescent="0.25">
      <c r="B6111" s="10"/>
    </row>
    <row r="6112" spans="2:2" x14ac:dyDescent="0.25">
      <c r="B6112" s="10"/>
    </row>
    <row r="6113" spans="2:2" x14ac:dyDescent="0.25">
      <c r="B6113" s="10"/>
    </row>
    <row r="6114" spans="2:2" x14ac:dyDescent="0.25">
      <c r="B6114" s="10"/>
    </row>
    <row r="6115" spans="2:2" x14ac:dyDescent="0.25">
      <c r="B6115" s="10"/>
    </row>
    <row r="6116" spans="2:2" x14ac:dyDescent="0.25">
      <c r="B6116" s="10"/>
    </row>
    <row r="6117" spans="2:2" x14ac:dyDescent="0.25">
      <c r="B6117" s="10"/>
    </row>
    <row r="6118" spans="2:2" x14ac:dyDescent="0.25">
      <c r="B6118" s="10"/>
    </row>
    <row r="6119" spans="2:2" x14ac:dyDescent="0.25">
      <c r="B6119" s="10"/>
    </row>
    <row r="6120" spans="2:2" x14ac:dyDescent="0.25">
      <c r="B6120" s="10"/>
    </row>
    <row r="6121" spans="2:2" x14ac:dyDescent="0.25">
      <c r="B6121" s="10"/>
    </row>
    <row r="6122" spans="2:2" x14ac:dyDescent="0.25">
      <c r="B6122" s="10"/>
    </row>
    <row r="6123" spans="2:2" x14ac:dyDescent="0.25">
      <c r="B6123" s="10"/>
    </row>
    <row r="6124" spans="2:2" x14ac:dyDescent="0.25">
      <c r="B6124" s="10"/>
    </row>
    <row r="6125" spans="2:2" x14ac:dyDescent="0.25">
      <c r="B6125" s="10"/>
    </row>
    <row r="6126" spans="2:2" x14ac:dyDescent="0.25">
      <c r="B6126" s="10"/>
    </row>
    <row r="6127" spans="2:2" x14ac:dyDescent="0.25">
      <c r="B6127" s="10"/>
    </row>
    <row r="6128" spans="2:2" x14ac:dyDescent="0.25">
      <c r="B6128" s="10"/>
    </row>
    <row r="6129" spans="2:2" x14ac:dyDescent="0.25">
      <c r="B6129" s="10"/>
    </row>
    <row r="6130" spans="2:2" x14ac:dyDescent="0.25">
      <c r="B6130" s="10"/>
    </row>
    <row r="6131" spans="2:2" x14ac:dyDescent="0.25">
      <c r="B6131" s="10"/>
    </row>
    <row r="6132" spans="2:2" x14ac:dyDescent="0.25">
      <c r="B6132" s="10"/>
    </row>
    <row r="6133" spans="2:2" x14ac:dyDescent="0.25">
      <c r="B6133" s="10"/>
    </row>
    <row r="6134" spans="2:2" x14ac:dyDescent="0.25">
      <c r="B6134" s="10"/>
    </row>
    <row r="6135" spans="2:2" x14ac:dyDescent="0.25">
      <c r="B6135" s="10"/>
    </row>
    <row r="6136" spans="2:2" x14ac:dyDescent="0.25">
      <c r="B6136" s="10"/>
    </row>
    <row r="6137" spans="2:2" x14ac:dyDescent="0.25">
      <c r="B6137" s="10"/>
    </row>
    <row r="6138" spans="2:2" x14ac:dyDescent="0.25">
      <c r="B6138" s="10"/>
    </row>
    <row r="6139" spans="2:2" x14ac:dyDescent="0.25">
      <c r="B6139" s="10"/>
    </row>
    <row r="6140" spans="2:2" x14ac:dyDescent="0.25">
      <c r="B6140" s="10"/>
    </row>
    <row r="6141" spans="2:2" x14ac:dyDescent="0.25">
      <c r="B6141" s="10"/>
    </row>
    <row r="6142" spans="2:2" x14ac:dyDescent="0.25">
      <c r="B6142" s="10"/>
    </row>
    <row r="6143" spans="2:2" x14ac:dyDescent="0.25">
      <c r="B6143" s="10"/>
    </row>
    <row r="6144" spans="2:2" x14ac:dyDescent="0.25">
      <c r="B6144" s="10"/>
    </row>
    <row r="6145" spans="2:2" x14ac:dyDescent="0.25">
      <c r="B6145" s="10"/>
    </row>
    <row r="6146" spans="2:2" x14ac:dyDescent="0.25">
      <c r="B6146" s="10"/>
    </row>
    <row r="6147" spans="2:2" x14ac:dyDescent="0.25">
      <c r="B6147" s="10"/>
    </row>
    <row r="6148" spans="2:2" x14ac:dyDescent="0.25">
      <c r="B6148" s="10"/>
    </row>
    <row r="6149" spans="2:2" x14ac:dyDescent="0.25">
      <c r="B6149" s="10"/>
    </row>
    <row r="6150" spans="2:2" x14ac:dyDescent="0.25">
      <c r="B6150" s="10"/>
    </row>
    <row r="6151" spans="2:2" x14ac:dyDescent="0.25">
      <c r="B6151" s="10"/>
    </row>
    <row r="6152" spans="2:2" x14ac:dyDescent="0.25">
      <c r="B6152" s="10"/>
    </row>
    <row r="6153" spans="2:2" x14ac:dyDescent="0.25">
      <c r="B6153" s="10"/>
    </row>
    <row r="6154" spans="2:2" x14ac:dyDescent="0.25">
      <c r="B6154" s="10"/>
    </row>
    <row r="6155" spans="2:2" x14ac:dyDescent="0.25">
      <c r="B6155" s="10"/>
    </row>
    <row r="6156" spans="2:2" x14ac:dyDescent="0.25">
      <c r="B6156" s="10"/>
    </row>
    <row r="6157" spans="2:2" x14ac:dyDescent="0.25">
      <c r="B6157" s="10"/>
    </row>
    <row r="6158" spans="2:2" x14ac:dyDescent="0.25">
      <c r="B6158" s="10"/>
    </row>
    <row r="6159" spans="2:2" x14ac:dyDescent="0.25">
      <c r="B6159" s="10"/>
    </row>
    <row r="6160" spans="2:2" x14ac:dyDescent="0.25">
      <c r="B6160" s="10"/>
    </row>
    <row r="6161" spans="2:2" x14ac:dyDescent="0.25">
      <c r="B6161" s="10"/>
    </row>
    <row r="6162" spans="2:2" x14ac:dyDescent="0.25">
      <c r="B6162" s="10"/>
    </row>
    <row r="6163" spans="2:2" x14ac:dyDescent="0.25">
      <c r="B6163" s="10"/>
    </row>
    <row r="6164" spans="2:2" x14ac:dyDescent="0.25">
      <c r="B6164" s="10"/>
    </row>
    <row r="6165" spans="2:2" x14ac:dyDescent="0.25">
      <c r="B6165" s="10"/>
    </row>
    <row r="6166" spans="2:2" x14ac:dyDescent="0.25">
      <c r="B6166" s="10"/>
    </row>
    <row r="6167" spans="2:2" x14ac:dyDescent="0.25">
      <c r="B6167" s="10"/>
    </row>
    <row r="6168" spans="2:2" x14ac:dyDescent="0.25">
      <c r="B6168" s="10"/>
    </row>
    <row r="6169" spans="2:2" x14ac:dyDescent="0.25">
      <c r="B6169" s="10"/>
    </row>
    <row r="6170" spans="2:2" x14ac:dyDescent="0.25">
      <c r="B6170" s="10"/>
    </row>
    <row r="6171" spans="2:2" x14ac:dyDescent="0.25">
      <c r="B6171" s="10"/>
    </row>
    <row r="6172" spans="2:2" x14ac:dyDescent="0.25">
      <c r="B6172" s="10"/>
    </row>
    <row r="6173" spans="2:2" x14ac:dyDescent="0.25">
      <c r="B6173" s="10"/>
    </row>
    <row r="6174" spans="2:2" x14ac:dyDescent="0.25">
      <c r="B6174" s="10"/>
    </row>
    <row r="6175" spans="2:2" x14ac:dyDescent="0.25">
      <c r="B6175" s="10"/>
    </row>
    <row r="6176" spans="2:2" x14ac:dyDescent="0.25">
      <c r="B6176" s="10"/>
    </row>
    <row r="6177" spans="2:2" x14ac:dyDescent="0.25">
      <c r="B6177" s="10"/>
    </row>
    <row r="6178" spans="2:2" x14ac:dyDescent="0.25">
      <c r="B6178" s="10"/>
    </row>
    <row r="6179" spans="2:2" x14ac:dyDescent="0.25">
      <c r="B6179" s="10"/>
    </row>
    <row r="6180" spans="2:2" x14ac:dyDescent="0.25">
      <c r="B6180" s="10"/>
    </row>
    <row r="6181" spans="2:2" x14ac:dyDescent="0.25">
      <c r="B6181" s="10"/>
    </row>
    <row r="6182" spans="2:2" x14ac:dyDescent="0.25">
      <c r="B6182" s="10"/>
    </row>
    <row r="6183" spans="2:2" x14ac:dyDescent="0.25">
      <c r="B6183" s="10"/>
    </row>
    <row r="6184" spans="2:2" x14ac:dyDescent="0.25">
      <c r="B6184" s="10"/>
    </row>
    <row r="6185" spans="2:2" x14ac:dyDescent="0.25">
      <c r="B6185" s="10"/>
    </row>
    <row r="6186" spans="2:2" x14ac:dyDescent="0.25">
      <c r="B6186" s="10"/>
    </row>
    <row r="6187" spans="2:2" x14ac:dyDescent="0.25">
      <c r="B6187" s="10"/>
    </row>
    <row r="6188" spans="2:2" x14ac:dyDescent="0.25">
      <c r="B6188" s="10"/>
    </row>
    <row r="6189" spans="2:2" x14ac:dyDescent="0.25">
      <c r="B6189" s="10"/>
    </row>
    <row r="6190" spans="2:2" x14ac:dyDescent="0.25">
      <c r="B6190" s="10"/>
    </row>
    <row r="6191" spans="2:2" x14ac:dyDescent="0.25">
      <c r="B6191" s="10"/>
    </row>
    <row r="6192" spans="2:2" x14ac:dyDescent="0.25">
      <c r="B6192" s="10"/>
    </row>
    <row r="6193" spans="2:2" x14ac:dyDescent="0.25">
      <c r="B6193" s="10"/>
    </row>
    <row r="6194" spans="2:2" x14ac:dyDescent="0.25">
      <c r="B6194" s="10"/>
    </row>
    <row r="6195" spans="2:2" x14ac:dyDescent="0.25">
      <c r="B6195" s="10"/>
    </row>
    <row r="6196" spans="2:2" x14ac:dyDescent="0.25">
      <c r="B6196" s="10"/>
    </row>
    <row r="6197" spans="2:2" x14ac:dyDescent="0.25">
      <c r="B6197" s="10"/>
    </row>
    <row r="6198" spans="2:2" x14ac:dyDescent="0.25">
      <c r="B6198" s="10"/>
    </row>
    <row r="6199" spans="2:2" x14ac:dyDescent="0.25">
      <c r="B6199" s="10"/>
    </row>
    <row r="6200" spans="2:2" x14ac:dyDescent="0.25">
      <c r="B6200" s="10"/>
    </row>
    <row r="6201" spans="2:2" x14ac:dyDescent="0.25">
      <c r="B6201" s="10"/>
    </row>
    <row r="6202" spans="2:2" x14ac:dyDescent="0.25">
      <c r="B6202" s="10"/>
    </row>
    <row r="6203" spans="2:2" x14ac:dyDescent="0.25">
      <c r="B6203" s="10"/>
    </row>
    <row r="6204" spans="2:2" x14ac:dyDescent="0.25">
      <c r="B6204" s="10"/>
    </row>
    <row r="6205" spans="2:2" x14ac:dyDescent="0.25">
      <c r="B6205" s="10"/>
    </row>
    <row r="6206" spans="2:2" x14ac:dyDescent="0.25">
      <c r="B6206" s="10"/>
    </row>
    <row r="6207" spans="2:2" x14ac:dyDescent="0.25">
      <c r="B6207" s="10"/>
    </row>
    <row r="6208" spans="2:2" x14ac:dyDescent="0.25">
      <c r="B6208" s="10"/>
    </row>
    <row r="6209" spans="2:2" x14ac:dyDescent="0.25">
      <c r="B6209" s="10"/>
    </row>
    <row r="6210" spans="2:2" x14ac:dyDescent="0.25">
      <c r="B6210" s="10"/>
    </row>
    <row r="6211" spans="2:2" x14ac:dyDescent="0.25">
      <c r="B6211" s="10"/>
    </row>
    <row r="6212" spans="2:2" x14ac:dyDescent="0.25">
      <c r="B6212" s="10"/>
    </row>
    <row r="6213" spans="2:2" x14ac:dyDescent="0.25">
      <c r="B6213" s="10"/>
    </row>
    <row r="6214" spans="2:2" x14ac:dyDescent="0.25">
      <c r="B6214" s="10"/>
    </row>
    <row r="6215" spans="2:2" x14ac:dyDescent="0.25">
      <c r="B6215" s="10"/>
    </row>
    <row r="6216" spans="2:2" x14ac:dyDescent="0.25">
      <c r="B6216" s="10"/>
    </row>
    <row r="6217" spans="2:2" x14ac:dyDescent="0.25">
      <c r="B6217" s="10"/>
    </row>
    <row r="6218" spans="2:2" x14ac:dyDescent="0.25">
      <c r="B6218" s="10"/>
    </row>
    <row r="6219" spans="2:2" x14ac:dyDescent="0.25">
      <c r="B6219" s="10"/>
    </row>
    <row r="6220" spans="2:2" x14ac:dyDescent="0.25">
      <c r="B6220" s="10"/>
    </row>
    <row r="6221" spans="2:2" x14ac:dyDescent="0.25">
      <c r="B6221" s="10"/>
    </row>
    <row r="6222" spans="2:2" x14ac:dyDescent="0.25">
      <c r="B6222" s="10"/>
    </row>
    <row r="6223" spans="2:2" x14ac:dyDescent="0.25">
      <c r="B6223" s="10"/>
    </row>
    <row r="6224" spans="2:2" x14ac:dyDescent="0.25">
      <c r="B6224" s="10"/>
    </row>
    <row r="6225" spans="2:2" x14ac:dyDescent="0.25">
      <c r="B6225" s="10"/>
    </row>
    <row r="6226" spans="2:2" x14ac:dyDescent="0.25">
      <c r="B6226" s="10"/>
    </row>
    <row r="6227" spans="2:2" x14ac:dyDescent="0.25">
      <c r="B6227" s="10"/>
    </row>
    <row r="6228" spans="2:2" x14ac:dyDescent="0.25">
      <c r="B6228" s="10"/>
    </row>
    <row r="6229" spans="2:2" x14ac:dyDescent="0.25">
      <c r="B6229" s="10"/>
    </row>
    <row r="6230" spans="2:2" x14ac:dyDescent="0.25">
      <c r="B6230" s="10"/>
    </row>
    <row r="6231" spans="2:2" x14ac:dyDescent="0.25">
      <c r="B6231" s="10"/>
    </row>
    <row r="6232" spans="2:2" x14ac:dyDescent="0.25">
      <c r="B6232" s="10"/>
    </row>
    <row r="6233" spans="2:2" x14ac:dyDescent="0.25">
      <c r="B6233" s="10"/>
    </row>
    <row r="6234" spans="2:2" x14ac:dyDescent="0.25">
      <c r="B6234" s="10"/>
    </row>
    <row r="6235" spans="2:2" x14ac:dyDescent="0.25">
      <c r="B6235" s="10"/>
    </row>
    <row r="6236" spans="2:2" x14ac:dyDescent="0.25">
      <c r="B6236" s="10"/>
    </row>
    <row r="6237" spans="2:2" x14ac:dyDescent="0.25">
      <c r="B6237" s="10"/>
    </row>
    <row r="6238" spans="2:2" x14ac:dyDescent="0.25">
      <c r="B6238" s="10"/>
    </row>
    <row r="6239" spans="2:2" x14ac:dyDescent="0.25">
      <c r="B6239" s="10"/>
    </row>
    <row r="6240" spans="2:2" x14ac:dyDescent="0.25">
      <c r="B6240" s="10"/>
    </row>
    <row r="6241" spans="2:2" x14ac:dyDescent="0.25">
      <c r="B6241" s="10"/>
    </row>
    <row r="6242" spans="2:2" x14ac:dyDescent="0.25">
      <c r="B6242" s="10"/>
    </row>
    <row r="6243" spans="2:2" x14ac:dyDescent="0.25">
      <c r="B6243" s="10"/>
    </row>
    <row r="6244" spans="2:2" x14ac:dyDescent="0.25">
      <c r="B6244" s="10"/>
    </row>
    <row r="6245" spans="2:2" x14ac:dyDescent="0.25">
      <c r="B6245" s="10"/>
    </row>
    <row r="6246" spans="2:2" x14ac:dyDescent="0.25">
      <c r="B6246" s="10"/>
    </row>
    <row r="6247" spans="2:2" x14ac:dyDescent="0.25">
      <c r="B6247" s="10"/>
    </row>
    <row r="6248" spans="2:2" x14ac:dyDescent="0.25">
      <c r="B6248" s="10"/>
    </row>
    <row r="6249" spans="2:2" x14ac:dyDescent="0.25">
      <c r="B6249" s="10"/>
    </row>
    <row r="6250" spans="2:2" x14ac:dyDescent="0.25">
      <c r="B6250" s="10"/>
    </row>
    <row r="6251" spans="2:2" x14ac:dyDescent="0.25">
      <c r="B6251" s="10"/>
    </row>
    <row r="6252" spans="2:2" x14ac:dyDescent="0.25">
      <c r="B6252" s="10"/>
    </row>
    <row r="6253" spans="2:2" x14ac:dyDescent="0.25">
      <c r="B6253" s="10"/>
    </row>
    <row r="6254" spans="2:2" x14ac:dyDescent="0.25">
      <c r="B6254" s="10"/>
    </row>
    <row r="6255" spans="2:2" x14ac:dyDescent="0.25">
      <c r="B6255" s="10"/>
    </row>
    <row r="6256" spans="2:2" x14ac:dyDescent="0.25">
      <c r="B6256" s="10"/>
    </row>
    <row r="6257" spans="2:2" x14ac:dyDescent="0.25">
      <c r="B6257" s="10"/>
    </row>
    <row r="6258" spans="2:2" x14ac:dyDescent="0.25">
      <c r="B6258" s="10"/>
    </row>
    <row r="6259" spans="2:2" x14ac:dyDescent="0.25">
      <c r="B6259" s="10"/>
    </row>
    <row r="6260" spans="2:2" x14ac:dyDescent="0.25">
      <c r="B6260" s="10"/>
    </row>
    <row r="6261" spans="2:2" x14ac:dyDescent="0.25">
      <c r="B6261" s="10"/>
    </row>
    <row r="6262" spans="2:2" x14ac:dyDescent="0.25">
      <c r="B6262" s="10"/>
    </row>
    <row r="6263" spans="2:2" x14ac:dyDescent="0.25">
      <c r="B6263" s="10"/>
    </row>
    <row r="6264" spans="2:2" x14ac:dyDescent="0.25">
      <c r="B6264" s="10"/>
    </row>
    <row r="6265" spans="2:2" x14ac:dyDescent="0.25">
      <c r="B6265" s="10"/>
    </row>
    <row r="6266" spans="2:2" x14ac:dyDescent="0.25">
      <c r="B6266" s="10"/>
    </row>
    <row r="6267" spans="2:2" x14ac:dyDescent="0.25">
      <c r="B6267" s="10"/>
    </row>
    <row r="6268" spans="2:2" x14ac:dyDescent="0.25">
      <c r="B6268" s="10"/>
    </row>
    <row r="6269" spans="2:2" x14ac:dyDescent="0.25">
      <c r="B6269" s="10"/>
    </row>
    <row r="6270" spans="2:2" x14ac:dyDescent="0.25">
      <c r="B6270" s="10"/>
    </row>
    <row r="6271" spans="2:2" x14ac:dyDescent="0.25">
      <c r="B6271" s="10"/>
    </row>
    <row r="6272" spans="2:2" x14ac:dyDescent="0.25">
      <c r="B6272" s="10"/>
    </row>
    <row r="6273" spans="2:2" x14ac:dyDescent="0.25">
      <c r="B6273" s="10"/>
    </row>
    <row r="6274" spans="2:2" x14ac:dyDescent="0.25">
      <c r="B6274" s="10"/>
    </row>
    <row r="6275" spans="2:2" x14ac:dyDescent="0.25">
      <c r="B6275" s="10"/>
    </row>
    <row r="6276" spans="2:2" x14ac:dyDescent="0.25">
      <c r="B6276" s="10"/>
    </row>
    <row r="6277" spans="2:2" x14ac:dyDescent="0.25">
      <c r="B6277" s="10"/>
    </row>
    <row r="6278" spans="2:2" x14ac:dyDescent="0.25">
      <c r="B6278" s="10"/>
    </row>
    <row r="6279" spans="2:2" x14ac:dyDescent="0.25">
      <c r="B6279" s="10"/>
    </row>
    <row r="6280" spans="2:2" x14ac:dyDescent="0.25">
      <c r="B6280" s="10"/>
    </row>
    <row r="6281" spans="2:2" x14ac:dyDescent="0.25">
      <c r="B6281" s="10"/>
    </row>
    <row r="6282" spans="2:2" x14ac:dyDescent="0.25">
      <c r="B6282" s="10"/>
    </row>
    <row r="6283" spans="2:2" x14ac:dyDescent="0.25">
      <c r="B6283" s="10"/>
    </row>
    <row r="6284" spans="2:2" x14ac:dyDescent="0.25">
      <c r="B6284" s="10"/>
    </row>
    <row r="6285" spans="2:2" x14ac:dyDescent="0.25">
      <c r="B6285" s="10"/>
    </row>
    <row r="6286" spans="2:2" x14ac:dyDescent="0.25">
      <c r="B6286" s="10"/>
    </row>
    <row r="6287" spans="2:2" x14ac:dyDescent="0.25">
      <c r="B6287" s="10"/>
    </row>
    <row r="6288" spans="2:2" x14ac:dyDescent="0.25">
      <c r="B6288" s="10"/>
    </row>
    <row r="6289" spans="2:2" x14ac:dyDescent="0.25">
      <c r="B6289" s="10"/>
    </row>
    <row r="6290" spans="2:2" x14ac:dyDescent="0.25">
      <c r="B6290" s="10"/>
    </row>
    <row r="6291" spans="2:2" x14ac:dyDescent="0.25">
      <c r="B6291" s="10"/>
    </row>
    <row r="6292" spans="2:2" x14ac:dyDescent="0.25">
      <c r="B6292" s="10"/>
    </row>
    <row r="6293" spans="2:2" x14ac:dyDescent="0.25">
      <c r="B6293" s="10"/>
    </row>
    <row r="6294" spans="2:2" x14ac:dyDescent="0.25">
      <c r="B6294" s="10"/>
    </row>
    <row r="6295" spans="2:2" x14ac:dyDescent="0.25">
      <c r="B6295" s="10"/>
    </row>
    <row r="6296" spans="2:2" x14ac:dyDescent="0.25">
      <c r="B6296" s="10"/>
    </row>
    <row r="6297" spans="2:2" x14ac:dyDescent="0.25">
      <c r="B6297" s="10"/>
    </row>
    <row r="6298" spans="2:2" x14ac:dyDescent="0.25">
      <c r="B6298" s="10"/>
    </row>
    <row r="6299" spans="2:2" x14ac:dyDescent="0.25">
      <c r="B6299" s="10"/>
    </row>
    <row r="6300" spans="2:2" x14ac:dyDescent="0.25">
      <c r="B6300" s="10"/>
    </row>
    <row r="6301" spans="2:2" x14ac:dyDescent="0.25">
      <c r="B6301" s="10"/>
    </row>
    <row r="6302" spans="2:2" x14ac:dyDescent="0.25">
      <c r="B6302" s="10"/>
    </row>
    <row r="6303" spans="2:2" x14ac:dyDescent="0.25">
      <c r="B6303" s="10"/>
    </row>
    <row r="6304" spans="2:2" x14ac:dyDescent="0.25">
      <c r="B6304" s="10"/>
    </row>
    <row r="6305" spans="2:2" x14ac:dyDescent="0.25">
      <c r="B6305" s="10"/>
    </row>
    <row r="6306" spans="2:2" x14ac:dyDescent="0.25">
      <c r="B6306" s="10"/>
    </row>
    <row r="6307" spans="2:2" x14ac:dyDescent="0.25">
      <c r="B6307" s="10"/>
    </row>
    <row r="6308" spans="2:2" x14ac:dyDescent="0.25">
      <c r="B6308" s="10"/>
    </row>
    <row r="6309" spans="2:2" x14ac:dyDescent="0.25">
      <c r="B6309" s="10"/>
    </row>
    <row r="6310" spans="2:2" x14ac:dyDescent="0.25">
      <c r="B6310" s="10"/>
    </row>
    <row r="6311" spans="2:2" x14ac:dyDescent="0.25">
      <c r="B6311" s="10"/>
    </row>
    <row r="6312" spans="2:2" x14ac:dyDescent="0.25">
      <c r="B6312" s="10"/>
    </row>
    <row r="6313" spans="2:2" x14ac:dyDescent="0.25">
      <c r="B6313" s="10"/>
    </row>
    <row r="6314" spans="2:2" x14ac:dyDescent="0.25">
      <c r="B6314" s="10"/>
    </row>
    <row r="6315" spans="2:2" x14ac:dyDescent="0.25">
      <c r="B6315" s="10"/>
    </row>
    <row r="6316" spans="2:2" x14ac:dyDescent="0.25">
      <c r="B6316" s="10"/>
    </row>
    <row r="6317" spans="2:2" x14ac:dyDescent="0.25">
      <c r="B6317" s="10"/>
    </row>
    <row r="6318" spans="2:2" x14ac:dyDescent="0.25">
      <c r="B6318" s="10"/>
    </row>
    <row r="6319" spans="2:2" x14ac:dyDescent="0.25">
      <c r="B6319" s="10"/>
    </row>
    <row r="6320" spans="2:2" x14ac:dyDescent="0.25">
      <c r="B6320" s="10"/>
    </row>
    <row r="6321" spans="2:2" x14ac:dyDescent="0.25">
      <c r="B6321" s="10"/>
    </row>
    <row r="6322" spans="2:2" x14ac:dyDescent="0.25">
      <c r="B6322" s="10"/>
    </row>
    <row r="6323" spans="2:2" x14ac:dyDescent="0.25">
      <c r="B6323" s="10"/>
    </row>
    <row r="6324" spans="2:2" x14ac:dyDescent="0.25">
      <c r="B6324" s="10"/>
    </row>
    <row r="6325" spans="2:2" x14ac:dyDescent="0.25">
      <c r="B6325" s="10"/>
    </row>
    <row r="6326" spans="2:2" x14ac:dyDescent="0.25">
      <c r="B6326" s="10"/>
    </row>
    <row r="6327" spans="2:2" x14ac:dyDescent="0.25">
      <c r="B6327" s="10"/>
    </row>
    <row r="6328" spans="2:2" x14ac:dyDescent="0.25">
      <c r="B6328" s="10"/>
    </row>
    <row r="6329" spans="2:2" x14ac:dyDescent="0.25">
      <c r="B6329" s="10"/>
    </row>
    <row r="6330" spans="2:2" x14ac:dyDescent="0.25">
      <c r="B6330" s="10"/>
    </row>
    <row r="6331" spans="2:2" x14ac:dyDescent="0.25">
      <c r="B6331" s="10"/>
    </row>
    <row r="6332" spans="2:2" x14ac:dyDescent="0.25">
      <c r="B6332" s="10"/>
    </row>
    <row r="6333" spans="2:2" x14ac:dyDescent="0.25">
      <c r="B6333" s="10"/>
    </row>
    <row r="6334" spans="2:2" x14ac:dyDescent="0.25">
      <c r="B6334" s="10"/>
    </row>
    <row r="6335" spans="2:2" x14ac:dyDescent="0.25">
      <c r="B6335" s="10"/>
    </row>
    <row r="6336" spans="2:2" x14ac:dyDescent="0.25">
      <c r="B6336" s="10"/>
    </row>
    <row r="6337" spans="2:2" x14ac:dyDescent="0.25">
      <c r="B6337" s="10"/>
    </row>
    <row r="6338" spans="2:2" x14ac:dyDescent="0.25">
      <c r="B6338" s="10"/>
    </row>
    <row r="6339" spans="2:2" x14ac:dyDescent="0.25">
      <c r="B6339" s="10"/>
    </row>
    <row r="6340" spans="2:2" x14ac:dyDescent="0.25">
      <c r="B6340" s="10"/>
    </row>
    <row r="6341" spans="2:2" x14ac:dyDescent="0.25">
      <c r="B6341" s="10"/>
    </row>
    <row r="6342" spans="2:2" x14ac:dyDescent="0.25">
      <c r="B6342" s="10"/>
    </row>
    <row r="6343" spans="2:2" x14ac:dyDescent="0.25">
      <c r="B6343" s="10"/>
    </row>
    <row r="6344" spans="2:2" x14ac:dyDescent="0.25">
      <c r="B6344" s="10"/>
    </row>
    <row r="6345" spans="2:2" x14ac:dyDescent="0.25">
      <c r="B6345" s="10"/>
    </row>
    <row r="6346" spans="2:2" x14ac:dyDescent="0.25">
      <c r="B6346" s="10"/>
    </row>
    <row r="6347" spans="2:2" x14ac:dyDescent="0.25">
      <c r="B6347" s="10"/>
    </row>
    <row r="6348" spans="2:2" x14ac:dyDescent="0.25">
      <c r="B6348" s="10"/>
    </row>
    <row r="6349" spans="2:2" x14ac:dyDescent="0.25">
      <c r="B6349" s="10"/>
    </row>
    <row r="6350" spans="2:2" x14ac:dyDescent="0.25">
      <c r="B6350" s="10"/>
    </row>
    <row r="6351" spans="2:2" x14ac:dyDescent="0.25">
      <c r="B6351" s="10"/>
    </row>
    <row r="6352" spans="2:2" x14ac:dyDescent="0.25">
      <c r="B6352" s="10"/>
    </row>
    <row r="6353" spans="2:2" x14ac:dyDescent="0.25">
      <c r="B6353" s="10"/>
    </row>
    <row r="6354" spans="2:2" x14ac:dyDescent="0.25">
      <c r="B6354" s="10"/>
    </row>
    <row r="6355" spans="2:2" x14ac:dyDescent="0.25">
      <c r="B6355" s="10"/>
    </row>
    <row r="6356" spans="2:2" x14ac:dyDescent="0.25">
      <c r="B6356" s="10"/>
    </row>
    <row r="6357" spans="2:2" x14ac:dyDescent="0.25">
      <c r="B6357" s="10"/>
    </row>
    <row r="6358" spans="2:2" x14ac:dyDescent="0.25">
      <c r="B6358" s="10"/>
    </row>
    <row r="6359" spans="2:2" x14ac:dyDescent="0.25">
      <c r="B6359" s="10"/>
    </row>
    <row r="6360" spans="2:2" x14ac:dyDescent="0.25">
      <c r="B6360" s="10"/>
    </row>
    <row r="6361" spans="2:2" x14ac:dyDescent="0.25">
      <c r="B6361" s="10"/>
    </row>
    <row r="6362" spans="2:2" x14ac:dyDescent="0.25">
      <c r="B6362" s="10"/>
    </row>
    <row r="6363" spans="2:2" x14ac:dyDescent="0.25">
      <c r="B6363" s="10"/>
    </row>
    <row r="6364" spans="2:2" x14ac:dyDescent="0.25">
      <c r="B6364" s="10"/>
    </row>
    <row r="6365" spans="2:2" x14ac:dyDescent="0.25">
      <c r="B6365" s="10"/>
    </row>
    <row r="6366" spans="2:2" x14ac:dyDescent="0.25">
      <c r="B6366" s="10"/>
    </row>
    <row r="6367" spans="2:2" x14ac:dyDescent="0.25">
      <c r="B6367" s="10"/>
    </row>
    <row r="6368" spans="2:2" x14ac:dyDescent="0.25">
      <c r="B6368" s="10"/>
    </row>
    <row r="6369" spans="2:2" x14ac:dyDescent="0.25">
      <c r="B6369" s="10"/>
    </row>
    <row r="6370" spans="2:2" x14ac:dyDescent="0.25">
      <c r="B6370" s="10"/>
    </row>
    <row r="6371" spans="2:2" x14ac:dyDescent="0.25">
      <c r="B6371" s="10"/>
    </row>
    <row r="6372" spans="2:2" x14ac:dyDescent="0.25">
      <c r="B6372" s="10"/>
    </row>
    <row r="6373" spans="2:2" x14ac:dyDescent="0.25">
      <c r="B6373" s="10"/>
    </row>
    <row r="6374" spans="2:2" x14ac:dyDescent="0.25">
      <c r="B6374" s="10"/>
    </row>
    <row r="6375" spans="2:2" x14ac:dyDescent="0.25">
      <c r="B6375" s="10"/>
    </row>
    <row r="6376" spans="2:2" x14ac:dyDescent="0.25">
      <c r="B6376" s="10"/>
    </row>
    <row r="6377" spans="2:2" x14ac:dyDescent="0.25">
      <c r="B6377" s="10"/>
    </row>
    <row r="6378" spans="2:2" x14ac:dyDescent="0.25">
      <c r="B6378" s="10"/>
    </row>
    <row r="6379" spans="2:2" x14ac:dyDescent="0.25">
      <c r="B6379" s="10"/>
    </row>
    <row r="6380" spans="2:2" x14ac:dyDescent="0.25">
      <c r="B6380" s="10"/>
    </row>
    <row r="6381" spans="2:2" x14ac:dyDescent="0.25">
      <c r="B6381" s="10"/>
    </row>
    <row r="6382" spans="2:2" x14ac:dyDescent="0.25">
      <c r="B6382" s="10"/>
    </row>
    <row r="6383" spans="2:2" x14ac:dyDescent="0.25">
      <c r="B6383" s="10"/>
    </row>
    <row r="6384" spans="2:2" x14ac:dyDescent="0.25">
      <c r="B6384" s="10"/>
    </row>
    <row r="6385" spans="2:2" x14ac:dyDescent="0.25">
      <c r="B6385" s="10"/>
    </row>
    <row r="6386" spans="2:2" x14ac:dyDescent="0.25">
      <c r="B6386" s="10"/>
    </row>
    <row r="6387" spans="2:2" x14ac:dyDescent="0.25">
      <c r="B6387" s="10"/>
    </row>
    <row r="6388" spans="2:2" x14ac:dyDescent="0.25">
      <c r="B6388" s="10"/>
    </row>
    <row r="6389" spans="2:2" x14ac:dyDescent="0.25">
      <c r="B6389" s="10"/>
    </row>
    <row r="6390" spans="2:2" x14ac:dyDescent="0.25">
      <c r="B6390" s="10"/>
    </row>
    <row r="6391" spans="2:2" x14ac:dyDescent="0.25">
      <c r="B6391" s="10"/>
    </row>
    <row r="6392" spans="2:2" x14ac:dyDescent="0.25">
      <c r="B6392" s="10"/>
    </row>
    <row r="6393" spans="2:2" x14ac:dyDescent="0.25">
      <c r="B6393" s="10"/>
    </row>
    <row r="6394" spans="2:2" x14ac:dyDescent="0.25">
      <c r="B6394" s="10"/>
    </row>
    <row r="6395" spans="2:2" x14ac:dyDescent="0.25">
      <c r="B6395" s="10"/>
    </row>
    <row r="6396" spans="2:2" x14ac:dyDescent="0.25">
      <c r="B6396" s="10"/>
    </row>
    <row r="6397" spans="2:2" x14ac:dyDescent="0.25">
      <c r="B6397" s="10"/>
    </row>
    <row r="6398" spans="2:2" x14ac:dyDescent="0.25">
      <c r="B6398" s="10"/>
    </row>
    <row r="6399" spans="2:2" x14ac:dyDescent="0.25">
      <c r="B6399" s="10"/>
    </row>
    <row r="6400" spans="2:2" x14ac:dyDescent="0.25">
      <c r="B6400" s="10"/>
    </row>
    <row r="6401" spans="2:2" x14ac:dyDescent="0.25">
      <c r="B6401" s="10"/>
    </row>
    <row r="6402" spans="2:2" x14ac:dyDescent="0.25">
      <c r="B6402" s="10"/>
    </row>
    <row r="6403" spans="2:2" x14ac:dyDescent="0.25">
      <c r="B6403" s="10"/>
    </row>
    <row r="6404" spans="2:2" x14ac:dyDescent="0.25">
      <c r="B6404" s="10"/>
    </row>
    <row r="6405" spans="2:2" x14ac:dyDescent="0.25">
      <c r="B6405" s="10"/>
    </row>
    <row r="6406" spans="2:2" x14ac:dyDescent="0.25">
      <c r="B6406" s="10"/>
    </row>
    <row r="6407" spans="2:2" x14ac:dyDescent="0.25">
      <c r="B6407" s="10"/>
    </row>
    <row r="6408" spans="2:2" x14ac:dyDescent="0.25">
      <c r="B6408" s="10"/>
    </row>
    <row r="6409" spans="2:2" x14ac:dyDescent="0.25">
      <c r="B6409" s="10"/>
    </row>
    <row r="6410" spans="2:2" x14ac:dyDescent="0.25">
      <c r="B6410" s="10"/>
    </row>
    <row r="6411" spans="2:2" x14ac:dyDescent="0.25">
      <c r="B6411" s="10"/>
    </row>
    <row r="6412" spans="2:2" x14ac:dyDescent="0.25">
      <c r="B6412" s="10"/>
    </row>
    <row r="6413" spans="2:2" x14ac:dyDescent="0.25">
      <c r="B6413" s="10"/>
    </row>
    <row r="6414" spans="2:2" x14ac:dyDescent="0.25">
      <c r="B6414" s="10"/>
    </row>
    <row r="6415" spans="2:2" x14ac:dyDescent="0.25">
      <c r="B6415" s="10"/>
    </row>
    <row r="6416" spans="2:2" x14ac:dyDescent="0.25">
      <c r="B6416" s="10"/>
    </row>
    <row r="6417" spans="2:2" x14ac:dyDescent="0.25">
      <c r="B6417" s="10"/>
    </row>
    <row r="6418" spans="2:2" x14ac:dyDescent="0.25">
      <c r="B6418" s="10"/>
    </row>
    <row r="6419" spans="2:2" x14ac:dyDescent="0.25">
      <c r="B6419" s="10"/>
    </row>
    <row r="6420" spans="2:2" x14ac:dyDescent="0.25">
      <c r="B6420" s="10"/>
    </row>
    <row r="6421" spans="2:2" x14ac:dyDescent="0.25">
      <c r="B6421" s="10"/>
    </row>
    <row r="6422" spans="2:2" x14ac:dyDescent="0.25">
      <c r="B6422" s="10"/>
    </row>
    <row r="6423" spans="2:2" x14ac:dyDescent="0.25">
      <c r="B6423" s="10"/>
    </row>
    <row r="6424" spans="2:2" x14ac:dyDescent="0.25">
      <c r="B6424" s="10"/>
    </row>
    <row r="6425" spans="2:2" x14ac:dyDescent="0.25">
      <c r="B6425" s="10"/>
    </row>
    <row r="6426" spans="2:2" x14ac:dyDescent="0.25">
      <c r="B6426" s="10"/>
    </row>
    <row r="6427" spans="2:2" x14ac:dyDescent="0.25">
      <c r="B6427" s="10"/>
    </row>
    <row r="6428" spans="2:2" x14ac:dyDescent="0.25">
      <c r="B6428" s="10"/>
    </row>
    <row r="6429" spans="2:2" x14ac:dyDescent="0.25">
      <c r="B6429" s="10"/>
    </row>
    <row r="6430" spans="2:2" x14ac:dyDescent="0.25">
      <c r="B6430" s="10"/>
    </row>
    <row r="6431" spans="2:2" x14ac:dyDescent="0.25">
      <c r="B6431" s="10"/>
    </row>
    <row r="6432" spans="2:2" x14ac:dyDescent="0.25">
      <c r="B6432" s="10"/>
    </row>
    <row r="6433" spans="2:2" x14ac:dyDescent="0.25">
      <c r="B6433" s="10"/>
    </row>
    <row r="6434" spans="2:2" x14ac:dyDescent="0.25">
      <c r="B6434" s="10"/>
    </row>
    <row r="6435" spans="2:2" x14ac:dyDescent="0.25">
      <c r="B6435" s="10"/>
    </row>
    <row r="6436" spans="2:2" x14ac:dyDescent="0.25">
      <c r="B6436" s="10"/>
    </row>
    <row r="6437" spans="2:2" x14ac:dyDescent="0.25">
      <c r="B6437" s="10"/>
    </row>
    <row r="6438" spans="2:2" x14ac:dyDescent="0.25">
      <c r="B6438" s="10"/>
    </row>
    <row r="6439" spans="2:2" x14ac:dyDescent="0.25">
      <c r="B6439" s="10"/>
    </row>
    <row r="6440" spans="2:2" x14ac:dyDescent="0.25">
      <c r="B6440" s="10"/>
    </row>
    <row r="6441" spans="2:2" x14ac:dyDescent="0.25">
      <c r="B6441" s="10"/>
    </row>
    <row r="6442" spans="2:2" x14ac:dyDescent="0.25">
      <c r="B6442" s="10"/>
    </row>
    <row r="6443" spans="2:2" x14ac:dyDescent="0.25">
      <c r="B6443" s="10"/>
    </row>
    <row r="6444" spans="2:2" x14ac:dyDescent="0.25">
      <c r="B6444" s="10"/>
    </row>
    <row r="6445" spans="2:2" x14ac:dyDescent="0.25">
      <c r="B6445" s="10"/>
    </row>
    <row r="6446" spans="2:2" x14ac:dyDescent="0.25">
      <c r="B6446" s="10"/>
    </row>
    <row r="6447" spans="2:2" x14ac:dyDescent="0.25">
      <c r="B6447" s="10"/>
    </row>
    <row r="6448" spans="2:2" x14ac:dyDescent="0.25">
      <c r="B6448" s="10"/>
    </row>
    <row r="6449" spans="2:2" x14ac:dyDescent="0.25">
      <c r="B6449" s="10"/>
    </row>
    <row r="6450" spans="2:2" x14ac:dyDescent="0.25">
      <c r="B6450" s="10"/>
    </row>
    <row r="6451" spans="2:2" x14ac:dyDescent="0.25">
      <c r="B6451" s="10"/>
    </row>
    <row r="6452" spans="2:2" x14ac:dyDescent="0.25">
      <c r="B6452" s="10"/>
    </row>
    <row r="6453" spans="2:2" x14ac:dyDescent="0.25">
      <c r="B6453" s="10"/>
    </row>
    <row r="6454" spans="2:2" x14ac:dyDescent="0.25">
      <c r="B6454" s="10"/>
    </row>
    <row r="6455" spans="2:2" x14ac:dyDescent="0.25">
      <c r="B6455" s="10"/>
    </row>
    <row r="6456" spans="2:2" x14ac:dyDescent="0.25">
      <c r="B6456" s="10"/>
    </row>
    <row r="6457" spans="2:2" x14ac:dyDescent="0.25">
      <c r="B6457" s="10"/>
    </row>
    <row r="6458" spans="2:2" x14ac:dyDescent="0.25">
      <c r="B6458" s="10"/>
    </row>
    <row r="6459" spans="2:2" x14ac:dyDescent="0.25">
      <c r="B6459" s="10"/>
    </row>
    <row r="6460" spans="2:2" x14ac:dyDescent="0.25">
      <c r="B6460" s="10"/>
    </row>
    <row r="6461" spans="2:2" x14ac:dyDescent="0.25">
      <c r="B6461" s="10"/>
    </row>
    <row r="6462" spans="2:2" x14ac:dyDescent="0.25">
      <c r="B6462" s="10"/>
    </row>
    <row r="6463" spans="2:2" x14ac:dyDescent="0.25">
      <c r="B6463" s="10"/>
    </row>
    <row r="6464" spans="2:2" x14ac:dyDescent="0.25">
      <c r="B6464" s="10"/>
    </row>
    <row r="6465" spans="2:2" x14ac:dyDescent="0.25">
      <c r="B6465" s="10"/>
    </row>
    <row r="6466" spans="2:2" x14ac:dyDescent="0.25">
      <c r="B6466" s="10"/>
    </row>
    <row r="6467" spans="2:2" x14ac:dyDescent="0.25">
      <c r="B6467" s="10"/>
    </row>
    <row r="6468" spans="2:2" x14ac:dyDescent="0.25">
      <c r="B6468" s="10"/>
    </row>
    <row r="6469" spans="2:2" x14ac:dyDescent="0.25">
      <c r="B6469" s="10"/>
    </row>
    <row r="6470" spans="2:2" x14ac:dyDescent="0.25">
      <c r="B6470" s="10"/>
    </row>
    <row r="6471" spans="2:2" x14ac:dyDescent="0.25">
      <c r="B6471" s="10"/>
    </row>
    <row r="6472" spans="2:2" x14ac:dyDescent="0.25">
      <c r="B6472" s="10"/>
    </row>
    <row r="6473" spans="2:2" x14ac:dyDescent="0.25">
      <c r="B6473" s="10"/>
    </row>
    <row r="6474" spans="2:2" x14ac:dyDescent="0.25">
      <c r="B6474" s="10"/>
    </row>
    <row r="6475" spans="2:2" x14ac:dyDescent="0.25">
      <c r="B6475" s="10"/>
    </row>
    <row r="6476" spans="2:2" x14ac:dyDescent="0.25">
      <c r="B6476" s="10"/>
    </row>
    <row r="6477" spans="2:2" x14ac:dyDescent="0.25">
      <c r="B6477" s="10"/>
    </row>
    <row r="6478" spans="2:2" x14ac:dyDescent="0.25">
      <c r="B6478" s="10"/>
    </row>
    <row r="6479" spans="2:2" x14ac:dyDescent="0.25">
      <c r="B6479" s="10"/>
    </row>
    <row r="6480" spans="2:2" x14ac:dyDescent="0.25">
      <c r="B6480" s="10"/>
    </row>
    <row r="6481" spans="2:2" x14ac:dyDescent="0.25">
      <c r="B6481" s="10"/>
    </row>
    <row r="6482" spans="2:2" x14ac:dyDescent="0.25">
      <c r="B6482" s="10"/>
    </row>
    <row r="6483" spans="2:2" x14ac:dyDescent="0.25">
      <c r="B6483" s="10"/>
    </row>
    <row r="6484" spans="2:2" x14ac:dyDescent="0.25">
      <c r="B6484" s="10"/>
    </row>
    <row r="6485" spans="2:2" x14ac:dyDescent="0.25">
      <c r="B6485" s="10"/>
    </row>
    <row r="6486" spans="2:2" x14ac:dyDescent="0.25">
      <c r="B6486" s="10"/>
    </row>
    <row r="6487" spans="2:2" x14ac:dyDescent="0.25">
      <c r="B6487" s="10"/>
    </row>
    <row r="6488" spans="2:2" x14ac:dyDescent="0.25">
      <c r="B6488" s="10"/>
    </row>
    <row r="6489" spans="2:2" x14ac:dyDescent="0.25">
      <c r="B6489" s="10"/>
    </row>
    <row r="6490" spans="2:2" x14ac:dyDescent="0.25">
      <c r="B6490" s="10"/>
    </row>
    <row r="6491" spans="2:2" x14ac:dyDescent="0.25">
      <c r="B6491" s="10"/>
    </row>
    <row r="6492" spans="2:2" x14ac:dyDescent="0.25">
      <c r="B6492" s="10"/>
    </row>
    <row r="6493" spans="2:2" x14ac:dyDescent="0.25">
      <c r="B6493" s="10"/>
    </row>
    <row r="6494" spans="2:2" x14ac:dyDescent="0.25">
      <c r="B6494" s="10"/>
    </row>
    <row r="6495" spans="2:2" x14ac:dyDescent="0.25">
      <c r="B6495" s="10"/>
    </row>
    <row r="6496" spans="2:2" x14ac:dyDescent="0.25">
      <c r="B6496" s="10"/>
    </row>
    <row r="6497" spans="2:2" x14ac:dyDescent="0.25">
      <c r="B6497" s="10"/>
    </row>
    <row r="6498" spans="2:2" x14ac:dyDescent="0.25">
      <c r="B6498" s="10"/>
    </row>
    <row r="6499" spans="2:2" x14ac:dyDescent="0.25">
      <c r="B6499" s="10"/>
    </row>
    <row r="6500" spans="2:2" x14ac:dyDescent="0.25">
      <c r="B6500" s="10"/>
    </row>
    <row r="6501" spans="2:2" x14ac:dyDescent="0.25">
      <c r="B6501" s="10"/>
    </row>
    <row r="6502" spans="2:2" x14ac:dyDescent="0.25">
      <c r="B6502" s="10"/>
    </row>
    <row r="6503" spans="2:2" x14ac:dyDescent="0.25">
      <c r="B6503" s="10"/>
    </row>
    <row r="6504" spans="2:2" x14ac:dyDescent="0.25">
      <c r="B6504" s="10"/>
    </row>
    <row r="6505" spans="2:2" x14ac:dyDescent="0.25">
      <c r="B6505" s="10"/>
    </row>
    <row r="6506" spans="2:2" x14ac:dyDescent="0.25">
      <c r="B6506" s="10"/>
    </row>
    <row r="6507" spans="2:2" x14ac:dyDescent="0.25">
      <c r="B6507" s="10"/>
    </row>
    <row r="6508" spans="2:2" x14ac:dyDescent="0.25">
      <c r="B6508" s="10"/>
    </row>
    <row r="6509" spans="2:2" x14ac:dyDescent="0.25">
      <c r="B6509" s="10"/>
    </row>
    <row r="6510" spans="2:2" x14ac:dyDescent="0.25">
      <c r="B6510" s="10"/>
    </row>
    <row r="6511" spans="2:2" x14ac:dyDescent="0.25">
      <c r="B6511" s="10"/>
    </row>
    <row r="6512" spans="2:2" x14ac:dyDescent="0.25">
      <c r="B6512" s="10"/>
    </row>
    <row r="6513" spans="2:2" x14ac:dyDescent="0.25">
      <c r="B6513" s="10"/>
    </row>
    <row r="6514" spans="2:2" x14ac:dyDescent="0.25">
      <c r="B6514" s="10"/>
    </row>
    <row r="6515" spans="2:2" x14ac:dyDescent="0.25">
      <c r="B6515" s="10"/>
    </row>
    <row r="6516" spans="2:2" x14ac:dyDescent="0.25">
      <c r="B6516" s="10"/>
    </row>
    <row r="6517" spans="2:2" x14ac:dyDescent="0.25">
      <c r="B6517" s="10"/>
    </row>
    <row r="6518" spans="2:2" x14ac:dyDescent="0.25">
      <c r="B6518" s="10"/>
    </row>
    <row r="6519" spans="2:2" x14ac:dyDescent="0.25">
      <c r="B6519" s="10"/>
    </row>
    <row r="6520" spans="2:2" x14ac:dyDescent="0.25">
      <c r="B6520" s="10"/>
    </row>
    <row r="6521" spans="2:2" x14ac:dyDescent="0.25">
      <c r="B6521" s="10"/>
    </row>
    <row r="6522" spans="2:2" x14ac:dyDescent="0.25">
      <c r="B6522" s="10"/>
    </row>
    <row r="6523" spans="2:2" x14ac:dyDescent="0.25">
      <c r="B6523" s="10"/>
    </row>
    <row r="6524" spans="2:2" x14ac:dyDescent="0.25">
      <c r="B6524" s="10"/>
    </row>
    <row r="6525" spans="2:2" x14ac:dyDescent="0.25">
      <c r="B6525" s="10"/>
    </row>
    <row r="6526" spans="2:2" x14ac:dyDescent="0.25">
      <c r="B6526" s="10"/>
    </row>
    <row r="6527" spans="2:2" x14ac:dyDescent="0.25">
      <c r="B6527" s="10"/>
    </row>
    <row r="6528" spans="2:2" x14ac:dyDescent="0.25">
      <c r="B6528" s="10"/>
    </row>
    <row r="6529" spans="2:2" x14ac:dyDescent="0.25">
      <c r="B6529" s="10"/>
    </row>
    <row r="6530" spans="2:2" x14ac:dyDescent="0.25">
      <c r="B6530" s="10"/>
    </row>
    <row r="6531" spans="2:2" x14ac:dyDescent="0.25">
      <c r="B6531" s="10"/>
    </row>
    <row r="6532" spans="2:2" x14ac:dyDescent="0.25">
      <c r="B6532" s="10"/>
    </row>
    <row r="6533" spans="2:2" x14ac:dyDescent="0.25">
      <c r="B6533" s="10"/>
    </row>
    <row r="6534" spans="2:2" x14ac:dyDescent="0.25">
      <c r="B6534" s="10"/>
    </row>
    <row r="6535" spans="2:2" x14ac:dyDescent="0.25">
      <c r="B6535" s="10"/>
    </row>
    <row r="6536" spans="2:2" x14ac:dyDescent="0.25">
      <c r="B6536" s="10"/>
    </row>
    <row r="6537" spans="2:2" x14ac:dyDescent="0.25">
      <c r="B6537" s="10"/>
    </row>
    <row r="6538" spans="2:2" x14ac:dyDescent="0.25">
      <c r="B6538" s="10"/>
    </row>
    <row r="6539" spans="2:2" x14ac:dyDescent="0.25">
      <c r="B6539" s="10"/>
    </row>
    <row r="6540" spans="2:2" x14ac:dyDescent="0.25">
      <c r="B6540" s="10"/>
    </row>
    <row r="6541" spans="2:2" x14ac:dyDescent="0.25">
      <c r="B6541" s="10"/>
    </row>
    <row r="6542" spans="2:2" x14ac:dyDescent="0.25">
      <c r="B6542" s="10"/>
    </row>
    <row r="6543" spans="2:2" x14ac:dyDescent="0.25">
      <c r="B6543" s="10"/>
    </row>
    <row r="6544" spans="2:2" x14ac:dyDescent="0.25">
      <c r="B6544" s="10"/>
    </row>
    <row r="6545" spans="2:2" x14ac:dyDescent="0.25">
      <c r="B6545" s="10"/>
    </row>
    <row r="6546" spans="2:2" x14ac:dyDescent="0.25">
      <c r="B6546" s="10"/>
    </row>
    <row r="6547" spans="2:2" x14ac:dyDescent="0.25">
      <c r="B6547" s="10"/>
    </row>
    <row r="6548" spans="2:2" x14ac:dyDescent="0.25">
      <c r="B6548" s="10"/>
    </row>
    <row r="6549" spans="2:2" x14ac:dyDescent="0.25">
      <c r="B6549" s="10"/>
    </row>
    <row r="6550" spans="2:2" x14ac:dyDescent="0.25">
      <c r="B6550" s="10"/>
    </row>
    <row r="6551" spans="2:2" x14ac:dyDescent="0.25">
      <c r="B6551" s="10"/>
    </row>
    <row r="6552" spans="2:2" x14ac:dyDescent="0.25">
      <c r="B6552" s="10"/>
    </row>
    <row r="6553" spans="2:2" x14ac:dyDescent="0.25">
      <c r="B6553" s="10"/>
    </row>
    <row r="6554" spans="2:2" x14ac:dyDescent="0.25">
      <c r="B6554" s="10"/>
    </row>
    <row r="6555" spans="2:2" x14ac:dyDescent="0.25">
      <c r="B6555" s="10"/>
    </row>
    <row r="6556" spans="2:2" x14ac:dyDescent="0.25">
      <c r="B6556" s="10"/>
    </row>
    <row r="6557" spans="2:2" x14ac:dyDescent="0.25">
      <c r="B6557" s="10"/>
    </row>
    <row r="6558" spans="2:2" x14ac:dyDescent="0.25">
      <c r="B6558" s="10"/>
    </row>
    <row r="6559" spans="2:2" x14ac:dyDescent="0.25">
      <c r="B6559" s="10"/>
    </row>
    <row r="6560" spans="2:2" x14ac:dyDescent="0.25">
      <c r="B6560" s="10"/>
    </row>
    <row r="6561" spans="2:2" x14ac:dyDescent="0.25">
      <c r="B6561" s="10"/>
    </row>
    <row r="6562" spans="2:2" x14ac:dyDescent="0.25">
      <c r="B6562" s="10"/>
    </row>
    <row r="6563" spans="2:2" x14ac:dyDescent="0.25">
      <c r="B6563" s="10"/>
    </row>
    <row r="6564" spans="2:2" x14ac:dyDescent="0.25">
      <c r="B6564" s="10"/>
    </row>
    <row r="6565" spans="2:2" x14ac:dyDescent="0.25">
      <c r="B6565" s="10"/>
    </row>
    <row r="6566" spans="2:2" x14ac:dyDescent="0.25">
      <c r="B6566" s="10"/>
    </row>
    <row r="6567" spans="2:2" x14ac:dyDescent="0.25">
      <c r="B6567" s="10"/>
    </row>
    <row r="6568" spans="2:2" x14ac:dyDescent="0.25">
      <c r="B6568" s="10"/>
    </row>
    <row r="6569" spans="2:2" x14ac:dyDescent="0.25">
      <c r="B6569" s="10"/>
    </row>
    <row r="6570" spans="2:2" x14ac:dyDescent="0.25">
      <c r="B6570" s="10"/>
    </row>
    <row r="6571" spans="2:2" x14ac:dyDescent="0.25">
      <c r="B6571" s="10"/>
    </row>
    <row r="6572" spans="2:2" x14ac:dyDescent="0.25">
      <c r="B6572" s="10"/>
    </row>
    <row r="6573" spans="2:2" x14ac:dyDescent="0.25">
      <c r="B6573" s="10"/>
    </row>
    <row r="6574" spans="2:2" x14ac:dyDescent="0.25">
      <c r="B6574" s="10"/>
    </row>
    <row r="6575" spans="2:2" x14ac:dyDescent="0.25">
      <c r="B6575" s="10"/>
    </row>
    <row r="6576" spans="2:2" x14ac:dyDescent="0.25">
      <c r="B6576" s="10"/>
    </row>
    <row r="6577" spans="2:2" x14ac:dyDescent="0.25">
      <c r="B6577" s="10"/>
    </row>
    <row r="6578" spans="2:2" x14ac:dyDescent="0.25">
      <c r="B6578" s="10"/>
    </row>
    <row r="6579" spans="2:2" x14ac:dyDescent="0.25">
      <c r="B6579" s="10"/>
    </row>
    <row r="6580" spans="2:2" x14ac:dyDescent="0.25">
      <c r="B6580" s="10"/>
    </row>
    <row r="6581" spans="2:2" x14ac:dyDescent="0.25">
      <c r="B6581" s="10"/>
    </row>
    <row r="6582" spans="2:2" x14ac:dyDescent="0.25">
      <c r="B6582" s="10"/>
    </row>
    <row r="6583" spans="2:2" x14ac:dyDescent="0.25">
      <c r="B6583" s="10"/>
    </row>
    <row r="6584" spans="2:2" x14ac:dyDescent="0.25">
      <c r="B6584" s="10"/>
    </row>
    <row r="6585" spans="2:2" x14ac:dyDescent="0.25">
      <c r="B6585" s="10"/>
    </row>
    <row r="6586" spans="2:2" x14ac:dyDescent="0.25">
      <c r="B6586" s="10"/>
    </row>
    <row r="6587" spans="2:2" x14ac:dyDescent="0.25">
      <c r="B6587" s="10"/>
    </row>
    <row r="6588" spans="2:2" x14ac:dyDescent="0.25">
      <c r="B6588" s="10"/>
    </row>
    <row r="6589" spans="2:2" x14ac:dyDescent="0.25">
      <c r="B6589" s="10"/>
    </row>
    <row r="6590" spans="2:2" x14ac:dyDescent="0.25">
      <c r="B6590" s="10"/>
    </row>
    <row r="6591" spans="2:2" x14ac:dyDescent="0.25">
      <c r="B6591" s="10"/>
    </row>
    <row r="6592" spans="2:2" x14ac:dyDescent="0.25">
      <c r="B6592" s="10"/>
    </row>
    <row r="6593" spans="2:2" x14ac:dyDescent="0.25">
      <c r="B6593" s="10"/>
    </row>
    <row r="6594" spans="2:2" x14ac:dyDescent="0.25">
      <c r="B6594" s="10"/>
    </row>
    <row r="6595" spans="2:2" x14ac:dyDescent="0.25">
      <c r="B6595" s="10"/>
    </row>
    <row r="6596" spans="2:2" x14ac:dyDescent="0.25">
      <c r="B6596" s="10"/>
    </row>
    <row r="6597" spans="2:2" x14ac:dyDescent="0.25">
      <c r="B6597" s="10"/>
    </row>
    <row r="6598" spans="2:2" x14ac:dyDescent="0.25">
      <c r="B6598" s="10"/>
    </row>
    <row r="6599" spans="2:2" x14ac:dyDescent="0.25">
      <c r="B6599" s="10"/>
    </row>
    <row r="6600" spans="2:2" x14ac:dyDescent="0.25">
      <c r="B6600" s="10"/>
    </row>
    <row r="6601" spans="2:2" x14ac:dyDescent="0.25">
      <c r="B6601" s="10"/>
    </row>
    <row r="6602" spans="2:2" x14ac:dyDescent="0.25">
      <c r="B6602" s="10"/>
    </row>
    <row r="6603" spans="2:2" x14ac:dyDescent="0.25">
      <c r="B6603" s="10"/>
    </row>
    <row r="6604" spans="2:2" x14ac:dyDescent="0.25">
      <c r="B6604" s="10"/>
    </row>
    <row r="6605" spans="2:2" x14ac:dyDescent="0.25">
      <c r="B6605" s="10"/>
    </row>
    <row r="6606" spans="2:2" x14ac:dyDescent="0.25">
      <c r="B6606" s="10"/>
    </row>
    <row r="6607" spans="2:2" x14ac:dyDescent="0.25">
      <c r="B6607" s="10"/>
    </row>
    <row r="6608" spans="2:2" x14ac:dyDescent="0.25">
      <c r="B6608" s="10"/>
    </row>
    <row r="6609" spans="2:2" x14ac:dyDescent="0.25">
      <c r="B6609" s="10"/>
    </row>
    <row r="6610" spans="2:2" x14ac:dyDescent="0.25">
      <c r="B6610" s="10"/>
    </row>
    <row r="6611" spans="2:2" x14ac:dyDescent="0.25">
      <c r="B6611" s="10"/>
    </row>
    <row r="6612" spans="2:2" x14ac:dyDescent="0.25">
      <c r="B6612" s="10"/>
    </row>
    <row r="6613" spans="2:2" x14ac:dyDescent="0.25">
      <c r="B6613" s="10"/>
    </row>
    <row r="6614" spans="2:2" x14ac:dyDescent="0.25">
      <c r="B6614" s="10"/>
    </row>
    <row r="6615" spans="2:2" x14ac:dyDescent="0.25">
      <c r="B6615" s="10"/>
    </row>
    <row r="6616" spans="2:2" x14ac:dyDescent="0.25">
      <c r="B6616" s="10"/>
    </row>
    <row r="6617" spans="2:2" x14ac:dyDescent="0.25">
      <c r="B6617" s="10"/>
    </row>
    <row r="6618" spans="2:2" x14ac:dyDescent="0.25">
      <c r="B6618" s="10"/>
    </row>
    <row r="6619" spans="2:2" x14ac:dyDescent="0.25">
      <c r="B6619" s="10"/>
    </row>
    <row r="6620" spans="2:2" x14ac:dyDescent="0.25">
      <c r="B6620" s="10"/>
    </row>
    <row r="6621" spans="2:2" x14ac:dyDescent="0.25">
      <c r="B6621" s="10"/>
    </row>
    <row r="6622" spans="2:2" x14ac:dyDescent="0.25">
      <c r="B6622" s="10"/>
    </row>
    <row r="6623" spans="2:2" x14ac:dyDescent="0.25">
      <c r="B6623" s="10"/>
    </row>
    <row r="6624" spans="2:2" x14ac:dyDescent="0.25">
      <c r="B6624" s="10"/>
    </row>
    <row r="6625" spans="2:2" x14ac:dyDescent="0.25">
      <c r="B6625" s="10"/>
    </row>
    <row r="6626" spans="2:2" x14ac:dyDescent="0.25">
      <c r="B6626" s="10"/>
    </row>
    <row r="6627" spans="2:2" x14ac:dyDescent="0.25">
      <c r="B6627" s="10"/>
    </row>
    <row r="6628" spans="2:2" x14ac:dyDescent="0.25">
      <c r="B6628" s="10"/>
    </row>
    <row r="6629" spans="2:2" x14ac:dyDescent="0.25">
      <c r="B6629" s="10"/>
    </row>
    <row r="6630" spans="2:2" x14ac:dyDescent="0.25">
      <c r="B6630" s="10"/>
    </row>
    <row r="6631" spans="2:2" x14ac:dyDescent="0.25">
      <c r="B6631" s="10"/>
    </row>
    <row r="6632" spans="2:2" x14ac:dyDescent="0.25">
      <c r="B6632" s="10"/>
    </row>
    <row r="6633" spans="2:2" x14ac:dyDescent="0.25">
      <c r="B6633" s="10"/>
    </row>
    <row r="6634" spans="2:2" x14ac:dyDescent="0.25">
      <c r="B6634" s="10"/>
    </row>
    <row r="6635" spans="2:2" x14ac:dyDescent="0.25">
      <c r="B6635" s="10"/>
    </row>
    <row r="6636" spans="2:2" x14ac:dyDescent="0.25">
      <c r="B6636" s="10"/>
    </row>
    <row r="6637" spans="2:2" x14ac:dyDescent="0.25">
      <c r="B6637" s="10"/>
    </row>
    <row r="6638" spans="2:2" x14ac:dyDescent="0.25">
      <c r="B6638" s="10"/>
    </row>
    <row r="6639" spans="2:2" x14ac:dyDescent="0.25">
      <c r="B6639" s="10"/>
    </row>
    <row r="6640" spans="2:2" x14ac:dyDescent="0.25">
      <c r="B6640" s="10"/>
    </row>
    <row r="6641" spans="2:2" x14ac:dyDescent="0.25">
      <c r="B6641" s="10"/>
    </row>
    <row r="6642" spans="2:2" x14ac:dyDescent="0.25">
      <c r="B6642" s="10"/>
    </row>
    <row r="6643" spans="2:2" x14ac:dyDescent="0.25">
      <c r="B6643" s="10"/>
    </row>
    <row r="6644" spans="2:2" x14ac:dyDescent="0.25">
      <c r="B6644" s="10"/>
    </row>
    <row r="6645" spans="2:2" x14ac:dyDescent="0.25">
      <c r="B6645" s="10"/>
    </row>
    <row r="6646" spans="2:2" x14ac:dyDescent="0.25">
      <c r="B6646" s="10"/>
    </row>
    <row r="6647" spans="2:2" x14ac:dyDescent="0.25">
      <c r="B6647" s="10"/>
    </row>
    <row r="6648" spans="2:2" x14ac:dyDescent="0.25">
      <c r="B6648" s="10"/>
    </row>
    <row r="6649" spans="2:2" x14ac:dyDescent="0.25">
      <c r="B6649" s="10"/>
    </row>
    <row r="6650" spans="2:2" x14ac:dyDescent="0.25">
      <c r="B6650" s="10"/>
    </row>
    <row r="6651" spans="2:2" x14ac:dyDescent="0.25">
      <c r="B6651" s="10"/>
    </row>
    <row r="6652" spans="2:2" x14ac:dyDescent="0.25">
      <c r="B6652" s="10"/>
    </row>
    <row r="6653" spans="2:2" x14ac:dyDescent="0.25">
      <c r="B6653" s="10"/>
    </row>
    <row r="6654" spans="2:2" x14ac:dyDescent="0.25">
      <c r="B6654" s="10"/>
    </row>
    <row r="6655" spans="2:2" x14ac:dyDescent="0.25">
      <c r="B6655" s="10"/>
    </row>
    <row r="6656" spans="2:2" x14ac:dyDescent="0.25">
      <c r="B6656" s="10"/>
    </row>
    <row r="6657" spans="2:2" x14ac:dyDescent="0.25">
      <c r="B6657" s="10"/>
    </row>
    <row r="6658" spans="2:2" x14ac:dyDescent="0.25">
      <c r="B6658" s="10"/>
    </row>
    <row r="6659" spans="2:2" x14ac:dyDescent="0.25">
      <c r="B6659" s="10"/>
    </row>
    <row r="6660" spans="2:2" x14ac:dyDescent="0.25">
      <c r="B6660" s="10"/>
    </row>
    <row r="6661" spans="2:2" x14ac:dyDescent="0.25">
      <c r="B6661" s="10"/>
    </row>
    <row r="6662" spans="2:2" x14ac:dyDescent="0.25">
      <c r="B6662" s="10"/>
    </row>
    <row r="6663" spans="2:2" x14ac:dyDescent="0.25">
      <c r="B6663" s="10"/>
    </row>
    <row r="6664" spans="2:2" x14ac:dyDescent="0.25">
      <c r="B6664" s="10"/>
    </row>
    <row r="6665" spans="2:2" x14ac:dyDescent="0.25">
      <c r="B6665" s="10"/>
    </row>
    <row r="6666" spans="2:2" x14ac:dyDescent="0.25">
      <c r="B6666" s="10"/>
    </row>
    <row r="6667" spans="2:2" x14ac:dyDescent="0.25">
      <c r="B6667" s="10"/>
    </row>
    <row r="6668" spans="2:2" x14ac:dyDescent="0.25">
      <c r="B6668" s="10"/>
    </row>
    <row r="6669" spans="2:2" x14ac:dyDescent="0.25">
      <c r="B6669" s="10"/>
    </row>
    <row r="6670" spans="2:2" x14ac:dyDescent="0.25">
      <c r="B6670" s="10"/>
    </row>
    <row r="6671" spans="2:2" x14ac:dyDescent="0.25">
      <c r="B6671" s="10"/>
    </row>
    <row r="6672" spans="2:2" x14ac:dyDescent="0.25">
      <c r="B6672" s="10"/>
    </row>
    <row r="6673" spans="2:2" x14ac:dyDescent="0.25">
      <c r="B6673" s="10"/>
    </row>
    <row r="6674" spans="2:2" x14ac:dyDescent="0.25">
      <c r="B6674" s="10"/>
    </row>
    <row r="6675" spans="2:2" x14ac:dyDescent="0.25">
      <c r="B6675" s="10"/>
    </row>
    <row r="6676" spans="2:2" x14ac:dyDescent="0.25">
      <c r="B6676" s="10"/>
    </row>
    <row r="6677" spans="2:2" x14ac:dyDescent="0.25">
      <c r="B6677" s="10"/>
    </row>
    <row r="6678" spans="2:2" x14ac:dyDescent="0.25">
      <c r="B6678" s="10"/>
    </row>
    <row r="6679" spans="2:2" x14ac:dyDescent="0.25">
      <c r="B6679" s="10"/>
    </row>
    <row r="6680" spans="2:2" x14ac:dyDescent="0.25">
      <c r="B6680" s="10"/>
    </row>
    <row r="6681" spans="2:2" x14ac:dyDescent="0.25">
      <c r="B6681" s="10"/>
    </row>
    <row r="6682" spans="2:2" x14ac:dyDescent="0.25">
      <c r="B6682" s="10"/>
    </row>
    <row r="6683" spans="2:2" x14ac:dyDescent="0.25">
      <c r="B6683" s="10"/>
    </row>
    <row r="6684" spans="2:2" x14ac:dyDescent="0.25">
      <c r="B6684" s="10"/>
    </row>
    <row r="6685" spans="2:2" x14ac:dyDescent="0.25">
      <c r="B6685" s="10"/>
    </row>
    <row r="6686" spans="2:2" x14ac:dyDescent="0.25">
      <c r="B6686" s="10"/>
    </row>
    <row r="6687" spans="2:2" x14ac:dyDescent="0.25">
      <c r="B6687" s="10"/>
    </row>
    <row r="6688" spans="2:2" x14ac:dyDescent="0.25">
      <c r="B6688" s="10"/>
    </row>
    <row r="6689" spans="2:2" x14ac:dyDescent="0.25">
      <c r="B6689" s="10"/>
    </row>
    <row r="6690" spans="2:2" x14ac:dyDescent="0.25">
      <c r="B6690" s="10"/>
    </row>
    <row r="6691" spans="2:2" x14ac:dyDescent="0.25">
      <c r="B6691" s="10"/>
    </row>
    <row r="6692" spans="2:2" x14ac:dyDescent="0.25">
      <c r="B6692" s="10"/>
    </row>
    <row r="6693" spans="2:2" x14ac:dyDescent="0.25">
      <c r="B6693" s="10"/>
    </row>
    <row r="6694" spans="2:2" x14ac:dyDescent="0.25">
      <c r="B6694" s="10"/>
    </row>
    <row r="6695" spans="2:2" x14ac:dyDescent="0.25">
      <c r="B6695" s="10"/>
    </row>
    <row r="6696" spans="2:2" x14ac:dyDescent="0.25">
      <c r="B6696" s="10"/>
    </row>
    <row r="6697" spans="2:2" x14ac:dyDescent="0.25">
      <c r="B6697" s="10"/>
    </row>
    <row r="6698" spans="2:2" x14ac:dyDescent="0.25">
      <c r="B6698" s="10"/>
    </row>
    <row r="6699" spans="2:2" x14ac:dyDescent="0.25">
      <c r="B6699" s="10"/>
    </row>
    <row r="6700" spans="2:2" x14ac:dyDescent="0.25">
      <c r="B6700" s="10"/>
    </row>
    <row r="6701" spans="2:2" x14ac:dyDescent="0.25">
      <c r="B6701" s="10"/>
    </row>
    <row r="6702" spans="2:2" x14ac:dyDescent="0.25">
      <c r="B6702" s="10"/>
    </row>
    <row r="6703" spans="2:2" x14ac:dyDescent="0.25">
      <c r="B6703" s="10"/>
    </row>
    <row r="6704" spans="2:2" x14ac:dyDescent="0.25">
      <c r="B6704" s="10"/>
    </row>
    <row r="6705" spans="2:2" x14ac:dyDescent="0.25">
      <c r="B6705" s="10"/>
    </row>
    <row r="6706" spans="2:2" x14ac:dyDescent="0.25">
      <c r="B6706" s="10"/>
    </row>
    <row r="6707" spans="2:2" x14ac:dyDescent="0.25">
      <c r="B6707" s="10"/>
    </row>
    <row r="6708" spans="2:2" x14ac:dyDescent="0.25">
      <c r="B6708" s="10"/>
    </row>
    <row r="6709" spans="2:2" x14ac:dyDescent="0.25">
      <c r="B6709" s="10"/>
    </row>
    <row r="6710" spans="2:2" x14ac:dyDescent="0.25">
      <c r="B6710" s="10"/>
    </row>
    <row r="6711" spans="2:2" x14ac:dyDescent="0.25">
      <c r="B6711" s="10"/>
    </row>
    <row r="6712" spans="2:2" x14ac:dyDescent="0.25">
      <c r="B6712" s="10"/>
    </row>
    <row r="6713" spans="2:2" x14ac:dyDescent="0.25">
      <c r="B6713" s="10"/>
    </row>
    <row r="6714" spans="2:2" x14ac:dyDescent="0.25">
      <c r="B6714" s="10"/>
    </row>
    <row r="6715" spans="2:2" x14ac:dyDescent="0.25">
      <c r="B6715" s="10"/>
    </row>
    <row r="6716" spans="2:2" x14ac:dyDescent="0.25">
      <c r="B6716" s="10"/>
    </row>
    <row r="6717" spans="2:2" x14ac:dyDescent="0.25">
      <c r="B6717" s="10"/>
    </row>
    <row r="6718" spans="2:2" x14ac:dyDescent="0.25">
      <c r="B6718" s="10"/>
    </row>
    <row r="6719" spans="2:2" x14ac:dyDescent="0.25">
      <c r="B6719" s="10"/>
    </row>
    <row r="6720" spans="2:2" x14ac:dyDescent="0.25">
      <c r="B6720" s="10"/>
    </row>
    <row r="6721" spans="2:2" x14ac:dyDescent="0.25">
      <c r="B6721" s="10"/>
    </row>
    <row r="6722" spans="2:2" x14ac:dyDescent="0.25">
      <c r="B6722" s="10"/>
    </row>
    <row r="6723" spans="2:2" x14ac:dyDescent="0.25">
      <c r="B6723" s="10"/>
    </row>
    <row r="6724" spans="2:2" x14ac:dyDescent="0.25">
      <c r="B6724" s="10"/>
    </row>
    <row r="6725" spans="2:2" x14ac:dyDescent="0.25">
      <c r="B6725" s="10"/>
    </row>
    <row r="6726" spans="2:2" x14ac:dyDescent="0.25">
      <c r="B6726" s="10"/>
    </row>
    <row r="6727" spans="2:2" x14ac:dyDescent="0.25">
      <c r="B6727" s="10"/>
    </row>
    <row r="6728" spans="2:2" x14ac:dyDescent="0.25">
      <c r="B6728" s="10"/>
    </row>
    <row r="6729" spans="2:2" x14ac:dyDescent="0.25">
      <c r="B6729" s="10"/>
    </row>
    <row r="6730" spans="2:2" x14ac:dyDescent="0.25">
      <c r="B6730" s="10"/>
    </row>
    <row r="6731" spans="2:2" x14ac:dyDescent="0.25">
      <c r="B6731" s="10"/>
    </row>
    <row r="6732" spans="2:2" x14ac:dyDescent="0.25">
      <c r="B6732" s="10"/>
    </row>
    <row r="6733" spans="2:2" x14ac:dyDescent="0.25">
      <c r="B6733" s="10"/>
    </row>
    <row r="6734" spans="2:2" x14ac:dyDescent="0.25">
      <c r="B6734" s="10"/>
    </row>
    <row r="6735" spans="2:2" x14ac:dyDescent="0.25">
      <c r="B6735" s="10"/>
    </row>
    <row r="6736" spans="2:2" x14ac:dyDescent="0.25">
      <c r="B6736" s="10"/>
    </row>
    <row r="6737" spans="2:2" x14ac:dyDescent="0.25">
      <c r="B6737" s="10"/>
    </row>
    <row r="6738" spans="2:2" x14ac:dyDescent="0.25">
      <c r="B6738" s="10"/>
    </row>
    <row r="6739" spans="2:2" x14ac:dyDescent="0.25">
      <c r="B6739" s="10"/>
    </row>
    <row r="6740" spans="2:2" x14ac:dyDescent="0.25">
      <c r="B6740" s="10"/>
    </row>
    <row r="6741" spans="2:2" x14ac:dyDescent="0.25">
      <c r="B6741" s="10"/>
    </row>
    <row r="6742" spans="2:2" x14ac:dyDescent="0.25">
      <c r="B6742" s="10"/>
    </row>
    <row r="6743" spans="2:2" x14ac:dyDescent="0.25">
      <c r="B6743" s="10"/>
    </row>
    <row r="6744" spans="2:2" x14ac:dyDescent="0.25">
      <c r="B6744" s="10"/>
    </row>
    <row r="6745" spans="2:2" x14ac:dyDescent="0.25">
      <c r="B6745" s="10"/>
    </row>
    <row r="6746" spans="2:2" x14ac:dyDescent="0.25">
      <c r="B6746" s="10"/>
    </row>
    <row r="6747" spans="2:2" x14ac:dyDescent="0.25">
      <c r="B6747" s="10"/>
    </row>
    <row r="6748" spans="2:2" x14ac:dyDescent="0.25">
      <c r="B6748" s="10"/>
    </row>
    <row r="6749" spans="2:2" x14ac:dyDescent="0.25">
      <c r="B6749" s="10"/>
    </row>
    <row r="6750" spans="2:2" x14ac:dyDescent="0.25">
      <c r="B6750" s="10"/>
    </row>
    <row r="6751" spans="2:2" x14ac:dyDescent="0.25">
      <c r="B6751" s="10"/>
    </row>
    <row r="6752" spans="2:2" x14ac:dyDescent="0.25">
      <c r="B6752" s="10"/>
    </row>
    <row r="6753" spans="2:2" x14ac:dyDescent="0.25">
      <c r="B6753" s="10"/>
    </row>
    <row r="6754" spans="2:2" x14ac:dyDescent="0.25">
      <c r="B6754" s="10"/>
    </row>
    <row r="6755" spans="2:2" x14ac:dyDescent="0.25">
      <c r="B6755" s="10"/>
    </row>
    <row r="6756" spans="2:2" x14ac:dyDescent="0.25">
      <c r="B6756" s="10"/>
    </row>
    <row r="6757" spans="2:2" x14ac:dyDescent="0.25">
      <c r="B6757" s="10"/>
    </row>
    <row r="6758" spans="2:2" x14ac:dyDescent="0.25">
      <c r="B6758" s="10"/>
    </row>
    <row r="6759" spans="2:2" x14ac:dyDescent="0.25">
      <c r="B6759" s="10"/>
    </row>
    <row r="6760" spans="2:2" x14ac:dyDescent="0.25">
      <c r="B6760" s="10"/>
    </row>
    <row r="6761" spans="2:2" x14ac:dyDescent="0.25">
      <c r="B6761" s="10"/>
    </row>
    <row r="6762" spans="2:2" x14ac:dyDescent="0.25">
      <c r="B6762" s="10"/>
    </row>
    <row r="6763" spans="2:2" x14ac:dyDescent="0.25">
      <c r="B6763" s="10"/>
    </row>
    <row r="6764" spans="2:2" x14ac:dyDescent="0.25">
      <c r="B6764" s="10"/>
    </row>
    <row r="6765" spans="2:2" x14ac:dyDescent="0.25">
      <c r="B6765" s="10"/>
    </row>
    <row r="6766" spans="2:2" x14ac:dyDescent="0.25">
      <c r="B6766" s="10"/>
    </row>
    <row r="6767" spans="2:2" x14ac:dyDescent="0.25">
      <c r="B6767" s="10"/>
    </row>
    <row r="6768" spans="2:2" x14ac:dyDescent="0.25">
      <c r="B6768" s="10"/>
    </row>
    <row r="6769" spans="2:2" x14ac:dyDescent="0.25">
      <c r="B6769" s="10"/>
    </row>
    <row r="6770" spans="2:2" x14ac:dyDescent="0.25">
      <c r="B6770" s="10"/>
    </row>
    <row r="6771" spans="2:2" x14ac:dyDescent="0.25">
      <c r="B6771" s="10"/>
    </row>
    <row r="6772" spans="2:2" x14ac:dyDescent="0.25">
      <c r="B6772" s="10"/>
    </row>
    <row r="6773" spans="2:2" x14ac:dyDescent="0.25">
      <c r="B6773" s="10"/>
    </row>
    <row r="6774" spans="2:2" x14ac:dyDescent="0.25">
      <c r="B6774" s="10"/>
    </row>
    <row r="6775" spans="2:2" x14ac:dyDescent="0.25">
      <c r="B6775" s="10"/>
    </row>
    <row r="6776" spans="2:2" x14ac:dyDescent="0.25">
      <c r="B6776" s="10"/>
    </row>
    <row r="6777" spans="2:2" x14ac:dyDescent="0.25">
      <c r="B6777" s="10"/>
    </row>
    <row r="6778" spans="2:2" x14ac:dyDescent="0.25">
      <c r="B6778" s="10"/>
    </row>
    <row r="6779" spans="2:2" x14ac:dyDescent="0.25">
      <c r="B6779" s="10"/>
    </row>
    <row r="6780" spans="2:2" x14ac:dyDescent="0.25">
      <c r="B6780" s="10"/>
    </row>
    <row r="6781" spans="2:2" x14ac:dyDescent="0.25">
      <c r="B6781" s="10"/>
    </row>
    <row r="6782" spans="2:2" x14ac:dyDescent="0.25">
      <c r="B6782" s="10"/>
    </row>
    <row r="6783" spans="2:2" x14ac:dyDescent="0.25">
      <c r="B6783" s="10"/>
    </row>
    <row r="6784" spans="2:2" x14ac:dyDescent="0.25">
      <c r="B6784" s="10"/>
    </row>
    <row r="6785" spans="2:2" x14ac:dyDescent="0.25">
      <c r="B6785" s="10"/>
    </row>
    <row r="6786" spans="2:2" x14ac:dyDescent="0.25">
      <c r="B6786" s="10"/>
    </row>
    <row r="6787" spans="2:2" x14ac:dyDescent="0.25">
      <c r="B6787" s="10"/>
    </row>
    <row r="6788" spans="2:2" x14ac:dyDescent="0.25">
      <c r="B6788" s="10"/>
    </row>
    <row r="6789" spans="2:2" x14ac:dyDescent="0.25">
      <c r="B6789" s="10"/>
    </row>
    <row r="6790" spans="2:2" x14ac:dyDescent="0.25">
      <c r="B6790" s="10"/>
    </row>
    <row r="6791" spans="2:2" x14ac:dyDescent="0.25">
      <c r="B6791" s="10"/>
    </row>
    <row r="6792" spans="2:2" x14ac:dyDescent="0.25">
      <c r="B6792" s="10"/>
    </row>
    <row r="6793" spans="2:2" x14ac:dyDescent="0.25">
      <c r="B6793" s="10"/>
    </row>
    <row r="6794" spans="2:2" x14ac:dyDescent="0.25">
      <c r="B6794" s="10"/>
    </row>
    <row r="6795" spans="2:2" x14ac:dyDescent="0.25">
      <c r="B6795" s="10"/>
    </row>
    <row r="6796" spans="2:2" x14ac:dyDescent="0.25">
      <c r="B6796" s="10"/>
    </row>
    <row r="6797" spans="2:2" x14ac:dyDescent="0.25">
      <c r="B6797" s="10"/>
    </row>
    <row r="6798" spans="2:2" x14ac:dyDescent="0.25">
      <c r="B6798" s="10"/>
    </row>
    <row r="6799" spans="2:2" x14ac:dyDescent="0.25">
      <c r="B6799" s="10"/>
    </row>
    <row r="6800" spans="2:2" x14ac:dyDescent="0.25">
      <c r="B6800" s="10"/>
    </row>
    <row r="6801" spans="2:2" x14ac:dyDescent="0.25">
      <c r="B6801" s="10"/>
    </row>
    <row r="6802" spans="2:2" x14ac:dyDescent="0.25">
      <c r="B6802" s="10"/>
    </row>
    <row r="6803" spans="2:2" x14ac:dyDescent="0.25">
      <c r="B6803" s="10"/>
    </row>
    <row r="6804" spans="2:2" x14ac:dyDescent="0.25">
      <c r="B6804" s="10"/>
    </row>
    <row r="6805" spans="2:2" x14ac:dyDescent="0.25">
      <c r="B6805" s="10"/>
    </row>
    <row r="6806" spans="2:2" x14ac:dyDescent="0.25">
      <c r="B6806" s="10"/>
    </row>
    <row r="6807" spans="2:2" x14ac:dyDescent="0.25">
      <c r="B6807" s="10"/>
    </row>
    <row r="6808" spans="2:2" x14ac:dyDescent="0.25">
      <c r="B6808" s="10"/>
    </row>
    <row r="6809" spans="2:2" x14ac:dyDescent="0.25">
      <c r="B6809" s="10"/>
    </row>
    <row r="6810" spans="2:2" x14ac:dyDescent="0.25">
      <c r="B6810" s="10"/>
    </row>
    <row r="6811" spans="2:2" x14ac:dyDescent="0.25">
      <c r="B6811" s="10"/>
    </row>
    <row r="6812" spans="2:2" x14ac:dyDescent="0.25">
      <c r="B6812" s="10"/>
    </row>
    <row r="6813" spans="2:2" x14ac:dyDescent="0.25">
      <c r="B6813" s="10"/>
    </row>
    <row r="6814" spans="2:2" x14ac:dyDescent="0.25">
      <c r="B6814" s="10"/>
    </row>
    <row r="6815" spans="2:2" x14ac:dyDescent="0.25">
      <c r="B6815" s="10"/>
    </row>
    <row r="6816" spans="2:2" x14ac:dyDescent="0.25">
      <c r="B6816" s="10"/>
    </row>
    <row r="6817" spans="2:2" x14ac:dyDescent="0.25">
      <c r="B6817" s="10"/>
    </row>
    <row r="6818" spans="2:2" x14ac:dyDescent="0.25">
      <c r="B6818" s="10"/>
    </row>
    <row r="6819" spans="2:2" x14ac:dyDescent="0.25">
      <c r="B6819" s="10"/>
    </row>
    <row r="6820" spans="2:2" x14ac:dyDescent="0.25">
      <c r="B6820" s="10"/>
    </row>
    <row r="6821" spans="2:2" x14ac:dyDescent="0.25">
      <c r="B6821" s="10"/>
    </row>
    <row r="6822" spans="2:2" x14ac:dyDescent="0.25">
      <c r="B6822" s="10"/>
    </row>
    <row r="6823" spans="2:2" x14ac:dyDescent="0.25">
      <c r="B6823" s="10"/>
    </row>
    <row r="6824" spans="2:2" x14ac:dyDescent="0.25">
      <c r="B6824" s="10"/>
    </row>
    <row r="6825" spans="2:2" x14ac:dyDescent="0.25">
      <c r="B6825" s="10"/>
    </row>
    <row r="6826" spans="2:2" x14ac:dyDescent="0.25">
      <c r="B6826" s="10"/>
    </row>
    <row r="6827" spans="2:2" x14ac:dyDescent="0.25">
      <c r="B6827" s="10"/>
    </row>
    <row r="6828" spans="2:2" x14ac:dyDescent="0.25">
      <c r="B6828" s="10"/>
    </row>
    <row r="6829" spans="2:2" x14ac:dyDescent="0.25">
      <c r="B6829" s="10"/>
    </row>
    <row r="6830" spans="2:2" x14ac:dyDescent="0.25">
      <c r="B6830" s="10"/>
    </row>
    <row r="6831" spans="2:2" x14ac:dyDescent="0.25">
      <c r="B6831" s="10"/>
    </row>
    <row r="6832" spans="2:2" x14ac:dyDescent="0.25">
      <c r="B6832" s="10"/>
    </row>
    <row r="6833" spans="2:2" x14ac:dyDescent="0.25">
      <c r="B6833" s="10"/>
    </row>
    <row r="6834" spans="2:2" x14ac:dyDescent="0.25">
      <c r="B6834" s="10"/>
    </row>
    <row r="6835" spans="2:2" x14ac:dyDescent="0.25">
      <c r="B6835" s="10"/>
    </row>
    <row r="6836" spans="2:2" x14ac:dyDescent="0.25">
      <c r="B6836" s="10"/>
    </row>
    <row r="6837" spans="2:2" x14ac:dyDescent="0.25">
      <c r="B6837" s="10"/>
    </row>
    <row r="6838" spans="2:2" x14ac:dyDescent="0.25">
      <c r="B6838" s="10"/>
    </row>
    <row r="6839" spans="2:2" x14ac:dyDescent="0.25">
      <c r="B6839" s="10"/>
    </row>
    <row r="6840" spans="2:2" x14ac:dyDescent="0.25">
      <c r="B6840" s="10"/>
    </row>
    <row r="6841" spans="2:2" x14ac:dyDescent="0.25">
      <c r="B6841" s="10"/>
    </row>
    <row r="6842" spans="2:2" x14ac:dyDescent="0.25">
      <c r="B6842" s="10"/>
    </row>
    <row r="6843" spans="2:2" x14ac:dyDescent="0.25">
      <c r="B6843" s="10"/>
    </row>
    <row r="6844" spans="2:2" x14ac:dyDescent="0.25">
      <c r="B6844" s="10"/>
    </row>
    <row r="6845" spans="2:2" x14ac:dyDescent="0.25">
      <c r="B6845" s="10"/>
    </row>
    <row r="6846" spans="2:2" x14ac:dyDescent="0.25">
      <c r="B6846" s="10"/>
    </row>
    <row r="6847" spans="2:2" x14ac:dyDescent="0.25">
      <c r="B6847" s="10"/>
    </row>
    <row r="6848" spans="2:2" x14ac:dyDescent="0.25">
      <c r="B6848" s="10"/>
    </row>
    <row r="6849" spans="2:2" x14ac:dyDescent="0.25">
      <c r="B6849" s="10"/>
    </row>
    <row r="6850" spans="2:2" x14ac:dyDescent="0.25">
      <c r="B6850" s="10"/>
    </row>
    <row r="6851" spans="2:2" x14ac:dyDescent="0.25">
      <c r="B6851" s="10"/>
    </row>
    <row r="6852" spans="2:2" x14ac:dyDescent="0.25">
      <c r="B6852" s="10"/>
    </row>
    <row r="6853" spans="2:2" x14ac:dyDescent="0.25">
      <c r="B6853" s="10"/>
    </row>
    <row r="6854" spans="2:2" x14ac:dyDescent="0.25">
      <c r="B6854" s="10"/>
    </row>
    <row r="6855" spans="2:2" x14ac:dyDescent="0.25">
      <c r="B6855" s="10"/>
    </row>
    <row r="6856" spans="2:2" x14ac:dyDescent="0.25">
      <c r="B6856" s="10"/>
    </row>
    <row r="6857" spans="2:2" x14ac:dyDescent="0.25">
      <c r="B6857" s="10"/>
    </row>
    <row r="6858" spans="2:2" x14ac:dyDescent="0.25">
      <c r="B6858" s="10"/>
    </row>
    <row r="6859" spans="2:2" x14ac:dyDescent="0.25">
      <c r="B6859" s="10"/>
    </row>
    <row r="6860" spans="2:2" x14ac:dyDescent="0.25">
      <c r="B6860" s="10"/>
    </row>
    <row r="6861" spans="2:2" x14ac:dyDescent="0.25">
      <c r="B6861" s="10"/>
    </row>
    <row r="6862" spans="2:2" x14ac:dyDescent="0.25">
      <c r="B6862" s="10"/>
    </row>
    <row r="6863" spans="2:2" x14ac:dyDescent="0.25">
      <c r="B6863" s="10"/>
    </row>
    <row r="6864" spans="2:2" x14ac:dyDescent="0.25">
      <c r="B6864" s="10"/>
    </row>
    <row r="6865" spans="2:2" x14ac:dyDescent="0.25">
      <c r="B6865" s="10"/>
    </row>
    <row r="6866" spans="2:2" x14ac:dyDescent="0.25">
      <c r="B6866" s="10"/>
    </row>
    <row r="6867" spans="2:2" x14ac:dyDescent="0.25">
      <c r="B6867" s="10"/>
    </row>
    <row r="6868" spans="2:2" x14ac:dyDescent="0.25">
      <c r="B6868" s="10"/>
    </row>
    <row r="6869" spans="2:2" x14ac:dyDescent="0.25">
      <c r="B6869" s="10"/>
    </row>
    <row r="6870" spans="2:2" x14ac:dyDescent="0.25">
      <c r="B6870" s="10"/>
    </row>
    <row r="6871" spans="2:2" x14ac:dyDescent="0.25">
      <c r="B6871" s="10"/>
    </row>
    <row r="6872" spans="2:2" x14ac:dyDescent="0.25">
      <c r="B6872" s="10"/>
    </row>
    <row r="6873" spans="2:2" x14ac:dyDescent="0.25">
      <c r="B6873" s="10"/>
    </row>
    <row r="6874" spans="2:2" x14ac:dyDescent="0.25">
      <c r="B6874" s="10"/>
    </row>
    <row r="6875" spans="2:2" x14ac:dyDescent="0.25">
      <c r="B6875" s="10"/>
    </row>
    <row r="6876" spans="2:2" x14ac:dyDescent="0.25">
      <c r="B6876" s="10"/>
    </row>
    <row r="6877" spans="2:2" x14ac:dyDescent="0.25">
      <c r="B6877" s="10"/>
    </row>
    <row r="6878" spans="2:2" x14ac:dyDescent="0.25">
      <c r="B6878" s="10"/>
    </row>
    <row r="6879" spans="2:2" x14ac:dyDescent="0.25">
      <c r="B6879" s="10"/>
    </row>
    <row r="6880" spans="2:2" x14ac:dyDescent="0.25">
      <c r="B6880" s="10"/>
    </row>
    <row r="6881" spans="2:2" x14ac:dyDescent="0.25">
      <c r="B6881" s="10"/>
    </row>
    <row r="6882" spans="2:2" x14ac:dyDescent="0.25">
      <c r="B6882" s="10"/>
    </row>
    <row r="6883" spans="2:2" x14ac:dyDescent="0.25">
      <c r="B6883" s="10"/>
    </row>
    <row r="6884" spans="2:2" x14ac:dyDescent="0.25">
      <c r="B6884" s="10"/>
    </row>
    <row r="6885" spans="2:2" x14ac:dyDescent="0.25">
      <c r="B6885" s="10"/>
    </row>
    <row r="6886" spans="2:2" x14ac:dyDescent="0.25">
      <c r="B6886" s="10"/>
    </row>
    <row r="6887" spans="2:2" x14ac:dyDescent="0.25">
      <c r="B6887" s="10"/>
    </row>
    <row r="6888" spans="2:2" x14ac:dyDescent="0.25">
      <c r="B6888" s="10"/>
    </row>
    <row r="6889" spans="2:2" x14ac:dyDescent="0.25">
      <c r="B6889" s="10"/>
    </row>
    <row r="6890" spans="2:2" x14ac:dyDescent="0.25">
      <c r="B6890" s="10"/>
    </row>
    <row r="6891" spans="2:2" x14ac:dyDescent="0.25">
      <c r="B6891" s="10"/>
    </row>
    <row r="6892" spans="2:2" x14ac:dyDescent="0.25">
      <c r="B6892" s="10"/>
    </row>
    <row r="6893" spans="2:2" x14ac:dyDescent="0.25">
      <c r="B6893" s="10"/>
    </row>
    <row r="6894" spans="2:2" x14ac:dyDescent="0.25">
      <c r="B6894" s="10"/>
    </row>
    <row r="6895" spans="2:2" x14ac:dyDescent="0.25">
      <c r="B6895" s="10"/>
    </row>
    <row r="6896" spans="2:2" x14ac:dyDescent="0.25">
      <c r="B6896" s="10"/>
    </row>
    <row r="6897" spans="2:2" x14ac:dyDescent="0.25">
      <c r="B6897" s="10"/>
    </row>
    <row r="6898" spans="2:2" x14ac:dyDescent="0.25">
      <c r="B6898" s="10"/>
    </row>
    <row r="6899" spans="2:2" x14ac:dyDescent="0.25">
      <c r="B6899" s="10"/>
    </row>
    <row r="6900" spans="2:2" x14ac:dyDescent="0.25">
      <c r="B6900" s="10"/>
    </row>
    <row r="6901" spans="2:2" x14ac:dyDescent="0.25">
      <c r="B6901" s="10"/>
    </row>
    <row r="6902" spans="2:2" x14ac:dyDescent="0.25">
      <c r="B6902" s="10"/>
    </row>
    <row r="6903" spans="2:2" x14ac:dyDescent="0.25">
      <c r="B6903" s="10"/>
    </row>
    <row r="6904" spans="2:2" x14ac:dyDescent="0.25">
      <c r="B6904" s="10"/>
    </row>
    <row r="6905" spans="2:2" x14ac:dyDescent="0.25">
      <c r="B6905" s="10"/>
    </row>
    <row r="6906" spans="2:2" x14ac:dyDescent="0.25">
      <c r="B6906" s="10"/>
    </row>
    <row r="6907" spans="2:2" x14ac:dyDescent="0.25">
      <c r="B6907" s="10"/>
    </row>
    <row r="6908" spans="2:2" x14ac:dyDescent="0.25">
      <c r="B6908" s="10"/>
    </row>
    <row r="6909" spans="2:2" x14ac:dyDescent="0.25">
      <c r="B6909" s="10"/>
    </row>
    <row r="6910" spans="2:2" x14ac:dyDescent="0.25">
      <c r="B6910" s="10"/>
    </row>
    <row r="6911" spans="2:2" x14ac:dyDescent="0.25">
      <c r="B6911" s="10"/>
    </row>
    <row r="6912" spans="2:2" x14ac:dyDescent="0.25">
      <c r="B6912" s="10"/>
    </row>
    <row r="6913" spans="2:2" x14ac:dyDescent="0.25">
      <c r="B6913" s="10"/>
    </row>
    <row r="6914" spans="2:2" x14ac:dyDescent="0.25">
      <c r="B6914" s="10"/>
    </row>
    <row r="6915" spans="2:2" x14ac:dyDescent="0.25">
      <c r="B6915" s="10"/>
    </row>
    <row r="6916" spans="2:2" x14ac:dyDescent="0.25">
      <c r="B6916" s="10"/>
    </row>
    <row r="6917" spans="2:2" x14ac:dyDescent="0.25">
      <c r="B6917" s="10"/>
    </row>
    <row r="6918" spans="2:2" x14ac:dyDescent="0.25">
      <c r="B6918" s="10"/>
    </row>
    <row r="6919" spans="2:2" x14ac:dyDescent="0.25">
      <c r="B6919" s="10"/>
    </row>
    <row r="6920" spans="2:2" x14ac:dyDescent="0.25">
      <c r="B6920" s="10"/>
    </row>
    <row r="6921" spans="2:2" x14ac:dyDescent="0.25">
      <c r="B6921" s="10"/>
    </row>
    <row r="6922" spans="2:2" x14ac:dyDescent="0.25">
      <c r="B6922" s="10"/>
    </row>
    <row r="6923" spans="2:2" x14ac:dyDescent="0.25">
      <c r="B6923" s="10"/>
    </row>
    <row r="6924" spans="2:2" x14ac:dyDescent="0.25">
      <c r="B6924" s="10"/>
    </row>
    <row r="6925" spans="2:2" x14ac:dyDescent="0.25">
      <c r="B6925" s="10"/>
    </row>
    <row r="6926" spans="2:2" x14ac:dyDescent="0.25">
      <c r="B6926" s="10"/>
    </row>
    <row r="6927" spans="2:2" x14ac:dyDescent="0.25">
      <c r="B6927" s="10"/>
    </row>
    <row r="6928" spans="2:2" x14ac:dyDescent="0.25">
      <c r="B6928" s="10"/>
    </row>
    <row r="6929" spans="2:2" x14ac:dyDescent="0.25">
      <c r="B6929" s="10"/>
    </row>
    <row r="6930" spans="2:2" x14ac:dyDescent="0.25">
      <c r="B6930" s="10"/>
    </row>
    <row r="6931" spans="2:2" x14ac:dyDescent="0.25">
      <c r="B6931" s="10"/>
    </row>
    <row r="6932" spans="2:2" x14ac:dyDescent="0.25">
      <c r="B6932" s="10"/>
    </row>
    <row r="6933" spans="2:2" x14ac:dyDescent="0.25">
      <c r="B6933" s="10"/>
    </row>
    <row r="6934" spans="2:2" x14ac:dyDescent="0.25">
      <c r="B6934" s="10"/>
    </row>
    <row r="6935" spans="2:2" x14ac:dyDescent="0.25">
      <c r="B6935" s="10"/>
    </row>
    <row r="6936" spans="2:2" x14ac:dyDescent="0.25">
      <c r="B6936" s="10"/>
    </row>
    <row r="6937" spans="2:2" x14ac:dyDescent="0.25">
      <c r="B6937" s="10"/>
    </row>
    <row r="6938" spans="2:2" x14ac:dyDescent="0.25">
      <c r="B6938" s="10"/>
    </row>
    <row r="6939" spans="2:2" x14ac:dyDescent="0.25">
      <c r="B6939" s="10"/>
    </row>
    <row r="6940" spans="2:2" x14ac:dyDescent="0.25">
      <c r="B6940" s="10"/>
    </row>
    <row r="6941" spans="2:2" x14ac:dyDescent="0.25">
      <c r="B6941" s="10"/>
    </row>
    <row r="6942" spans="2:2" x14ac:dyDescent="0.25">
      <c r="B6942" s="10"/>
    </row>
    <row r="6943" spans="2:2" x14ac:dyDescent="0.25">
      <c r="B6943" s="10"/>
    </row>
    <row r="6944" spans="2:2" x14ac:dyDescent="0.25">
      <c r="B6944" s="10"/>
    </row>
    <row r="6945" spans="2:2" x14ac:dyDescent="0.25">
      <c r="B6945" s="10"/>
    </row>
    <row r="6946" spans="2:2" x14ac:dyDescent="0.25">
      <c r="B6946" s="10"/>
    </row>
    <row r="6947" spans="2:2" x14ac:dyDescent="0.25">
      <c r="B6947" s="10"/>
    </row>
    <row r="6948" spans="2:2" x14ac:dyDescent="0.25">
      <c r="B6948" s="10"/>
    </row>
    <row r="6949" spans="2:2" x14ac:dyDescent="0.25">
      <c r="B6949" s="10"/>
    </row>
    <row r="6950" spans="2:2" x14ac:dyDescent="0.25">
      <c r="B6950" s="10"/>
    </row>
    <row r="6951" spans="2:2" x14ac:dyDescent="0.25">
      <c r="B6951" s="10"/>
    </row>
    <row r="6952" spans="2:2" x14ac:dyDescent="0.25">
      <c r="B6952" s="10"/>
    </row>
    <row r="6953" spans="2:2" x14ac:dyDescent="0.25">
      <c r="B6953" s="10"/>
    </row>
    <row r="6954" spans="2:2" x14ac:dyDescent="0.25">
      <c r="B6954" s="10"/>
    </row>
    <row r="6955" spans="2:2" x14ac:dyDescent="0.25">
      <c r="B6955" s="10"/>
    </row>
    <row r="6956" spans="2:2" x14ac:dyDescent="0.25">
      <c r="B6956" s="10"/>
    </row>
    <row r="6957" spans="2:2" x14ac:dyDescent="0.25">
      <c r="B6957" s="10"/>
    </row>
    <row r="6958" spans="2:2" x14ac:dyDescent="0.25">
      <c r="B6958" s="10"/>
    </row>
    <row r="6959" spans="2:2" x14ac:dyDescent="0.25">
      <c r="B6959" s="10"/>
    </row>
    <row r="6960" spans="2:2" x14ac:dyDescent="0.25">
      <c r="B6960" s="10"/>
    </row>
    <row r="6961" spans="2:2" x14ac:dyDescent="0.25">
      <c r="B6961" s="10"/>
    </row>
    <row r="6962" spans="2:2" x14ac:dyDescent="0.25">
      <c r="B6962" s="10"/>
    </row>
    <row r="6963" spans="2:2" x14ac:dyDescent="0.25">
      <c r="B6963" s="10"/>
    </row>
    <row r="6964" spans="2:2" x14ac:dyDescent="0.25">
      <c r="B6964" s="10"/>
    </row>
    <row r="6965" spans="2:2" x14ac:dyDescent="0.25">
      <c r="B6965" s="10"/>
    </row>
    <row r="6966" spans="2:2" x14ac:dyDescent="0.25">
      <c r="B6966" s="10"/>
    </row>
    <row r="6967" spans="2:2" x14ac:dyDescent="0.25">
      <c r="B6967" s="10"/>
    </row>
    <row r="6968" spans="2:2" x14ac:dyDescent="0.25">
      <c r="B6968" s="10"/>
    </row>
    <row r="6969" spans="2:2" x14ac:dyDescent="0.25">
      <c r="B6969" s="10"/>
    </row>
    <row r="6970" spans="2:2" x14ac:dyDescent="0.25">
      <c r="B6970" s="10"/>
    </row>
    <row r="6971" spans="2:2" x14ac:dyDescent="0.25">
      <c r="B6971" s="10"/>
    </row>
    <row r="6972" spans="2:2" x14ac:dyDescent="0.25">
      <c r="B6972" s="10"/>
    </row>
    <row r="6973" spans="2:2" x14ac:dyDescent="0.25">
      <c r="B6973" s="10"/>
    </row>
    <row r="6974" spans="2:2" x14ac:dyDescent="0.25">
      <c r="B6974" s="10"/>
    </row>
    <row r="6975" spans="2:2" x14ac:dyDescent="0.25">
      <c r="B6975" s="10"/>
    </row>
    <row r="6976" spans="2:2" x14ac:dyDescent="0.25">
      <c r="B6976" s="10"/>
    </row>
    <row r="6977" spans="2:2" x14ac:dyDescent="0.25">
      <c r="B6977" s="10"/>
    </row>
    <row r="6978" spans="2:2" x14ac:dyDescent="0.25">
      <c r="B6978" s="10"/>
    </row>
    <row r="6979" spans="2:2" x14ac:dyDescent="0.25">
      <c r="B6979" s="10"/>
    </row>
    <row r="6980" spans="2:2" x14ac:dyDescent="0.25">
      <c r="B6980" s="10"/>
    </row>
    <row r="6981" spans="2:2" x14ac:dyDescent="0.25">
      <c r="B6981" s="10"/>
    </row>
    <row r="6982" spans="2:2" x14ac:dyDescent="0.25">
      <c r="B6982" s="10"/>
    </row>
    <row r="6983" spans="2:2" x14ac:dyDescent="0.25">
      <c r="B6983" s="10"/>
    </row>
    <row r="6984" spans="2:2" x14ac:dyDescent="0.25">
      <c r="B6984" s="10"/>
    </row>
    <row r="6985" spans="2:2" x14ac:dyDescent="0.25">
      <c r="B6985" s="10"/>
    </row>
    <row r="6986" spans="2:2" x14ac:dyDescent="0.25">
      <c r="B6986" s="10"/>
    </row>
    <row r="6987" spans="2:2" x14ac:dyDescent="0.25">
      <c r="B6987" s="10"/>
    </row>
    <row r="6988" spans="2:2" x14ac:dyDescent="0.25">
      <c r="B6988" s="10"/>
    </row>
    <row r="6989" spans="2:2" x14ac:dyDescent="0.25">
      <c r="B6989" s="10"/>
    </row>
    <row r="6990" spans="2:2" x14ac:dyDescent="0.25">
      <c r="B6990" s="10"/>
    </row>
    <row r="6991" spans="2:2" x14ac:dyDescent="0.25">
      <c r="B6991" s="10"/>
    </row>
    <row r="6992" spans="2:2" x14ac:dyDescent="0.25">
      <c r="B6992" s="10"/>
    </row>
    <row r="6993" spans="2:2" x14ac:dyDescent="0.25">
      <c r="B6993" s="10"/>
    </row>
    <row r="6994" spans="2:2" x14ac:dyDescent="0.25">
      <c r="B6994" s="10"/>
    </row>
    <row r="6995" spans="2:2" x14ac:dyDescent="0.25">
      <c r="B6995" s="10"/>
    </row>
    <row r="6996" spans="2:2" x14ac:dyDescent="0.25">
      <c r="B6996" s="10"/>
    </row>
    <row r="6997" spans="2:2" x14ac:dyDescent="0.25">
      <c r="B6997" s="10"/>
    </row>
    <row r="6998" spans="2:2" x14ac:dyDescent="0.25">
      <c r="B6998" s="10"/>
    </row>
    <row r="6999" spans="2:2" x14ac:dyDescent="0.25">
      <c r="B6999" s="10"/>
    </row>
    <row r="7000" spans="2:2" x14ac:dyDescent="0.25">
      <c r="B7000" s="10"/>
    </row>
    <row r="7001" spans="2:2" x14ac:dyDescent="0.25">
      <c r="B7001" s="10"/>
    </row>
    <row r="7002" spans="2:2" x14ac:dyDescent="0.25">
      <c r="B7002" s="10"/>
    </row>
    <row r="7003" spans="2:2" x14ac:dyDescent="0.25">
      <c r="B7003" s="10"/>
    </row>
    <row r="7004" spans="2:2" x14ac:dyDescent="0.25">
      <c r="B7004" s="10"/>
    </row>
    <row r="7005" spans="2:2" x14ac:dyDescent="0.25">
      <c r="B7005" s="10"/>
    </row>
    <row r="7006" spans="2:2" x14ac:dyDescent="0.25">
      <c r="B7006" s="10"/>
    </row>
    <row r="7007" spans="2:2" x14ac:dyDescent="0.25">
      <c r="B7007" s="10"/>
    </row>
    <row r="7008" spans="2:2" x14ac:dyDescent="0.25">
      <c r="B7008" s="10"/>
    </row>
    <row r="7009" spans="2:2" x14ac:dyDescent="0.25">
      <c r="B7009" s="10"/>
    </row>
    <row r="7010" spans="2:2" x14ac:dyDescent="0.25">
      <c r="B7010" s="10"/>
    </row>
    <row r="7011" spans="2:2" x14ac:dyDescent="0.25">
      <c r="B7011" s="10"/>
    </row>
    <row r="7012" spans="2:2" x14ac:dyDescent="0.25">
      <c r="B7012" s="10"/>
    </row>
    <row r="7013" spans="2:2" x14ac:dyDescent="0.25">
      <c r="B7013" s="10"/>
    </row>
    <row r="7014" spans="2:2" x14ac:dyDescent="0.25">
      <c r="B7014" s="10"/>
    </row>
    <row r="7015" spans="2:2" x14ac:dyDescent="0.25">
      <c r="B7015" s="10"/>
    </row>
    <row r="7016" spans="2:2" x14ac:dyDescent="0.25">
      <c r="B7016" s="10"/>
    </row>
    <row r="7017" spans="2:2" x14ac:dyDescent="0.25">
      <c r="B7017" s="10"/>
    </row>
    <row r="7018" spans="2:2" x14ac:dyDescent="0.25">
      <c r="B7018" s="10"/>
    </row>
    <row r="7019" spans="2:2" x14ac:dyDescent="0.25">
      <c r="B7019" s="10"/>
    </row>
    <row r="7020" spans="2:2" x14ac:dyDescent="0.25">
      <c r="B7020" s="10"/>
    </row>
    <row r="7021" spans="2:2" x14ac:dyDescent="0.25">
      <c r="B7021" s="10"/>
    </row>
    <row r="7022" spans="2:2" x14ac:dyDescent="0.25">
      <c r="B7022" s="10"/>
    </row>
    <row r="7023" spans="2:2" x14ac:dyDescent="0.25">
      <c r="B7023" s="10"/>
    </row>
    <row r="7024" spans="2:2" x14ac:dyDescent="0.25">
      <c r="B7024" s="10"/>
    </row>
    <row r="7025" spans="2:2" x14ac:dyDescent="0.25">
      <c r="B7025" s="10"/>
    </row>
    <row r="7026" spans="2:2" x14ac:dyDescent="0.25">
      <c r="B7026" s="10"/>
    </row>
    <row r="7027" spans="2:2" x14ac:dyDescent="0.25">
      <c r="B7027" s="10"/>
    </row>
    <row r="7028" spans="2:2" x14ac:dyDescent="0.25">
      <c r="B7028" s="10"/>
    </row>
    <row r="7029" spans="2:2" x14ac:dyDescent="0.25">
      <c r="B7029" s="10"/>
    </row>
    <row r="7030" spans="2:2" x14ac:dyDescent="0.25">
      <c r="B7030" s="10"/>
    </row>
    <row r="7031" spans="2:2" x14ac:dyDescent="0.25">
      <c r="B7031" s="10"/>
    </row>
    <row r="7032" spans="2:2" x14ac:dyDescent="0.25">
      <c r="B7032" s="10"/>
    </row>
    <row r="7033" spans="2:2" x14ac:dyDescent="0.25">
      <c r="B7033" s="10"/>
    </row>
    <row r="7034" spans="2:2" x14ac:dyDescent="0.25">
      <c r="B7034" s="10"/>
    </row>
    <row r="7035" spans="2:2" x14ac:dyDescent="0.25">
      <c r="B7035" s="10"/>
    </row>
    <row r="7036" spans="2:2" x14ac:dyDescent="0.25">
      <c r="B7036" s="10"/>
    </row>
    <row r="7037" spans="2:2" x14ac:dyDescent="0.25">
      <c r="B7037" s="10"/>
    </row>
    <row r="7038" spans="2:2" x14ac:dyDescent="0.25">
      <c r="B7038" s="10"/>
    </row>
    <row r="7039" spans="2:2" x14ac:dyDescent="0.25">
      <c r="B7039" s="10"/>
    </row>
    <row r="7040" spans="2:2" x14ac:dyDescent="0.25">
      <c r="B7040" s="10"/>
    </row>
    <row r="7041" spans="2:2" x14ac:dyDescent="0.25">
      <c r="B7041" s="10"/>
    </row>
    <row r="7042" spans="2:2" x14ac:dyDescent="0.25">
      <c r="B7042" s="10"/>
    </row>
    <row r="7043" spans="2:2" x14ac:dyDescent="0.25">
      <c r="B7043" s="10"/>
    </row>
    <row r="7044" spans="2:2" x14ac:dyDescent="0.25">
      <c r="B7044" s="10"/>
    </row>
    <row r="7045" spans="2:2" x14ac:dyDescent="0.25">
      <c r="B7045" s="10"/>
    </row>
    <row r="7046" spans="2:2" x14ac:dyDescent="0.25">
      <c r="B7046" s="10"/>
    </row>
    <row r="7047" spans="2:2" x14ac:dyDescent="0.25">
      <c r="B7047" s="10"/>
    </row>
    <row r="7048" spans="2:2" x14ac:dyDescent="0.25">
      <c r="B7048" s="10"/>
    </row>
    <row r="7049" spans="2:2" x14ac:dyDescent="0.25">
      <c r="B7049" s="10"/>
    </row>
    <row r="7050" spans="2:2" x14ac:dyDescent="0.25">
      <c r="B7050" s="10"/>
    </row>
    <row r="7051" spans="2:2" x14ac:dyDescent="0.25">
      <c r="B7051" s="10"/>
    </row>
    <row r="7052" spans="2:2" x14ac:dyDescent="0.25">
      <c r="B7052" s="10"/>
    </row>
    <row r="7053" spans="2:2" x14ac:dyDescent="0.25">
      <c r="B7053" s="10"/>
    </row>
    <row r="7054" spans="2:2" x14ac:dyDescent="0.25">
      <c r="B7054" s="10"/>
    </row>
    <row r="7055" spans="2:2" x14ac:dyDescent="0.25">
      <c r="B7055" s="10"/>
    </row>
    <row r="7056" spans="2:2" x14ac:dyDescent="0.25">
      <c r="B7056" s="10"/>
    </row>
    <row r="7057" spans="2:2" x14ac:dyDescent="0.25">
      <c r="B7057" s="10"/>
    </row>
    <row r="7058" spans="2:2" x14ac:dyDescent="0.25">
      <c r="B7058" s="10"/>
    </row>
    <row r="7059" spans="2:2" x14ac:dyDescent="0.25">
      <c r="B7059" s="10"/>
    </row>
    <row r="7060" spans="2:2" x14ac:dyDescent="0.25">
      <c r="B7060" s="10"/>
    </row>
    <row r="7061" spans="2:2" x14ac:dyDescent="0.25">
      <c r="B7061" s="10"/>
    </row>
    <row r="7062" spans="2:2" x14ac:dyDescent="0.25">
      <c r="B7062" s="10"/>
    </row>
    <row r="7063" spans="2:2" x14ac:dyDescent="0.25">
      <c r="B7063" s="10"/>
    </row>
    <row r="7064" spans="2:2" x14ac:dyDescent="0.25">
      <c r="B7064" s="10"/>
    </row>
    <row r="7065" spans="2:2" x14ac:dyDescent="0.25">
      <c r="B7065" s="10"/>
    </row>
    <row r="7066" spans="2:2" x14ac:dyDescent="0.25">
      <c r="B7066" s="10"/>
    </row>
    <row r="7067" spans="2:2" x14ac:dyDescent="0.25">
      <c r="B7067" s="10"/>
    </row>
    <row r="7068" spans="2:2" x14ac:dyDescent="0.25">
      <c r="B7068" s="10"/>
    </row>
    <row r="7069" spans="2:2" x14ac:dyDescent="0.25">
      <c r="B7069" s="10"/>
    </row>
    <row r="7070" spans="2:2" x14ac:dyDescent="0.25">
      <c r="B7070" s="10"/>
    </row>
    <row r="7071" spans="2:2" x14ac:dyDescent="0.25">
      <c r="B7071" s="10"/>
    </row>
    <row r="7072" spans="2:2" x14ac:dyDescent="0.25">
      <c r="B7072" s="10"/>
    </row>
    <row r="7073" spans="2:2" x14ac:dyDescent="0.25">
      <c r="B7073" s="10"/>
    </row>
    <row r="7074" spans="2:2" x14ac:dyDescent="0.25">
      <c r="B7074" s="10"/>
    </row>
    <row r="7075" spans="2:2" x14ac:dyDescent="0.25">
      <c r="B7075" s="10"/>
    </row>
    <row r="7076" spans="2:2" x14ac:dyDescent="0.25">
      <c r="B7076" s="10"/>
    </row>
    <row r="7077" spans="2:2" x14ac:dyDescent="0.25">
      <c r="B7077" s="10"/>
    </row>
    <row r="7078" spans="2:2" x14ac:dyDescent="0.25">
      <c r="B7078" s="10"/>
    </row>
    <row r="7079" spans="2:2" x14ac:dyDescent="0.25">
      <c r="B7079" s="10"/>
    </row>
    <row r="7080" spans="2:2" x14ac:dyDescent="0.25">
      <c r="B7080" s="10"/>
    </row>
    <row r="7081" spans="2:2" x14ac:dyDescent="0.25">
      <c r="B7081" s="10"/>
    </row>
    <row r="7082" spans="2:2" x14ac:dyDescent="0.25">
      <c r="B7082" s="10"/>
    </row>
    <row r="7083" spans="2:2" x14ac:dyDescent="0.25">
      <c r="B7083" s="10"/>
    </row>
    <row r="7084" spans="2:2" x14ac:dyDescent="0.25">
      <c r="B7084" s="10"/>
    </row>
    <row r="7085" spans="2:2" x14ac:dyDescent="0.25">
      <c r="B7085" s="10"/>
    </row>
    <row r="7086" spans="2:2" x14ac:dyDescent="0.25">
      <c r="B7086" s="10"/>
    </row>
    <row r="7087" spans="2:2" x14ac:dyDescent="0.25">
      <c r="B7087" s="10"/>
    </row>
    <row r="7088" spans="2:2" x14ac:dyDescent="0.25">
      <c r="B7088" s="10"/>
    </row>
    <row r="7089" spans="2:2" x14ac:dyDescent="0.25">
      <c r="B7089" s="10"/>
    </row>
    <row r="7090" spans="2:2" x14ac:dyDescent="0.25">
      <c r="B7090" s="10"/>
    </row>
    <row r="7091" spans="2:2" x14ac:dyDescent="0.25">
      <c r="B7091" s="10"/>
    </row>
    <row r="7092" spans="2:2" x14ac:dyDescent="0.25">
      <c r="B7092" s="10"/>
    </row>
    <row r="7093" spans="2:2" x14ac:dyDescent="0.25">
      <c r="B7093" s="10"/>
    </row>
    <row r="7094" spans="2:2" x14ac:dyDescent="0.25">
      <c r="B7094" s="10"/>
    </row>
    <row r="7095" spans="2:2" x14ac:dyDescent="0.25">
      <c r="B7095" s="10"/>
    </row>
    <row r="7096" spans="2:2" x14ac:dyDescent="0.25">
      <c r="B7096" s="10"/>
    </row>
    <row r="7097" spans="2:2" x14ac:dyDescent="0.25">
      <c r="B7097" s="10"/>
    </row>
    <row r="7098" spans="2:2" x14ac:dyDescent="0.25">
      <c r="B7098" s="10"/>
    </row>
    <row r="7099" spans="2:2" x14ac:dyDescent="0.25">
      <c r="B7099" s="10"/>
    </row>
    <row r="7100" spans="2:2" x14ac:dyDescent="0.25">
      <c r="B7100" s="10"/>
    </row>
    <row r="7101" spans="2:2" x14ac:dyDescent="0.25">
      <c r="B7101" s="10"/>
    </row>
    <row r="7102" spans="2:2" x14ac:dyDescent="0.25">
      <c r="B7102" s="10"/>
    </row>
    <row r="7103" spans="2:2" x14ac:dyDescent="0.25">
      <c r="B7103" s="10"/>
    </row>
    <row r="7104" spans="2:2" x14ac:dyDescent="0.25">
      <c r="B7104" s="10"/>
    </row>
    <row r="7105" spans="2:2" x14ac:dyDescent="0.25">
      <c r="B7105" s="10"/>
    </row>
    <row r="7106" spans="2:2" x14ac:dyDescent="0.25">
      <c r="B7106" s="10"/>
    </row>
    <row r="7107" spans="2:2" x14ac:dyDescent="0.25">
      <c r="B7107" s="10"/>
    </row>
    <row r="7108" spans="2:2" x14ac:dyDescent="0.25">
      <c r="B7108" s="10"/>
    </row>
    <row r="7109" spans="2:2" x14ac:dyDescent="0.25">
      <c r="B7109" s="10"/>
    </row>
    <row r="7110" spans="2:2" x14ac:dyDescent="0.25">
      <c r="B7110" s="10"/>
    </row>
    <row r="7111" spans="2:2" x14ac:dyDescent="0.25">
      <c r="B7111" s="10"/>
    </row>
    <row r="7112" spans="2:2" x14ac:dyDescent="0.25">
      <c r="B7112" s="10"/>
    </row>
    <row r="7113" spans="2:2" x14ac:dyDescent="0.25">
      <c r="B7113" s="10"/>
    </row>
    <row r="7114" spans="2:2" x14ac:dyDescent="0.25">
      <c r="B7114" s="10"/>
    </row>
    <row r="7115" spans="2:2" x14ac:dyDescent="0.25">
      <c r="B7115" s="10"/>
    </row>
    <row r="7116" spans="2:2" x14ac:dyDescent="0.25">
      <c r="B7116" s="10"/>
    </row>
    <row r="7117" spans="2:2" x14ac:dyDescent="0.25">
      <c r="B7117" s="10"/>
    </row>
    <row r="7118" spans="2:2" x14ac:dyDescent="0.25">
      <c r="B7118" s="10"/>
    </row>
    <row r="7119" spans="2:2" x14ac:dyDescent="0.25">
      <c r="B7119" s="10"/>
    </row>
    <row r="7120" spans="2:2" x14ac:dyDescent="0.25">
      <c r="B7120" s="10"/>
    </row>
    <row r="7121" spans="2:2" x14ac:dyDescent="0.25">
      <c r="B7121" s="10"/>
    </row>
    <row r="7122" spans="2:2" x14ac:dyDescent="0.25">
      <c r="B7122" s="10"/>
    </row>
    <row r="7123" spans="2:2" x14ac:dyDescent="0.25">
      <c r="B7123" s="10"/>
    </row>
    <row r="7124" spans="2:2" x14ac:dyDescent="0.25">
      <c r="B7124" s="10"/>
    </row>
    <row r="7125" spans="2:2" x14ac:dyDescent="0.25">
      <c r="B7125" s="10"/>
    </row>
    <row r="7126" spans="2:2" x14ac:dyDescent="0.25">
      <c r="B7126" s="10"/>
    </row>
    <row r="7127" spans="2:2" x14ac:dyDescent="0.25">
      <c r="B7127" s="10"/>
    </row>
    <row r="7128" spans="2:2" x14ac:dyDescent="0.25">
      <c r="B7128" s="10"/>
    </row>
    <row r="7129" spans="2:2" x14ac:dyDescent="0.25">
      <c r="B7129" s="10"/>
    </row>
    <row r="7130" spans="2:2" x14ac:dyDescent="0.25">
      <c r="B7130" s="10"/>
    </row>
    <row r="7131" spans="2:2" x14ac:dyDescent="0.25">
      <c r="B7131" s="10"/>
    </row>
    <row r="7132" spans="2:2" x14ac:dyDescent="0.25">
      <c r="B7132" s="10"/>
    </row>
    <row r="7133" spans="2:2" x14ac:dyDescent="0.25">
      <c r="B7133" s="10"/>
    </row>
    <row r="7134" spans="2:2" x14ac:dyDescent="0.25">
      <c r="B7134" s="10"/>
    </row>
    <row r="7135" spans="2:2" x14ac:dyDescent="0.25">
      <c r="B7135" s="10"/>
    </row>
    <row r="7136" spans="2:2" x14ac:dyDescent="0.25">
      <c r="B7136" s="10"/>
    </row>
    <row r="7137" spans="2:2" x14ac:dyDescent="0.25">
      <c r="B7137" s="10"/>
    </row>
    <row r="7138" spans="2:2" x14ac:dyDescent="0.25">
      <c r="B7138" s="10"/>
    </row>
    <row r="7139" spans="2:2" x14ac:dyDescent="0.25">
      <c r="B7139" s="10"/>
    </row>
    <row r="7140" spans="2:2" x14ac:dyDescent="0.25">
      <c r="B7140" s="10"/>
    </row>
    <row r="7141" spans="2:2" x14ac:dyDescent="0.25">
      <c r="B7141" s="10"/>
    </row>
    <row r="7142" spans="2:2" x14ac:dyDescent="0.25">
      <c r="B7142" s="10"/>
    </row>
    <row r="7143" spans="2:2" x14ac:dyDescent="0.25">
      <c r="B7143" s="10"/>
    </row>
    <row r="7144" spans="2:2" x14ac:dyDescent="0.25">
      <c r="B7144" s="10"/>
    </row>
    <row r="7145" spans="2:2" x14ac:dyDescent="0.25">
      <c r="B7145" s="10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 2 full 0</vt:lpstr>
      <vt:lpstr>Ex 2 full 1</vt:lpstr>
      <vt:lpstr>Ex 2 Gauss 0</vt:lpstr>
      <vt:lpstr>Ex 2 Gauss 1</vt:lpstr>
      <vt:lpstr>Ex 2 FULL 0 50 eV</vt:lpstr>
      <vt:lpstr>Ex 2 FULL 1 50 eV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ERYA-Profiling</dc:creator>
  <cp:keywords/>
  <dc:description/>
  <cp:lastModifiedBy>DIMITRIOU, Paraskevi</cp:lastModifiedBy>
  <cp:revision>2</cp:revision>
  <dcterms:created xsi:type="dcterms:W3CDTF">2023-12-05T17:44:18Z</dcterms:created>
  <dcterms:modified xsi:type="dcterms:W3CDTF">2025-07-11T16:39:13Z</dcterms:modified>
  <cp:category/>
  <cp:contentStatus/>
</cp:coreProperties>
</file>