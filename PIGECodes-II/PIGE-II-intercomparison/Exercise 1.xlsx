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aeacloud-my.sharepoint.com/personal/p_dimitriou_iaea_org/Documents/Desktop/PIGE_codes-II/Exercises/Results/PIGEcodes-II-round2/"/>
    </mc:Choice>
  </mc:AlternateContent>
  <xr:revisionPtr revIDLastSave="741" documentId="8_{8D9EE020-D75D-4843-B6AC-FF0DFCCE3076}" xr6:coauthVersionLast="47" xr6:coauthVersionMax="47" xr10:uidLastSave="{D727F98F-3582-4165-B916-4107D21B8534}"/>
  <bookViews>
    <workbookView xWindow="28680" yWindow="-120" windowWidth="29040" windowHeight="17520" xr2:uid="{00000000-000D-0000-FFFF-FFFF00000000}"/>
  </bookViews>
  <sheets>
    <sheet name="Ex 1 full 0" sheetId="1" r:id="rId1"/>
    <sheet name="Ex 1 full 1" sheetId="2" r:id="rId2"/>
    <sheet name="Ex 1 Gauss 0" sheetId="3" r:id="rId3"/>
    <sheet name="Ex 1 Gauss 1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" i="2" l="1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3" i="2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3" i="1"/>
  <c r="M4" i="1" l="1"/>
  <c r="N4" i="1" s="1"/>
  <c r="M5" i="1"/>
  <c r="N5" i="1" s="1"/>
  <c r="M6" i="1"/>
  <c r="N6" i="1" s="1"/>
  <c r="M7" i="1"/>
  <c r="N7" i="1" s="1"/>
  <c r="M8" i="1"/>
  <c r="N8" i="1" s="1"/>
  <c r="M9" i="1"/>
  <c r="N9" i="1" s="1"/>
  <c r="M10" i="1"/>
  <c r="N10" i="1" s="1"/>
  <c r="M11" i="1"/>
  <c r="N11" i="1" s="1"/>
  <c r="M12" i="1"/>
  <c r="N12" i="1" s="1"/>
  <c r="M13" i="1"/>
  <c r="N13" i="1" s="1"/>
  <c r="M14" i="1"/>
  <c r="N14" i="1" s="1"/>
  <c r="M15" i="1"/>
  <c r="N15" i="1" s="1"/>
  <c r="M16" i="1"/>
  <c r="N16" i="1" s="1"/>
  <c r="M17" i="1"/>
  <c r="N17" i="1" s="1"/>
  <c r="M18" i="1"/>
  <c r="N18" i="1" s="1"/>
  <c r="M19" i="1"/>
  <c r="N19" i="1" s="1"/>
  <c r="M20" i="1"/>
  <c r="N20" i="1" s="1"/>
  <c r="M21" i="1"/>
  <c r="N21" i="1" s="1"/>
  <c r="M22" i="1"/>
  <c r="N22" i="1" s="1"/>
  <c r="M23" i="1"/>
  <c r="N23" i="1" s="1"/>
  <c r="M3" i="1"/>
  <c r="N3" i="1" s="1"/>
  <c r="K23" i="1"/>
  <c r="L23" i="1" s="1"/>
  <c r="K22" i="1"/>
  <c r="L22" i="1" s="1"/>
  <c r="K21" i="1"/>
  <c r="L21" i="1" s="1"/>
  <c r="K20" i="1"/>
  <c r="L20" i="1" s="1"/>
  <c r="K19" i="1"/>
  <c r="L19" i="1" s="1"/>
  <c r="K18" i="1"/>
  <c r="L18" i="1" s="1"/>
  <c r="K17" i="1"/>
  <c r="L17" i="1" s="1"/>
  <c r="K16" i="1"/>
  <c r="L16" i="1" s="1"/>
  <c r="K15" i="1"/>
  <c r="L15" i="1" s="1"/>
  <c r="K14" i="1"/>
  <c r="L14" i="1" s="1"/>
  <c r="K13" i="1"/>
  <c r="L13" i="1" s="1"/>
  <c r="K12" i="1"/>
  <c r="L12" i="1" s="1"/>
  <c r="K11" i="1"/>
  <c r="L11" i="1" s="1"/>
  <c r="K10" i="1"/>
  <c r="L10" i="1" s="1"/>
  <c r="K9" i="1"/>
  <c r="L9" i="1" s="1"/>
  <c r="K8" i="1"/>
  <c r="L8" i="1" s="1"/>
  <c r="K7" i="1"/>
  <c r="L7" i="1" s="1"/>
  <c r="K6" i="1"/>
  <c r="L6" i="1" s="1"/>
  <c r="K5" i="1"/>
  <c r="L5" i="1" s="1"/>
  <c r="K4" i="1"/>
  <c r="L4" i="1" s="1"/>
  <c r="K3" i="1"/>
  <c r="L3" i="1" s="1"/>
  <c r="M4" i="2"/>
  <c r="N4" i="2" s="1"/>
  <c r="M5" i="2"/>
  <c r="N5" i="2" s="1"/>
  <c r="M6" i="2"/>
  <c r="N6" i="2" s="1"/>
  <c r="M7" i="2"/>
  <c r="N7" i="2" s="1"/>
  <c r="M8" i="2"/>
  <c r="N8" i="2" s="1"/>
  <c r="M9" i="2"/>
  <c r="M10" i="2"/>
  <c r="N10" i="2" s="1"/>
  <c r="M11" i="2"/>
  <c r="N11" i="2" s="1"/>
  <c r="M12" i="2"/>
  <c r="N12" i="2" s="1"/>
  <c r="M13" i="2"/>
  <c r="N13" i="2" s="1"/>
  <c r="M14" i="2"/>
  <c r="N14" i="2" s="1"/>
  <c r="M15" i="2"/>
  <c r="N15" i="2" s="1"/>
  <c r="M16" i="2"/>
  <c r="N16" i="2" s="1"/>
  <c r="M17" i="2"/>
  <c r="N17" i="2" s="1"/>
  <c r="M18" i="2"/>
  <c r="N18" i="2" s="1"/>
  <c r="M19" i="2"/>
  <c r="N19" i="2" s="1"/>
  <c r="M20" i="2"/>
  <c r="N20" i="2" s="1"/>
  <c r="M21" i="2"/>
  <c r="N21" i="2" s="1"/>
  <c r="M22" i="2"/>
  <c r="N22" i="2" s="1"/>
  <c r="M23" i="2"/>
  <c r="N23" i="2" s="1"/>
  <c r="M3" i="2"/>
  <c r="N3" i="2" s="1"/>
  <c r="K23" i="2"/>
  <c r="L23" i="2" s="1"/>
  <c r="K22" i="2"/>
  <c r="L22" i="2" s="1"/>
  <c r="K21" i="2"/>
  <c r="L21" i="2" s="1"/>
  <c r="K20" i="2"/>
  <c r="L20" i="2" s="1"/>
  <c r="K19" i="2"/>
  <c r="L19" i="2" s="1"/>
  <c r="K18" i="2"/>
  <c r="L18" i="2" s="1"/>
  <c r="K17" i="2"/>
  <c r="L17" i="2" s="1"/>
  <c r="K16" i="2"/>
  <c r="L16" i="2" s="1"/>
  <c r="K15" i="2"/>
  <c r="L15" i="2" s="1"/>
  <c r="K14" i="2"/>
  <c r="L14" i="2" s="1"/>
  <c r="K13" i="2"/>
  <c r="L13" i="2" s="1"/>
  <c r="K12" i="2"/>
  <c r="L12" i="2" s="1"/>
  <c r="K11" i="2"/>
  <c r="L11" i="2" s="1"/>
  <c r="K10" i="2"/>
  <c r="L10" i="2" s="1"/>
  <c r="K9" i="2"/>
  <c r="L9" i="2" s="1"/>
  <c r="K8" i="2"/>
  <c r="L8" i="2" s="1"/>
  <c r="K7" i="2"/>
  <c r="L7" i="2" s="1"/>
  <c r="K6" i="2"/>
  <c r="L6" i="2" s="1"/>
  <c r="K5" i="2"/>
  <c r="L5" i="2" s="1"/>
  <c r="K4" i="2"/>
  <c r="L4" i="2" s="1"/>
  <c r="K3" i="2"/>
  <c r="L3" i="2" s="1"/>
  <c r="M4" i="3"/>
  <c r="N4" i="3" s="1"/>
  <c r="M5" i="3"/>
  <c r="N5" i="3" s="1"/>
  <c r="M6" i="3"/>
  <c r="N6" i="3" s="1"/>
  <c r="M7" i="3"/>
  <c r="N7" i="3" s="1"/>
  <c r="M8" i="3"/>
  <c r="N8" i="3" s="1"/>
  <c r="M9" i="3"/>
  <c r="N9" i="3" s="1"/>
  <c r="M10" i="3"/>
  <c r="N10" i="3" s="1"/>
  <c r="M11" i="3"/>
  <c r="N11" i="3" s="1"/>
  <c r="M12" i="3"/>
  <c r="N12" i="3" s="1"/>
  <c r="M13" i="3"/>
  <c r="N13" i="3" s="1"/>
  <c r="M14" i="3"/>
  <c r="N14" i="3" s="1"/>
  <c r="M15" i="3"/>
  <c r="N15" i="3" s="1"/>
  <c r="M16" i="3"/>
  <c r="N16" i="3" s="1"/>
  <c r="M17" i="3"/>
  <c r="N17" i="3" s="1"/>
  <c r="M18" i="3"/>
  <c r="N18" i="3" s="1"/>
  <c r="M19" i="3"/>
  <c r="N19" i="3" s="1"/>
  <c r="M20" i="3"/>
  <c r="N20" i="3" s="1"/>
  <c r="M21" i="3"/>
  <c r="N21" i="3" s="1"/>
  <c r="M22" i="3"/>
  <c r="N22" i="3" s="1"/>
  <c r="M23" i="3"/>
  <c r="N23" i="3" s="1"/>
  <c r="M3" i="3"/>
  <c r="N3" i="3" s="1"/>
  <c r="C23" i="3"/>
  <c r="K23" i="3" s="1"/>
  <c r="L23" i="3" s="1"/>
  <c r="C22" i="3"/>
  <c r="K22" i="3" s="1"/>
  <c r="L22" i="3" s="1"/>
  <c r="C21" i="3"/>
  <c r="K21" i="3" s="1"/>
  <c r="L21" i="3" s="1"/>
  <c r="C20" i="3"/>
  <c r="K20" i="3" s="1"/>
  <c r="L20" i="3" s="1"/>
  <c r="C19" i="3"/>
  <c r="K19" i="3" s="1"/>
  <c r="L19" i="3" s="1"/>
  <c r="C18" i="3"/>
  <c r="K18" i="3" s="1"/>
  <c r="L18" i="3" s="1"/>
  <c r="C17" i="3"/>
  <c r="K17" i="3" s="1"/>
  <c r="L17" i="3" s="1"/>
  <c r="C16" i="3"/>
  <c r="K16" i="3" s="1"/>
  <c r="L16" i="3" s="1"/>
  <c r="C15" i="3"/>
  <c r="K15" i="3" s="1"/>
  <c r="L15" i="3" s="1"/>
  <c r="C14" i="3"/>
  <c r="K14" i="3" s="1"/>
  <c r="L14" i="3" s="1"/>
  <c r="C13" i="3"/>
  <c r="K13" i="3" s="1"/>
  <c r="L13" i="3" s="1"/>
  <c r="C12" i="3"/>
  <c r="K12" i="3" s="1"/>
  <c r="L12" i="3" s="1"/>
  <c r="C11" i="3"/>
  <c r="K11" i="3" s="1"/>
  <c r="L11" i="3" s="1"/>
  <c r="C10" i="3"/>
  <c r="K10" i="3" s="1"/>
  <c r="L10" i="3" s="1"/>
  <c r="C9" i="3"/>
  <c r="K9" i="3" s="1"/>
  <c r="L9" i="3" s="1"/>
  <c r="C8" i="3"/>
  <c r="K8" i="3" s="1"/>
  <c r="L8" i="3" s="1"/>
  <c r="C7" i="3"/>
  <c r="K7" i="3" s="1"/>
  <c r="L7" i="3" s="1"/>
  <c r="C6" i="3"/>
  <c r="K6" i="3" s="1"/>
  <c r="L6" i="3" s="1"/>
  <c r="C5" i="3"/>
  <c r="K5" i="3" s="1"/>
  <c r="L5" i="3" s="1"/>
  <c r="C4" i="3"/>
  <c r="K4" i="3" s="1"/>
  <c r="L4" i="3" s="1"/>
  <c r="C3" i="3"/>
  <c r="K3" i="3" s="1"/>
  <c r="L3" i="3" s="1"/>
  <c r="M4" i="4"/>
  <c r="N4" i="4" s="1"/>
  <c r="M5" i="4"/>
  <c r="N5" i="4" s="1"/>
  <c r="M6" i="4"/>
  <c r="N6" i="4" s="1"/>
  <c r="M7" i="4"/>
  <c r="N7" i="4" s="1"/>
  <c r="M8" i="4"/>
  <c r="N8" i="4" s="1"/>
  <c r="M9" i="4"/>
  <c r="N9" i="4" s="1"/>
  <c r="M10" i="4"/>
  <c r="N10" i="4" s="1"/>
  <c r="M11" i="4"/>
  <c r="N11" i="4" s="1"/>
  <c r="M12" i="4"/>
  <c r="N12" i="4" s="1"/>
  <c r="M13" i="4"/>
  <c r="N13" i="4" s="1"/>
  <c r="M14" i="4"/>
  <c r="N14" i="4" s="1"/>
  <c r="M15" i="4"/>
  <c r="N15" i="4" s="1"/>
  <c r="M16" i="4"/>
  <c r="N16" i="4" s="1"/>
  <c r="M17" i="4"/>
  <c r="M18" i="4"/>
  <c r="N18" i="4" s="1"/>
  <c r="M19" i="4"/>
  <c r="N19" i="4" s="1"/>
  <c r="M20" i="4"/>
  <c r="N20" i="4" s="1"/>
  <c r="M21" i="4"/>
  <c r="N21" i="4" s="1"/>
  <c r="M22" i="4"/>
  <c r="N22" i="4" s="1"/>
  <c r="M23" i="4"/>
  <c r="N23" i="4" s="1"/>
  <c r="M3" i="4"/>
  <c r="N3" i="4" s="1"/>
  <c r="K19" i="4"/>
  <c r="L19" i="4" s="1"/>
  <c r="C23" i="4"/>
  <c r="K23" i="4" s="1"/>
  <c r="L23" i="4" s="1"/>
  <c r="C22" i="4"/>
  <c r="K22" i="4" s="1"/>
  <c r="L22" i="4" s="1"/>
  <c r="C21" i="4"/>
  <c r="K21" i="4" s="1"/>
  <c r="L21" i="4" s="1"/>
  <c r="C20" i="4"/>
  <c r="K20" i="4" s="1"/>
  <c r="L20" i="4" s="1"/>
  <c r="C19" i="4"/>
  <c r="C18" i="4"/>
  <c r="K18" i="4" s="1"/>
  <c r="L18" i="4" s="1"/>
  <c r="C17" i="4"/>
  <c r="K17" i="4" s="1"/>
  <c r="L17" i="4" s="1"/>
  <c r="C16" i="4"/>
  <c r="K16" i="4" s="1"/>
  <c r="L16" i="4" s="1"/>
  <c r="C15" i="4"/>
  <c r="K15" i="4" s="1"/>
  <c r="L15" i="4" s="1"/>
  <c r="C14" i="4"/>
  <c r="K14" i="4" s="1"/>
  <c r="L14" i="4" s="1"/>
  <c r="C13" i="4"/>
  <c r="K13" i="4" s="1"/>
  <c r="L13" i="4" s="1"/>
  <c r="C12" i="4"/>
  <c r="K12" i="4" s="1"/>
  <c r="L12" i="4" s="1"/>
  <c r="C11" i="4"/>
  <c r="K11" i="4" s="1"/>
  <c r="L11" i="4" s="1"/>
  <c r="C10" i="4"/>
  <c r="K10" i="4" s="1"/>
  <c r="L10" i="4" s="1"/>
  <c r="C9" i="4"/>
  <c r="K9" i="4" s="1"/>
  <c r="L9" i="4" s="1"/>
  <c r="C8" i="4"/>
  <c r="K8" i="4" s="1"/>
  <c r="L8" i="4" s="1"/>
  <c r="C7" i="4"/>
  <c r="K7" i="4" s="1"/>
  <c r="L7" i="4" s="1"/>
  <c r="C6" i="4"/>
  <c r="K6" i="4" s="1"/>
  <c r="L6" i="4" s="1"/>
  <c r="C5" i="4"/>
  <c r="K5" i="4" s="1"/>
  <c r="L5" i="4" s="1"/>
  <c r="C4" i="4"/>
  <c r="K4" i="4" s="1"/>
  <c r="L4" i="4" s="1"/>
  <c r="C3" i="4"/>
  <c r="K3" i="4" s="1"/>
  <c r="L3" i="4" s="1"/>
  <c r="N17" i="4"/>
  <c r="N9" i="2"/>
</calcChain>
</file>

<file path=xl/sharedStrings.xml><?xml version="1.0" encoding="utf-8"?>
<sst xmlns="http://schemas.openxmlformats.org/spreadsheetml/2006/main" count="60" uniqueCount="14">
  <si>
    <t>Energy (keV)</t>
  </si>
  <si>
    <t>27Al (845 keV)</t>
  </si>
  <si>
    <t>ERYA</t>
  </si>
  <si>
    <t>NDF</t>
  </si>
  <si>
    <t>SMNRA</t>
  </si>
  <si>
    <t>#</t>
  </si>
  <si>
    <t>#Energy (keV)</t>
  </si>
  <si>
    <t>REL</t>
  </si>
  <si>
    <t>Count/uC/msr</t>
  </si>
  <si>
    <t>ERYA/NDF</t>
  </si>
  <si>
    <t>SMNRA/NDF</t>
  </si>
  <si>
    <t>Vavilov</t>
  </si>
  <si>
    <t>Yang</t>
  </si>
  <si>
    <t>SIMNRA-Y/NDF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</si>
</sst>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"/>
    <numFmt numFmtId="165" formatCode="0.000000"/>
  </numFmts>
  <fonts count="2" x14ac:knownFonts="1">
    <font>
      <sz val="12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2" fontId="0" fillId="0" borderId="0" xfId="0" applyNumberFormat="1"/>
    <xf numFmtId="164" fontId="0" fillId="0" borderId="0" xfId="0" applyNumberFormat="1"/>
    <xf numFmtId="165" fontId="0" fillId="0" borderId="0" xfId="0" applyNumberFormat="1"/>
    <xf numFmtId="11" fontId="0" fillId="0" borderId="0" xfId="0" applyNumberFormat="1"/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/>
              <a:t>Ex 1 Full straggling </a:t>
            </a:r>
            <a:r>
              <a:rPr lang="el-GR" sz="1800"/>
              <a:t>Δ</a:t>
            </a:r>
            <a:r>
              <a:rPr lang="en-US" sz="1800"/>
              <a:t>E=0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ERYA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'Ex 1 full 0'!$D$3:$D$23</c:f>
              <c:numCache>
                <c:formatCode>0.00</c:formatCode>
                <c:ptCount val="21"/>
                <c:pt idx="0">
                  <c:v>1683.3</c:v>
                </c:pt>
                <c:pt idx="1">
                  <c:v>1685.3</c:v>
                </c:pt>
                <c:pt idx="2">
                  <c:v>1687.3</c:v>
                </c:pt>
                <c:pt idx="3">
                  <c:v>1689.3</c:v>
                </c:pt>
                <c:pt idx="4">
                  <c:v>1691.3</c:v>
                </c:pt>
                <c:pt idx="5">
                  <c:v>1693.3</c:v>
                </c:pt>
                <c:pt idx="6">
                  <c:v>1695.3</c:v>
                </c:pt>
                <c:pt idx="7">
                  <c:v>1697.3</c:v>
                </c:pt>
                <c:pt idx="8">
                  <c:v>1699.3</c:v>
                </c:pt>
                <c:pt idx="9">
                  <c:v>1701.3</c:v>
                </c:pt>
                <c:pt idx="10">
                  <c:v>1703.3</c:v>
                </c:pt>
                <c:pt idx="11">
                  <c:v>1705.3</c:v>
                </c:pt>
                <c:pt idx="12">
                  <c:v>1707.3</c:v>
                </c:pt>
                <c:pt idx="13">
                  <c:v>1709.3</c:v>
                </c:pt>
                <c:pt idx="14">
                  <c:v>1711.3</c:v>
                </c:pt>
                <c:pt idx="15">
                  <c:v>1713.3</c:v>
                </c:pt>
                <c:pt idx="16">
                  <c:v>1715.3</c:v>
                </c:pt>
                <c:pt idx="17">
                  <c:v>1717.3</c:v>
                </c:pt>
                <c:pt idx="18">
                  <c:v>1719.3</c:v>
                </c:pt>
                <c:pt idx="19">
                  <c:v>1721.3</c:v>
                </c:pt>
                <c:pt idx="20">
                  <c:v>1723.3</c:v>
                </c:pt>
              </c:numCache>
            </c:numRef>
          </c:xVal>
          <c:yVal>
            <c:numRef>
              <c:f>'Ex 1 full 0'!$B$3:$B$23</c:f>
              <c:numCache>
                <c:formatCode>General</c:formatCode>
                <c:ptCount val="21"/>
                <c:pt idx="0">
                  <c:v>36.887318999999998</c:v>
                </c:pt>
                <c:pt idx="1">
                  <c:v>36.887318999999998</c:v>
                </c:pt>
                <c:pt idx="2">
                  <c:v>36.887318999999998</c:v>
                </c:pt>
                <c:pt idx="3">
                  <c:v>36.887318999999998</c:v>
                </c:pt>
                <c:pt idx="4">
                  <c:v>36.887318999999998</c:v>
                </c:pt>
                <c:pt idx="5">
                  <c:v>36.887318999999998</c:v>
                </c:pt>
                <c:pt idx="6">
                  <c:v>36.887318999999998</c:v>
                </c:pt>
                <c:pt idx="7">
                  <c:v>36.887318999999998</c:v>
                </c:pt>
                <c:pt idx="8">
                  <c:v>36.887318999999998</c:v>
                </c:pt>
                <c:pt idx="9">
                  <c:v>36.887318999999998</c:v>
                </c:pt>
                <c:pt idx="10">
                  <c:v>36.887318999999998</c:v>
                </c:pt>
                <c:pt idx="11">
                  <c:v>36.887318999999998</c:v>
                </c:pt>
                <c:pt idx="12">
                  <c:v>36.887318999999998</c:v>
                </c:pt>
                <c:pt idx="13">
                  <c:v>36.887318999999998</c:v>
                </c:pt>
                <c:pt idx="14">
                  <c:v>36.887318999999998</c:v>
                </c:pt>
                <c:pt idx="15">
                  <c:v>36.887318999999998</c:v>
                </c:pt>
                <c:pt idx="16">
                  <c:v>36.887318999999998</c:v>
                </c:pt>
                <c:pt idx="17">
                  <c:v>36.887318999999998</c:v>
                </c:pt>
                <c:pt idx="18">
                  <c:v>36.887318999999998</c:v>
                </c:pt>
                <c:pt idx="19">
                  <c:v>36.887318999999998</c:v>
                </c:pt>
                <c:pt idx="20">
                  <c:v>36.887318999999998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849-469B-9756-48E857AD7F58}"/>
            </c:ext>
          </c:extLst>
        </c:ser>
        <c:ser>
          <c:idx val="1"/>
          <c:order val="1"/>
          <c:tx>
            <c:v>NDF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'Ex 1 full 0'!$A$3:$A$23</c:f>
              <c:numCache>
                <c:formatCode>General</c:formatCode>
                <c:ptCount val="21"/>
                <c:pt idx="0">
                  <c:v>1683.3</c:v>
                </c:pt>
                <c:pt idx="1">
                  <c:v>1685.3</c:v>
                </c:pt>
                <c:pt idx="2">
                  <c:v>1687.3</c:v>
                </c:pt>
                <c:pt idx="3">
                  <c:v>1689.3</c:v>
                </c:pt>
                <c:pt idx="4">
                  <c:v>1691.3</c:v>
                </c:pt>
                <c:pt idx="5">
                  <c:v>1693.3</c:v>
                </c:pt>
                <c:pt idx="6">
                  <c:v>1695.3</c:v>
                </c:pt>
                <c:pt idx="7">
                  <c:v>1697.3</c:v>
                </c:pt>
                <c:pt idx="8">
                  <c:v>1699.3</c:v>
                </c:pt>
                <c:pt idx="9">
                  <c:v>1701.3</c:v>
                </c:pt>
                <c:pt idx="10">
                  <c:v>1703.3</c:v>
                </c:pt>
                <c:pt idx="11">
                  <c:v>1705.3</c:v>
                </c:pt>
                <c:pt idx="12">
                  <c:v>1707.3</c:v>
                </c:pt>
                <c:pt idx="13">
                  <c:v>1709.3</c:v>
                </c:pt>
                <c:pt idx="14">
                  <c:v>1711.3</c:v>
                </c:pt>
                <c:pt idx="15">
                  <c:v>1713.3</c:v>
                </c:pt>
                <c:pt idx="16">
                  <c:v>1715.3</c:v>
                </c:pt>
                <c:pt idx="17">
                  <c:v>1717.3</c:v>
                </c:pt>
                <c:pt idx="18">
                  <c:v>1719.3</c:v>
                </c:pt>
                <c:pt idx="19">
                  <c:v>1721.3</c:v>
                </c:pt>
                <c:pt idx="20">
                  <c:v>1723.3</c:v>
                </c:pt>
              </c:numCache>
            </c:numRef>
          </c:xVal>
          <c:yVal>
            <c:numRef>
              <c:f>'Ex 1 full 0'!$E$3:$E$23</c:f>
              <c:numCache>
                <c:formatCode>0.0000000</c:formatCode>
                <c:ptCount val="21"/>
                <c:pt idx="0">
                  <c:v>36.887374999999999</c:v>
                </c:pt>
                <c:pt idx="1">
                  <c:v>36.887287000000001</c:v>
                </c:pt>
                <c:pt idx="2">
                  <c:v>36.887360000000001</c:v>
                </c:pt>
                <c:pt idx="3">
                  <c:v>36.887374999999999</c:v>
                </c:pt>
                <c:pt idx="4">
                  <c:v>36.887379000000003</c:v>
                </c:pt>
                <c:pt idx="5">
                  <c:v>36.887206999999997</c:v>
                </c:pt>
                <c:pt idx="6">
                  <c:v>36.887183999999998</c:v>
                </c:pt>
                <c:pt idx="7">
                  <c:v>36.887256999999998</c:v>
                </c:pt>
                <c:pt idx="8">
                  <c:v>36.887141999999997</c:v>
                </c:pt>
                <c:pt idx="9">
                  <c:v>36.887191999999999</c:v>
                </c:pt>
                <c:pt idx="10">
                  <c:v>36.887206999999997</c:v>
                </c:pt>
                <c:pt idx="11">
                  <c:v>36.887253000000001</c:v>
                </c:pt>
                <c:pt idx="12">
                  <c:v>36.887241000000003</c:v>
                </c:pt>
                <c:pt idx="13">
                  <c:v>36.887241000000003</c:v>
                </c:pt>
                <c:pt idx="14">
                  <c:v>36.887241000000003</c:v>
                </c:pt>
                <c:pt idx="15">
                  <c:v>36.887233999999999</c:v>
                </c:pt>
                <c:pt idx="16">
                  <c:v>36.887259999999998</c:v>
                </c:pt>
                <c:pt idx="17">
                  <c:v>36.887180000000001</c:v>
                </c:pt>
                <c:pt idx="18">
                  <c:v>36.887203</c:v>
                </c:pt>
                <c:pt idx="19">
                  <c:v>36.887138</c:v>
                </c:pt>
                <c:pt idx="20">
                  <c:v>36.887172999999997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849-469B-9756-48E857AD7F58}"/>
            </c:ext>
          </c:extLst>
        </c:ser>
        <c:ser>
          <c:idx val="2"/>
          <c:order val="2"/>
          <c:tx>
            <c:v>SIMNRA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'Ex 1 full 0'!$A$3:$A$23</c:f>
              <c:numCache>
                <c:formatCode>General</c:formatCode>
                <c:ptCount val="21"/>
                <c:pt idx="0">
                  <c:v>1683.3</c:v>
                </c:pt>
                <c:pt idx="1">
                  <c:v>1685.3</c:v>
                </c:pt>
                <c:pt idx="2">
                  <c:v>1687.3</c:v>
                </c:pt>
                <c:pt idx="3">
                  <c:v>1689.3</c:v>
                </c:pt>
                <c:pt idx="4">
                  <c:v>1691.3</c:v>
                </c:pt>
                <c:pt idx="5">
                  <c:v>1693.3</c:v>
                </c:pt>
                <c:pt idx="6">
                  <c:v>1695.3</c:v>
                </c:pt>
                <c:pt idx="7">
                  <c:v>1697.3</c:v>
                </c:pt>
                <c:pt idx="8">
                  <c:v>1699.3</c:v>
                </c:pt>
                <c:pt idx="9">
                  <c:v>1701.3</c:v>
                </c:pt>
                <c:pt idx="10">
                  <c:v>1703.3</c:v>
                </c:pt>
                <c:pt idx="11">
                  <c:v>1705.3</c:v>
                </c:pt>
                <c:pt idx="12">
                  <c:v>1707.3</c:v>
                </c:pt>
                <c:pt idx="13">
                  <c:v>1709.3</c:v>
                </c:pt>
                <c:pt idx="14">
                  <c:v>1711.3</c:v>
                </c:pt>
                <c:pt idx="15">
                  <c:v>1713.3</c:v>
                </c:pt>
                <c:pt idx="16">
                  <c:v>1715.3</c:v>
                </c:pt>
                <c:pt idx="17">
                  <c:v>1717.3</c:v>
                </c:pt>
                <c:pt idx="18">
                  <c:v>1719.3</c:v>
                </c:pt>
                <c:pt idx="19">
                  <c:v>1721.3</c:v>
                </c:pt>
                <c:pt idx="20">
                  <c:v>1723.3</c:v>
                </c:pt>
              </c:numCache>
            </c:numRef>
          </c:xVal>
          <c:yVal>
            <c:numRef>
              <c:f>'Ex 1 full 0'!$H$3:$H$23</c:f>
              <c:numCache>
                <c:formatCode>General</c:formatCode>
                <c:ptCount val="21"/>
                <c:pt idx="0">
                  <c:v>36.887415719247599</c:v>
                </c:pt>
                <c:pt idx="1">
                  <c:v>36.887208186493602</c:v>
                </c:pt>
                <c:pt idx="2">
                  <c:v>36.887365583814201</c:v>
                </c:pt>
                <c:pt idx="3">
                  <c:v>36.887424490081202</c:v>
                </c:pt>
                <c:pt idx="4">
                  <c:v>36.887355557140303</c:v>
                </c:pt>
                <c:pt idx="5">
                  <c:v>36.8874018734098</c:v>
                </c:pt>
                <c:pt idx="6">
                  <c:v>36.887212802067701</c:v>
                </c:pt>
                <c:pt idx="7">
                  <c:v>36.887401394476498</c:v>
                </c:pt>
                <c:pt idx="8">
                  <c:v>36.887421087183696</c:v>
                </c:pt>
                <c:pt idx="9">
                  <c:v>36.887344848222199</c:v>
                </c:pt>
                <c:pt idx="10">
                  <c:v>36.887433040761003</c:v>
                </c:pt>
                <c:pt idx="11">
                  <c:v>36.887292871712901</c:v>
                </c:pt>
                <c:pt idx="12">
                  <c:v>36.887386088475097</c:v>
                </c:pt>
                <c:pt idx="13">
                  <c:v>36.887472601808099</c:v>
                </c:pt>
                <c:pt idx="14">
                  <c:v>36.887286921266501</c:v>
                </c:pt>
                <c:pt idx="15">
                  <c:v>36.887485167503797</c:v>
                </c:pt>
                <c:pt idx="16">
                  <c:v>36.887295355618697</c:v>
                </c:pt>
                <c:pt idx="17">
                  <c:v>36.887382035594399</c:v>
                </c:pt>
                <c:pt idx="18">
                  <c:v>36.887460905846403</c:v>
                </c:pt>
                <c:pt idx="19">
                  <c:v>36.887297471071101</c:v>
                </c:pt>
                <c:pt idx="20">
                  <c:v>36.887434046353398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849-469B-9756-48E857AD7F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0758888"/>
        <c:axId val="840759248"/>
      </c:scatterChart>
      <c:valAx>
        <c:axId val="8407588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beam</a:t>
                </a:r>
                <a:r>
                  <a:rPr lang="en-GB" sz="1600" baseline="0"/>
                  <a:t> energy (keV)</a:t>
                </a:r>
                <a:endParaRPr lang="en-GB" sz="16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0759248"/>
        <c:crosses val="autoZero"/>
        <c:crossBetween val="midCat"/>
      </c:valAx>
      <c:valAx>
        <c:axId val="840759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yield</a:t>
                </a:r>
              </a:p>
              <a:p>
                <a:pPr>
                  <a:defRPr/>
                </a:pP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07588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ERYA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'Ex 1 full 0'!$D$3:$D$23</c:f>
              <c:numCache>
                <c:formatCode>0.00</c:formatCode>
                <c:ptCount val="21"/>
                <c:pt idx="0">
                  <c:v>1683.3</c:v>
                </c:pt>
                <c:pt idx="1">
                  <c:v>1685.3</c:v>
                </c:pt>
                <c:pt idx="2">
                  <c:v>1687.3</c:v>
                </c:pt>
                <c:pt idx="3">
                  <c:v>1689.3</c:v>
                </c:pt>
                <c:pt idx="4">
                  <c:v>1691.3</c:v>
                </c:pt>
                <c:pt idx="5">
                  <c:v>1693.3</c:v>
                </c:pt>
                <c:pt idx="6">
                  <c:v>1695.3</c:v>
                </c:pt>
                <c:pt idx="7">
                  <c:v>1697.3</c:v>
                </c:pt>
                <c:pt idx="8">
                  <c:v>1699.3</c:v>
                </c:pt>
                <c:pt idx="9">
                  <c:v>1701.3</c:v>
                </c:pt>
                <c:pt idx="10">
                  <c:v>1703.3</c:v>
                </c:pt>
                <c:pt idx="11">
                  <c:v>1705.3</c:v>
                </c:pt>
                <c:pt idx="12">
                  <c:v>1707.3</c:v>
                </c:pt>
                <c:pt idx="13">
                  <c:v>1709.3</c:v>
                </c:pt>
                <c:pt idx="14">
                  <c:v>1711.3</c:v>
                </c:pt>
                <c:pt idx="15">
                  <c:v>1713.3</c:v>
                </c:pt>
                <c:pt idx="16">
                  <c:v>1715.3</c:v>
                </c:pt>
                <c:pt idx="17">
                  <c:v>1717.3</c:v>
                </c:pt>
                <c:pt idx="18">
                  <c:v>1719.3</c:v>
                </c:pt>
                <c:pt idx="19">
                  <c:v>1721.3</c:v>
                </c:pt>
                <c:pt idx="20">
                  <c:v>1723.3</c:v>
                </c:pt>
              </c:numCache>
            </c:numRef>
          </c:xVal>
          <c:yVal>
            <c:numRef>
              <c:f>'Ex 1 full 0'!$K$3:$K$23</c:f>
              <c:numCache>
                <c:formatCode>General</c:formatCode>
                <c:ptCount val="21"/>
                <c:pt idx="0">
                  <c:v>0.99999848186540785</c:v>
                </c:pt>
                <c:pt idx="1">
                  <c:v>1.0000008675075507</c:v>
                </c:pt>
                <c:pt idx="2">
                  <c:v>0.99999888850815011</c:v>
                </c:pt>
                <c:pt idx="3">
                  <c:v>0.99999848186540785</c:v>
                </c:pt>
                <c:pt idx="4">
                  <c:v>0.99999837342739895</c:v>
                </c:pt>
                <c:pt idx="5">
                  <c:v>1.0000030362830128</c:v>
                </c:pt>
                <c:pt idx="6">
                  <c:v>1.0000036598076991</c:v>
                </c:pt>
                <c:pt idx="7">
                  <c:v>1.0000016807972465</c:v>
                </c:pt>
                <c:pt idx="8">
                  <c:v>1.0000047984200022</c:v>
                </c:pt>
                <c:pt idx="9">
                  <c:v>1.0000034429294591</c:v>
                </c:pt>
                <c:pt idx="10">
                  <c:v>1.0000030362830128</c:v>
                </c:pt>
                <c:pt idx="11">
                  <c:v>1.0000017892359725</c:v>
                </c:pt>
                <c:pt idx="12">
                  <c:v>1.0000021145522917</c:v>
                </c:pt>
                <c:pt idx="13">
                  <c:v>1.0000021145522917</c:v>
                </c:pt>
                <c:pt idx="14">
                  <c:v>1.0000021145522917</c:v>
                </c:pt>
                <c:pt idx="15">
                  <c:v>1.0000023043202426</c:v>
                </c:pt>
                <c:pt idx="16">
                  <c:v>1.0000015994682174</c:v>
                </c:pt>
                <c:pt idx="17">
                  <c:v>1.0000037682468543</c:v>
                </c:pt>
                <c:pt idx="18">
                  <c:v>1.0000031447220328</c:v>
                </c:pt>
                <c:pt idx="19">
                  <c:v>1.0000049068594044</c:v>
                </c:pt>
                <c:pt idx="20">
                  <c:v>1.0000039580154327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16F-483C-9BBA-780CFCA4A3DB}"/>
            </c:ext>
          </c:extLst>
        </c:ser>
        <c:ser>
          <c:idx val="1"/>
          <c:order val="1"/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'Ex 1 full 0'!$A$3:$A$23</c:f>
              <c:numCache>
                <c:formatCode>General</c:formatCode>
                <c:ptCount val="21"/>
                <c:pt idx="0">
                  <c:v>1683.3</c:v>
                </c:pt>
                <c:pt idx="1">
                  <c:v>1685.3</c:v>
                </c:pt>
                <c:pt idx="2">
                  <c:v>1687.3</c:v>
                </c:pt>
                <c:pt idx="3">
                  <c:v>1689.3</c:v>
                </c:pt>
                <c:pt idx="4">
                  <c:v>1691.3</c:v>
                </c:pt>
                <c:pt idx="5">
                  <c:v>1693.3</c:v>
                </c:pt>
                <c:pt idx="6">
                  <c:v>1695.3</c:v>
                </c:pt>
                <c:pt idx="7">
                  <c:v>1697.3</c:v>
                </c:pt>
                <c:pt idx="8">
                  <c:v>1699.3</c:v>
                </c:pt>
                <c:pt idx="9">
                  <c:v>1701.3</c:v>
                </c:pt>
                <c:pt idx="10">
                  <c:v>1703.3</c:v>
                </c:pt>
                <c:pt idx="11">
                  <c:v>1705.3</c:v>
                </c:pt>
                <c:pt idx="12">
                  <c:v>1707.3</c:v>
                </c:pt>
                <c:pt idx="13">
                  <c:v>1709.3</c:v>
                </c:pt>
                <c:pt idx="14">
                  <c:v>1711.3</c:v>
                </c:pt>
                <c:pt idx="15">
                  <c:v>1713.3</c:v>
                </c:pt>
                <c:pt idx="16">
                  <c:v>1715.3</c:v>
                </c:pt>
                <c:pt idx="17">
                  <c:v>1717.3</c:v>
                </c:pt>
                <c:pt idx="18">
                  <c:v>1719.3</c:v>
                </c:pt>
                <c:pt idx="19">
                  <c:v>1721.3</c:v>
                </c:pt>
                <c:pt idx="20">
                  <c:v>1723.3</c:v>
                </c:pt>
              </c:numCache>
            </c:numRef>
          </c:xVal>
          <c:yVal>
            <c:numRef>
              <c:f>'Ex 1 full 0'!$S$3:$S$23</c:f>
              <c:numCache>
                <c:formatCode>General</c:formatCode>
                <c:ptCount val="2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F0E-43AF-B3C6-2A4168BD7108}"/>
            </c:ext>
          </c:extLst>
        </c:ser>
        <c:ser>
          <c:idx val="2"/>
          <c:order val="2"/>
          <c:tx>
            <c:v>SIMNRA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'Ex 1 full 0'!$G$3:$G$23</c:f>
              <c:numCache>
                <c:formatCode>General</c:formatCode>
                <c:ptCount val="21"/>
                <c:pt idx="0">
                  <c:v>1683.3</c:v>
                </c:pt>
                <c:pt idx="1">
                  <c:v>1685.3</c:v>
                </c:pt>
                <c:pt idx="2">
                  <c:v>1687.3</c:v>
                </c:pt>
                <c:pt idx="3">
                  <c:v>1689.3</c:v>
                </c:pt>
                <c:pt idx="4">
                  <c:v>1691.3</c:v>
                </c:pt>
                <c:pt idx="5">
                  <c:v>1693.3</c:v>
                </c:pt>
                <c:pt idx="6">
                  <c:v>1695.3</c:v>
                </c:pt>
                <c:pt idx="7">
                  <c:v>1697.3</c:v>
                </c:pt>
                <c:pt idx="8">
                  <c:v>1699.3</c:v>
                </c:pt>
                <c:pt idx="9">
                  <c:v>1701.3</c:v>
                </c:pt>
                <c:pt idx="10">
                  <c:v>1703.3</c:v>
                </c:pt>
                <c:pt idx="11">
                  <c:v>1705.3</c:v>
                </c:pt>
                <c:pt idx="12">
                  <c:v>1707.3</c:v>
                </c:pt>
                <c:pt idx="13">
                  <c:v>1709.3</c:v>
                </c:pt>
                <c:pt idx="14">
                  <c:v>1711.3</c:v>
                </c:pt>
                <c:pt idx="15">
                  <c:v>1713.3</c:v>
                </c:pt>
                <c:pt idx="16">
                  <c:v>1715.3</c:v>
                </c:pt>
                <c:pt idx="17">
                  <c:v>1717.3</c:v>
                </c:pt>
                <c:pt idx="18">
                  <c:v>1719.3</c:v>
                </c:pt>
                <c:pt idx="19">
                  <c:v>1721.3</c:v>
                </c:pt>
                <c:pt idx="20">
                  <c:v>1723.3</c:v>
                </c:pt>
              </c:numCache>
            </c:numRef>
          </c:xVal>
          <c:yVal>
            <c:numRef>
              <c:f>'Ex 1 full 0'!$M$3:$M$23</c:f>
              <c:numCache>
                <c:formatCode>General</c:formatCode>
                <c:ptCount val="21"/>
                <c:pt idx="0">
                  <c:v>1.0000011038803276</c:v>
                </c:pt>
                <c:pt idx="1">
                  <c:v>0.99999786339650298</c:v>
                </c:pt>
                <c:pt idx="2">
                  <c:v>1.000000151374731</c:v>
                </c:pt>
                <c:pt idx="3">
                  <c:v>1.0000013416536471</c:v>
                </c:pt>
                <c:pt idx="4">
                  <c:v>0.99999936447477877</c:v>
                </c:pt>
                <c:pt idx="5">
                  <c:v>1.000005282953784</c:v>
                </c:pt>
                <c:pt idx="6">
                  <c:v>1.0000007808150306</c:v>
                </c:pt>
                <c:pt idx="7">
                  <c:v>1.0000039144812665</c:v>
                </c:pt>
                <c:pt idx="8">
                  <c:v>1.0000075659747154</c:v>
                </c:pt>
                <c:pt idx="9">
                  <c:v>1.0000041436665117</c:v>
                </c:pt>
                <c:pt idx="10">
                  <c:v>1.0000061278903822</c:v>
                </c:pt>
                <c:pt idx="11">
                  <c:v>1.0000010809076214</c:v>
                </c:pt>
                <c:pt idx="12">
                  <c:v>1.0000039332970199</c:v>
                </c:pt>
                <c:pt idx="13">
                  <c:v>1.0000062786427453</c:v>
                </c:pt>
                <c:pt idx="14">
                  <c:v>1.0000012449092222</c:v>
                </c:pt>
                <c:pt idx="15">
                  <c:v>1.0000068090630976</c:v>
                </c:pt>
                <c:pt idx="16">
                  <c:v>1.0000009584777698</c:v>
                </c:pt>
                <c:pt idx="17">
                  <c:v>1.0000054771222522</c:v>
                </c:pt>
                <c:pt idx="18">
                  <c:v>1.0000069917430823</c:v>
                </c:pt>
                <c:pt idx="19">
                  <c:v>1.0000043232161602</c:v>
                </c:pt>
                <c:pt idx="20">
                  <c:v>1.0000070768869547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659-4BBE-853B-A7C110FD04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1682936"/>
        <c:axId val="981677896"/>
      </c:scatterChart>
      <c:valAx>
        <c:axId val="981682936"/>
        <c:scaling>
          <c:orientation val="minMax"/>
          <c:max val="1723.3"/>
          <c:min val="1683.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beam</a:t>
                </a:r>
                <a:r>
                  <a:rPr lang="en-GB" sz="1600" baseline="0"/>
                  <a:t> energy (keV)</a:t>
                </a:r>
              </a:p>
              <a:p>
                <a:pPr>
                  <a:defRPr sz="1600"/>
                </a:pPr>
                <a:endParaRPr lang="en-GB" sz="16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1677896"/>
        <c:crosses val="autoZero"/>
        <c:crossBetween val="midCat"/>
      </c:valAx>
      <c:valAx>
        <c:axId val="981677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/>
                  <a:t>ratio over NDF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16829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1"/>
        <c:delete val="1"/>
      </c:legendEntry>
      <c:layout>
        <c:manualLayout>
          <c:xMode val="edge"/>
          <c:yMode val="edge"/>
          <c:x val="0.28219454763821389"/>
          <c:y val="0.82057950414315528"/>
          <c:w val="0.36984751781256553"/>
          <c:h val="6.942796787520373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SMNRA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'Ex 1 full 0'!$G$3:$G$23</c:f>
              <c:numCache>
                <c:formatCode>General</c:formatCode>
                <c:ptCount val="21"/>
                <c:pt idx="0">
                  <c:v>1683.3</c:v>
                </c:pt>
                <c:pt idx="1">
                  <c:v>1685.3</c:v>
                </c:pt>
                <c:pt idx="2">
                  <c:v>1687.3</c:v>
                </c:pt>
                <c:pt idx="3">
                  <c:v>1689.3</c:v>
                </c:pt>
                <c:pt idx="4">
                  <c:v>1691.3</c:v>
                </c:pt>
                <c:pt idx="5">
                  <c:v>1693.3</c:v>
                </c:pt>
                <c:pt idx="6">
                  <c:v>1695.3</c:v>
                </c:pt>
                <c:pt idx="7">
                  <c:v>1697.3</c:v>
                </c:pt>
                <c:pt idx="8">
                  <c:v>1699.3</c:v>
                </c:pt>
                <c:pt idx="9">
                  <c:v>1701.3</c:v>
                </c:pt>
                <c:pt idx="10">
                  <c:v>1703.3</c:v>
                </c:pt>
                <c:pt idx="11">
                  <c:v>1705.3</c:v>
                </c:pt>
                <c:pt idx="12">
                  <c:v>1707.3</c:v>
                </c:pt>
                <c:pt idx="13">
                  <c:v>1709.3</c:v>
                </c:pt>
                <c:pt idx="14">
                  <c:v>1711.3</c:v>
                </c:pt>
                <c:pt idx="15">
                  <c:v>1713.3</c:v>
                </c:pt>
                <c:pt idx="16">
                  <c:v>1715.3</c:v>
                </c:pt>
                <c:pt idx="17">
                  <c:v>1717.3</c:v>
                </c:pt>
                <c:pt idx="18">
                  <c:v>1719.3</c:v>
                </c:pt>
                <c:pt idx="19">
                  <c:v>1721.3</c:v>
                </c:pt>
                <c:pt idx="20">
                  <c:v>1723.3</c:v>
                </c:pt>
              </c:numCache>
            </c:numRef>
          </c:xVal>
          <c:yVal>
            <c:numRef>
              <c:f>'Ex 1 full 0'!$M$3:$M$23</c:f>
              <c:numCache>
                <c:formatCode>General</c:formatCode>
                <c:ptCount val="21"/>
                <c:pt idx="0">
                  <c:v>1.0000011038803276</c:v>
                </c:pt>
                <c:pt idx="1">
                  <c:v>0.99999786339650298</c:v>
                </c:pt>
                <c:pt idx="2">
                  <c:v>1.000000151374731</c:v>
                </c:pt>
                <c:pt idx="3">
                  <c:v>1.0000013416536471</c:v>
                </c:pt>
                <c:pt idx="4">
                  <c:v>0.99999936447477877</c:v>
                </c:pt>
                <c:pt idx="5">
                  <c:v>1.000005282953784</c:v>
                </c:pt>
                <c:pt idx="6">
                  <c:v>1.0000007808150306</c:v>
                </c:pt>
                <c:pt idx="7">
                  <c:v>1.0000039144812665</c:v>
                </c:pt>
                <c:pt idx="8">
                  <c:v>1.0000075659747154</c:v>
                </c:pt>
                <c:pt idx="9">
                  <c:v>1.0000041436665117</c:v>
                </c:pt>
                <c:pt idx="10">
                  <c:v>1.0000061278903822</c:v>
                </c:pt>
                <c:pt idx="11">
                  <c:v>1.0000010809076214</c:v>
                </c:pt>
                <c:pt idx="12">
                  <c:v>1.0000039332970199</c:v>
                </c:pt>
                <c:pt idx="13">
                  <c:v>1.0000062786427453</c:v>
                </c:pt>
                <c:pt idx="14">
                  <c:v>1.0000012449092222</c:v>
                </c:pt>
                <c:pt idx="15">
                  <c:v>1.0000068090630976</c:v>
                </c:pt>
                <c:pt idx="16">
                  <c:v>1.0000009584777698</c:v>
                </c:pt>
                <c:pt idx="17">
                  <c:v>1.0000054771222522</c:v>
                </c:pt>
                <c:pt idx="18">
                  <c:v>1.0000069917430823</c:v>
                </c:pt>
                <c:pt idx="19">
                  <c:v>1.0000043232161602</c:v>
                </c:pt>
                <c:pt idx="20">
                  <c:v>1.0000070768869547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11-47CE-9902-F8520CEA8ECB}"/>
            </c:ext>
          </c:extLst>
        </c:ser>
        <c:ser>
          <c:idx val="1"/>
          <c:order val="1"/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'Ex 1 full 0'!$G$3:$G$23</c:f>
              <c:numCache>
                <c:formatCode>General</c:formatCode>
                <c:ptCount val="21"/>
                <c:pt idx="0">
                  <c:v>1683.3</c:v>
                </c:pt>
                <c:pt idx="1">
                  <c:v>1685.3</c:v>
                </c:pt>
                <c:pt idx="2">
                  <c:v>1687.3</c:v>
                </c:pt>
                <c:pt idx="3">
                  <c:v>1689.3</c:v>
                </c:pt>
                <c:pt idx="4">
                  <c:v>1691.3</c:v>
                </c:pt>
                <c:pt idx="5">
                  <c:v>1693.3</c:v>
                </c:pt>
                <c:pt idx="6">
                  <c:v>1695.3</c:v>
                </c:pt>
                <c:pt idx="7">
                  <c:v>1697.3</c:v>
                </c:pt>
                <c:pt idx="8">
                  <c:v>1699.3</c:v>
                </c:pt>
                <c:pt idx="9">
                  <c:v>1701.3</c:v>
                </c:pt>
                <c:pt idx="10">
                  <c:v>1703.3</c:v>
                </c:pt>
                <c:pt idx="11">
                  <c:v>1705.3</c:v>
                </c:pt>
                <c:pt idx="12">
                  <c:v>1707.3</c:v>
                </c:pt>
                <c:pt idx="13">
                  <c:v>1709.3</c:v>
                </c:pt>
                <c:pt idx="14">
                  <c:v>1711.3</c:v>
                </c:pt>
                <c:pt idx="15">
                  <c:v>1713.3</c:v>
                </c:pt>
                <c:pt idx="16">
                  <c:v>1715.3</c:v>
                </c:pt>
                <c:pt idx="17">
                  <c:v>1717.3</c:v>
                </c:pt>
                <c:pt idx="18">
                  <c:v>1719.3</c:v>
                </c:pt>
                <c:pt idx="19">
                  <c:v>1721.3</c:v>
                </c:pt>
                <c:pt idx="20">
                  <c:v>1723.3</c:v>
                </c:pt>
              </c:numCache>
            </c:numRef>
          </c:xVal>
          <c:yVal>
            <c:numRef>
              <c:f>'Ex 1 full 0'!$S$3:$S$23</c:f>
              <c:numCache>
                <c:formatCode>General</c:formatCode>
                <c:ptCount val="2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749-48E5-BC2A-75FED6CC72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5809528"/>
        <c:axId val="1105811688"/>
      </c:scatterChart>
      <c:valAx>
        <c:axId val="1105809528"/>
        <c:scaling>
          <c:orientation val="minMax"/>
          <c:max val="1723.3"/>
          <c:min val="1683.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/>
                  <a:t>beam energy (keV)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5811688"/>
        <c:crosses val="autoZero"/>
        <c:crossBetween val="midCat"/>
      </c:valAx>
      <c:valAx>
        <c:axId val="1105811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ratio</a:t>
                </a:r>
                <a:r>
                  <a:rPr lang="en-GB" sz="1600" baseline="0"/>
                  <a:t> over NDF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58095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1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800"/>
              <a:t>Ex</a:t>
            </a:r>
            <a:r>
              <a:rPr lang="en-GB" sz="1800" baseline="0"/>
              <a:t> 1 Full straggling </a:t>
            </a:r>
            <a:r>
              <a:rPr lang="el-GR" sz="1800" baseline="0"/>
              <a:t>Δ</a:t>
            </a:r>
            <a:r>
              <a:rPr lang="en-GB" sz="1800" baseline="0"/>
              <a:t>E=1</a:t>
            </a:r>
            <a:endParaRPr lang="en-GB" sz="18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ERYA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'Ex 1 full 1'!$A$3:$A$23</c:f>
              <c:numCache>
                <c:formatCode>General</c:formatCode>
                <c:ptCount val="21"/>
                <c:pt idx="0">
                  <c:v>1683.3</c:v>
                </c:pt>
                <c:pt idx="1">
                  <c:v>1685.3</c:v>
                </c:pt>
                <c:pt idx="2">
                  <c:v>1687.3</c:v>
                </c:pt>
                <c:pt idx="3">
                  <c:v>1689.3</c:v>
                </c:pt>
                <c:pt idx="4">
                  <c:v>1691.3</c:v>
                </c:pt>
                <c:pt idx="5">
                  <c:v>1693.3</c:v>
                </c:pt>
                <c:pt idx="6">
                  <c:v>1695.3</c:v>
                </c:pt>
                <c:pt idx="7">
                  <c:v>1697.3</c:v>
                </c:pt>
                <c:pt idx="8">
                  <c:v>1699.3</c:v>
                </c:pt>
                <c:pt idx="9">
                  <c:v>1701.3</c:v>
                </c:pt>
                <c:pt idx="10">
                  <c:v>1703.3</c:v>
                </c:pt>
                <c:pt idx="11">
                  <c:v>1705.3</c:v>
                </c:pt>
                <c:pt idx="12">
                  <c:v>1707.3</c:v>
                </c:pt>
                <c:pt idx="13">
                  <c:v>1709.3</c:v>
                </c:pt>
                <c:pt idx="14">
                  <c:v>1711.3</c:v>
                </c:pt>
                <c:pt idx="15">
                  <c:v>1713.3</c:v>
                </c:pt>
                <c:pt idx="16">
                  <c:v>1715.3</c:v>
                </c:pt>
                <c:pt idx="17">
                  <c:v>1717.3</c:v>
                </c:pt>
                <c:pt idx="18">
                  <c:v>1719.3</c:v>
                </c:pt>
                <c:pt idx="19">
                  <c:v>1721.3</c:v>
                </c:pt>
                <c:pt idx="20">
                  <c:v>1723.3</c:v>
                </c:pt>
              </c:numCache>
            </c:numRef>
          </c:xVal>
          <c:yVal>
            <c:numRef>
              <c:f>'Ex 1 full 1'!$B$3:$B$23</c:f>
              <c:numCache>
                <c:formatCode>General</c:formatCode>
                <c:ptCount val="21"/>
                <c:pt idx="0">
                  <c:v>36.887318999999998</c:v>
                </c:pt>
                <c:pt idx="1">
                  <c:v>36.887318999999998</c:v>
                </c:pt>
                <c:pt idx="2">
                  <c:v>36.887318999999998</c:v>
                </c:pt>
                <c:pt idx="3">
                  <c:v>36.887318999999998</c:v>
                </c:pt>
                <c:pt idx="4">
                  <c:v>36.887318999999998</c:v>
                </c:pt>
                <c:pt idx="5">
                  <c:v>36.887318999999998</c:v>
                </c:pt>
                <c:pt idx="6">
                  <c:v>36.887318999999998</c:v>
                </c:pt>
                <c:pt idx="7">
                  <c:v>36.887318999999998</c:v>
                </c:pt>
                <c:pt idx="8">
                  <c:v>36.887318999999998</c:v>
                </c:pt>
                <c:pt idx="9">
                  <c:v>36.887318999999998</c:v>
                </c:pt>
                <c:pt idx="10">
                  <c:v>36.887318999999998</c:v>
                </c:pt>
                <c:pt idx="11">
                  <c:v>36.887318999999998</c:v>
                </c:pt>
                <c:pt idx="12">
                  <c:v>36.887318999999998</c:v>
                </c:pt>
                <c:pt idx="13">
                  <c:v>36.887318999999998</c:v>
                </c:pt>
                <c:pt idx="14">
                  <c:v>36.887318999999998</c:v>
                </c:pt>
                <c:pt idx="15">
                  <c:v>36.887318999999998</c:v>
                </c:pt>
                <c:pt idx="16">
                  <c:v>36.887318999999998</c:v>
                </c:pt>
                <c:pt idx="17">
                  <c:v>36.887318999999998</c:v>
                </c:pt>
                <c:pt idx="18">
                  <c:v>36.887318999999998</c:v>
                </c:pt>
                <c:pt idx="19">
                  <c:v>36.887318999999998</c:v>
                </c:pt>
                <c:pt idx="20">
                  <c:v>36.887318999999998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AE-4E98-AC16-D8487E489C96}"/>
            </c:ext>
          </c:extLst>
        </c:ser>
        <c:ser>
          <c:idx val="1"/>
          <c:order val="1"/>
          <c:tx>
            <c:v>NDF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'Ex 1 full 1'!$A$3:$A$23</c:f>
              <c:numCache>
                <c:formatCode>General</c:formatCode>
                <c:ptCount val="21"/>
                <c:pt idx="0">
                  <c:v>1683.3</c:v>
                </c:pt>
                <c:pt idx="1">
                  <c:v>1685.3</c:v>
                </c:pt>
                <c:pt idx="2">
                  <c:v>1687.3</c:v>
                </c:pt>
                <c:pt idx="3">
                  <c:v>1689.3</c:v>
                </c:pt>
                <c:pt idx="4">
                  <c:v>1691.3</c:v>
                </c:pt>
                <c:pt idx="5">
                  <c:v>1693.3</c:v>
                </c:pt>
                <c:pt idx="6">
                  <c:v>1695.3</c:v>
                </c:pt>
                <c:pt idx="7">
                  <c:v>1697.3</c:v>
                </c:pt>
                <c:pt idx="8">
                  <c:v>1699.3</c:v>
                </c:pt>
                <c:pt idx="9">
                  <c:v>1701.3</c:v>
                </c:pt>
                <c:pt idx="10">
                  <c:v>1703.3</c:v>
                </c:pt>
                <c:pt idx="11">
                  <c:v>1705.3</c:v>
                </c:pt>
                <c:pt idx="12">
                  <c:v>1707.3</c:v>
                </c:pt>
                <c:pt idx="13">
                  <c:v>1709.3</c:v>
                </c:pt>
                <c:pt idx="14">
                  <c:v>1711.3</c:v>
                </c:pt>
                <c:pt idx="15">
                  <c:v>1713.3</c:v>
                </c:pt>
                <c:pt idx="16">
                  <c:v>1715.3</c:v>
                </c:pt>
                <c:pt idx="17">
                  <c:v>1717.3</c:v>
                </c:pt>
                <c:pt idx="18">
                  <c:v>1719.3</c:v>
                </c:pt>
                <c:pt idx="19">
                  <c:v>1721.3</c:v>
                </c:pt>
                <c:pt idx="20">
                  <c:v>1723.3</c:v>
                </c:pt>
              </c:numCache>
            </c:numRef>
          </c:xVal>
          <c:yVal>
            <c:numRef>
              <c:f>'Ex 1 full 1'!$E$3:$E$23</c:f>
              <c:numCache>
                <c:formatCode>0.000000</c:formatCode>
                <c:ptCount val="21"/>
                <c:pt idx="0">
                  <c:v>36.887320000000003</c:v>
                </c:pt>
                <c:pt idx="1">
                  <c:v>36.887239999999998</c:v>
                </c:pt>
                <c:pt idx="2">
                  <c:v>36.887239999999998</c:v>
                </c:pt>
                <c:pt idx="3">
                  <c:v>36.88729</c:v>
                </c:pt>
                <c:pt idx="4">
                  <c:v>36.887300000000003</c:v>
                </c:pt>
                <c:pt idx="5">
                  <c:v>36.887329999999999</c:v>
                </c:pt>
                <c:pt idx="6">
                  <c:v>36.887259999999998</c:v>
                </c:pt>
                <c:pt idx="7">
                  <c:v>36.887259999999998</c:v>
                </c:pt>
                <c:pt idx="8">
                  <c:v>36.887230000000002</c:v>
                </c:pt>
                <c:pt idx="9">
                  <c:v>36.887210000000003</c:v>
                </c:pt>
                <c:pt idx="10">
                  <c:v>36.887309999999999</c:v>
                </c:pt>
                <c:pt idx="11">
                  <c:v>36.887270000000001</c:v>
                </c:pt>
                <c:pt idx="12">
                  <c:v>36.887279999999997</c:v>
                </c:pt>
                <c:pt idx="13">
                  <c:v>36.887239999999998</c:v>
                </c:pt>
                <c:pt idx="14">
                  <c:v>36.887250000000002</c:v>
                </c:pt>
                <c:pt idx="15">
                  <c:v>36.887340000000002</c:v>
                </c:pt>
                <c:pt idx="16">
                  <c:v>36.887329999999999</c:v>
                </c:pt>
                <c:pt idx="17">
                  <c:v>36.887360000000001</c:v>
                </c:pt>
                <c:pt idx="18">
                  <c:v>36.887250000000002</c:v>
                </c:pt>
                <c:pt idx="19">
                  <c:v>36.887300000000003</c:v>
                </c:pt>
                <c:pt idx="20">
                  <c:v>36.887360000000001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4AE-4E98-AC16-D8487E489C96}"/>
            </c:ext>
          </c:extLst>
        </c:ser>
        <c:ser>
          <c:idx val="2"/>
          <c:order val="2"/>
          <c:tx>
            <c:v>SIMNRA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'Ex 1 full 1'!$A$3:$A$23</c:f>
              <c:numCache>
                <c:formatCode>General</c:formatCode>
                <c:ptCount val="21"/>
                <c:pt idx="0">
                  <c:v>1683.3</c:v>
                </c:pt>
                <c:pt idx="1">
                  <c:v>1685.3</c:v>
                </c:pt>
                <c:pt idx="2">
                  <c:v>1687.3</c:v>
                </c:pt>
                <c:pt idx="3">
                  <c:v>1689.3</c:v>
                </c:pt>
                <c:pt idx="4">
                  <c:v>1691.3</c:v>
                </c:pt>
                <c:pt idx="5">
                  <c:v>1693.3</c:v>
                </c:pt>
                <c:pt idx="6">
                  <c:v>1695.3</c:v>
                </c:pt>
                <c:pt idx="7">
                  <c:v>1697.3</c:v>
                </c:pt>
                <c:pt idx="8">
                  <c:v>1699.3</c:v>
                </c:pt>
                <c:pt idx="9">
                  <c:v>1701.3</c:v>
                </c:pt>
                <c:pt idx="10">
                  <c:v>1703.3</c:v>
                </c:pt>
                <c:pt idx="11">
                  <c:v>1705.3</c:v>
                </c:pt>
                <c:pt idx="12">
                  <c:v>1707.3</c:v>
                </c:pt>
                <c:pt idx="13">
                  <c:v>1709.3</c:v>
                </c:pt>
                <c:pt idx="14">
                  <c:v>1711.3</c:v>
                </c:pt>
                <c:pt idx="15">
                  <c:v>1713.3</c:v>
                </c:pt>
                <c:pt idx="16">
                  <c:v>1715.3</c:v>
                </c:pt>
                <c:pt idx="17">
                  <c:v>1717.3</c:v>
                </c:pt>
                <c:pt idx="18">
                  <c:v>1719.3</c:v>
                </c:pt>
                <c:pt idx="19">
                  <c:v>1721.3</c:v>
                </c:pt>
                <c:pt idx="20">
                  <c:v>1723.3</c:v>
                </c:pt>
              </c:numCache>
            </c:numRef>
          </c:xVal>
          <c:yVal>
            <c:numRef>
              <c:f>'Ex 1 full 1'!$H$3:$H$23</c:f>
              <c:numCache>
                <c:formatCode>General</c:formatCode>
                <c:ptCount val="21"/>
                <c:pt idx="0">
                  <c:v>36.887176510268297</c:v>
                </c:pt>
                <c:pt idx="1">
                  <c:v>36.8870456180262</c:v>
                </c:pt>
                <c:pt idx="2">
                  <c:v>36.887111940413703</c:v>
                </c:pt>
                <c:pt idx="3">
                  <c:v>36.887523242208196</c:v>
                </c:pt>
                <c:pt idx="4">
                  <c:v>36.887565050460502</c:v>
                </c:pt>
                <c:pt idx="5">
                  <c:v>36.887230152676302</c:v>
                </c:pt>
                <c:pt idx="6">
                  <c:v>36.8870220732665</c:v>
                </c:pt>
                <c:pt idx="7">
                  <c:v>36.887053448901</c:v>
                </c:pt>
                <c:pt idx="8">
                  <c:v>36.887502573606199</c:v>
                </c:pt>
                <c:pt idx="9">
                  <c:v>36.887592356655098</c:v>
                </c:pt>
                <c:pt idx="10">
                  <c:v>36.887266278246699</c:v>
                </c:pt>
                <c:pt idx="11">
                  <c:v>36.887051131424698</c:v>
                </c:pt>
                <c:pt idx="12">
                  <c:v>36.887000152645101</c:v>
                </c:pt>
                <c:pt idx="13">
                  <c:v>36.887456954767501</c:v>
                </c:pt>
                <c:pt idx="14">
                  <c:v>36.8875789431345</c:v>
                </c:pt>
                <c:pt idx="15">
                  <c:v>36.887296944703301</c:v>
                </c:pt>
                <c:pt idx="16">
                  <c:v>36.887112573145401</c:v>
                </c:pt>
                <c:pt idx="17">
                  <c:v>36.886932879268798</c:v>
                </c:pt>
                <c:pt idx="18">
                  <c:v>36.887357753712998</c:v>
                </c:pt>
                <c:pt idx="19">
                  <c:v>36.887559226170197</c:v>
                </c:pt>
                <c:pt idx="20">
                  <c:v>36.887356829122503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4AE-4E98-AC16-D8487E489C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5799088"/>
        <c:axId val="1105794408"/>
      </c:scatterChart>
      <c:valAx>
        <c:axId val="11057990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beam</a:t>
                </a:r>
                <a:r>
                  <a:rPr lang="en-GB" sz="1600" baseline="0"/>
                  <a:t> energy (keV)</a:t>
                </a:r>
                <a:endParaRPr lang="en-GB" sz="16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5794408"/>
        <c:crosses val="autoZero"/>
        <c:crossBetween val="midCat"/>
      </c:valAx>
      <c:valAx>
        <c:axId val="1105794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yield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57990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ERYA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'Ex 1 full 1'!$A$3:$A$23</c:f>
              <c:numCache>
                <c:formatCode>General</c:formatCode>
                <c:ptCount val="21"/>
                <c:pt idx="0">
                  <c:v>1683.3</c:v>
                </c:pt>
                <c:pt idx="1">
                  <c:v>1685.3</c:v>
                </c:pt>
                <c:pt idx="2">
                  <c:v>1687.3</c:v>
                </c:pt>
                <c:pt idx="3">
                  <c:v>1689.3</c:v>
                </c:pt>
                <c:pt idx="4">
                  <c:v>1691.3</c:v>
                </c:pt>
                <c:pt idx="5">
                  <c:v>1693.3</c:v>
                </c:pt>
                <c:pt idx="6">
                  <c:v>1695.3</c:v>
                </c:pt>
                <c:pt idx="7">
                  <c:v>1697.3</c:v>
                </c:pt>
                <c:pt idx="8">
                  <c:v>1699.3</c:v>
                </c:pt>
                <c:pt idx="9">
                  <c:v>1701.3</c:v>
                </c:pt>
                <c:pt idx="10">
                  <c:v>1703.3</c:v>
                </c:pt>
                <c:pt idx="11">
                  <c:v>1705.3</c:v>
                </c:pt>
                <c:pt idx="12">
                  <c:v>1707.3</c:v>
                </c:pt>
                <c:pt idx="13">
                  <c:v>1709.3</c:v>
                </c:pt>
                <c:pt idx="14">
                  <c:v>1711.3</c:v>
                </c:pt>
                <c:pt idx="15">
                  <c:v>1713.3</c:v>
                </c:pt>
                <c:pt idx="16">
                  <c:v>1715.3</c:v>
                </c:pt>
                <c:pt idx="17">
                  <c:v>1717.3</c:v>
                </c:pt>
                <c:pt idx="18">
                  <c:v>1719.3</c:v>
                </c:pt>
                <c:pt idx="19">
                  <c:v>1721.3</c:v>
                </c:pt>
                <c:pt idx="20">
                  <c:v>1723.3</c:v>
                </c:pt>
              </c:numCache>
            </c:numRef>
          </c:xVal>
          <c:yVal>
            <c:numRef>
              <c:f>'Ex 1 full 1'!$K$3:$K$23</c:f>
              <c:numCache>
                <c:formatCode>General</c:formatCode>
                <c:ptCount val="21"/>
                <c:pt idx="0">
                  <c:v>0.9999999728904132</c:v>
                </c:pt>
                <c:pt idx="1">
                  <c:v>1.0000021416619949</c:v>
                </c:pt>
                <c:pt idx="2">
                  <c:v>1.0000021416619949</c:v>
                </c:pt>
                <c:pt idx="3">
                  <c:v>1.000000786178654</c:v>
                </c:pt>
                <c:pt idx="4">
                  <c:v>1.0000005150824265</c:v>
                </c:pt>
                <c:pt idx="5">
                  <c:v>0.99999970179462705</c:v>
                </c:pt>
                <c:pt idx="6">
                  <c:v>1.0000015994682174</c:v>
                </c:pt>
                <c:pt idx="7">
                  <c:v>1.0000015994682174</c:v>
                </c:pt>
                <c:pt idx="8">
                  <c:v>1.0000024127591038</c:v>
                </c:pt>
                <c:pt idx="9">
                  <c:v>1.000002954953763</c:v>
                </c:pt>
                <c:pt idx="10">
                  <c:v>1.0000002439863465</c:v>
                </c:pt>
                <c:pt idx="11">
                  <c:v>1.0000013283715492</c:v>
                </c:pt>
                <c:pt idx="12">
                  <c:v>1.0000010572750282</c:v>
                </c:pt>
                <c:pt idx="13">
                  <c:v>1.0000021416619949</c:v>
                </c:pt>
                <c:pt idx="14">
                  <c:v>1.0000018705650324</c:v>
                </c:pt>
                <c:pt idx="15">
                  <c:v>0.99999943069898767</c:v>
                </c:pt>
                <c:pt idx="16">
                  <c:v>0.99999970179462705</c:v>
                </c:pt>
                <c:pt idx="17">
                  <c:v>0.99999888850815011</c:v>
                </c:pt>
                <c:pt idx="18">
                  <c:v>1.0000018705650324</c:v>
                </c:pt>
                <c:pt idx="19">
                  <c:v>1.0000005150824265</c:v>
                </c:pt>
                <c:pt idx="20">
                  <c:v>0.99999888850815011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409-4059-9D0B-130DC084911C}"/>
            </c:ext>
          </c:extLst>
        </c:ser>
        <c:ser>
          <c:idx val="1"/>
          <c:order val="1"/>
          <c:tx>
            <c:v>SIMNRA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'Ex 1 full 1'!$A$3:$A$23</c:f>
              <c:numCache>
                <c:formatCode>General</c:formatCode>
                <c:ptCount val="21"/>
                <c:pt idx="0">
                  <c:v>1683.3</c:v>
                </c:pt>
                <c:pt idx="1">
                  <c:v>1685.3</c:v>
                </c:pt>
                <c:pt idx="2">
                  <c:v>1687.3</c:v>
                </c:pt>
                <c:pt idx="3">
                  <c:v>1689.3</c:v>
                </c:pt>
                <c:pt idx="4">
                  <c:v>1691.3</c:v>
                </c:pt>
                <c:pt idx="5">
                  <c:v>1693.3</c:v>
                </c:pt>
                <c:pt idx="6">
                  <c:v>1695.3</c:v>
                </c:pt>
                <c:pt idx="7">
                  <c:v>1697.3</c:v>
                </c:pt>
                <c:pt idx="8">
                  <c:v>1699.3</c:v>
                </c:pt>
                <c:pt idx="9">
                  <c:v>1701.3</c:v>
                </c:pt>
                <c:pt idx="10">
                  <c:v>1703.3</c:v>
                </c:pt>
                <c:pt idx="11">
                  <c:v>1705.3</c:v>
                </c:pt>
                <c:pt idx="12">
                  <c:v>1707.3</c:v>
                </c:pt>
                <c:pt idx="13">
                  <c:v>1709.3</c:v>
                </c:pt>
                <c:pt idx="14">
                  <c:v>1711.3</c:v>
                </c:pt>
                <c:pt idx="15">
                  <c:v>1713.3</c:v>
                </c:pt>
                <c:pt idx="16">
                  <c:v>1715.3</c:v>
                </c:pt>
                <c:pt idx="17">
                  <c:v>1717.3</c:v>
                </c:pt>
                <c:pt idx="18">
                  <c:v>1719.3</c:v>
                </c:pt>
                <c:pt idx="19">
                  <c:v>1721.3</c:v>
                </c:pt>
                <c:pt idx="20">
                  <c:v>1723.3</c:v>
                </c:pt>
              </c:numCache>
            </c:numRef>
          </c:xVal>
          <c:yVal>
            <c:numRef>
              <c:f>'Ex 1 full 1'!$M$3:$M$23</c:f>
              <c:numCache>
                <c:formatCode>General</c:formatCode>
                <c:ptCount val="21"/>
                <c:pt idx="0">
                  <c:v>0.99999611005267652</c:v>
                </c:pt>
                <c:pt idx="1">
                  <c:v>0.9999947303735981</c:v>
                </c:pt>
                <c:pt idx="2">
                  <c:v>0.99999652835001218</c:v>
                </c:pt>
                <c:pt idx="3">
                  <c:v>1.0000063231050098</c:v>
                </c:pt>
                <c:pt idx="4">
                  <c:v>1.0000071854123369</c:v>
                </c:pt>
                <c:pt idx="5">
                  <c:v>0.99999729318105446</c:v>
                </c:pt>
                <c:pt idx="6">
                  <c:v>0.99999354989409628</c:v>
                </c:pt>
                <c:pt idx="7">
                  <c:v>0.99999440047596388</c:v>
                </c:pt>
                <c:pt idx="8">
                  <c:v>1.0000073893758408</c:v>
                </c:pt>
                <c:pt idx="9">
                  <c:v>1.0000103655618058</c:v>
                </c:pt>
                <c:pt idx="10">
                  <c:v>0.99999881472101648</c:v>
                </c:pt>
                <c:pt idx="11">
                  <c:v>0.99999406655533729</c:v>
                </c:pt>
                <c:pt idx="12">
                  <c:v>0.99999241344564038</c:v>
                </c:pt>
                <c:pt idx="13">
                  <c:v>1.0000058815668373</c:v>
                </c:pt>
                <c:pt idx="14">
                  <c:v>1.0000089175293496</c:v>
                </c:pt>
                <c:pt idx="15">
                  <c:v>0.99999883278933366</c:v>
                </c:pt>
                <c:pt idx="16">
                  <c:v>0.99999410564943036</c:v>
                </c:pt>
                <c:pt idx="17">
                  <c:v>0.99998842094605844</c:v>
                </c:pt>
                <c:pt idx="18">
                  <c:v>1.000002921164169</c:v>
                </c:pt>
                <c:pt idx="19">
                  <c:v>1.0000070275181483</c:v>
                </c:pt>
                <c:pt idx="20">
                  <c:v>0.99999991403891475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2BF-47A1-8269-33F36B9B05EC}"/>
            </c:ext>
          </c:extLst>
        </c:ser>
        <c:ser>
          <c:idx val="2"/>
          <c:order val="2"/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'Ex 1 full 1'!$A$3:$A$23</c:f>
              <c:numCache>
                <c:formatCode>General</c:formatCode>
                <c:ptCount val="21"/>
                <c:pt idx="0">
                  <c:v>1683.3</c:v>
                </c:pt>
                <c:pt idx="1">
                  <c:v>1685.3</c:v>
                </c:pt>
                <c:pt idx="2">
                  <c:v>1687.3</c:v>
                </c:pt>
                <c:pt idx="3">
                  <c:v>1689.3</c:v>
                </c:pt>
                <c:pt idx="4">
                  <c:v>1691.3</c:v>
                </c:pt>
                <c:pt idx="5">
                  <c:v>1693.3</c:v>
                </c:pt>
                <c:pt idx="6">
                  <c:v>1695.3</c:v>
                </c:pt>
                <c:pt idx="7">
                  <c:v>1697.3</c:v>
                </c:pt>
                <c:pt idx="8">
                  <c:v>1699.3</c:v>
                </c:pt>
                <c:pt idx="9">
                  <c:v>1701.3</c:v>
                </c:pt>
                <c:pt idx="10">
                  <c:v>1703.3</c:v>
                </c:pt>
                <c:pt idx="11">
                  <c:v>1705.3</c:v>
                </c:pt>
                <c:pt idx="12">
                  <c:v>1707.3</c:v>
                </c:pt>
                <c:pt idx="13">
                  <c:v>1709.3</c:v>
                </c:pt>
                <c:pt idx="14">
                  <c:v>1711.3</c:v>
                </c:pt>
                <c:pt idx="15">
                  <c:v>1713.3</c:v>
                </c:pt>
                <c:pt idx="16">
                  <c:v>1715.3</c:v>
                </c:pt>
                <c:pt idx="17">
                  <c:v>1717.3</c:v>
                </c:pt>
                <c:pt idx="18">
                  <c:v>1719.3</c:v>
                </c:pt>
                <c:pt idx="19">
                  <c:v>1721.3</c:v>
                </c:pt>
                <c:pt idx="20">
                  <c:v>1723.3</c:v>
                </c:pt>
              </c:numCache>
            </c:numRef>
          </c:xVal>
          <c:yVal>
            <c:numRef>
              <c:f>'Ex 1 full 1'!$X$3:$X$23</c:f>
              <c:numCache>
                <c:formatCode>General</c:formatCode>
                <c:ptCount val="2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2BF-47A1-8269-33F36B9B05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3645176"/>
        <c:axId val="1103645536"/>
      </c:scatterChart>
      <c:valAx>
        <c:axId val="1103645176"/>
        <c:scaling>
          <c:orientation val="minMax"/>
          <c:max val="1723.3"/>
          <c:min val="1682.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beam</a:t>
                </a:r>
                <a:r>
                  <a:rPr lang="en-GB" sz="1600" baseline="0"/>
                  <a:t> energy (keV)</a:t>
                </a:r>
                <a:endParaRPr lang="en-GB" sz="16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3645536"/>
        <c:crosses val="autoZero"/>
        <c:crossBetween val="midCat"/>
      </c:valAx>
      <c:valAx>
        <c:axId val="1103645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ratio</a:t>
                </a:r>
                <a:r>
                  <a:rPr lang="en-GB" sz="1600" baseline="0"/>
                  <a:t> over NDF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36451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Ex 1 Gauss Straggling </a:t>
            </a:r>
            <a:r>
              <a:rPr lang="el-GR" sz="2000"/>
              <a:t>Δ</a:t>
            </a:r>
            <a:r>
              <a:rPr lang="en-US" sz="2000"/>
              <a:t>E=0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ERYA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'Ex 1 Gauss 0'!$E$3:$E$23</c:f>
              <c:numCache>
                <c:formatCode>0.00</c:formatCode>
                <c:ptCount val="21"/>
                <c:pt idx="0">
                  <c:v>1683.3</c:v>
                </c:pt>
                <c:pt idx="1">
                  <c:v>1685.3</c:v>
                </c:pt>
                <c:pt idx="2">
                  <c:v>1687.3</c:v>
                </c:pt>
                <c:pt idx="3">
                  <c:v>1689.3</c:v>
                </c:pt>
                <c:pt idx="4">
                  <c:v>1691.3</c:v>
                </c:pt>
                <c:pt idx="5">
                  <c:v>1693.3</c:v>
                </c:pt>
                <c:pt idx="6">
                  <c:v>1695.3</c:v>
                </c:pt>
                <c:pt idx="7">
                  <c:v>1697.3</c:v>
                </c:pt>
                <c:pt idx="8">
                  <c:v>1699.3</c:v>
                </c:pt>
                <c:pt idx="9">
                  <c:v>1701.3</c:v>
                </c:pt>
                <c:pt idx="10">
                  <c:v>1703.3</c:v>
                </c:pt>
                <c:pt idx="11">
                  <c:v>1705.3</c:v>
                </c:pt>
                <c:pt idx="12">
                  <c:v>1707.3</c:v>
                </c:pt>
                <c:pt idx="13">
                  <c:v>1709.3</c:v>
                </c:pt>
                <c:pt idx="14">
                  <c:v>1711.3</c:v>
                </c:pt>
                <c:pt idx="15">
                  <c:v>1713.3</c:v>
                </c:pt>
                <c:pt idx="16">
                  <c:v>1715.3</c:v>
                </c:pt>
                <c:pt idx="17">
                  <c:v>1717.3</c:v>
                </c:pt>
                <c:pt idx="18">
                  <c:v>1719.3</c:v>
                </c:pt>
                <c:pt idx="19">
                  <c:v>1721.3</c:v>
                </c:pt>
                <c:pt idx="20">
                  <c:v>1723.3</c:v>
                </c:pt>
              </c:numCache>
            </c:numRef>
          </c:xVal>
          <c:yVal>
            <c:numRef>
              <c:f>'Ex 1 Gauss 0'!$C$3:$C$23</c:f>
              <c:numCache>
                <c:formatCode>General</c:formatCode>
                <c:ptCount val="21"/>
                <c:pt idx="0">
                  <c:v>36.88731893394332</c:v>
                </c:pt>
                <c:pt idx="1">
                  <c:v>36.88731893394332</c:v>
                </c:pt>
                <c:pt idx="2">
                  <c:v>36.88731893394332</c:v>
                </c:pt>
                <c:pt idx="3">
                  <c:v>36.88731893394332</c:v>
                </c:pt>
                <c:pt idx="4">
                  <c:v>36.88731893394332</c:v>
                </c:pt>
                <c:pt idx="5">
                  <c:v>36.88731893394332</c:v>
                </c:pt>
                <c:pt idx="6">
                  <c:v>36.88731893394332</c:v>
                </c:pt>
                <c:pt idx="7">
                  <c:v>36.88731893394332</c:v>
                </c:pt>
                <c:pt idx="8">
                  <c:v>36.88731893394332</c:v>
                </c:pt>
                <c:pt idx="9">
                  <c:v>36.88731893394332</c:v>
                </c:pt>
                <c:pt idx="10">
                  <c:v>36.88731893394332</c:v>
                </c:pt>
                <c:pt idx="11">
                  <c:v>36.88731893394332</c:v>
                </c:pt>
                <c:pt idx="12">
                  <c:v>36.88731893394332</c:v>
                </c:pt>
                <c:pt idx="13">
                  <c:v>36.88731893394332</c:v>
                </c:pt>
                <c:pt idx="14">
                  <c:v>36.88731893394332</c:v>
                </c:pt>
                <c:pt idx="15">
                  <c:v>36.88731893394332</c:v>
                </c:pt>
                <c:pt idx="16">
                  <c:v>36.88731893394332</c:v>
                </c:pt>
                <c:pt idx="17">
                  <c:v>36.88731893394332</c:v>
                </c:pt>
                <c:pt idx="18">
                  <c:v>36.88731893394332</c:v>
                </c:pt>
                <c:pt idx="19">
                  <c:v>36.88731893394332</c:v>
                </c:pt>
                <c:pt idx="20">
                  <c:v>36.88731893394332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614-4E6D-8720-D6DF0D76F052}"/>
            </c:ext>
          </c:extLst>
        </c:ser>
        <c:ser>
          <c:idx val="1"/>
          <c:order val="1"/>
          <c:tx>
            <c:v>NDF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'Ex 1 Gauss 0'!$E$3:$E$23</c:f>
              <c:numCache>
                <c:formatCode>0.00</c:formatCode>
                <c:ptCount val="21"/>
                <c:pt idx="0">
                  <c:v>1683.3</c:v>
                </c:pt>
                <c:pt idx="1">
                  <c:v>1685.3</c:v>
                </c:pt>
                <c:pt idx="2">
                  <c:v>1687.3</c:v>
                </c:pt>
                <c:pt idx="3">
                  <c:v>1689.3</c:v>
                </c:pt>
                <c:pt idx="4">
                  <c:v>1691.3</c:v>
                </c:pt>
                <c:pt idx="5">
                  <c:v>1693.3</c:v>
                </c:pt>
                <c:pt idx="6">
                  <c:v>1695.3</c:v>
                </c:pt>
                <c:pt idx="7">
                  <c:v>1697.3</c:v>
                </c:pt>
                <c:pt idx="8">
                  <c:v>1699.3</c:v>
                </c:pt>
                <c:pt idx="9">
                  <c:v>1701.3</c:v>
                </c:pt>
                <c:pt idx="10">
                  <c:v>1703.3</c:v>
                </c:pt>
                <c:pt idx="11">
                  <c:v>1705.3</c:v>
                </c:pt>
                <c:pt idx="12">
                  <c:v>1707.3</c:v>
                </c:pt>
                <c:pt idx="13">
                  <c:v>1709.3</c:v>
                </c:pt>
                <c:pt idx="14">
                  <c:v>1711.3</c:v>
                </c:pt>
                <c:pt idx="15">
                  <c:v>1713.3</c:v>
                </c:pt>
                <c:pt idx="16">
                  <c:v>1715.3</c:v>
                </c:pt>
                <c:pt idx="17">
                  <c:v>1717.3</c:v>
                </c:pt>
                <c:pt idx="18">
                  <c:v>1719.3</c:v>
                </c:pt>
                <c:pt idx="19">
                  <c:v>1721.3</c:v>
                </c:pt>
                <c:pt idx="20">
                  <c:v>1723.3</c:v>
                </c:pt>
              </c:numCache>
            </c:numRef>
          </c:xVal>
          <c:yVal>
            <c:numRef>
              <c:f>'Ex 1 Gauss 0'!$F$3:$F$23</c:f>
              <c:numCache>
                <c:formatCode>0.000000</c:formatCode>
                <c:ptCount val="21"/>
                <c:pt idx="0">
                  <c:v>36.887421000000003</c:v>
                </c:pt>
                <c:pt idx="1">
                  <c:v>36.887428</c:v>
                </c:pt>
                <c:pt idx="2">
                  <c:v>36.887343999999999</c:v>
                </c:pt>
                <c:pt idx="3">
                  <c:v>36.887462999999997</c:v>
                </c:pt>
                <c:pt idx="4">
                  <c:v>36.887363000000001</c:v>
                </c:pt>
                <c:pt idx="5">
                  <c:v>36.887504999999997</c:v>
                </c:pt>
                <c:pt idx="6">
                  <c:v>36.887501</c:v>
                </c:pt>
                <c:pt idx="7">
                  <c:v>36.887318</c:v>
                </c:pt>
                <c:pt idx="8">
                  <c:v>36.887416999999999</c:v>
                </c:pt>
                <c:pt idx="9">
                  <c:v>36.887455000000003</c:v>
                </c:pt>
                <c:pt idx="10">
                  <c:v>36.887436000000001</c:v>
                </c:pt>
                <c:pt idx="11">
                  <c:v>36.887340999999999</c:v>
                </c:pt>
                <c:pt idx="12">
                  <c:v>36.887343999999999</c:v>
                </c:pt>
                <c:pt idx="13">
                  <c:v>36.887374999999999</c:v>
                </c:pt>
                <c:pt idx="14">
                  <c:v>36.887340999999999</c:v>
                </c:pt>
                <c:pt idx="15">
                  <c:v>36.887371000000002</c:v>
                </c:pt>
                <c:pt idx="16">
                  <c:v>36.887366999999998</c:v>
                </c:pt>
                <c:pt idx="17">
                  <c:v>36.887385999999999</c:v>
                </c:pt>
                <c:pt idx="18">
                  <c:v>36.887402000000002</c:v>
                </c:pt>
                <c:pt idx="19">
                  <c:v>36.887424000000003</c:v>
                </c:pt>
                <c:pt idx="20">
                  <c:v>36.887329000000001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614-4E6D-8720-D6DF0D76F052}"/>
            </c:ext>
          </c:extLst>
        </c:ser>
        <c:ser>
          <c:idx val="2"/>
          <c:order val="2"/>
          <c:tx>
            <c:v>SIMNRA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'Ex 1 Gauss 0'!$E$3:$E$23</c:f>
              <c:numCache>
                <c:formatCode>0.00</c:formatCode>
                <c:ptCount val="21"/>
                <c:pt idx="0">
                  <c:v>1683.3</c:v>
                </c:pt>
                <c:pt idx="1">
                  <c:v>1685.3</c:v>
                </c:pt>
                <c:pt idx="2">
                  <c:v>1687.3</c:v>
                </c:pt>
                <c:pt idx="3">
                  <c:v>1689.3</c:v>
                </c:pt>
                <c:pt idx="4">
                  <c:v>1691.3</c:v>
                </c:pt>
                <c:pt idx="5">
                  <c:v>1693.3</c:v>
                </c:pt>
                <c:pt idx="6">
                  <c:v>1695.3</c:v>
                </c:pt>
                <c:pt idx="7">
                  <c:v>1697.3</c:v>
                </c:pt>
                <c:pt idx="8">
                  <c:v>1699.3</c:v>
                </c:pt>
                <c:pt idx="9">
                  <c:v>1701.3</c:v>
                </c:pt>
                <c:pt idx="10">
                  <c:v>1703.3</c:v>
                </c:pt>
                <c:pt idx="11">
                  <c:v>1705.3</c:v>
                </c:pt>
                <c:pt idx="12">
                  <c:v>1707.3</c:v>
                </c:pt>
                <c:pt idx="13">
                  <c:v>1709.3</c:v>
                </c:pt>
                <c:pt idx="14">
                  <c:v>1711.3</c:v>
                </c:pt>
                <c:pt idx="15">
                  <c:v>1713.3</c:v>
                </c:pt>
                <c:pt idx="16">
                  <c:v>1715.3</c:v>
                </c:pt>
                <c:pt idx="17">
                  <c:v>1717.3</c:v>
                </c:pt>
                <c:pt idx="18">
                  <c:v>1719.3</c:v>
                </c:pt>
                <c:pt idx="19">
                  <c:v>1721.3</c:v>
                </c:pt>
                <c:pt idx="20">
                  <c:v>1723.3</c:v>
                </c:pt>
              </c:numCache>
            </c:numRef>
          </c:xVal>
          <c:yVal>
            <c:numRef>
              <c:f>'Ex 1 Gauss 0'!$I$3:$I$23</c:f>
              <c:numCache>
                <c:formatCode>General</c:formatCode>
                <c:ptCount val="21"/>
                <c:pt idx="0">
                  <c:v>36.887318721885201</c:v>
                </c:pt>
                <c:pt idx="1">
                  <c:v>36.887318721880398</c:v>
                </c:pt>
                <c:pt idx="2">
                  <c:v>36.887318721886601</c:v>
                </c:pt>
                <c:pt idx="3">
                  <c:v>36.887318721890999</c:v>
                </c:pt>
                <c:pt idx="4">
                  <c:v>36.887318721883503</c:v>
                </c:pt>
                <c:pt idx="5">
                  <c:v>36.887318721882899</c:v>
                </c:pt>
                <c:pt idx="6">
                  <c:v>36.887318721881201</c:v>
                </c:pt>
                <c:pt idx="7">
                  <c:v>36.887318721887901</c:v>
                </c:pt>
                <c:pt idx="8">
                  <c:v>36.887318721888903</c:v>
                </c:pt>
                <c:pt idx="9">
                  <c:v>36.887318721882998</c:v>
                </c:pt>
                <c:pt idx="10">
                  <c:v>36.887318721884299</c:v>
                </c:pt>
                <c:pt idx="11">
                  <c:v>36.887318721881798</c:v>
                </c:pt>
                <c:pt idx="12">
                  <c:v>36.887318721886203</c:v>
                </c:pt>
                <c:pt idx="13">
                  <c:v>36.887318721889002</c:v>
                </c:pt>
                <c:pt idx="14">
                  <c:v>36.887318721882799</c:v>
                </c:pt>
                <c:pt idx="15">
                  <c:v>36.887318721886999</c:v>
                </c:pt>
                <c:pt idx="16">
                  <c:v>36.887318721883197</c:v>
                </c:pt>
                <c:pt idx="17">
                  <c:v>36.887318721887098</c:v>
                </c:pt>
                <c:pt idx="18">
                  <c:v>36.8873187218895</c:v>
                </c:pt>
                <c:pt idx="19">
                  <c:v>36.8873187218827</c:v>
                </c:pt>
                <c:pt idx="20">
                  <c:v>36.887318721885798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614-4E6D-8720-D6DF0D76F0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8293416"/>
        <c:axId val="828290176"/>
      </c:scatterChart>
      <c:valAx>
        <c:axId val="8282934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beam</a:t>
                </a:r>
                <a:r>
                  <a:rPr lang="en-GB" sz="1600" baseline="0"/>
                  <a:t> energy (keV)</a:t>
                </a:r>
                <a:endParaRPr lang="en-GB" sz="16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8290176"/>
        <c:crosses val="autoZero"/>
        <c:crossBetween val="midCat"/>
      </c:valAx>
      <c:valAx>
        <c:axId val="828290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yield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82934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ERYA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'Ex 1 Gauss 0'!$A$3:$A$23</c:f>
              <c:numCache>
                <c:formatCode>General</c:formatCode>
                <c:ptCount val="21"/>
                <c:pt idx="0">
                  <c:v>1683.3</c:v>
                </c:pt>
                <c:pt idx="1">
                  <c:v>1685.3</c:v>
                </c:pt>
                <c:pt idx="2">
                  <c:v>1687.3</c:v>
                </c:pt>
                <c:pt idx="3">
                  <c:v>1689.3</c:v>
                </c:pt>
                <c:pt idx="4">
                  <c:v>1691.3</c:v>
                </c:pt>
                <c:pt idx="5">
                  <c:v>1693.3</c:v>
                </c:pt>
                <c:pt idx="6">
                  <c:v>1695.3</c:v>
                </c:pt>
                <c:pt idx="7">
                  <c:v>1697.3</c:v>
                </c:pt>
                <c:pt idx="8">
                  <c:v>1699.3</c:v>
                </c:pt>
                <c:pt idx="9">
                  <c:v>1701.3</c:v>
                </c:pt>
                <c:pt idx="10">
                  <c:v>1703.3</c:v>
                </c:pt>
                <c:pt idx="11">
                  <c:v>1705.3</c:v>
                </c:pt>
                <c:pt idx="12">
                  <c:v>1707.3</c:v>
                </c:pt>
                <c:pt idx="13">
                  <c:v>1709.3</c:v>
                </c:pt>
                <c:pt idx="14">
                  <c:v>1711.3</c:v>
                </c:pt>
                <c:pt idx="15">
                  <c:v>1713.3</c:v>
                </c:pt>
                <c:pt idx="16">
                  <c:v>1715.3</c:v>
                </c:pt>
                <c:pt idx="17">
                  <c:v>1717.3</c:v>
                </c:pt>
                <c:pt idx="18">
                  <c:v>1719.3</c:v>
                </c:pt>
                <c:pt idx="19">
                  <c:v>1721.3</c:v>
                </c:pt>
                <c:pt idx="20">
                  <c:v>1723.3</c:v>
                </c:pt>
              </c:numCache>
            </c:numRef>
          </c:xVal>
          <c:yVal>
            <c:numRef>
              <c:f>'Ex 1 Gauss 0'!$K$3:$K$25</c:f>
              <c:numCache>
                <c:formatCode>General</c:formatCode>
                <c:ptCount val="23"/>
                <c:pt idx="0">
                  <c:v>0.99999723303896237</c:v>
                </c:pt>
                <c:pt idx="1">
                  <c:v>0.99999704327293626</c:v>
                </c:pt>
                <c:pt idx="2">
                  <c:v>0.99999932047000517</c:v>
                </c:pt>
                <c:pt idx="3">
                  <c:v>0.99999609444388526</c:v>
                </c:pt>
                <c:pt idx="4">
                  <c:v>0.99999880538880803</c:v>
                </c:pt>
                <c:pt idx="5">
                  <c:v>0.99999495585140075</c:v>
                </c:pt>
                <c:pt idx="6">
                  <c:v>0.99999506428866836</c:v>
                </c:pt>
                <c:pt idx="7">
                  <c:v>1.0000000253188188</c:v>
                </c:pt>
                <c:pt idx="8">
                  <c:v>0.99999734147672414</c:v>
                </c:pt>
                <c:pt idx="9">
                  <c:v>0.99999631131893807</c:v>
                </c:pt>
                <c:pt idx="10">
                  <c:v>0.99999682639756582</c:v>
                </c:pt>
                <c:pt idx="11">
                  <c:v>0.99999940179866365</c:v>
                </c:pt>
                <c:pt idx="12">
                  <c:v>0.99999932047000517</c:v>
                </c:pt>
                <c:pt idx="13">
                  <c:v>0.99999848007464132</c:v>
                </c:pt>
                <c:pt idx="14">
                  <c:v>0.99999940179866365</c:v>
                </c:pt>
                <c:pt idx="15">
                  <c:v>0.99999858851267331</c:v>
                </c:pt>
                <c:pt idx="16">
                  <c:v>0.99999869695072896</c:v>
                </c:pt>
                <c:pt idx="17">
                  <c:v>0.99999818187017431</c:v>
                </c:pt>
                <c:pt idx="18">
                  <c:v>0.9999977481185397</c:v>
                </c:pt>
                <c:pt idx="19">
                  <c:v>0.99999715171065662</c:v>
                </c:pt>
                <c:pt idx="20">
                  <c:v>0.9999997271134301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1F4-4619-96C3-83A6516C2158}"/>
            </c:ext>
          </c:extLst>
        </c:ser>
        <c:ser>
          <c:idx val="1"/>
          <c:order val="1"/>
          <c:tx>
            <c:v>SIMNRA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'Ex 1 Gauss 0'!$H$3:$H$23</c:f>
              <c:numCache>
                <c:formatCode>General</c:formatCode>
                <c:ptCount val="21"/>
                <c:pt idx="0">
                  <c:v>1683.3</c:v>
                </c:pt>
                <c:pt idx="1">
                  <c:v>1685.3</c:v>
                </c:pt>
                <c:pt idx="2">
                  <c:v>1687.3</c:v>
                </c:pt>
                <c:pt idx="3">
                  <c:v>1689.3</c:v>
                </c:pt>
                <c:pt idx="4">
                  <c:v>1691.3</c:v>
                </c:pt>
                <c:pt idx="5">
                  <c:v>1693.3</c:v>
                </c:pt>
                <c:pt idx="6">
                  <c:v>1695.3</c:v>
                </c:pt>
                <c:pt idx="7">
                  <c:v>1697.3</c:v>
                </c:pt>
                <c:pt idx="8">
                  <c:v>1699.3</c:v>
                </c:pt>
                <c:pt idx="9">
                  <c:v>1701.3</c:v>
                </c:pt>
                <c:pt idx="10">
                  <c:v>1703.3</c:v>
                </c:pt>
                <c:pt idx="11">
                  <c:v>1705.3</c:v>
                </c:pt>
                <c:pt idx="12">
                  <c:v>1707.3</c:v>
                </c:pt>
                <c:pt idx="13">
                  <c:v>1709.3</c:v>
                </c:pt>
                <c:pt idx="14">
                  <c:v>1711.3</c:v>
                </c:pt>
                <c:pt idx="15">
                  <c:v>1713.3</c:v>
                </c:pt>
                <c:pt idx="16">
                  <c:v>1715.3</c:v>
                </c:pt>
                <c:pt idx="17">
                  <c:v>1717.3</c:v>
                </c:pt>
                <c:pt idx="18">
                  <c:v>1719.3</c:v>
                </c:pt>
                <c:pt idx="19">
                  <c:v>1721.3</c:v>
                </c:pt>
                <c:pt idx="20">
                  <c:v>1723.3</c:v>
                </c:pt>
              </c:numCache>
            </c:numRef>
          </c:xVal>
          <c:yVal>
            <c:numRef>
              <c:f>'Ex 1 Gauss 0'!$M$3:$M$23</c:f>
              <c:numCache>
                <c:formatCode>General</c:formatCode>
                <c:ptCount val="21"/>
                <c:pt idx="0">
                  <c:v>0.99999722729017015</c:v>
                </c:pt>
                <c:pt idx="1">
                  <c:v>0.99999703752401492</c:v>
                </c:pt>
                <c:pt idx="2">
                  <c:v>0.99999931472123882</c:v>
                </c:pt>
                <c:pt idx="3">
                  <c:v>0.9999960886952568</c:v>
                </c:pt>
                <c:pt idx="4">
                  <c:v>0.99999879963996074</c:v>
                </c:pt>
                <c:pt idx="5">
                  <c:v>0.99999495010255912</c:v>
                </c:pt>
                <c:pt idx="6">
                  <c:v>0.99999505853978021</c:v>
                </c:pt>
                <c:pt idx="7">
                  <c:v>1.0000000195700838</c:v>
                </c:pt>
                <c:pt idx="8">
                  <c:v>0.99999733572803173</c:v>
                </c:pt>
                <c:pt idx="9">
                  <c:v>0.99999630557009134</c:v>
                </c:pt>
                <c:pt idx="10">
                  <c:v>0.99999682064875151</c:v>
                </c:pt>
                <c:pt idx="11">
                  <c:v>0.99999939604976673</c:v>
                </c:pt>
                <c:pt idx="12">
                  <c:v>0.99999931472122805</c:v>
                </c:pt>
                <c:pt idx="13">
                  <c:v>0.99999847432594491</c:v>
                </c:pt>
                <c:pt idx="14">
                  <c:v>0.99999939604979393</c:v>
                </c:pt>
                <c:pt idx="15">
                  <c:v>0.99999858276392206</c:v>
                </c:pt>
                <c:pt idx="16">
                  <c:v>0.99999869120187401</c:v>
                </c:pt>
                <c:pt idx="17">
                  <c:v>0.99999817612142805</c:v>
                </c:pt>
                <c:pt idx="18">
                  <c:v>0.99999774236986105</c:v>
                </c:pt>
                <c:pt idx="19">
                  <c:v>0.99999714596179712</c:v>
                </c:pt>
                <c:pt idx="20">
                  <c:v>0.99999972136463977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D6D-48C4-AEEB-905EF781842B}"/>
            </c:ext>
          </c:extLst>
        </c:ser>
        <c:ser>
          <c:idx val="2"/>
          <c:order val="2"/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'Ex 1 Gauss 0'!$A$3:$A$23</c:f>
              <c:numCache>
                <c:formatCode>General</c:formatCode>
                <c:ptCount val="21"/>
                <c:pt idx="0">
                  <c:v>1683.3</c:v>
                </c:pt>
                <c:pt idx="1">
                  <c:v>1685.3</c:v>
                </c:pt>
                <c:pt idx="2">
                  <c:v>1687.3</c:v>
                </c:pt>
                <c:pt idx="3">
                  <c:v>1689.3</c:v>
                </c:pt>
                <c:pt idx="4">
                  <c:v>1691.3</c:v>
                </c:pt>
                <c:pt idx="5">
                  <c:v>1693.3</c:v>
                </c:pt>
                <c:pt idx="6">
                  <c:v>1695.3</c:v>
                </c:pt>
                <c:pt idx="7">
                  <c:v>1697.3</c:v>
                </c:pt>
                <c:pt idx="8">
                  <c:v>1699.3</c:v>
                </c:pt>
                <c:pt idx="9">
                  <c:v>1701.3</c:v>
                </c:pt>
                <c:pt idx="10">
                  <c:v>1703.3</c:v>
                </c:pt>
                <c:pt idx="11">
                  <c:v>1705.3</c:v>
                </c:pt>
                <c:pt idx="12">
                  <c:v>1707.3</c:v>
                </c:pt>
                <c:pt idx="13">
                  <c:v>1709.3</c:v>
                </c:pt>
                <c:pt idx="14">
                  <c:v>1711.3</c:v>
                </c:pt>
                <c:pt idx="15">
                  <c:v>1713.3</c:v>
                </c:pt>
                <c:pt idx="16">
                  <c:v>1715.3</c:v>
                </c:pt>
                <c:pt idx="17">
                  <c:v>1717.3</c:v>
                </c:pt>
                <c:pt idx="18">
                  <c:v>1719.3</c:v>
                </c:pt>
                <c:pt idx="19">
                  <c:v>1721.3</c:v>
                </c:pt>
                <c:pt idx="20">
                  <c:v>1723.3</c:v>
                </c:pt>
              </c:numCache>
            </c:numRef>
          </c:xVal>
          <c:yVal>
            <c:numRef>
              <c:f>'Ex 1 Gauss 0'!$X$3:$X$23</c:f>
              <c:numCache>
                <c:formatCode>General</c:formatCode>
                <c:ptCount val="2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D3B-44CA-98B7-A0AE94697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1911256"/>
        <c:axId val="1051911616"/>
      </c:scatterChart>
      <c:valAx>
        <c:axId val="1051911256"/>
        <c:scaling>
          <c:orientation val="minMax"/>
          <c:max val="1723.3"/>
          <c:min val="1683.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beam</a:t>
                </a:r>
                <a:r>
                  <a:rPr lang="en-GB" baseline="0"/>
                  <a:t> energy (keV)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1911616"/>
        <c:crosses val="autoZero"/>
        <c:crossBetween val="midCat"/>
      </c:valAx>
      <c:valAx>
        <c:axId val="1051911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ratio</a:t>
                </a:r>
                <a:r>
                  <a:rPr lang="en-GB" sz="1600" baseline="0"/>
                  <a:t> over NDF</a:t>
                </a:r>
                <a:endParaRPr lang="en-GB" sz="16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19112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2000"/>
              <a:t>Ex</a:t>
            </a:r>
            <a:r>
              <a:rPr lang="en-GB" sz="2000" baseline="0"/>
              <a:t> 1 Gauss Straggling </a:t>
            </a:r>
            <a:r>
              <a:rPr lang="el-GR" sz="2000" baseline="0"/>
              <a:t>Δ</a:t>
            </a:r>
            <a:r>
              <a:rPr lang="en-GB" sz="2000" baseline="0"/>
              <a:t>E=1</a:t>
            </a:r>
            <a:endParaRPr lang="en-GB" sz="2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ERYA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'Ex 1 Gauss 1'!$A$3:$A$23</c:f>
              <c:numCache>
                <c:formatCode>General</c:formatCode>
                <c:ptCount val="21"/>
                <c:pt idx="0">
                  <c:v>1683.3</c:v>
                </c:pt>
                <c:pt idx="1">
                  <c:v>1685.3</c:v>
                </c:pt>
                <c:pt idx="2">
                  <c:v>1687.3</c:v>
                </c:pt>
                <c:pt idx="3">
                  <c:v>1689.3</c:v>
                </c:pt>
                <c:pt idx="4">
                  <c:v>1691.3</c:v>
                </c:pt>
                <c:pt idx="5">
                  <c:v>1693.3</c:v>
                </c:pt>
                <c:pt idx="6">
                  <c:v>1695.3</c:v>
                </c:pt>
                <c:pt idx="7">
                  <c:v>1697.3</c:v>
                </c:pt>
                <c:pt idx="8">
                  <c:v>1699.3</c:v>
                </c:pt>
                <c:pt idx="9">
                  <c:v>1701.3</c:v>
                </c:pt>
                <c:pt idx="10">
                  <c:v>1703.3</c:v>
                </c:pt>
                <c:pt idx="11">
                  <c:v>1705.3</c:v>
                </c:pt>
                <c:pt idx="12">
                  <c:v>1707.3</c:v>
                </c:pt>
                <c:pt idx="13">
                  <c:v>1709.3</c:v>
                </c:pt>
                <c:pt idx="14">
                  <c:v>1711.3</c:v>
                </c:pt>
                <c:pt idx="15">
                  <c:v>1713.3</c:v>
                </c:pt>
                <c:pt idx="16">
                  <c:v>1715.3</c:v>
                </c:pt>
                <c:pt idx="17">
                  <c:v>1717.3</c:v>
                </c:pt>
                <c:pt idx="18">
                  <c:v>1719.3</c:v>
                </c:pt>
                <c:pt idx="19">
                  <c:v>1721.3</c:v>
                </c:pt>
                <c:pt idx="20">
                  <c:v>1723.3</c:v>
                </c:pt>
              </c:numCache>
            </c:numRef>
          </c:xVal>
          <c:yVal>
            <c:numRef>
              <c:f>'Ex 1 Gauss 1'!$C$3:$C$23</c:f>
              <c:numCache>
                <c:formatCode>General</c:formatCode>
                <c:ptCount val="21"/>
                <c:pt idx="0">
                  <c:v>36.88731893394332</c:v>
                </c:pt>
                <c:pt idx="1">
                  <c:v>36.88731893394332</c:v>
                </c:pt>
                <c:pt idx="2">
                  <c:v>36.88731893394332</c:v>
                </c:pt>
                <c:pt idx="3">
                  <c:v>36.88731893394332</c:v>
                </c:pt>
                <c:pt idx="4">
                  <c:v>36.88731893394332</c:v>
                </c:pt>
                <c:pt idx="5">
                  <c:v>36.88731893394332</c:v>
                </c:pt>
                <c:pt idx="6">
                  <c:v>36.88731893394332</c:v>
                </c:pt>
                <c:pt idx="7">
                  <c:v>36.88731893394332</c:v>
                </c:pt>
                <c:pt idx="8">
                  <c:v>36.88731893394332</c:v>
                </c:pt>
                <c:pt idx="9">
                  <c:v>36.88731893394332</c:v>
                </c:pt>
                <c:pt idx="10">
                  <c:v>36.88731893394332</c:v>
                </c:pt>
                <c:pt idx="11">
                  <c:v>36.88731893394332</c:v>
                </c:pt>
                <c:pt idx="12">
                  <c:v>36.88731893394332</c:v>
                </c:pt>
                <c:pt idx="13">
                  <c:v>36.88731893394332</c:v>
                </c:pt>
                <c:pt idx="14">
                  <c:v>36.88731893394332</c:v>
                </c:pt>
                <c:pt idx="15">
                  <c:v>36.88731893394332</c:v>
                </c:pt>
                <c:pt idx="16">
                  <c:v>36.88731893394332</c:v>
                </c:pt>
                <c:pt idx="17">
                  <c:v>36.88731893394332</c:v>
                </c:pt>
                <c:pt idx="18">
                  <c:v>36.88731893394332</c:v>
                </c:pt>
                <c:pt idx="19">
                  <c:v>36.88731893394332</c:v>
                </c:pt>
                <c:pt idx="20">
                  <c:v>36.88731893394332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3CF-4C4E-87BC-33498E5BEA93}"/>
            </c:ext>
          </c:extLst>
        </c:ser>
        <c:ser>
          <c:idx val="1"/>
          <c:order val="1"/>
          <c:tx>
            <c:v>NDF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'Ex 1 Gauss 1'!$A$3:$A$23</c:f>
              <c:numCache>
                <c:formatCode>General</c:formatCode>
                <c:ptCount val="21"/>
                <c:pt idx="0">
                  <c:v>1683.3</c:v>
                </c:pt>
                <c:pt idx="1">
                  <c:v>1685.3</c:v>
                </c:pt>
                <c:pt idx="2">
                  <c:v>1687.3</c:v>
                </c:pt>
                <c:pt idx="3">
                  <c:v>1689.3</c:v>
                </c:pt>
                <c:pt idx="4">
                  <c:v>1691.3</c:v>
                </c:pt>
                <c:pt idx="5">
                  <c:v>1693.3</c:v>
                </c:pt>
                <c:pt idx="6">
                  <c:v>1695.3</c:v>
                </c:pt>
                <c:pt idx="7">
                  <c:v>1697.3</c:v>
                </c:pt>
                <c:pt idx="8">
                  <c:v>1699.3</c:v>
                </c:pt>
                <c:pt idx="9">
                  <c:v>1701.3</c:v>
                </c:pt>
                <c:pt idx="10">
                  <c:v>1703.3</c:v>
                </c:pt>
                <c:pt idx="11">
                  <c:v>1705.3</c:v>
                </c:pt>
                <c:pt idx="12">
                  <c:v>1707.3</c:v>
                </c:pt>
                <c:pt idx="13">
                  <c:v>1709.3</c:v>
                </c:pt>
                <c:pt idx="14">
                  <c:v>1711.3</c:v>
                </c:pt>
                <c:pt idx="15">
                  <c:v>1713.3</c:v>
                </c:pt>
                <c:pt idx="16">
                  <c:v>1715.3</c:v>
                </c:pt>
                <c:pt idx="17">
                  <c:v>1717.3</c:v>
                </c:pt>
                <c:pt idx="18">
                  <c:v>1719.3</c:v>
                </c:pt>
                <c:pt idx="19">
                  <c:v>1721.3</c:v>
                </c:pt>
                <c:pt idx="20">
                  <c:v>1723.3</c:v>
                </c:pt>
              </c:numCache>
            </c:numRef>
          </c:xVal>
          <c:yVal>
            <c:numRef>
              <c:f>'Ex 1 Gauss 1'!$F$3:$F$23</c:f>
              <c:numCache>
                <c:formatCode>0.000000</c:formatCode>
                <c:ptCount val="21"/>
                <c:pt idx="0">
                  <c:v>36.887259999999998</c:v>
                </c:pt>
                <c:pt idx="1">
                  <c:v>36.887165000000003</c:v>
                </c:pt>
                <c:pt idx="2">
                  <c:v>36.887253000000001</c:v>
                </c:pt>
                <c:pt idx="3">
                  <c:v>36.887256999999998</c:v>
                </c:pt>
                <c:pt idx="4">
                  <c:v>36.887199000000003</c:v>
                </c:pt>
                <c:pt idx="5">
                  <c:v>36.887141999999997</c:v>
                </c:pt>
                <c:pt idx="6">
                  <c:v>36.887233999999999</c:v>
                </c:pt>
                <c:pt idx="7">
                  <c:v>36.887287000000001</c:v>
                </c:pt>
                <c:pt idx="8">
                  <c:v>36.887225999999998</c:v>
                </c:pt>
                <c:pt idx="9">
                  <c:v>36.887287000000001</c:v>
                </c:pt>
                <c:pt idx="10">
                  <c:v>36.887248999999997</c:v>
                </c:pt>
                <c:pt idx="11">
                  <c:v>36.887245</c:v>
                </c:pt>
                <c:pt idx="12">
                  <c:v>36.887318</c:v>
                </c:pt>
                <c:pt idx="13">
                  <c:v>36.887241000000003</c:v>
                </c:pt>
                <c:pt idx="14">
                  <c:v>36.887321</c:v>
                </c:pt>
                <c:pt idx="15">
                  <c:v>36.887332999999998</c:v>
                </c:pt>
                <c:pt idx="16">
                  <c:v>36.887332999999998</c:v>
                </c:pt>
                <c:pt idx="17">
                  <c:v>36.887298999999999</c:v>
                </c:pt>
                <c:pt idx="18">
                  <c:v>36.887324999999997</c:v>
                </c:pt>
                <c:pt idx="19">
                  <c:v>36.887321</c:v>
                </c:pt>
                <c:pt idx="20">
                  <c:v>36.887332999999998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3CF-4C4E-87BC-33498E5BEA93}"/>
            </c:ext>
          </c:extLst>
        </c:ser>
        <c:ser>
          <c:idx val="2"/>
          <c:order val="2"/>
          <c:tx>
            <c:v>SIMNRA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'Ex 1 Gauss 1'!$A$3:$A$23</c:f>
              <c:numCache>
                <c:formatCode>General</c:formatCode>
                <c:ptCount val="21"/>
                <c:pt idx="0">
                  <c:v>1683.3</c:v>
                </c:pt>
                <c:pt idx="1">
                  <c:v>1685.3</c:v>
                </c:pt>
                <c:pt idx="2">
                  <c:v>1687.3</c:v>
                </c:pt>
                <c:pt idx="3">
                  <c:v>1689.3</c:v>
                </c:pt>
                <c:pt idx="4">
                  <c:v>1691.3</c:v>
                </c:pt>
                <c:pt idx="5">
                  <c:v>1693.3</c:v>
                </c:pt>
                <c:pt idx="6">
                  <c:v>1695.3</c:v>
                </c:pt>
                <c:pt idx="7">
                  <c:v>1697.3</c:v>
                </c:pt>
                <c:pt idx="8">
                  <c:v>1699.3</c:v>
                </c:pt>
                <c:pt idx="9">
                  <c:v>1701.3</c:v>
                </c:pt>
                <c:pt idx="10">
                  <c:v>1703.3</c:v>
                </c:pt>
                <c:pt idx="11">
                  <c:v>1705.3</c:v>
                </c:pt>
                <c:pt idx="12">
                  <c:v>1707.3</c:v>
                </c:pt>
                <c:pt idx="13">
                  <c:v>1709.3</c:v>
                </c:pt>
                <c:pt idx="14">
                  <c:v>1711.3</c:v>
                </c:pt>
                <c:pt idx="15">
                  <c:v>1713.3</c:v>
                </c:pt>
                <c:pt idx="16">
                  <c:v>1715.3</c:v>
                </c:pt>
                <c:pt idx="17">
                  <c:v>1717.3</c:v>
                </c:pt>
                <c:pt idx="18">
                  <c:v>1719.3</c:v>
                </c:pt>
                <c:pt idx="19">
                  <c:v>1721.3</c:v>
                </c:pt>
                <c:pt idx="20">
                  <c:v>1723.3</c:v>
                </c:pt>
              </c:numCache>
            </c:numRef>
          </c:xVal>
          <c:yVal>
            <c:numRef>
              <c:f>'Ex 1 Gauss 1'!$I$3:$I$25</c:f>
              <c:numCache>
                <c:formatCode>General</c:formatCode>
                <c:ptCount val="23"/>
                <c:pt idx="0">
                  <c:v>36.887318721887297</c:v>
                </c:pt>
                <c:pt idx="1">
                  <c:v>36.887318721885201</c:v>
                </c:pt>
                <c:pt idx="2">
                  <c:v>36.8873187218895</c:v>
                </c:pt>
                <c:pt idx="3">
                  <c:v>36.887318721885698</c:v>
                </c:pt>
                <c:pt idx="4">
                  <c:v>36.887318721889002</c:v>
                </c:pt>
                <c:pt idx="5">
                  <c:v>36.8873187218868</c:v>
                </c:pt>
                <c:pt idx="6">
                  <c:v>36.887318721885102</c:v>
                </c:pt>
                <c:pt idx="7">
                  <c:v>36.887318721889102</c:v>
                </c:pt>
                <c:pt idx="8">
                  <c:v>36.887318721885798</c:v>
                </c:pt>
                <c:pt idx="9">
                  <c:v>36.887318721888498</c:v>
                </c:pt>
                <c:pt idx="10">
                  <c:v>36.887318721887702</c:v>
                </c:pt>
                <c:pt idx="11">
                  <c:v>36.887318721884498</c:v>
                </c:pt>
                <c:pt idx="12">
                  <c:v>36.8873187218895</c:v>
                </c:pt>
                <c:pt idx="13">
                  <c:v>36.887318721886103</c:v>
                </c:pt>
                <c:pt idx="14">
                  <c:v>36.887318721888903</c:v>
                </c:pt>
                <c:pt idx="15">
                  <c:v>36.887318721886302</c:v>
                </c:pt>
                <c:pt idx="16">
                  <c:v>36.887318721885102</c:v>
                </c:pt>
                <c:pt idx="17">
                  <c:v>36.887318721889997</c:v>
                </c:pt>
                <c:pt idx="18">
                  <c:v>36.887318721886402</c:v>
                </c:pt>
                <c:pt idx="19">
                  <c:v>36.8873187218895</c:v>
                </c:pt>
                <c:pt idx="20">
                  <c:v>36.8873187218868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3CF-4C4E-87BC-33498E5BEA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1501640"/>
        <c:axId val="1121502000"/>
      </c:scatterChart>
      <c:valAx>
        <c:axId val="1121501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beam</a:t>
                </a:r>
                <a:r>
                  <a:rPr lang="en-GB" sz="1600" baseline="0"/>
                  <a:t> energy (keV)</a:t>
                </a:r>
                <a:endParaRPr lang="en-GB" sz="16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1502000"/>
        <c:crosses val="autoZero"/>
        <c:crossBetween val="midCat"/>
      </c:valAx>
      <c:valAx>
        <c:axId val="1121502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yield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15016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0218559966531699"/>
          <c:y val="0.90259636785306829"/>
          <c:w val="0.59562860145328134"/>
          <c:h val="8.79024444984757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ERYA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'Ex 1 Gauss 1'!$A$3:$A$23</c:f>
              <c:numCache>
                <c:formatCode>General</c:formatCode>
                <c:ptCount val="21"/>
                <c:pt idx="0">
                  <c:v>1683.3</c:v>
                </c:pt>
                <c:pt idx="1">
                  <c:v>1685.3</c:v>
                </c:pt>
                <c:pt idx="2">
                  <c:v>1687.3</c:v>
                </c:pt>
                <c:pt idx="3">
                  <c:v>1689.3</c:v>
                </c:pt>
                <c:pt idx="4">
                  <c:v>1691.3</c:v>
                </c:pt>
                <c:pt idx="5">
                  <c:v>1693.3</c:v>
                </c:pt>
                <c:pt idx="6">
                  <c:v>1695.3</c:v>
                </c:pt>
                <c:pt idx="7">
                  <c:v>1697.3</c:v>
                </c:pt>
                <c:pt idx="8">
                  <c:v>1699.3</c:v>
                </c:pt>
                <c:pt idx="9">
                  <c:v>1701.3</c:v>
                </c:pt>
                <c:pt idx="10">
                  <c:v>1703.3</c:v>
                </c:pt>
                <c:pt idx="11">
                  <c:v>1705.3</c:v>
                </c:pt>
                <c:pt idx="12">
                  <c:v>1707.3</c:v>
                </c:pt>
                <c:pt idx="13">
                  <c:v>1709.3</c:v>
                </c:pt>
                <c:pt idx="14">
                  <c:v>1711.3</c:v>
                </c:pt>
                <c:pt idx="15">
                  <c:v>1713.3</c:v>
                </c:pt>
                <c:pt idx="16">
                  <c:v>1715.3</c:v>
                </c:pt>
                <c:pt idx="17">
                  <c:v>1717.3</c:v>
                </c:pt>
                <c:pt idx="18">
                  <c:v>1719.3</c:v>
                </c:pt>
                <c:pt idx="19">
                  <c:v>1721.3</c:v>
                </c:pt>
                <c:pt idx="20">
                  <c:v>1723.3</c:v>
                </c:pt>
              </c:numCache>
            </c:numRef>
          </c:xVal>
          <c:yVal>
            <c:numRef>
              <c:f>'Ex 1 Gauss 1'!$K$3:$K$25</c:f>
              <c:numCache>
                <c:formatCode>General</c:formatCode>
                <c:ptCount val="23"/>
                <c:pt idx="0">
                  <c:v>1.0000015976774452</c:v>
                </c:pt>
                <c:pt idx="1">
                  <c:v>1.0000041731031191</c:v>
                </c:pt>
                <c:pt idx="2">
                  <c:v>1.0000017874452001</c:v>
                </c:pt>
                <c:pt idx="3">
                  <c:v>1.0000016790064743</c:v>
                </c:pt>
                <c:pt idx="4">
                  <c:v>1.000003251370301</c:v>
                </c:pt>
                <c:pt idx="5">
                  <c:v>1.0000047966292245</c:v>
                </c:pt>
                <c:pt idx="6">
                  <c:v>1.0000023025294691</c:v>
                </c:pt>
                <c:pt idx="7">
                  <c:v>1.0000008657167798</c:v>
                </c:pt>
                <c:pt idx="8">
                  <c:v>1.0000025194072149</c:v>
                </c:pt>
                <c:pt idx="9">
                  <c:v>1.0000008657167798</c:v>
                </c:pt>
                <c:pt idx="10">
                  <c:v>1.0000018958839496</c:v>
                </c:pt>
                <c:pt idx="11">
                  <c:v>1.0000020043227225</c:v>
                </c:pt>
                <c:pt idx="12">
                  <c:v>1.0000000253188188</c:v>
                </c:pt>
                <c:pt idx="13">
                  <c:v>1.0000021127615186</c:v>
                </c:pt>
                <c:pt idx="14">
                  <c:v>0.99999994399005876</c:v>
                </c:pt>
                <c:pt idx="15">
                  <c:v>0.99999961867515119</c:v>
                </c:pt>
                <c:pt idx="16">
                  <c:v>0.99999961867515119</c:v>
                </c:pt>
                <c:pt idx="17">
                  <c:v>1.0000005404012726</c:v>
                </c:pt>
                <c:pt idx="18">
                  <c:v>0.99999983555173277</c:v>
                </c:pt>
                <c:pt idx="19">
                  <c:v>0.99999994399005876</c:v>
                </c:pt>
                <c:pt idx="20">
                  <c:v>0.99999961867515119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FE4-44BE-8A8E-9AD722A17741}"/>
            </c:ext>
          </c:extLst>
        </c:ser>
        <c:ser>
          <c:idx val="1"/>
          <c:order val="1"/>
          <c:tx>
            <c:v>SIMNRA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'Ex 1 Gauss 1'!$H$3:$H$23</c:f>
              <c:numCache>
                <c:formatCode>General</c:formatCode>
                <c:ptCount val="21"/>
                <c:pt idx="0">
                  <c:v>1683.3</c:v>
                </c:pt>
                <c:pt idx="1">
                  <c:v>1685.3</c:v>
                </c:pt>
                <c:pt idx="2">
                  <c:v>1687.3</c:v>
                </c:pt>
                <c:pt idx="3">
                  <c:v>1689.3</c:v>
                </c:pt>
                <c:pt idx="4">
                  <c:v>1691.3</c:v>
                </c:pt>
                <c:pt idx="5">
                  <c:v>1693.3</c:v>
                </c:pt>
                <c:pt idx="6">
                  <c:v>1695.3</c:v>
                </c:pt>
                <c:pt idx="7">
                  <c:v>1697.3</c:v>
                </c:pt>
                <c:pt idx="8">
                  <c:v>1699.3</c:v>
                </c:pt>
                <c:pt idx="9">
                  <c:v>1701.3</c:v>
                </c:pt>
                <c:pt idx="10">
                  <c:v>1703.3</c:v>
                </c:pt>
                <c:pt idx="11">
                  <c:v>1705.3</c:v>
                </c:pt>
                <c:pt idx="12">
                  <c:v>1707.3</c:v>
                </c:pt>
                <c:pt idx="13">
                  <c:v>1709.3</c:v>
                </c:pt>
                <c:pt idx="14">
                  <c:v>1711.3</c:v>
                </c:pt>
                <c:pt idx="15">
                  <c:v>1713.3</c:v>
                </c:pt>
                <c:pt idx="16">
                  <c:v>1715.3</c:v>
                </c:pt>
                <c:pt idx="17">
                  <c:v>1717.3</c:v>
                </c:pt>
                <c:pt idx="18">
                  <c:v>1719.3</c:v>
                </c:pt>
                <c:pt idx="19">
                  <c:v>1721.3</c:v>
                </c:pt>
                <c:pt idx="20">
                  <c:v>1723.3</c:v>
                </c:pt>
              </c:numCache>
            </c:numRef>
          </c:xVal>
          <c:yVal>
            <c:numRef>
              <c:f>'Ex 1 Gauss 1'!$M$3:$M$23</c:f>
              <c:numCache>
                <c:formatCode>General</c:formatCode>
                <c:ptCount val="21"/>
                <c:pt idx="0">
                  <c:v>1.0000015919286849</c:v>
                </c:pt>
                <c:pt idx="1">
                  <c:v>1.000004167354287</c:v>
                </c:pt>
                <c:pt idx="2">
                  <c:v>1.0000017816964981</c:v>
                </c:pt>
                <c:pt idx="3">
                  <c:v>1.00000167325767</c:v>
                </c:pt>
                <c:pt idx="4">
                  <c:v>1.0000032456215773</c:v>
                </c:pt>
                <c:pt idx="5">
                  <c:v>1.0000047908804321</c:v>
                </c:pt>
                <c:pt idx="6">
                  <c:v>1.000002296780645</c:v>
                </c:pt>
                <c:pt idx="7">
                  <c:v>1.0000008599680725</c:v>
                </c:pt>
                <c:pt idx="8">
                  <c:v>1.0000025136584085</c:v>
                </c:pt>
                <c:pt idx="9">
                  <c:v>1.0000008599680561</c:v>
                </c:pt>
                <c:pt idx="10">
                  <c:v>1.0000018901351984</c:v>
                </c:pt>
                <c:pt idx="11">
                  <c:v>1.0000019985738837</c:v>
                </c:pt>
                <c:pt idx="12">
                  <c:v>1.0000000195701271</c:v>
                </c:pt>
                <c:pt idx="13">
                  <c:v>1.000002107012723</c:v>
                </c:pt>
                <c:pt idx="14">
                  <c:v>0.99999993824135136</c:v>
                </c:pt>
                <c:pt idx="15">
                  <c:v>0.99999961292637518</c:v>
                </c:pt>
                <c:pt idx="16">
                  <c:v>0.99999961292634254</c:v>
                </c:pt>
                <c:pt idx="17">
                  <c:v>1.0000005346525913</c:v>
                </c:pt>
                <c:pt idx="18">
                  <c:v>0.99999982980295821</c:v>
                </c:pt>
                <c:pt idx="19">
                  <c:v>0.99999993824136757</c:v>
                </c:pt>
                <c:pt idx="20">
                  <c:v>0.99999961292638861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C82-446E-9C2B-8BF52F683090}"/>
            </c:ext>
          </c:extLst>
        </c:ser>
        <c:ser>
          <c:idx val="2"/>
          <c:order val="2"/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'Ex 1 Gauss 1'!$H$3:$H$23</c:f>
              <c:numCache>
                <c:formatCode>General</c:formatCode>
                <c:ptCount val="21"/>
                <c:pt idx="0">
                  <c:v>1683.3</c:v>
                </c:pt>
                <c:pt idx="1">
                  <c:v>1685.3</c:v>
                </c:pt>
                <c:pt idx="2">
                  <c:v>1687.3</c:v>
                </c:pt>
                <c:pt idx="3">
                  <c:v>1689.3</c:v>
                </c:pt>
                <c:pt idx="4">
                  <c:v>1691.3</c:v>
                </c:pt>
                <c:pt idx="5">
                  <c:v>1693.3</c:v>
                </c:pt>
                <c:pt idx="6">
                  <c:v>1695.3</c:v>
                </c:pt>
                <c:pt idx="7">
                  <c:v>1697.3</c:v>
                </c:pt>
                <c:pt idx="8">
                  <c:v>1699.3</c:v>
                </c:pt>
                <c:pt idx="9">
                  <c:v>1701.3</c:v>
                </c:pt>
                <c:pt idx="10">
                  <c:v>1703.3</c:v>
                </c:pt>
                <c:pt idx="11">
                  <c:v>1705.3</c:v>
                </c:pt>
                <c:pt idx="12">
                  <c:v>1707.3</c:v>
                </c:pt>
                <c:pt idx="13">
                  <c:v>1709.3</c:v>
                </c:pt>
                <c:pt idx="14">
                  <c:v>1711.3</c:v>
                </c:pt>
                <c:pt idx="15">
                  <c:v>1713.3</c:v>
                </c:pt>
                <c:pt idx="16">
                  <c:v>1715.3</c:v>
                </c:pt>
                <c:pt idx="17">
                  <c:v>1717.3</c:v>
                </c:pt>
                <c:pt idx="18">
                  <c:v>1719.3</c:v>
                </c:pt>
                <c:pt idx="19">
                  <c:v>1721.3</c:v>
                </c:pt>
                <c:pt idx="20">
                  <c:v>1723.3</c:v>
                </c:pt>
              </c:numCache>
            </c:numRef>
          </c:xVal>
          <c:yVal>
            <c:numRef>
              <c:f>'Ex 1 Gauss 1'!$W$3:$W$23</c:f>
              <c:numCache>
                <c:formatCode>General</c:formatCode>
                <c:ptCount val="2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D57-488D-9FE0-00556679E6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5824648"/>
        <c:axId val="1105825368"/>
      </c:scatterChart>
      <c:valAx>
        <c:axId val="1105824648"/>
        <c:scaling>
          <c:orientation val="minMax"/>
          <c:max val="1723.3"/>
          <c:min val="1683.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beam</a:t>
                </a:r>
                <a:r>
                  <a:rPr lang="en-GB" sz="1600" baseline="0"/>
                  <a:t> energy (keV)</a:t>
                </a:r>
                <a:endParaRPr lang="en-GB" sz="16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5825368"/>
        <c:crosses val="autoZero"/>
        <c:crossBetween val="midCat"/>
      </c:valAx>
      <c:valAx>
        <c:axId val="1105825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ratio</a:t>
                </a:r>
                <a:r>
                  <a:rPr lang="en-GB" sz="1600" baseline="0"/>
                  <a:t> over NDF</a:t>
                </a:r>
                <a:endParaRPr lang="en-GB" sz="16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58246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396876</xdr:colOff>
      <xdr:row>23</xdr:row>
      <xdr:rowOff>157521</xdr:rowOff>
    </xdr:from>
    <xdr:to>
      <xdr:col>6</xdr:col>
      <xdr:colOff>221282</xdr:colOff>
      <xdr:row>51</xdr:row>
      <xdr:rowOff>119062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A569CE2-80AF-E99E-F856-1679FD70B4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859925</xdr:colOff>
      <xdr:row>24</xdr:row>
      <xdr:rowOff>62455</xdr:rowOff>
    </xdr:from>
    <xdr:to>
      <xdr:col>11</xdr:col>
      <xdr:colOff>615156</xdr:colOff>
      <xdr:row>49</xdr:row>
      <xdr:rowOff>178592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E85F61A-9CDE-EC98-DF38-5DA5BF9BCD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567809</xdr:colOff>
      <xdr:row>24</xdr:row>
      <xdr:rowOff>141139</xdr:rowOff>
    </xdr:from>
    <xdr:to>
      <xdr:col>15</xdr:col>
      <xdr:colOff>1301612</xdr:colOff>
      <xdr:row>46</xdr:row>
      <xdr:rowOff>29535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4A4C4D9-955C-1406-4160-D85A277FDD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0.84221</cdr:x>
      <cdr:y>0.13436</cdr:y>
    </cdr:from>
    <cdr:to>
      <cdr:x>0.99152</cdr:x>
      <cdr:y>0.26135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31CFAFBD-B15C-39FF-12A9-06F9B421BEFD}"/>
            </a:ext>
          </a:extLst>
        </cdr:cNvPr>
        <cdr:cNvSpPr txBox="1"/>
      </cdr:nvSpPr>
      <cdr:spPr>
        <a:xfrm xmlns:a="http://schemas.openxmlformats.org/drawingml/2006/main">
          <a:off x="5497917" y="574159"/>
          <a:ext cx="974651" cy="54270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GB" sz="1100"/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363617</xdr:colOff>
      <xdr:row>25</xdr:row>
      <xdr:rowOff>68530</xdr:rowOff>
    </xdr:from>
    <xdr:to>
      <xdr:col>8</xdr:col>
      <xdr:colOff>383473</xdr:colOff>
      <xdr:row>54</xdr:row>
      <xdr:rowOff>12370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A58752B-D4BC-701F-622D-EA79436704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920275</xdr:colOff>
      <xdr:row>26</xdr:row>
      <xdr:rowOff>111331</xdr:rowOff>
    </xdr:from>
    <xdr:to>
      <xdr:col>16</xdr:col>
      <xdr:colOff>630877</xdr:colOff>
      <xdr:row>53</xdr:row>
      <xdr:rowOff>111331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9948496-DADA-39BD-7189-BBE482ACAC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28575</xdr:colOff>
      <xdr:row>1</xdr:row>
      <xdr:rowOff>180975</xdr:rowOff>
    </xdr:from>
    <xdr:to>
      <xdr:col>22</xdr:col>
      <xdr:colOff>266700</xdr:colOff>
      <xdr:row>22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7536B6E-F2DE-A22E-5844-8D5FD9C234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38100</xdr:colOff>
      <xdr:row>22</xdr:row>
      <xdr:rowOff>152399</xdr:rowOff>
    </xdr:from>
    <xdr:to>
      <xdr:col>22</xdr:col>
      <xdr:colOff>266700</xdr:colOff>
      <xdr:row>44</xdr:row>
      <xdr:rowOff>104775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CA7EC15-95B2-AA24-D2E4-1E2A98D4A4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219074</xdr:colOff>
      <xdr:row>0</xdr:row>
      <xdr:rowOff>95249</xdr:rowOff>
    </xdr:from>
    <xdr:to>
      <xdr:col>21</xdr:col>
      <xdr:colOff>438149</xdr:colOff>
      <xdr:row>20</xdr:row>
      <xdr:rowOff>104774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6D5396B-A4E0-84C6-EBBF-7EDE52E347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219075</xdr:colOff>
      <xdr:row>20</xdr:row>
      <xdr:rowOff>114300</xdr:rowOff>
    </xdr:from>
    <xdr:to>
      <xdr:col>21</xdr:col>
      <xdr:colOff>447675</xdr:colOff>
      <xdr:row>38</xdr:row>
      <xdr:rowOff>95250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0D8EFD2-0CF5-0BCA-8FAA-9765A4570A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3"/>
  <sheetViews>
    <sheetView tabSelected="1" topLeftCell="A11" zoomScale="96" zoomScaleNormal="96" workbookViewId="0">
      <selection activeCell="A33" sqref="A33"/>
    </sheetView>
  </sheetViews>
  <sheetFormatPr defaultColWidth="21" defaultRowHeight="15.75" x14ac:dyDescent="0.25"/>
  <cols>
    <col min="1" max="1" width="14.75" customWidth="1"/>
    <col min="2" max="2" width="17.375" customWidth="1"/>
    <col min="3" max="3" width="10.25" customWidth="1"/>
    <col min="4" max="4" width="17" customWidth="1"/>
    <col min="5" max="5" width="21" style="2"/>
    <col min="6" max="6" width="8.875" customWidth="1"/>
    <col min="7" max="7" width="17.5" customWidth="1"/>
    <col min="9" max="10" width="12.5" customWidth="1"/>
    <col min="11" max="11" width="18.625" customWidth="1"/>
    <col min="12" max="12" width="14.375" customWidth="1"/>
    <col min="13" max="13" width="17.375" customWidth="1"/>
    <col min="14" max="14" width="15.125" customWidth="1"/>
  </cols>
  <sheetData>
    <row r="1" spans="1:20" x14ac:dyDescent="0.25">
      <c r="A1" t="s">
        <v>2</v>
      </c>
      <c r="E1" s="2" t="s">
        <v>3</v>
      </c>
      <c r="G1" t="s">
        <v>4</v>
      </c>
      <c r="H1" t="s">
        <v>11</v>
      </c>
      <c r="I1" t="s">
        <v>12</v>
      </c>
      <c r="K1" t="s">
        <v>9</v>
      </c>
      <c r="L1" t="s">
        <v>7</v>
      </c>
      <c r="M1" t="s">
        <v>10</v>
      </c>
      <c r="N1" t="s">
        <v>7</v>
      </c>
      <c r="O1" t="s">
        <v>13</v>
      </c>
    </row>
    <row r="2" spans="1:20" x14ac:dyDescent="0.25">
      <c r="A2" t="s">
        <v>0</v>
      </c>
      <c r="B2" t="s">
        <v>8</v>
      </c>
      <c r="D2" t="s">
        <v>0</v>
      </c>
      <c r="E2" t="s">
        <v>8</v>
      </c>
      <c r="G2" t="s">
        <v>0</v>
      </c>
      <c r="H2" t="s">
        <v>8</v>
      </c>
      <c r="I2" s="2"/>
      <c r="J2" s="2"/>
    </row>
    <row r="3" spans="1:20" x14ac:dyDescent="0.25">
      <c r="A3">
        <v>1683.3</v>
      </c>
      <c r="B3" s="6">
        <v>36.887318999999998</v>
      </c>
      <c r="D3" s="1">
        <v>1683.3</v>
      </c>
      <c r="E3" s="2">
        <v>36.887374999999999</v>
      </c>
      <c r="G3">
        <v>1683.3</v>
      </c>
      <c r="H3">
        <v>36.887415719247599</v>
      </c>
      <c r="I3">
        <v>36.887447792705302</v>
      </c>
      <c r="K3">
        <f>B3/E3</f>
        <v>0.99999848186540785</v>
      </c>
      <c r="L3">
        <f>1-K3</f>
        <v>1.5181345921488898E-6</v>
      </c>
      <c r="M3">
        <f>H3/E3</f>
        <v>1.0000011038803276</v>
      </c>
      <c r="N3">
        <f>1-M3</f>
        <v>-1.1038803275909004E-6</v>
      </c>
      <c r="O3">
        <f>I3/E3</f>
        <v>1.0000019733772139</v>
      </c>
      <c r="S3">
        <v>1</v>
      </c>
      <c r="T3">
        <v>36.887461395821802</v>
      </c>
    </row>
    <row r="4" spans="1:20" x14ac:dyDescent="0.25">
      <c r="A4">
        <v>1685.3</v>
      </c>
      <c r="B4" s="6">
        <v>36.887318999999998</v>
      </c>
      <c r="D4" s="1">
        <v>1685.3</v>
      </c>
      <c r="E4" s="2">
        <v>36.887287000000001</v>
      </c>
      <c r="G4">
        <v>1685.3</v>
      </c>
      <c r="H4">
        <v>36.887208186493602</v>
      </c>
      <c r="I4">
        <v>36.887446082444903</v>
      </c>
      <c r="K4">
        <f t="shared" ref="K4:K23" si="0">B4/E4</f>
        <v>1.0000008675075507</v>
      </c>
      <c r="L4">
        <f t="shared" ref="L4:L23" si="1">1-K4</f>
        <v>-8.6750755068365493E-7</v>
      </c>
      <c r="M4">
        <f t="shared" ref="M4:M23" si="2">H4/E4</f>
        <v>0.99999786339650298</v>
      </c>
      <c r="N4">
        <f t="shared" ref="N4:N23" si="3">1-M4</f>
        <v>2.1366034970160541E-6</v>
      </c>
      <c r="O4">
        <f t="shared" ref="O4:O23" si="4">I4/E4</f>
        <v>1.0000043126631921</v>
      </c>
      <c r="S4">
        <v>1</v>
      </c>
      <c r="T4">
        <v>36.887537205304199</v>
      </c>
    </row>
    <row r="5" spans="1:20" x14ac:dyDescent="0.25">
      <c r="A5">
        <v>1687.3</v>
      </c>
      <c r="B5" s="6">
        <v>36.887318999999998</v>
      </c>
      <c r="D5" s="1">
        <v>1687.3</v>
      </c>
      <c r="E5" s="2">
        <v>36.887360000000001</v>
      </c>
      <c r="G5">
        <v>1687.3</v>
      </c>
      <c r="H5">
        <v>36.887365583814201</v>
      </c>
      <c r="I5">
        <v>36.887313465344498</v>
      </c>
      <c r="K5">
        <f t="shared" si="0"/>
        <v>0.99999888850815011</v>
      </c>
      <c r="L5">
        <f t="shared" si="1"/>
        <v>1.1114918498922322E-6</v>
      </c>
      <c r="M5">
        <f t="shared" si="2"/>
        <v>1.000000151374731</v>
      </c>
      <c r="N5">
        <f t="shared" si="3"/>
        <v>-1.5137473097226462E-7</v>
      </c>
      <c r="O5">
        <f t="shared" si="4"/>
        <v>0.99999873846608966</v>
      </c>
      <c r="S5">
        <v>1</v>
      </c>
      <c r="T5">
        <v>36.887506125690699</v>
      </c>
    </row>
    <row r="6" spans="1:20" x14ac:dyDescent="0.25">
      <c r="A6">
        <v>1689.3</v>
      </c>
      <c r="B6" s="6">
        <v>36.887318999999998</v>
      </c>
      <c r="D6" s="1">
        <v>1689.3</v>
      </c>
      <c r="E6" s="2">
        <v>36.887374999999999</v>
      </c>
      <c r="G6">
        <v>1689.3</v>
      </c>
      <c r="H6">
        <v>36.887424490081202</v>
      </c>
      <c r="I6">
        <v>36.887387484503897</v>
      </c>
      <c r="K6">
        <f t="shared" si="0"/>
        <v>0.99999848186540785</v>
      </c>
      <c r="L6">
        <f t="shared" si="1"/>
        <v>1.5181345921488898E-6</v>
      </c>
      <c r="M6">
        <f t="shared" si="2"/>
        <v>1.0000013416536471</v>
      </c>
      <c r="N6">
        <f t="shared" si="3"/>
        <v>-1.3416536470689522E-6</v>
      </c>
      <c r="O6">
        <f t="shared" si="4"/>
        <v>1.0000003384492364</v>
      </c>
      <c r="S6">
        <v>1</v>
      </c>
      <c r="T6">
        <v>36.887538850749699</v>
      </c>
    </row>
    <row r="7" spans="1:20" x14ac:dyDescent="0.25">
      <c r="A7">
        <v>1691.3</v>
      </c>
      <c r="B7" s="6">
        <v>36.887318999999998</v>
      </c>
      <c r="D7" s="1">
        <v>1691.3</v>
      </c>
      <c r="E7" s="2">
        <v>36.887379000000003</v>
      </c>
      <c r="G7">
        <v>1691.3</v>
      </c>
      <c r="H7">
        <v>36.887355557140303</v>
      </c>
      <c r="I7">
        <v>36.8873371819667</v>
      </c>
      <c r="K7">
        <f t="shared" si="0"/>
        <v>0.99999837342739895</v>
      </c>
      <c r="L7">
        <f t="shared" si="1"/>
        <v>1.6265726010544768E-6</v>
      </c>
      <c r="M7">
        <f t="shared" si="2"/>
        <v>0.99999936447477877</v>
      </c>
      <c r="N7">
        <f t="shared" si="3"/>
        <v>6.3552522122645172E-7</v>
      </c>
      <c r="O7">
        <f t="shared" si="4"/>
        <v>0.99999886633221347</v>
      </c>
      <c r="S7">
        <v>1</v>
      </c>
      <c r="T7">
        <v>36.887616152432898</v>
      </c>
    </row>
    <row r="8" spans="1:20" x14ac:dyDescent="0.25">
      <c r="A8">
        <v>1693.3</v>
      </c>
      <c r="B8" s="6">
        <v>36.887318999999998</v>
      </c>
      <c r="D8" s="1">
        <v>1693.3</v>
      </c>
      <c r="E8" s="2">
        <v>36.887206999999997</v>
      </c>
      <c r="G8">
        <v>1693.3</v>
      </c>
      <c r="H8">
        <v>36.8874018734098</v>
      </c>
      <c r="I8">
        <v>36.8874243010494</v>
      </c>
      <c r="K8">
        <f t="shared" si="0"/>
        <v>1.0000030362830128</v>
      </c>
      <c r="L8">
        <f t="shared" si="1"/>
        <v>-3.0362830127916851E-6</v>
      </c>
      <c r="M8">
        <f t="shared" si="2"/>
        <v>1.000005282953784</v>
      </c>
      <c r="N8">
        <f t="shared" si="3"/>
        <v>-5.282953783991573E-6</v>
      </c>
      <c r="O8">
        <f t="shared" si="4"/>
        <v>1.0000058909596869</v>
      </c>
      <c r="S8">
        <v>1</v>
      </c>
      <c r="T8">
        <v>36.887444447246601</v>
      </c>
    </row>
    <row r="9" spans="1:20" x14ac:dyDescent="0.25">
      <c r="A9">
        <v>1695.3</v>
      </c>
      <c r="B9" s="6">
        <v>36.887318999999998</v>
      </c>
      <c r="D9" s="1">
        <v>1695.3</v>
      </c>
      <c r="E9" s="2">
        <v>36.887183999999998</v>
      </c>
      <c r="G9">
        <v>1695.3</v>
      </c>
      <c r="H9">
        <v>36.887212802067701</v>
      </c>
      <c r="I9">
        <v>36.887474763278</v>
      </c>
      <c r="K9">
        <f t="shared" si="0"/>
        <v>1.0000036598076991</v>
      </c>
      <c r="L9">
        <f t="shared" si="1"/>
        <v>-3.6598076991189998E-6</v>
      </c>
      <c r="M9">
        <f t="shared" si="2"/>
        <v>1.0000007808150306</v>
      </c>
      <c r="N9">
        <f t="shared" si="3"/>
        <v>-7.8081503063209823E-7</v>
      </c>
      <c r="O9">
        <f t="shared" si="4"/>
        <v>1.0000078825013587</v>
      </c>
      <c r="S9">
        <v>1</v>
      </c>
      <c r="T9">
        <v>36.887531078756602</v>
      </c>
    </row>
    <row r="10" spans="1:20" x14ac:dyDescent="0.25">
      <c r="A10">
        <v>1697.3</v>
      </c>
      <c r="B10" s="6">
        <v>36.887318999999998</v>
      </c>
      <c r="D10" s="1">
        <v>1697.3</v>
      </c>
      <c r="E10" s="2">
        <v>36.887256999999998</v>
      </c>
      <c r="G10">
        <v>1697.3</v>
      </c>
      <c r="H10">
        <v>36.887401394476498</v>
      </c>
      <c r="I10">
        <v>36.887300596580403</v>
      </c>
      <c r="K10">
        <f t="shared" si="0"/>
        <v>1.0000016807972465</v>
      </c>
      <c r="L10">
        <f t="shared" si="1"/>
        <v>-1.6807972464949472E-6</v>
      </c>
      <c r="M10">
        <f t="shared" si="2"/>
        <v>1.0000039144812665</v>
      </c>
      <c r="N10">
        <f t="shared" si="3"/>
        <v>-3.9144812664648754E-6</v>
      </c>
      <c r="O10">
        <f t="shared" si="4"/>
        <v>1.0000011818872951</v>
      </c>
      <c r="S10">
        <v>1</v>
      </c>
      <c r="T10">
        <v>36.887486277921397</v>
      </c>
    </row>
    <row r="11" spans="1:20" x14ac:dyDescent="0.25">
      <c r="A11">
        <v>1699.3</v>
      </c>
      <c r="B11" s="6">
        <v>36.887318999999998</v>
      </c>
      <c r="D11" s="1">
        <v>1699.3</v>
      </c>
      <c r="E11" s="2">
        <v>36.887141999999997</v>
      </c>
      <c r="G11">
        <v>1699.3</v>
      </c>
      <c r="H11">
        <v>36.887421087183696</v>
      </c>
      <c r="I11">
        <v>36.887408548575998</v>
      </c>
      <c r="K11">
        <f t="shared" si="0"/>
        <v>1.0000047984200022</v>
      </c>
      <c r="L11">
        <f t="shared" si="1"/>
        <v>-4.7984200022277435E-6</v>
      </c>
      <c r="M11">
        <f t="shared" si="2"/>
        <v>1.0000075659747154</v>
      </c>
      <c r="N11">
        <f t="shared" si="3"/>
        <v>-7.5659747154066537E-6</v>
      </c>
      <c r="O11">
        <f t="shared" si="4"/>
        <v>1.0000072260566026</v>
      </c>
      <c r="S11">
        <v>1</v>
      </c>
      <c r="T11">
        <v>36.887543513745896</v>
      </c>
    </row>
    <row r="12" spans="1:20" x14ac:dyDescent="0.25">
      <c r="A12">
        <v>1701.3</v>
      </c>
      <c r="B12" s="6">
        <v>36.887318999999998</v>
      </c>
      <c r="D12" s="1">
        <v>1701.3</v>
      </c>
      <c r="E12" s="2">
        <v>36.887191999999999</v>
      </c>
      <c r="G12">
        <v>1701.3</v>
      </c>
      <c r="H12">
        <v>36.887344848222199</v>
      </c>
      <c r="I12">
        <v>36.887354280453501</v>
      </c>
      <c r="K12">
        <f t="shared" si="0"/>
        <v>1.0000034429294591</v>
      </c>
      <c r="L12">
        <f t="shared" si="1"/>
        <v>-3.4429294590854198E-6</v>
      </c>
      <c r="M12">
        <f t="shared" si="2"/>
        <v>1.0000041436665117</v>
      </c>
      <c r="N12">
        <f t="shared" si="3"/>
        <v>-4.1436665116911797E-6</v>
      </c>
      <c r="O12">
        <f t="shared" si="4"/>
        <v>1.0000043993712913</v>
      </c>
      <c r="S12">
        <v>1</v>
      </c>
      <c r="T12">
        <v>36.887619395612099</v>
      </c>
    </row>
    <row r="13" spans="1:20" x14ac:dyDescent="0.25">
      <c r="A13">
        <v>1703.3</v>
      </c>
      <c r="B13" s="6">
        <v>36.887318999999998</v>
      </c>
      <c r="D13" s="1">
        <v>1703.3</v>
      </c>
      <c r="E13" s="2">
        <v>36.887206999999997</v>
      </c>
      <c r="G13">
        <v>1703.3</v>
      </c>
      <c r="H13">
        <v>36.887433040761003</v>
      </c>
      <c r="I13">
        <v>36.887437503439898</v>
      </c>
      <c r="K13">
        <f t="shared" si="0"/>
        <v>1.0000030362830128</v>
      </c>
      <c r="L13">
        <f t="shared" si="1"/>
        <v>-3.0362830127916851E-6</v>
      </c>
      <c r="M13">
        <f t="shared" si="2"/>
        <v>1.0000061278903822</v>
      </c>
      <c r="N13">
        <f t="shared" si="3"/>
        <v>-6.1278903822348241E-6</v>
      </c>
      <c r="O13">
        <f t="shared" si="4"/>
        <v>1.0000062488721333</v>
      </c>
      <c r="S13">
        <v>1</v>
      </c>
      <c r="T13">
        <v>36.887448113010997</v>
      </c>
    </row>
    <row r="14" spans="1:20" x14ac:dyDescent="0.25">
      <c r="A14">
        <v>1705.3</v>
      </c>
      <c r="B14" s="6">
        <v>36.887318999999998</v>
      </c>
      <c r="D14" s="1">
        <v>1705.3</v>
      </c>
      <c r="E14" s="2">
        <v>36.887253000000001</v>
      </c>
      <c r="G14">
        <v>1705.3</v>
      </c>
      <c r="H14">
        <v>36.887292871712901</v>
      </c>
      <c r="I14">
        <v>36.887488498768199</v>
      </c>
      <c r="K14">
        <f t="shared" si="0"/>
        <v>1.0000017892359725</v>
      </c>
      <c r="L14">
        <f t="shared" si="1"/>
        <v>-1.7892359724935858E-6</v>
      </c>
      <c r="M14">
        <f t="shared" si="2"/>
        <v>1.0000010809076214</v>
      </c>
      <c r="N14">
        <f t="shared" si="3"/>
        <v>-1.0809076214091107E-6</v>
      </c>
      <c r="O14">
        <f t="shared" si="4"/>
        <v>1.0000063842858724</v>
      </c>
      <c r="S14">
        <v>1</v>
      </c>
      <c r="T14">
        <v>36.887539875967803</v>
      </c>
    </row>
    <row r="15" spans="1:20" x14ac:dyDescent="0.25">
      <c r="A15">
        <v>1707.3</v>
      </c>
      <c r="B15" s="6">
        <v>36.887318999999998</v>
      </c>
      <c r="D15" s="1">
        <v>1707.3</v>
      </c>
      <c r="E15" s="2">
        <v>36.887241000000003</v>
      </c>
      <c r="G15">
        <v>1707.3</v>
      </c>
      <c r="H15">
        <v>36.887386088475097</v>
      </c>
      <c r="I15">
        <v>36.8873302482246</v>
      </c>
      <c r="K15">
        <f t="shared" si="0"/>
        <v>1.0000021145522917</v>
      </c>
      <c r="L15">
        <f t="shared" si="1"/>
        <v>-2.1145522917098702E-6</v>
      </c>
      <c r="M15">
        <f t="shared" si="2"/>
        <v>1.0000039332970199</v>
      </c>
      <c r="N15">
        <f t="shared" si="3"/>
        <v>-3.9332970198646677E-6</v>
      </c>
      <c r="O15">
        <f t="shared" si="4"/>
        <v>1.0000024194876651</v>
      </c>
      <c r="S15">
        <v>1</v>
      </c>
      <c r="T15">
        <v>36.887493848185301</v>
      </c>
    </row>
    <row r="16" spans="1:20" x14ac:dyDescent="0.25">
      <c r="A16">
        <v>1709.3</v>
      </c>
      <c r="B16" s="6">
        <v>36.887318999999998</v>
      </c>
      <c r="D16" s="1">
        <v>1709.3</v>
      </c>
      <c r="E16" s="2">
        <v>36.887241000000003</v>
      </c>
      <c r="G16">
        <v>1709.3</v>
      </c>
      <c r="H16">
        <v>36.887472601808099</v>
      </c>
      <c r="I16">
        <v>36.887454533297898</v>
      </c>
      <c r="K16">
        <f t="shared" si="0"/>
        <v>1.0000021145522917</v>
      </c>
      <c r="L16">
        <f t="shared" si="1"/>
        <v>-2.1145522917098702E-6</v>
      </c>
      <c r="M16">
        <f t="shared" si="2"/>
        <v>1.0000062786427453</v>
      </c>
      <c r="N16">
        <f t="shared" si="3"/>
        <v>-6.2786427452721227E-6</v>
      </c>
      <c r="O16">
        <f t="shared" si="4"/>
        <v>1.0000057888118521</v>
      </c>
      <c r="S16">
        <v>1</v>
      </c>
      <c r="T16">
        <v>36.887547374735199</v>
      </c>
    </row>
    <row r="17" spans="1:20" x14ac:dyDescent="0.25">
      <c r="A17">
        <v>1711.3</v>
      </c>
      <c r="B17" s="6">
        <v>36.887318999999998</v>
      </c>
      <c r="D17" s="1">
        <v>1711.3</v>
      </c>
      <c r="E17" s="2">
        <v>36.887241000000003</v>
      </c>
      <c r="G17">
        <v>1711.3</v>
      </c>
      <c r="H17">
        <v>36.887286921266501</v>
      </c>
      <c r="I17">
        <v>36.887320883669197</v>
      </c>
      <c r="K17">
        <f t="shared" si="0"/>
        <v>1.0000021145522917</v>
      </c>
      <c r="L17">
        <f t="shared" si="1"/>
        <v>-2.1145522917098702E-6</v>
      </c>
      <c r="M17">
        <f t="shared" si="2"/>
        <v>1.0000012449092222</v>
      </c>
      <c r="N17">
        <f t="shared" si="3"/>
        <v>-1.2449092221533675E-6</v>
      </c>
      <c r="O17">
        <f t="shared" si="4"/>
        <v>1.0000021656178946</v>
      </c>
      <c r="S17">
        <v>1</v>
      </c>
      <c r="T17">
        <v>36.887602569361597</v>
      </c>
    </row>
    <row r="18" spans="1:20" x14ac:dyDescent="0.25">
      <c r="A18">
        <v>1713.3</v>
      </c>
      <c r="B18" s="6">
        <v>36.887318999999998</v>
      </c>
      <c r="D18" s="1">
        <v>1713.3</v>
      </c>
      <c r="E18" s="2">
        <v>36.887233999999999</v>
      </c>
      <c r="G18">
        <v>1713.3</v>
      </c>
      <c r="H18">
        <v>36.887485167503797</v>
      </c>
      <c r="I18">
        <v>36.887436202152699</v>
      </c>
      <c r="K18">
        <f t="shared" si="0"/>
        <v>1.0000023043202426</v>
      </c>
      <c r="L18">
        <f t="shared" si="1"/>
        <v>-2.3043202426187293E-6</v>
      </c>
      <c r="M18">
        <f t="shared" si="2"/>
        <v>1.0000068090630976</v>
      </c>
      <c r="N18">
        <f t="shared" si="3"/>
        <v>-6.8090630975792266E-6</v>
      </c>
      <c r="O18">
        <f t="shared" si="4"/>
        <v>1.0000054816295714</v>
      </c>
      <c r="S18">
        <v>1</v>
      </c>
      <c r="T18">
        <v>36.887465173236102</v>
      </c>
    </row>
    <row r="19" spans="1:20" x14ac:dyDescent="0.25">
      <c r="A19">
        <v>1715.3</v>
      </c>
      <c r="B19" s="6">
        <v>36.887318999999998</v>
      </c>
      <c r="D19" s="1">
        <v>1715.3</v>
      </c>
      <c r="E19" s="2">
        <v>36.887259999999998</v>
      </c>
      <c r="G19">
        <v>1715.3</v>
      </c>
      <c r="H19">
        <v>36.887295355618697</v>
      </c>
      <c r="I19">
        <v>36.887510385677899</v>
      </c>
      <c r="K19">
        <f t="shared" si="0"/>
        <v>1.0000015994682174</v>
      </c>
      <c r="L19">
        <f t="shared" si="1"/>
        <v>-1.5994682174280683E-6</v>
      </c>
      <c r="M19">
        <f t="shared" si="2"/>
        <v>1.0000009584777698</v>
      </c>
      <c r="N19">
        <f t="shared" si="3"/>
        <v>-9.5847776981905497E-7</v>
      </c>
      <c r="O19">
        <f t="shared" si="4"/>
        <v>1.0000067878632868</v>
      </c>
      <c r="S19">
        <v>1</v>
      </c>
      <c r="T19">
        <v>36.887540781726898</v>
      </c>
    </row>
    <row r="20" spans="1:20" x14ac:dyDescent="0.25">
      <c r="A20">
        <v>1717.3</v>
      </c>
      <c r="B20" s="6">
        <v>36.887318999999998</v>
      </c>
      <c r="D20" s="1">
        <v>1717.3</v>
      </c>
      <c r="E20" s="2">
        <v>36.887180000000001</v>
      </c>
      <c r="G20">
        <v>1717.3</v>
      </c>
      <c r="H20">
        <v>36.887382035594399</v>
      </c>
      <c r="I20">
        <v>36.887347753565898</v>
      </c>
      <c r="K20">
        <f t="shared" si="0"/>
        <v>1.0000037682468543</v>
      </c>
      <c r="L20">
        <f t="shared" si="1"/>
        <v>-3.7682468543298597E-6</v>
      </c>
      <c r="M20">
        <f t="shared" si="2"/>
        <v>1.0000054771222522</v>
      </c>
      <c r="N20">
        <f t="shared" si="3"/>
        <v>-5.4771222521843299E-6</v>
      </c>
      <c r="O20">
        <f t="shared" si="4"/>
        <v>1.0000045477471007</v>
      </c>
      <c r="S20">
        <v>1</v>
      </c>
      <c r="T20">
        <v>36.887512818427801</v>
      </c>
    </row>
    <row r="21" spans="1:20" x14ac:dyDescent="0.25">
      <c r="A21">
        <v>1719.3</v>
      </c>
      <c r="B21" s="6">
        <v>36.887318999999998</v>
      </c>
      <c r="D21" s="1">
        <v>1719.3</v>
      </c>
      <c r="E21" s="2">
        <v>36.887203</v>
      </c>
      <c r="G21">
        <v>1719.3</v>
      </c>
      <c r="H21">
        <v>36.887460905846403</v>
      </c>
      <c r="I21">
        <v>36.887443398850102</v>
      </c>
      <c r="K21">
        <f t="shared" si="0"/>
        <v>1.0000031447220328</v>
      </c>
      <c r="L21">
        <f t="shared" si="1"/>
        <v>-3.1447220327773806E-6</v>
      </c>
      <c r="M21">
        <f t="shared" si="2"/>
        <v>1.0000069917430823</v>
      </c>
      <c r="N21">
        <f t="shared" si="3"/>
        <v>-6.9917430822741267E-6</v>
      </c>
      <c r="O21">
        <f t="shared" si="4"/>
        <v>1.0000065171341428</v>
      </c>
      <c r="S21">
        <v>1</v>
      </c>
      <c r="T21">
        <v>36.887550403519697</v>
      </c>
    </row>
    <row r="22" spans="1:20" x14ac:dyDescent="0.25">
      <c r="A22">
        <v>1721.3</v>
      </c>
      <c r="B22" s="6">
        <v>36.887318999999998</v>
      </c>
      <c r="D22" s="1">
        <v>1721.3</v>
      </c>
      <c r="E22" s="2">
        <v>36.887138</v>
      </c>
      <c r="G22">
        <v>1721.3</v>
      </c>
      <c r="H22">
        <v>36.887297471071101</v>
      </c>
      <c r="I22">
        <v>36.887319801586898</v>
      </c>
      <c r="K22">
        <f t="shared" si="0"/>
        <v>1.0000049068594044</v>
      </c>
      <c r="L22">
        <f t="shared" si="1"/>
        <v>-4.906859404352204E-6</v>
      </c>
      <c r="M22">
        <f t="shared" si="2"/>
        <v>1.0000043232161602</v>
      </c>
      <c r="N22">
        <f t="shared" si="3"/>
        <v>-4.3232161601736152E-6</v>
      </c>
      <c r="O22">
        <f t="shared" si="4"/>
        <v>1.0000049285902013</v>
      </c>
      <c r="S22">
        <v>1</v>
      </c>
      <c r="T22">
        <v>36.887572415992302</v>
      </c>
    </row>
    <row r="23" spans="1:20" x14ac:dyDescent="0.25">
      <c r="A23">
        <v>1723.3</v>
      </c>
      <c r="B23" s="6">
        <v>36.887318999999998</v>
      </c>
      <c r="D23" s="1">
        <v>1723.3</v>
      </c>
      <c r="E23" s="2">
        <v>36.887172999999997</v>
      </c>
      <c r="G23">
        <v>1723.3</v>
      </c>
      <c r="H23">
        <v>36.887434046353398</v>
      </c>
      <c r="I23">
        <v>36.887489063934403</v>
      </c>
      <c r="K23">
        <f t="shared" si="0"/>
        <v>1.0000039580154327</v>
      </c>
      <c r="L23">
        <f t="shared" si="1"/>
        <v>-3.9580154327367723E-6</v>
      </c>
      <c r="M23">
        <f t="shared" si="2"/>
        <v>1.0000070768869547</v>
      </c>
      <c r="N23">
        <f t="shared" si="3"/>
        <v>-7.0768869546711244E-6</v>
      </c>
      <c r="O23">
        <f t="shared" si="4"/>
        <v>1.0000085683967814</v>
      </c>
      <c r="S23">
        <v>1</v>
      </c>
      <c r="T23">
        <v>36.887492310235302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CDF22-4E2A-4AC4-99DF-62F9883E3880}">
  <dimension ref="A1:Y23"/>
  <sheetViews>
    <sheetView topLeftCell="A5" zoomScale="77" zoomScaleNormal="77" workbookViewId="0">
      <selection activeCell="P41" sqref="P41"/>
    </sheetView>
  </sheetViews>
  <sheetFormatPr defaultRowHeight="15.75" x14ac:dyDescent="0.25"/>
  <cols>
    <col min="2" max="2" width="13" customWidth="1"/>
    <col min="4" max="4" width="17" style="1" customWidth="1"/>
    <col min="5" max="5" width="10.375" style="3" bestFit="1" customWidth="1"/>
    <col min="6" max="6" width="10.375" style="3" customWidth="1"/>
    <col min="7" max="7" width="16.875" customWidth="1"/>
    <col min="8" max="8" width="13.375" customWidth="1"/>
    <col min="9" max="10" width="17.125" customWidth="1"/>
    <col min="11" max="11" width="11.375" customWidth="1"/>
    <col min="12" max="12" width="11.25" customWidth="1"/>
    <col min="13" max="13" width="10.5" customWidth="1"/>
    <col min="14" max="14" width="12.5" bestFit="1" customWidth="1"/>
  </cols>
  <sheetData>
    <row r="1" spans="1:25" x14ac:dyDescent="0.25">
      <c r="A1" t="s">
        <v>2</v>
      </c>
      <c r="E1" s="3" t="s">
        <v>3</v>
      </c>
      <c r="G1" t="s">
        <v>4</v>
      </c>
      <c r="H1" t="s">
        <v>11</v>
      </c>
      <c r="I1" t="s">
        <v>12</v>
      </c>
      <c r="K1" t="s">
        <v>9</v>
      </c>
      <c r="L1" t="s">
        <v>7</v>
      </c>
      <c r="M1" t="s">
        <v>10</v>
      </c>
      <c r="N1" t="s">
        <v>7</v>
      </c>
      <c r="O1" t="s">
        <v>13</v>
      </c>
    </row>
    <row r="2" spans="1:25" x14ac:dyDescent="0.25">
      <c r="A2" t="s">
        <v>0</v>
      </c>
      <c r="B2" t="s">
        <v>8</v>
      </c>
      <c r="D2" s="1" t="s">
        <v>0</v>
      </c>
      <c r="E2" t="s">
        <v>8</v>
      </c>
      <c r="G2" t="s">
        <v>0</v>
      </c>
      <c r="H2" t="s">
        <v>8</v>
      </c>
    </row>
    <row r="3" spans="1:25" x14ac:dyDescent="0.25">
      <c r="A3">
        <v>1683.3</v>
      </c>
      <c r="B3" s="5">
        <v>36.887318999999998</v>
      </c>
      <c r="D3" s="1">
        <v>1683.3</v>
      </c>
      <c r="E3" s="3">
        <v>36.887320000000003</v>
      </c>
      <c r="G3">
        <v>1683.3</v>
      </c>
      <c r="H3">
        <v>36.887176510268297</v>
      </c>
      <c r="I3">
        <v>36.887446751099603</v>
      </c>
      <c r="K3">
        <f>B3/E3</f>
        <v>0.9999999728904132</v>
      </c>
      <c r="L3">
        <f>1-K3</f>
        <v>2.7109586797635643E-8</v>
      </c>
      <c r="M3">
        <f>H3/E3</f>
        <v>0.99999611005267652</v>
      </c>
      <c r="N3">
        <f>1-M3</f>
        <v>3.8899473234765836E-6</v>
      </c>
      <c r="O3">
        <f>I3/E3</f>
        <v>1.000003436169925</v>
      </c>
      <c r="X3">
        <v>1</v>
      </c>
      <c r="Y3">
        <v>1</v>
      </c>
    </row>
    <row r="4" spans="1:25" x14ac:dyDescent="0.25">
      <c r="A4">
        <v>1685.3</v>
      </c>
      <c r="B4" s="5">
        <v>36.887318999999998</v>
      </c>
      <c r="D4" s="1">
        <v>1685.3</v>
      </c>
      <c r="E4" s="3">
        <v>36.887239999999998</v>
      </c>
      <c r="G4">
        <v>1685.3</v>
      </c>
      <c r="H4">
        <v>36.8870456180262</v>
      </c>
      <c r="I4">
        <v>36.887092372403501</v>
      </c>
      <c r="K4">
        <f t="shared" ref="K4:K23" si="0">B4/E4</f>
        <v>1.0000021416619949</v>
      </c>
      <c r="L4">
        <f t="shared" ref="L4:L23" si="1">1-K4</f>
        <v>-2.1416619948588789E-6</v>
      </c>
      <c r="M4">
        <f t="shared" ref="M4:M23" si="2">H4/E4</f>
        <v>0.9999947303735981</v>
      </c>
      <c r="N4">
        <f t="shared" ref="N4:N23" si="3">1-M4</f>
        <v>5.2696264019047589E-6</v>
      </c>
      <c r="O4">
        <f t="shared" ref="O4:O23" si="4">I4/E4</f>
        <v>0.99999599786819238</v>
      </c>
      <c r="X4">
        <v>1</v>
      </c>
      <c r="Y4">
        <v>1</v>
      </c>
    </row>
    <row r="5" spans="1:25" x14ac:dyDescent="0.25">
      <c r="A5">
        <v>1687.3</v>
      </c>
      <c r="B5" s="5">
        <v>36.887318999999998</v>
      </c>
      <c r="D5" s="1">
        <v>1687.3</v>
      </c>
      <c r="E5" s="3">
        <v>36.887239999999998</v>
      </c>
      <c r="G5">
        <v>1687.3</v>
      </c>
      <c r="H5">
        <v>36.887111940413703</v>
      </c>
      <c r="I5">
        <v>36.8868705068152</v>
      </c>
      <c r="K5">
        <f t="shared" si="0"/>
        <v>1.0000021416619949</v>
      </c>
      <c r="L5">
        <f t="shared" si="1"/>
        <v>-2.1416619948588789E-6</v>
      </c>
      <c r="M5">
        <f t="shared" si="2"/>
        <v>0.99999652835001218</v>
      </c>
      <c r="N5">
        <f t="shared" si="3"/>
        <v>3.4716499878184592E-6</v>
      </c>
      <c r="O5">
        <f t="shared" si="4"/>
        <v>0.99998998317074417</v>
      </c>
      <c r="X5">
        <v>1</v>
      </c>
      <c r="Y5">
        <v>1</v>
      </c>
    </row>
    <row r="6" spans="1:25" x14ac:dyDescent="0.25">
      <c r="A6">
        <v>1689.3</v>
      </c>
      <c r="B6" s="5">
        <v>36.887318999999998</v>
      </c>
      <c r="D6" s="1">
        <v>1689.3</v>
      </c>
      <c r="E6" s="3">
        <v>36.88729</v>
      </c>
      <c r="G6">
        <v>1689.3</v>
      </c>
      <c r="H6">
        <v>36.887523242208196</v>
      </c>
      <c r="I6">
        <v>36.887430588415199</v>
      </c>
      <c r="K6">
        <f t="shared" si="0"/>
        <v>1.000000786178654</v>
      </c>
      <c r="L6">
        <f t="shared" si="1"/>
        <v>-7.8617865395536057E-7</v>
      </c>
      <c r="M6">
        <f t="shared" si="2"/>
        <v>1.0000063231050098</v>
      </c>
      <c r="N6">
        <f t="shared" si="3"/>
        <v>-6.323105009808927E-6</v>
      </c>
      <c r="O6">
        <f t="shared" si="4"/>
        <v>1.0000038112969318</v>
      </c>
      <c r="X6">
        <v>1</v>
      </c>
      <c r="Y6">
        <v>1</v>
      </c>
    </row>
    <row r="7" spans="1:25" x14ac:dyDescent="0.25">
      <c r="A7">
        <v>1691.3</v>
      </c>
      <c r="B7" s="5">
        <v>36.887318999999998</v>
      </c>
      <c r="D7" s="1">
        <v>1691.3</v>
      </c>
      <c r="E7" s="3">
        <v>36.887300000000003</v>
      </c>
      <c r="G7">
        <v>1691.3</v>
      </c>
      <c r="H7">
        <v>36.887565050460502</v>
      </c>
      <c r="I7">
        <v>36.887563548482099</v>
      </c>
      <c r="K7">
        <f t="shared" si="0"/>
        <v>1.0000005150824265</v>
      </c>
      <c r="L7">
        <f t="shared" si="1"/>
        <v>-5.1508242648878877E-7</v>
      </c>
      <c r="M7">
        <f t="shared" si="2"/>
        <v>1.0000071854123369</v>
      </c>
      <c r="N7">
        <f t="shared" si="3"/>
        <v>-7.185412336907504E-6</v>
      </c>
      <c r="O7">
        <f t="shared" si="4"/>
        <v>1.0000071446943011</v>
      </c>
      <c r="X7">
        <v>1</v>
      </c>
      <c r="Y7">
        <v>1</v>
      </c>
    </row>
    <row r="8" spans="1:25" x14ac:dyDescent="0.25">
      <c r="A8">
        <v>1693.3</v>
      </c>
      <c r="B8" s="5">
        <v>36.887318999999998</v>
      </c>
      <c r="D8" s="1">
        <v>1693.3</v>
      </c>
      <c r="E8" s="3">
        <v>36.887329999999999</v>
      </c>
      <c r="G8">
        <v>1693.3</v>
      </c>
      <c r="H8">
        <v>36.887230152676302</v>
      </c>
      <c r="I8">
        <v>36.887497731764498</v>
      </c>
      <c r="K8">
        <f t="shared" si="0"/>
        <v>0.99999970179462705</v>
      </c>
      <c r="L8">
        <f t="shared" si="1"/>
        <v>2.9820537295055516E-7</v>
      </c>
      <c r="M8">
        <f t="shared" si="2"/>
        <v>0.99999729318105446</v>
      </c>
      <c r="N8">
        <f t="shared" si="3"/>
        <v>2.7068189455414782E-6</v>
      </c>
      <c r="O8">
        <f t="shared" si="4"/>
        <v>1.0000045471375809</v>
      </c>
      <c r="X8">
        <v>1</v>
      </c>
      <c r="Y8">
        <v>1</v>
      </c>
    </row>
    <row r="9" spans="1:25" x14ac:dyDescent="0.25">
      <c r="A9">
        <v>1695.3</v>
      </c>
      <c r="B9" s="5">
        <v>36.887318999999998</v>
      </c>
      <c r="D9" s="1">
        <v>1695.3</v>
      </c>
      <c r="E9" s="3">
        <v>36.887259999999998</v>
      </c>
      <c r="G9">
        <v>1695.3</v>
      </c>
      <c r="H9">
        <v>36.8870220732665</v>
      </c>
      <c r="I9">
        <v>36.887164582166101</v>
      </c>
      <c r="K9">
        <f t="shared" si="0"/>
        <v>1.0000015994682174</v>
      </c>
      <c r="L9">
        <f t="shared" si="1"/>
        <v>-1.5994682174280683E-6</v>
      </c>
      <c r="M9">
        <f t="shared" si="2"/>
        <v>0.99999354989409628</v>
      </c>
      <c r="N9">
        <f t="shared" si="3"/>
        <v>6.4501059037214148E-6</v>
      </c>
      <c r="O9">
        <f t="shared" si="4"/>
        <v>0.99999741325775082</v>
      </c>
      <c r="X9">
        <v>1</v>
      </c>
      <c r="Y9">
        <v>1</v>
      </c>
    </row>
    <row r="10" spans="1:25" x14ac:dyDescent="0.25">
      <c r="A10">
        <v>1697.3</v>
      </c>
      <c r="B10" s="5">
        <v>36.887318999999998</v>
      </c>
      <c r="D10" s="1">
        <v>1697.3</v>
      </c>
      <c r="E10" s="3">
        <v>36.887259999999998</v>
      </c>
      <c r="G10">
        <v>1697.3</v>
      </c>
      <c r="H10">
        <v>36.887053448901</v>
      </c>
      <c r="I10">
        <v>36.8868265489183</v>
      </c>
      <c r="K10">
        <f t="shared" si="0"/>
        <v>1.0000015994682174</v>
      </c>
      <c r="L10">
        <f t="shared" si="1"/>
        <v>-1.5994682174280683E-6</v>
      </c>
      <c r="M10">
        <f t="shared" si="2"/>
        <v>0.99999440047596388</v>
      </c>
      <c r="N10">
        <f t="shared" si="3"/>
        <v>5.5995240361150778E-6</v>
      </c>
      <c r="O10">
        <f t="shared" si="4"/>
        <v>0.99998824930120322</v>
      </c>
      <c r="X10">
        <v>1</v>
      </c>
      <c r="Y10">
        <v>1</v>
      </c>
    </row>
    <row r="11" spans="1:25" x14ac:dyDescent="0.25">
      <c r="A11">
        <v>1699.3</v>
      </c>
      <c r="B11" s="5">
        <v>36.887318999999998</v>
      </c>
      <c r="D11" s="1">
        <v>1699.3</v>
      </c>
      <c r="E11" s="3">
        <v>36.887230000000002</v>
      </c>
      <c r="G11">
        <v>1699.3</v>
      </c>
      <c r="H11">
        <v>36.887502573606199</v>
      </c>
      <c r="I11">
        <v>36.887315854503697</v>
      </c>
      <c r="K11">
        <f t="shared" si="0"/>
        <v>1.0000024127591038</v>
      </c>
      <c r="L11">
        <f t="shared" si="1"/>
        <v>-2.4127591038425322E-6</v>
      </c>
      <c r="M11">
        <f t="shared" si="2"/>
        <v>1.0000073893758408</v>
      </c>
      <c r="N11">
        <f t="shared" si="3"/>
        <v>-7.3893758407717058E-6</v>
      </c>
      <c r="O11">
        <f t="shared" si="4"/>
        <v>1.000002327485791</v>
      </c>
      <c r="X11">
        <v>1</v>
      </c>
      <c r="Y11">
        <v>1</v>
      </c>
    </row>
    <row r="12" spans="1:25" x14ac:dyDescent="0.25">
      <c r="A12">
        <v>1701.3</v>
      </c>
      <c r="B12" s="5">
        <v>36.887318999999998</v>
      </c>
      <c r="D12" s="1">
        <v>1701.3</v>
      </c>
      <c r="E12" s="3">
        <v>36.887210000000003</v>
      </c>
      <c r="G12">
        <v>1701.3</v>
      </c>
      <c r="H12">
        <v>36.887592356655098</v>
      </c>
      <c r="I12">
        <v>36.887573513697198</v>
      </c>
      <c r="K12">
        <f t="shared" si="0"/>
        <v>1.000002954953763</v>
      </c>
      <c r="L12">
        <f t="shared" si="1"/>
        <v>-2.9549537630124689E-6</v>
      </c>
      <c r="M12">
        <f t="shared" si="2"/>
        <v>1.0000103655618058</v>
      </c>
      <c r="N12">
        <f t="shared" si="3"/>
        <v>-1.0365561805780743E-5</v>
      </c>
      <c r="O12">
        <f t="shared" si="4"/>
        <v>1.0000098547354814</v>
      </c>
      <c r="X12">
        <v>1</v>
      </c>
      <c r="Y12">
        <v>1</v>
      </c>
    </row>
    <row r="13" spans="1:25" x14ac:dyDescent="0.25">
      <c r="A13">
        <v>1703.3</v>
      </c>
      <c r="B13" s="5">
        <v>36.887318999999998</v>
      </c>
      <c r="D13" s="1">
        <v>1703.3</v>
      </c>
      <c r="E13" s="3">
        <v>36.887309999999999</v>
      </c>
      <c r="G13">
        <v>1703.3</v>
      </c>
      <c r="H13">
        <v>36.887266278246699</v>
      </c>
      <c r="I13">
        <v>36.887540815129498</v>
      </c>
      <c r="K13">
        <f t="shared" si="0"/>
        <v>1.0000002439863465</v>
      </c>
      <c r="L13">
        <f t="shared" si="1"/>
        <v>-2.4398634645983464E-7</v>
      </c>
      <c r="M13">
        <f t="shared" si="2"/>
        <v>0.99999881472101648</v>
      </c>
      <c r="N13">
        <f t="shared" si="3"/>
        <v>1.1852789835176125E-6</v>
      </c>
      <c r="O13">
        <f t="shared" si="4"/>
        <v>1.0000062573044632</v>
      </c>
      <c r="X13">
        <v>1</v>
      </c>
      <c r="Y13">
        <v>1</v>
      </c>
    </row>
    <row r="14" spans="1:25" x14ac:dyDescent="0.25">
      <c r="A14">
        <v>1705.3</v>
      </c>
      <c r="B14" s="5">
        <v>36.887318999999998</v>
      </c>
      <c r="D14" s="1">
        <v>1705.3</v>
      </c>
      <c r="E14" s="3">
        <v>36.887270000000001</v>
      </c>
      <c r="G14">
        <v>1705.3</v>
      </c>
      <c r="H14">
        <v>36.887051131424698</v>
      </c>
      <c r="I14">
        <v>36.887430074070501</v>
      </c>
      <c r="K14">
        <f t="shared" si="0"/>
        <v>1.0000013283715492</v>
      </c>
      <c r="L14">
        <f t="shared" si="1"/>
        <v>-1.3283715492029557E-6</v>
      </c>
      <c r="M14">
        <f t="shared" si="2"/>
        <v>0.99999406655533729</v>
      </c>
      <c r="N14">
        <f t="shared" si="3"/>
        <v>5.9334446627090642E-6</v>
      </c>
      <c r="O14">
        <f t="shared" si="4"/>
        <v>1.0000043395477762</v>
      </c>
      <c r="X14">
        <v>1</v>
      </c>
      <c r="Y14">
        <v>1</v>
      </c>
    </row>
    <row r="15" spans="1:25" x14ac:dyDescent="0.25">
      <c r="A15">
        <v>1707.3</v>
      </c>
      <c r="B15" s="5">
        <v>36.887318999999998</v>
      </c>
      <c r="D15" s="1">
        <v>1707.3</v>
      </c>
      <c r="E15" s="3">
        <v>36.887279999999997</v>
      </c>
      <c r="G15">
        <v>1707.3</v>
      </c>
      <c r="H15">
        <v>36.887000152645101</v>
      </c>
      <c r="I15">
        <v>36.886838833648497</v>
      </c>
      <c r="K15">
        <f t="shared" si="0"/>
        <v>1.0000010572750282</v>
      </c>
      <c r="L15">
        <f t="shared" si="1"/>
        <v>-1.0572750281934162E-6</v>
      </c>
      <c r="M15">
        <f t="shared" si="2"/>
        <v>0.99999241344564038</v>
      </c>
      <c r="N15">
        <f t="shared" si="3"/>
        <v>7.5865543596176366E-6</v>
      </c>
      <c r="O15">
        <f t="shared" si="4"/>
        <v>0.99998804014957188</v>
      </c>
      <c r="X15">
        <v>1</v>
      </c>
      <c r="Y15">
        <v>1</v>
      </c>
    </row>
    <row r="16" spans="1:25" x14ac:dyDescent="0.25">
      <c r="A16">
        <v>1709.3</v>
      </c>
      <c r="B16" s="5">
        <v>36.887318999999998</v>
      </c>
      <c r="D16" s="1">
        <v>1709.3</v>
      </c>
      <c r="E16" s="3">
        <v>36.887239999999998</v>
      </c>
      <c r="G16">
        <v>1709.3</v>
      </c>
      <c r="H16">
        <v>36.887456954767501</v>
      </c>
      <c r="I16">
        <v>36.887213260732103</v>
      </c>
      <c r="K16">
        <f t="shared" si="0"/>
        <v>1.0000021416619949</v>
      </c>
      <c r="L16">
        <f t="shared" si="1"/>
        <v>-2.1416619948588789E-6</v>
      </c>
      <c r="M16">
        <f t="shared" si="2"/>
        <v>1.0000058815668373</v>
      </c>
      <c r="N16">
        <f t="shared" si="3"/>
        <v>-5.8815668373402019E-6</v>
      </c>
      <c r="O16">
        <f t="shared" si="4"/>
        <v>0.9999992751079263</v>
      </c>
      <c r="X16">
        <v>1</v>
      </c>
      <c r="Y16">
        <v>1</v>
      </c>
    </row>
    <row r="17" spans="1:25" x14ac:dyDescent="0.25">
      <c r="A17">
        <v>1711.3</v>
      </c>
      <c r="B17" s="5">
        <v>36.887318999999998</v>
      </c>
      <c r="D17" s="1">
        <v>1711.3</v>
      </c>
      <c r="E17" s="3">
        <v>36.887250000000002</v>
      </c>
      <c r="G17">
        <v>1711.3</v>
      </c>
      <c r="H17">
        <v>36.8875789431345</v>
      </c>
      <c r="I17">
        <v>36.8875317651991</v>
      </c>
      <c r="K17">
        <f t="shared" si="0"/>
        <v>1.0000018705650324</v>
      </c>
      <c r="L17">
        <f t="shared" si="1"/>
        <v>-1.8705650324246648E-6</v>
      </c>
      <c r="M17">
        <f t="shared" si="2"/>
        <v>1.0000089175293496</v>
      </c>
      <c r="N17">
        <f t="shared" si="3"/>
        <v>-8.9175293496168706E-6</v>
      </c>
      <c r="O17">
        <f t="shared" si="4"/>
        <v>1.000007638552592</v>
      </c>
      <c r="X17">
        <v>1</v>
      </c>
      <c r="Y17">
        <v>1</v>
      </c>
    </row>
    <row r="18" spans="1:25" x14ac:dyDescent="0.25">
      <c r="A18">
        <v>1713.3</v>
      </c>
      <c r="B18" s="5">
        <v>36.887318999999998</v>
      </c>
      <c r="D18" s="1">
        <v>1713.3</v>
      </c>
      <c r="E18" s="3">
        <v>36.887340000000002</v>
      </c>
      <c r="G18">
        <v>1713.3</v>
      </c>
      <c r="H18">
        <v>36.887296944703301</v>
      </c>
      <c r="I18">
        <v>36.887579821401999</v>
      </c>
      <c r="K18">
        <f t="shared" si="0"/>
        <v>0.99999943069898767</v>
      </c>
      <c r="L18">
        <f t="shared" si="1"/>
        <v>5.6930101233199082E-7</v>
      </c>
      <c r="M18">
        <f t="shared" si="2"/>
        <v>0.99999883278933366</v>
      </c>
      <c r="N18">
        <f t="shared" si="3"/>
        <v>1.1672106663418447E-6</v>
      </c>
      <c r="O18">
        <f t="shared" si="4"/>
        <v>1.000006501455567</v>
      </c>
      <c r="X18">
        <v>1</v>
      </c>
      <c r="Y18">
        <v>1</v>
      </c>
    </row>
    <row r="19" spans="1:25" x14ac:dyDescent="0.25">
      <c r="A19">
        <v>1715.3</v>
      </c>
      <c r="B19" s="5">
        <v>36.887318999999998</v>
      </c>
      <c r="D19" s="1">
        <v>1715.3</v>
      </c>
      <c r="E19" s="3">
        <v>36.887329999999999</v>
      </c>
      <c r="G19">
        <v>1715.3</v>
      </c>
      <c r="H19">
        <v>36.887112573145401</v>
      </c>
      <c r="I19">
        <v>36.887558764380898</v>
      </c>
      <c r="K19">
        <f t="shared" si="0"/>
        <v>0.99999970179462705</v>
      </c>
      <c r="L19">
        <f t="shared" si="1"/>
        <v>2.9820537295055516E-7</v>
      </c>
      <c r="M19">
        <f t="shared" si="2"/>
        <v>0.99999410564943036</v>
      </c>
      <c r="N19">
        <f t="shared" si="3"/>
        <v>5.894350569635165E-6</v>
      </c>
      <c r="O19">
        <f t="shared" si="4"/>
        <v>1.0000062017061386</v>
      </c>
      <c r="X19">
        <v>1</v>
      </c>
      <c r="Y19">
        <v>1</v>
      </c>
    </row>
    <row r="20" spans="1:25" x14ac:dyDescent="0.25">
      <c r="A20">
        <v>1717.3</v>
      </c>
      <c r="B20" s="5">
        <v>36.887318999999998</v>
      </c>
      <c r="D20" s="1">
        <v>1717.3</v>
      </c>
      <c r="E20" s="3">
        <v>36.887360000000001</v>
      </c>
      <c r="G20">
        <v>1717.3</v>
      </c>
      <c r="H20">
        <v>36.886932879268798</v>
      </c>
      <c r="I20">
        <v>36.886793065241498</v>
      </c>
      <c r="K20">
        <f t="shared" si="0"/>
        <v>0.99999888850815011</v>
      </c>
      <c r="L20">
        <f t="shared" si="1"/>
        <v>1.1114918498922322E-6</v>
      </c>
      <c r="M20">
        <f t="shared" si="2"/>
        <v>0.99998842094605844</v>
      </c>
      <c r="N20">
        <f t="shared" si="3"/>
        <v>1.1579053941557227E-5</v>
      </c>
      <c r="O20">
        <f t="shared" si="4"/>
        <v>0.99998463064967236</v>
      </c>
      <c r="X20">
        <v>1</v>
      </c>
      <c r="Y20">
        <v>1</v>
      </c>
    </row>
    <row r="21" spans="1:25" x14ac:dyDescent="0.25">
      <c r="A21">
        <v>1719.3</v>
      </c>
      <c r="B21" s="5">
        <v>36.887318999999998</v>
      </c>
      <c r="D21" s="1">
        <v>1719.3</v>
      </c>
      <c r="E21" s="3">
        <v>36.887250000000002</v>
      </c>
      <c r="G21">
        <v>1719.3</v>
      </c>
      <c r="H21">
        <v>36.887357753712998</v>
      </c>
      <c r="I21">
        <v>36.887140910637001</v>
      </c>
      <c r="K21">
        <f t="shared" si="0"/>
        <v>1.0000018705650324</v>
      </c>
      <c r="L21">
        <f t="shared" si="1"/>
        <v>-1.8705650324246648E-6</v>
      </c>
      <c r="M21">
        <f t="shared" si="2"/>
        <v>1.000002921164169</v>
      </c>
      <c r="N21">
        <f t="shared" si="3"/>
        <v>-2.9211641690007895E-6</v>
      </c>
      <c r="O21">
        <f t="shared" si="4"/>
        <v>0.99999704262684264</v>
      </c>
      <c r="X21">
        <v>1</v>
      </c>
      <c r="Y21">
        <v>1</v>
      </c>
    </row>
    <row r="22" spans="1:25" x14ac:dyDescent="0.25">
      <c r="A22">
        <v>1721.3</v>
      </c>
      <c r="B22" s="5">
        <v>36.887318999999998</v>
      </c>
      <c r="D22" s="1">
        <v>1721.3</v>
      </c>
      <c r="E22" s="3">
        <v>36.887300000000003</v>
      </c>
      <c r="G22">
        <v>1721.3</v>
      </c>
      <c r="H22">
        <v>36.887559226170197</v>
      </c>
      <c r="I22">
        <v>36.887485725673699</v>
      </c>
      <c r="K22">
        <f t="shared" si="0"/>
        <v>1.0000005150824265</v>
      </c>
      <c r="L22">
        <f t="shared" si="1"/>
        <v>-5.1508242648878877E-7</v>
      </c>
      <c r="M22">
        <f t="shared" si="2"/>
        <v>1.0000070275181483</v>
      </c>
      <c r="N22">
        <f t="shared" si="3"/>
        <v>-7.0275181482948312E-6</v>
      </c>
      <c r="O22">
        <f t="shared" si="4"/>
        <v>1.0000050349489851</v>
      </c>
      <c r="X22">
        <v>1</v>
      </c>
      <c r="Y22">
        <v>1</v>
      </c>
    </row>
    <row r="23" spans="1:25" x14ac:dyDescent="0.25">
      <c r="A23">
        <v>1723.3</v>
      </c>
      <c r="B23" s="5">
        <v>36.887318999999998</v>
      </c>
      <c r="D23" s="1">
        <v>1723.3</v>
      </c>
      <c r="E23" s="3">
        <v>36.887360000000001</v>
      </c>
      <c r="G23">
        <v>1723.3</v>
      </c>
      <c r="H23">
        <v>36.887356829122503</v>
      </c>
      <c r="I23">
        <v>36.887621574864802</v>
      </c>
      <c r="K23">
        <f t="shared" si="0"/>
        <v>0.99999888850815011</v>
      </c>
      <c r="L23">
        <f t="shared" si="1"/>
        <v>1.1114918498922322E-6</v>
      </c>
      <c r="M23">
        <f t="shared" si="2"/>
        <v>0.99999991403891475</v>
      </c>
      <c r="N23">
        <f t="shared" si="3"/>
        <v>8.5961085249941505E-8</v>
      </c>
      <c r="O23">
        <f t="shared" si="4"/>
        <v>1.0000070911787886</v>
      </c>
      <c r="X23">
        <v>1</v>
      </c>
      <c r="Y23">
        <v>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B236C-68D7-40D7-B5EB-A66D75800062}">
  <dimension ref="A1:AB23"/>
  <sheetViews>
    <sheetView zoomScale="91" zoomScaleNormal="91" workbookViewId="0">
      <selection activeCell="E33" sqref="E33"/>
    </sheetView>
  </sheetViews>
  <sheetFormatPr defaultRowHeight="15.75" x14ac:dyDescent="0.25"/>
  <cols>
    <col min="2" max="2" width="11.375" customWidth="1"/>
    <col min="5" max="5" width="17.625" customWidth="1"/>
    <col min="6" max="6" width="10.375" bestFit="1" customWidth="1"/>
    <col min="7" max="7" width="10.375" customWidth="1"/>
    <col min="8" max="8" width="17.5" customWidth="1"/>
    <col min="9" max="9" width="12.75" customWidth="1"/>
    <col min="11" max="11" width="11.875" customWidth="1"/>
    <col min="12" max="12" width="14" customWidth="1"/>
    <col min="13" max="13" width="14.25" customWidth="1"/>
    <col min="14" max="14" width="14.75" customWidth="1"/>
    <col min="24" max="24" width="28.375" customWidth="1"/>
    <col min="27" max="27" width="8.375" customWidth="1"/>
    <col min="28" max="28" width="14.5" style="3" bestFit="1" customWidth="1"/>
  </cols>
  <sheetData>
    <row r="1" spans="1:28" x14ac:dyDescent="0.25">
      <c r="A1" t="s">
        <v>5</v>
      </c>
      <c r="B1" t="s">
        <v>2</v>
      </c>
      <c r="E1" s="1"/>
      <c r="F1" s="3" t="s">
        <v>3</v>
      </c>
      <c r="G1" s="3"/>
      <c r="I1" t="s">
        <v>4</v>
      </c>
      <c r="K1" t="s">
        <v>9</v>
      </c>
      <c r="M1" t="s">
        <v>10</v>
      </c>
    </row>
    <row r="2" spans="1:28" x14ac:dyDescent="0.25">
      <c r="A2" t="s">
        <v>6</v>
      </c>
      <c r="B2" t="s">
        <v>1</v>
      </c>
      <c r="C2" t="s">
        <v>8</v>
      </c>
      <c r="E2" s="1" t="s">
        <v>0</v>
      </c>
      <c r="F2" t="s">
        <v>8</v>
      </c>
      <c r="G2" s="3"/>
      <c r="H2" t="s">
        <v>0</v>
      </c>
      <c r="I2" t="s">
        <v>8</v>
      </c>
    </row>
    <row r="3" spans="1:28" x14ac:dyDescent="0.25">
      <c r="A3">
        <v>1683.3</v>
      </c>
      <c r="B3">
        <v>463539.72069400002</v>
      </c>
      <c r="C3">
        <f>B3/(4000*PI())</f>
        <v>36.88731893394332</v>
      </c>
      <c r="E3" s="1">
        <v>1683.3</v>
      </c>
      <c r="F3" s="3">
        <v>36.887421000000003</v>
      </c>
      <c r="G3" s="3"/>
      <c r="H3">
        <v>1683.3</v>
      </c>
      <c r="I3">
        <v>36.887318721885201</v>
      </c>
      <c r="K3">
        <f>C3/F3</f>
        <v>0.99999723303896237</v>
      </c>
      <c r="L3">
        <f>1-K3</f>
        <v>2.7669610376257481E-6</v>
      </c>
      <c r="M3">
        <f>I3/F3</f>
        <v>0.99999722729017015</v>
      </c>
      <c r="N3">
        <f>1-M3</f>
        <v>2.7727098298457875E-6</v>
      </c>
      <c r="X3">
        <v>1</v>
      </c>
      <c r="Y3">
        <v>36.887318721879801</v>
      </c>
      <c r="AA3" s="4">
        <v>1683.3</v>
      </c>
      <c r="AB3" s="3">
        <v>36.887366999999998</v>
      </c>
    </row>
    <row r="4" spans="1:28" x14ac:dyDescent="0.25">
      <c r="A4">
        <v>1685.3</v>
      </c>
      <c r="B4">
        <v>463539.72069400002</v>
      </c>
      <c r="C4">
        <f>B4/(4000*PI())</f>
        <v>36.88731893394332</v>
      </c>
      <c r="E4" s="1">
        <v>1685.3</v>
      </c>
      <c r="F4" s="3">
        <v>36.887428</v>
      </c>
      <c r="G4" s="3"/>
      <c r="H4">
        <v>1685.3</v>
      </c>
      <c r="I4">
        <v>36.887318721880398</v>
      </c>
      <c r="K4">
        <f t="shared" ref="K4:K23" si="0">C4/F4</f>
        <v>0.99999704327293626</v>
      </c>
      <c r="L4">
        <f t="shared" ref="L4:L23" si="1">1-K4</f>
        <v>2.9567270637409493E-6</v>
      </c>
      <c r="M4">
        <f t="shared" ref="M4:M23" si="2">I4/F4</f>
        <v>0.99999703752401492</v>
      </c>
      <c r="N4">
        <f t="shared" ref="N4:N23" si="3">1-M4</f>
        <v>2.9624759850799265E-6</v>
      </c>
      <c r="X4">
        <v>1</v>
      </c>
      <c r="Y4">
        <v>36.887318721875097</v>
      </c>
      <c r="AA4" s="4">
        <v>1685.3</v>
      </c>
      <c r="AB4" s="3">
        <v>36.887337000000002</v>
      </c>
    </row>
    <row r="5" spans="1:28" x14ac:dyDescent="0.25">
      <c r="A5">
        <v>1687.3</v>
      </c>
      <c r="B5">
        <v>463539.72069400002</v>
      </c>
      <c r="C5">
        <f>B5/(4000*PI())</f>
        <v>36.88731893394332</v>
      </c>
      <c r="E5" s="1">
        <v>1687.3</v>
      </c>
      <c r="F5" s="3">
        <v>36.887343999999999</v>
      </c>
      <c r="G5" s="3"/>
      <c r="H5">
        <v>1687.3</v>
      </c>
      <c r="I5">
        <v>36.887318721886601</v>
      </c>
      <c r="K5">
        <f t="shared" si="0"/>
        <v>0.99999932047000517</v>
      </c>
      <c r="L5">
        <f t="shared" si="1"/>
        <v>6.7952999482923104E-7</v>
      </c>
      <c r="M5">
        <f t="shared" si="2"/>
        <v>0.99999931472123882</v>
      </c>
      <c r="N5">
        <f t="shared" si="3"/>
        <v>6.85278761181074E-7</v>
      </c>
      <c r="X5">
        <v>1</v>
      </c>
      <c r="Y5">
        <v>36.8873187218813</v>
      </c>
      <c r="AA5" s="4">
        <v>1687.3</v>
      </c>
      <c r="AB5" s="3">
        <v>36.887340999999999</v>
      </c>
    </row>
    <row r="6" spans="1:28" x14ac:dyDescent="0.25">
      <c r="A6">
        <v>1689.3</v>
      </c>
      <c r="B6">
        <v>463539.72069400002</v>
      </c>
      <c r="C6">
        <f>B6/(4000*PI())</f>
        <v>36.88731893394332</v>
      </c>
      <c r="E6" s="1">
        <v>1689.3</v>
      </c>
      <c r="F6" s="3">
        <v>36.887462999999997</v>
      </c>
      <c r="G6" s="3"/>
      <c r="H6">
        <v>1689.3</v>
      </c>
      <c r="I6">
        <v>36.887318721890999</v>
      </c>
      <c r="K6">
        <f t="shared" si="0"/>
        <v>0.99999609444388526</v>
      </c>
      <c r="L6">
        <f t="shared" si="1"/>
        <v>3.9055561147360862E-6</v>
      </c>
      <c r="M6">
        <f t="shared" si="2"/>
        <v>0.9999960886952568</v>
      </c>
      <c r="N6">
        <f t="shared" si="3"/>
        <v>3.9113047431982295E-6</v>
      </c>
      <c r="X6">
        <v>1</v>
      </c>
      <c r="Y6">
        <v>36.887318721885698</v>
      </c>
      <c r="AA6" s="4">
        <v>1689.3</v>
      </c>
      <c r="AB6" s="3">
        <v>36.887282999999996</v>
      </c>
    </row>
    <row r="7" spans="1:28" x14ac:dyDescent="0.25">
      <c r="A7">
        <v>1691.3</v>
      </c>
      <c r="B7">
        <v>463539.72069400002</v>
      </c>
      <c r="C7">
        <f>B7/(4000*PI())</f>
        <v>36.88731893394332</v>
      </c>
      <c r="E7" s="1">
        <v>1691.3</v>
      </c>
      <c r="F7" s="3">
        <v>36.887363000000001</v>
      </c>
      <c r="G7" s="3"/>
      <c r="H7">
        <v>1691.3</v>
      </c>
      <c r="I7">
        <v>36.887318721883503</v>
      </c>
      <c r="K7">
        <f t="shared" si="0"/>
        <v>0.99999880538880803</v>
      </c>
      <c r="L7">
        <f t="shared" si="1"/>
        <v>1.1946111919680646E-6</v>
      </c>
      <c r="M7">
        <f t="shared" si="2"/>
        <v>0.99999879963996074</v>
      </c>
      <c r="N7">
        <f t="shared" si="3"/>
        <v>1.2003600392551661E-6</v>
      </c>
      <c r="X7">
        <v>1</v>
      </c>
      <c r="Y7">
        <v>36.887318721878103</v>
      </c>
      <c r="AA7" s="4">
        <v>1691.3</v>
      </c>
      <c r="AB7" s="3">
        <v>36.887383</v>
      </c>
    </row>
    <row r="8" spans="1:28" x14ac:dyDescent="0.25">
      <c r="A8">
        <v>1693.3</v>
      </c>
      <c r="B8">
        <v>463539.72069400002</v>
      </c>
      <c r="C8">
        <f>B8/(4000*PI())</f>
        <v>36.88731893394332</v>
      </c>
      <c r="E8" s="1">
        <v>1693.3</v>
      </c>
      <c r="F8" s="3">
        <v>36.887504999999997</v>
      </c>
      <c r="G8" s="3"/>
      <c r="H8">
        <v>1693.3</v>
      </c>
      <c r="I8">
        <v>36.887318721882899</v>
      </c>
      <c r="K8">
        <f t="shared" si="0"/>
        <v>0.99999495585140075</v>
      </c>
      <c r="L8">
        <f t="shared" si="1"/>
        <v>5.0441485992536172E-6</v>
      </c>
      <c r="M8">
        <f t="shared" si="2"/>
        <v>0.99999495010255912</v>
      </c>
      <c r="N8">
        <f t="shared" si="3"/>
        <v>5.0498974408785813E-6</v>
      </c>
      <c r="X8">
        <v>1</v>
      </c>
      <c r="Y8">
        <v>36.887318721877598</v>
      </c>
      <c r="AA8" s="4">
        <v>1693.3</v>
      </c>
      <c r="AB8" s="3">
        <v>36.887321</v>
      </c>
    </row>
    <row r="9" spans="1:28" x14ac:dyDescent="0.25">
      <c r="A9">
        <v>1695.3</v>
      </c>
      <c r="B9">
        <v>463539.72069400002</v>
      </c>
      <c r="C9">
        <f>B9/(4000*PI())</f>
        <v>36.88731893394332</v>
      </c>
      <c r="E9" s="1">
        <v>1695.3</v>
      </c>
      <c r="F9" s="3">
        <v>36.887501</v>
      </c>
      <c r="G9" s="3"/>
      <c r="H9">
        <v>1695.3</v>
      </c>
      <c r="I9">
        <v>36.887318721881201</v>
      </c>
      <c r="K9">
        <f t="shared" si="0"/>
        <v>0.99999506428866836</v>
      </c>
      <c r="L9">
        <f t="shared" si="1"/>
        <v>4.9357113316439438E-6</v>
      </c>
      <c r="M9">
        <f t="shared" si="2"/>
        <v>0.99999505853978021</v>
      </c>
      <c r="N9">
        <f t="shared" si="3"/>
        <v>4.9414602197872526E-6</v>
      </c>
      <c r="X9">
        <v>1</v>
      </c>
      <c r="Y9">
        <v>36.887318721875801</v>
      </c>
      <c r="AA9" s="4">
        <v>1695.3</v>
      </c>
      <c r="AB9" s="3">
        <v>36.887348000000003</v>
      </c>
    </row>
    <row r="10" spans="1:28" x14ac:dyDescent="0.25">
      <c r="A10">
        <v>1697.3</v>
      </c>
      <c r="B10">
        <v>463539.72069400002</v>
      </c>
      <c r="C10">
        <f>B10/(4000*PI())</f>
        <v>36.88731893394332</v>
      </c>
      <c r="E10" s="1">
        <v>1697.3</v>
      </c>
      <c r="F10" s="3">
        <v>36.887318</v>
      </c>
      <c r="G10" s="3"/>
      <c r="H10">
        <v>1697.3</v>
      </c>
      <c r="I10">
        <v>36.887318721887901</v>
      </c>
      <c r="K10">
        <f t="shared" si="0"/>
        <v>1.0000000253188188</v>
      </c>
      <c r="L10">
        <f t="shared" si="1"/>
        <v>-2.5318818819286548E-8</v>
      </c>
      <c r="M10">
        <f t="shared" si="2"/>
        <v>1.0000000195700838</v>
      </c>
      <c r="N10">
        <f t="shared" si="3"/>
        <v>-1.9570083775732883E-8</v>
      </c>
      <c r="X10">
        <v>1</v>
      </c>
      <c r="Y10">
        <v>36.887318721882501</v>
      </c>
      <c r="AA10" s="4">
        <v>1697.3</v>
      </c>
      <c r="AB10" s="3">
        <v>36.887363000000001</v>
      </c>
    </row>
    <row r="11" spans="1:28" x14ac:dyDescent="0.25">
      <c r="A11">
        <v>1699.3</v>
      </c>
      <c r="B11">
        <v>463539.72069400002</v>
      </c>
      <c r="C11">
        <f>B11/(4000*PI())</f>
        <v>36.88731893394332</v>
      </c>
      <c r="E11" s="1">
        <v>1699.3</v>
      </c>
      <c r="F11" s="3">
        <v>36.887416999999999</v>
      </c>
      <c r="G11" s="3"/>
      <c r="H11">
        <v>1699.3</v>
      </c>
      <c r="I11">
        <v>36.887318721888903</v>
      </c>
      <c r="K11">
        <f t="shared" si="0"/>
        <v>0.99999734147672414</v>
      </c>
      <c r="L11">
        <f t="shared" si="1"/>
        <v>2.6585232758558064E-6</v>
      </c>
      <c r="M11">
        <f t="shared" si="2"/>
        <v>0.99999733572803173</v>
      </c>
      <c r="N11">
        <f t="shared" si="3"/>
        <v>2.6642719682667959E-6</v>
      </c>
      <c r="X11">
        <v>1</v>
      </c>
      <c r="Y11">
        <v>36.887318721883602</v>
      </c>
      <c r="AA11" s="4">
        <v>1699.3</v>
      </c>
      <c r="AB11" s="3">
        <v>36.887332999999998</v>
      </c>
    </row>
    <row r="12" spans="1:28" x14ac:dyDescent="0.25">
      <c r="A12">
        <v>1701.3</v>
      </c>
      <c r="B12">
        <v>463539.72069400002</v>
      </c>
      <c r="C12">
        <f>B12/(4000*PI())</f>
        <v>36.88731893394332</v>
      </c>
      <c r="E12" s="1">
        <v>1701.3</v>
      </c>
      <c r="F12" s="3">
        <v>36.887455000000003</v>
      </c>
      <c r="G12" s="3"/>
      <c r="H12">
        <v>1701.3</v>
      </c>
      <c r="I12">
        <v>36.887318721882998</v>
      </c>
      <c r="K12">
        <f t="shared" si="0"/>
        <v>0.99999631131893807</v>
      </c>
      <c r="L12">
        <f t="shared" si="1"/>
        <v>3.6886810619307653E-6</v>
      </c>
      <c r="M12">
        <f t="shared" si="2"/>
        <v>0.99999630557009134</v>
      </c>
      <c r="N12">
        <f t="shared" si="3"/>
        <v>3.6944299086627552E-6</v>
      </c>
      <c r="X12">
        <v>1</v>
      </c>
      <c r="Y12">
        <v>36.887318721877598</v>
      </c>
      <c r="AA12" s="4">
        <v>1701.3</v>
      </c>
      <c r="AB12" s="3">
        <v>36.887455000000003</v>
      </c>
    </row>
    <row r="13" spans="1:28" x14ac:dyDescent="0.25">
      <c r="A13">
        <v>1703.3</v>
      </c>
      <c r="B13">
        <v>463539.72069400002</v>
      </c>
      <c r="C13">
        <f>B13/(4000*PI())</f>
        <v>36.88731893394332</v>
      </c>
      <c r="E13" s="1">
        <v>1703.3</v>
      </c>
      <c r="F13" s="3">
        <v>36.887436000000001</v>
      </c>
      <c r="G13" s="3"/>
      <c r="H13">
        <v>1703.3</v>
      </c>
      <c r="I13">
        <v>36.887318721884299</v>
      </c>
      <c r="K13">
        <f t="shared" si="0"/>
        <v>0.99999682639756582</v>
      </c>
      <c r="L13">
        <f t="shared" si="1"/>
        <v>3.1736024341810776E-6</v>
      </c>
      <c r="M13">
        <f t="shared" si="2"/>
        <v>0.99999682064875151</v>
      </c>
      <c r="N13">
        <f t="shared" si="3"/>
        <v>3.1793512484945552E-6</v>
      </c>
      <c r="X13">
        <v>1</v>
      </c>
      <c r="Y13">
        <v>36.887318721878998</v>
      </c>
      <c r="AA13" s="4">
        <v>1703.3</v>
      </c>
      <c r="AB13" s="3">
        <v>36.887405000000001</v>
      </c>
    </row>
    <row r="14" spans="1:28" x14ac:dyDescent="0.25">
      <c r="A14">
        <v>1705.3</v>
      </c>
      <c r="B14">
        <v>463539.72069400002</v>
      </c>
      <c r="C14">
        <f>B14/(4000*PI())</f>
        <v>36.88731893394332</v>
      </c>
      <c r="E14" s="1">
        <v>1705.3</v>
      </c>
      <c r="F14" s="3">
        <v>36.887340999999999</v>
      </c>
      <c r="G14" s="3"/>
      <c r="H14">
        <v>1705.3</v>
      </c>
      <c r="I14">
        <v>36.887318721881798</v>
      </c>
      <c r="K14">
        <f t="shared" si="0"/>
        <v>0.99999940179866365</v>
      </c>
      <c r="L14">
        <f t="shared" si="1"/>
        <v>5.9820133635479777E-7</v>
      </c>
      <c r="M14">
        <f t="shared" si="2"/>
        <v>0.99999939604976673</v>
      </c>
      <c r="N14">
        <f t="shared" si="3"/>
        <v>6.0395023326886843E-7</v>
      </c>
      <c r="X14">
        <v>1</v>
      </c>
      <c r="Y14">
        <v>36.887318721876497</v>
      </c>
      <c r="AA14" s="4">
        <v>1705.3</v>
      </c>
      <c r="AB14" s="3">
        <v>36.887230000000002</v>
      </c>
    </row>
    <row r="15" spans="1:28" x14ac:dyDescent="0.25">
      <c r="A15">
        <v>1707.3</v>
      </c>
      <c r="B15">
        <v>463539.72069400002</v>
      </c>
      <c r="C15">
        <f>B15/(4000*PI())</f>
        <v>36.88731893394332</v>
      </c>
      <c r="E15" s="1">
        <v>1707.3</v>
      </c>
      <c r="F15" s="3">
        <v>36.887343999999999</v>
      </c>
      <c r="G15" s="3"/>
      <c r="H15">
        <v>1707.3</v>
      </c>
      <c r="I15">
        <v>36.887318721886203</v>
      </c>
      <c r="K15">
        <f t="shared" si="0"/>
        <v>0.99999932047000517</v>
      </c>
      <c r="L15">
        <f t="shared" si="1"/>
        <v>6.7952999482923104E-7</v>
      </c>
      <c r="M15">
        <f t="shared" si="2"/>
        <v>0.99999931472122805</v>
      </c>
      <c r="N15">
        <f t="shared" si="3"/>
        <v>6.8527877195023734E-7</v>
      </c>
      <c r="X15">
        <v>1</v>
      </c>
      <c r="Y15">
        <v>36.887318721880902</v>
      </c>
      <c r="AA15" s="4">
        <v>1707.3</v>
      </c>
      <c r="AB15" s="3">
        <v>36.887363000000001</v>
      </c>
    </row>
    <row r="16" spans="1:28" x14ac:dyDescent="0.25">
      <c r="A16">
        <v>1709.3</v>
      </c>
      <c r="B16">
        <v>463539.72069400002</v>
      </c>
      <c r="C16">
        <f>B16/(4000*PI())</f>
        <v>36.88731893394332</v>
      </c>
      <c r="E16" s="1">
        <v>1709.3</v>
      </c>
      <c r="F16" s="3">
        <v>36.887374999999999</v>
      </c>
      <c r="G16" s="3"/>
      <c r="H16">
        <v>1709.3</v>
      </c>
      <c r="I16">
        <v>36.887318721889002</v>
      </c>
      <c r="K16">
        <f t="shared" si="0"/>
        <v>0.99999848007464132</v>
      </c>
      <c r="L16">
        <f t="shared" si="1"/>
        <v>1.519925358683949E-6</v>
      </c>
      <c r="M16">
        <f t="shared" si="2"/>
        <v>0.99999847432594491</v>
      </c>
      <c r="N16">
        <f t="shared" si="3"/>
        <v>1.5256740550917414E-6</v>
      </c>
      <c r="X16">
        <v>1</v>
      </c>
      <c r="Y16">
        <v>36.887318721883702</v>
      </c>
      <c r="AA16" s="4">
        <v>1709.3</v>
      </c>
      <c r="AB16" s="3">
        <v>36.887329000000001</v>
      </c>
    </row>
    <row r="17" spans="1:28" x14ac:dyDescent="0.25">
      <c r="A17">
        <v>1711.3</v>
      </c>
      <c r="B17">
        <v>463539.72069400002</v>
      </c>
      <c r="C17">
        <f>B17/(4000*PI())</f>
        <v>36.88731893394332</v>
      </c>
      <c r="E17" s="1">
        <v>1711.3</v>
      </c>
      <c r="F17" s="3">
        <v>36.887340999999999</v>
      </c>
      <c r="G17" s="3"/>
      <c r="H17">
        <v>1711.3</v>
      </c>
      <c r="I17">
        <v>36.887318721882799</v>
      </c>
      <c r="K17">
        <f t="shared" si="0"/>
        <v>0.99999940179866365</v>
      </c>
      <c r="L17">
        <f t="shared" si="1"/>
        <v>5.9820133635479777E-7</v>
      </c>
      <c r="M17">
        <f t="shared" si="2"/>
        <v>0.99999939604979393</v>
      </c>
      <c r="N17">
        <f t="shared" si="3"/>
        <v>6.0395020606840433E-7</v>
      </c>
      <c r="X17">
        <v>1</v>
      </c>
      <c r="Y17">
        <v>36.887318721877399</v>
      </c>
      <c r="AA17" s="4">
        <v>1711.3</v>
      </c>
      <c r="AB17" s="3">
        <v>36.887360000000001</v>
      </c>
    </row>
    <row r="18" spans="1:28" x14ac:dyDescent="0.25">
      <c r="A18">
        <v>1713.3</v>
      </c>
      <c r="B18">
        <v>463539.72069400002</v>
      </c>
      <c r="C18">
        <f>B18/(4000*PI())</f>
        <v>36.88731893394332</v>
      </c>
      <c r="E18" s="1">
        <v>1713.3</v>
      </c>
      <c r="F18" s="3">
        <v>36.887371000000002</v>
      </c>
      <c r="G18" s="3"/>
      <c r="H18">
        <v>1713.3</v>
      </c>
      <c r="I18">
        <v>36.887318721886999</v>
      </c>
      <c r="K18">
        <f t="shared" si="0"/>
        <v>0.99999858851267331</v>
      </c>
      <c r="L18">
        <f t="shared" si="1"/>
        <v>1.4114873266857231E-6</v>
      </c>
      <c r="M18">
        <f t="shared" si="2"/>
        <v>0.99999858276392206</v>
      </c>
      <c r="N18">
        <f t="shared" si="3"/>
        <v>1.4172360779385329E-6</v>
      </c>
      <c r="X18">
        <v>1</v>
      </c>
      <c r="Y18">
        <v>36.887318721881698</v>
      </c>
      <c r="AA18" s="4">
        <v>1713.3</v>
      </c>
      <c r="AB18" s="3">
        <v>36.887340999999999</v>
      </c>
    </row>
    <row r="19" spans="1:28" x14ac:dyDescent="0.25">
      <c r="A19">
        <v>1715.3</v>
      </c>
      <c r="B19">
        <v>463539.72069400002</v>
      </c>
      <c r="C19">
        <f>B19/(4000*PI())</f>
        <v>36.88731893394332</v>
      </c>
      <c r="E19" s="1">
        <v>1715.3</v>
      </c>
      <c r="F19" s="3">
        <v>36.887366999999998</v>
      </c>
      <c r="G19" s="3"/>
      <c r="H19">
        <v>1715.3</v>
      </c>
      <c r="I19">
        <v>36.887318721883197</v>
      </c>
      <c r="K19">
        <f t="shared" si="0"/>
        <v>0.99999869695072896</v>
      </c>
      <c r="L19">
        <f t="shared" si="1"/>
        <v>1.3030492710397468E-6</v>
      </c>
      <c r="M19">
        <f t="shared" si="2"/>
        <v>0.99999869120187401</v>
      </c>
      <c r="N19">
        <f t="shared" si="3"/>
        <v>1.3087981259873871E-6</v>
      </c>
      <c r="X19">
        <v>1</v>
      </c>
      <c r="Y19">
        <v>36.887318721877897</v>
      </c>
      <c r="AA19" s="4">
        <v>1715.3</v>
      </c>
      <c r="AB19" s="3">
        <v>36.887340999999999</v>
      </c>
    </row>
    <row r="20" spans="1:28" x14ac:dyDescent="0.25">
      <c r="A20">
        <v>1717.3</v>
      </c>
      <c r="B20">
        <v>463539.72069400002</v>
      </c>
      <c r="C20">
        <f>B20/(4000*PI())</f>
        <v>36.88731893394332</v>
      </c>
      <c r="E20" s="1">
        <v>1717.3</v>
      </c>
      <c r="F20" s="3">
        <v>36.887385999999999</v>
      </c>
      <c r="G20" s="3"/>
      <c r="H20">
        <v>1717.3</v>
      </c>
      <c r="I20">
        <v>36.887318721887098</v>
      </c>
      <c r="K20">
        <f t="shared" si="0"/>
        <v>0.99999818187017431</v>
      </c>
      <c r="L20">
        <f t="shared" si="1"/>
        <v>1.818129825692516E-6</v>
      </c>
      <c r="M20">
        <f t="shared" si="2"/>
        <v>0.99999817612142805</v>
      </c>
      <c r="N20">
        <f t="shared" si="3"/>
        <v>1.8238785719493222E-6</v>
      </c>
      <c r="X20">
        <v>1</v>
      </c>
      <c r="Y20">
        <v>36.887318721881698</v>
      </c>
      <c r="AA20" s="4">
        <v>1717.3</v>
      </c>
      <c r="AB20" s="3">
        <v>36.887314000000003</v>
      </c>
    </row>
    <row r="21" spans="1:28" x14ac:dyDescent="0.25">
      <c r="A21">
        <v>1719.3</v>
      </c>
      <c r="B21">
        <v>463539.72069400002</v>
      </c>
      <c r="C21">
        <f>B21/(4000*PI())</f>
        <v>36.88731893394332</v>
      </c>
      <c r="E21" s="1">
        <v>1719.3</v>
      </c>
      <c r="F21" s="3">
        <v>36.887402000000002</v>
      </c>
      <c r="G21" s="3"/>
      <c r="H21">
        <v>1719.3</v>
      </c>
      <c r="I21">
        <v>36.8873187218895</v>
      </c>
      <c r="K21">
        <f t="shared" si="0"/>
        <v>0.9999977481185397</v>
      </c>
      <c r="L21">
        <f t="shared" si="1"/>
        <v>2.2518814603023074E-6</v>
      </c>
      <c r="M21">
        <f t="shared" si="2"/>
        <v>0.99999774236986105</v>
      </c>
      <c r="N21">
        <f t="shared" si="3"/>
        <v>2.2576301389465314E-6</v>
      </c>
      <c r="X21">
        <v>1</v>
      </c>
      <c r="Y21">
        <v>36.8873187218841</v>
      </c>
      <c r="AA21" s="4">
        <v>1719.3</v>
      </c>
      <c r="AB21" s="3">
        <v>36.887394</v>
      </c>
    </row>
    <row r="22" spans="1:28" x14ac:dyDescent="0.25">
      <c r="A22">
        <v>1721.3</v>
      </c>
      <c r="B22">
        <v>463539.72069400002</v>
      </c>
      <c r="C22">
        <f>B22/(4000*PI())</f>
        <v>36.88731893394332</v>
      </c>
      <c r="E22" s="1">
        <v>1721.3</v>
      </c>
      <c r="F22" s="3">
        <v>36.887424000000003</v>
      </c>
      <c r="G22" s="3"/>
      <c r="H22">
        <v>1721.3</v>
      </c>
      <c r="I22">
        <v>36.8873187218827</v>
      </c>
      <c r="K22">
        <f t="shared" si="0"/>
        <v>0.99999715171065662</v>
      </c>
      <c r="L22">
        <f t="shared" si="1"/>
        <v>2.8482893433823264E-6</v>
      </c>
      <c r="M22">
        <f t="shared" si="2"/>
        <v>0.99999714596179712</v>
      </c>
      <c r="N22">
        <f t="shared" si="3"/>
        <v>2.8540382028818811E-6</v>
      </c>
      <c r="X22">
        <v>1</v>
      </c>
      <c r="Y22">
        <v>36.8873187218773</v>
      </c>
      <c r="AA22" s="4">
        <v>1721.3</v>
      </c>
      <c r="AB22" s="3">
        <v>36.887455000000003</v>
      </c>
    </row>
    <row r="23" spans="1:28" x14ac:dyDescent="0.25">
      <c r="A23">
        <v>1723.3</v>
      </c>
      <c r="B23">
        <v>463539.72069400002</v>
      </c>
      <c r="C23">
        <f>B23/(4000*PI())</f>
        <v>36.88731893394332</v>
      </c>
      <c r="E23" s="1">
        <v>1723.3</v>
      </c>
      <c r="F23" s="3">
        <v>36.887329000000001</v>
      </c>
      <c r="G23" s="3"/>
      <c r="H23">
        <v>1723.3</v>
      </c>
      <c r="I23">
        <v>36.887318721885798</v>
      </c>
      <c r="K23">
        <f t="shared" si="0"/>
        <v>0.9999997271134301</v>
      </c>
      <c r="L23">
        <f t="shared" si="1"/>
        <v>2.7288656989643556E-7</v>
      </c>
      <c r="M23">
        <f t="shared" si="2"/>
        <v>0.99999972136463977</v>
      </c>
      <c r="N23">
        <f t="shared" si="3"/>
        <v>2.7863536022909585E-7</v>
      </c>
      <c r="X23">
        <v>1</v>
      </c>
      <c r="Y23">
        <v>36.887318721880398</v>
      </c>
      <c r="AA23" s="4">
        <v>1723.3</v>
      </c>
      <c r="AB23" s="3">
        <v>36.887394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81F1D-062B-483A-95A0-16866F7E4FB3}">
  <dimension ref="A1:X23"/>
  <sheetViews>
    <sheetView workbookViewId="0">
      <selection activeCell="I3" sqref="I3:I23"/>
    </sheetView>
  </sheetViews>
  <sheetFormatPr defaultRowHeight="15.75" x14ac:dyDescent="0.25"/>
  <cols>
    <col min="2" max="2" width="12.25" customWidth="1"/>
    <col min="3" max="3" width="14.375" customWidth="1"/>
    <col min="5" max="5" width="18.875" customWidth="1"/>
    <col min="6" max="6" width="13.375" style="3" customWidth="1"/>
    <col min="8" max="8" width="14.625" customWidth="1"/>
    <col min="9" max="9" width="12.875" customWidth="1"/>
    <col min="14" max="14" width="12.5" bestFit="1" customWidth="1"/>
  </cols>
  <sheetData>
    <row r="1" spans="1:24" x14ac:dyDescent="0.25">
      <c r="A1" t="s">
        <v>5</v>
      </c>
      <c r="B1" t="s">
        <v>2</v>
      </c>
      <c r="E1" s="1"/>
      <c r="F1" s="3" t="s">
        <v>3</v>
      </c>
      <c r="H1" t="s">
        <v>4</v>
      </c>
      <c r="K1" t="s">
        <v>9</v>
      </c>
      <c r="L1" t="s">
        <v>7</v>
      </c>
      <c r="M1" t="s">
        <v>10</v>
      </c>
      <c r="N1" t="s">
        <v>7</v>
      </c>
    </row>
    <row r="2" spans="1:24" x14ac:dyDescent="0.25">
      <c r="A2" t="s">
        <v>0</v>
      </c>
      <c r="B2" t="s">
        <v>1</v>
      </c>
      <c r="C2" t="s">
        <v>8</v>
      </c>
      <c r="E2" s="1" t="s">
        <v>0</v>
      </c>
      <c r="F2" t="s">
        <v>8</v>
      </c>
      <c r="H2" t="s">
        <v>0</v>
      </c>
      <c r="I2" t="s">
        <v>8</v>
      </c>
    </row>
    <row r="3" spans="1:24" x14ac:dyDescent="0.25">
      <c r="A3">
        <v>1683.3</v>
      </c>
      <c r="B3">
        <v>463539.72069400002</v>
      </c>
      <c r="C3">
        <f t="shared" ref="C3:C23" si="0">B3/(4000*PI())</f>
        <v>36.88731893394332</v>
      </c>
      <c r="E3" s="1">
        <v>1683.3</v>
      </c>
      <c r="F3" s="3">
        <v>36.887259999999998</v>
      </c>
      <c r="H3">
        <v>1683.3</v>
      </c>
      <c r="I3">
        <v>36.887318721887297</v>
      </c>
      <c r="K3">
        <f t="shared" ref="K3:K23" si="1">C3/F3</f>
        <v>1.0000015976774452</v>
      </c>
      <c r="L3">
        <f>1-K3</f>
        <v>-1.5976774452308717E-6</v>
      </c>
      <c r="M3">
        <f>I3/F3</f>
        <v>1.0000015919286849</v>
      </c>
      <c r="N3">
        <f>1-M3</f>
        <v>-1.5919286848742331E-6</v>
      </c>
      <c r="W3">
        <v>1</v>
      </c>
      <c r="X3">
        <v>36.887318721881996</v>
      </c>
    </row>
    <row r="4" spans="1:24" x14ac:dyDescent="0.25">
      <c r="A4">
        <v>1685.3</v>
      </c>
      <c r="B4">
        <v>463539.72069400002</v>
      </c>
      <c r="C4">
        <f t="shared" si="0"/>
        <v>36.88731893394332</v>
      </c>
      <c r="E4" s="1">
        <v>1685.3</v>
      </c>
      <c r="F4" s="3">
        <v>36.887165000000003</v>
      </c>
      <c r="H4">
        <v>1685.3</v>
      </c>
      <c r="I4">
        <v>36.887318721885201</v>
      </c>
      <c r="K4">
        <f t="shared" si="1"/>
        <v>1.0000041731031191</v>
      </c>
      <c r="L4">
        <f t="shared" ref="L4:L23" si="2">1-K4</f>
        <v>-4.1731031190650469E-6</v>
      </c>
      <c r="M4">
        <f t="shared" ref="M4:M23" si="3">I4/F4</f>
        <v>1.000004167354287</v>
      </c>
      <c r="N4">
        <f t="shared" ref="N4:N23" si="4">1-M4</f>
        <v>-4.1673542869880009E-6</v>
      </c>
      <c r="W4">
        <v>1</v>
      </c>
      <c r="X4">
        <v>36.887318721879801</v>
      </c>
    </row>
    <row r="5" spans="1:24" x14ac:dyDescent="0.25">
      <c r="A5">
        <v>1687.3</v>
      </c>
      <c r="B5">
        <v>463539.72069400002</v>
      </c>
      <c r="C5">
        <f t="shared" si="0"/>
        <v>36.88731893394332</v>
      </c>
      <c r="E5" s="1">
        <v>1687.3</v>
      </c>
      <c r="F5" s="3">
        <v>36.887253000000001</v>
      </c>
      <c r="H5">
        <v>1687.3</v>
      </c>
      <c r="I5">
        <v>36.8873187218895</v>
      </c>
      <c r="K5">
        <f t="shared" si="1"/>
        <v>1.0000017874452001</v>
      </c>
      <c r="L5">
        <f t="shared" si="2"/>
        <v>-1.7874452000743446E-6</v>
      </c>
      <c r="M5">
        <f t="shared" si="3"/>
        <v>1.0000017816964981</v>
      </c>
      <c r="N5">
        <f t="shared" si="4"/>
        <v>-1.7816964981154371E-6</v>
      </c>
      <c r="W5">
        <v>1</v>
      </c>
      <c r="X5">
        <v>36.8873187218841</v>
      </c>
    </row>
    <row r="6" spans="1:24" x14ac:dyDescent="0.25">
      <c r="A6">
        <v>1689.3</v>
      </c>
      <c r="B6">
        <v>463539.72069400002</v>
      </c>
      <c r="C6">
        <f t="shared" si="0"/>
        <v>36.88731893394332</v>
      </c>
      <c r="E6" s="1">
        <v>1689.3</v>
      </c>
      <c r="F6" s="3">
        <v>36.887256999999998</v>
      </c>
      <c r="H6">
        <v>1689.3</v>
      </c>
      <c r="I6">
        <v>36.887318721885698</v>
      </c>
      <c r="K6">
        <f t="shared" si="1"/>
        <v>1.0000016790064743</v>
      </c>
      <c r="L6">
        <f t="shared" si="2"/>
        <v>-1.6790064742977506E-6</v>
      </c>
      <c r="M6">
        <f t="shared" si="3"/>
        <v>1.00000167325767</v>
      </c>
      <c r="N6">
        <f t="shared" si="4"/>
        <v>-1.6732576699762802E-6</v>
      </c>
      <c r="W6">
        <v>1</v>
      </c>
      <c r="X6">
        <v>36.887318721880298</v>
      </c>
    </row>
    <row r="7" spans="1:24" x14ac:dyDescent="0.25">
      <c r="A7">
        <v>1691.3</v>
      </c>
      <c r="B7">
        <v>463539.72069400002</v>
      </c>
      <c r="C7">
        <f t="shared" si="0"/>
        <v>36.88731893394332</v>
      </c>
      <c r="E7" s="1">
        <v>1691.3</v>
      </c>
      <c r="F7" s="3">
        <v>36.887199000000003</v>
      </c>
      <c r="H7">
        <v>1691.3</v>
      </c>
      <c r="I7">
        <v>36.887318721889002</v>
      </c>
      <c r="K7">
        <f t="shared" si="1"/>
        <v>1.000003251370301</v>
      </c>
      <c r="L7">
        <f t="shared" si="2"/>
        <v>-3.2513703009939832E-6</v>
      </c>
      <c r="M7">
        <f t="shared" si="3"/>
        <v>1.0000032456215773</v>
      </c>
      <c r="N7">
        <f t="shared" si="4"/>
        <v>-3.2456215772747044E-6</v>
      </c>
      <c r="W7">
        <v>1</v>
      </c>
      <c r="X7">
        <v>36.887318721883702</v>
      </c>
    </row>
    <row r="8" spans="1:24" x14ac:dyDescent="0.25">
      <c r="A8">
        <v>1693.3</v>
      </c>
      <c r="B8">
        <v>463539.72069400002</v>
      </c>
      <c r="C8">
        <f t="shared" si="0"/>
        <v>36.88731893394332</v>
      </c>
      <c r="E8" s="1">
        <v>1693.3</v>
      </c>
      <c r="F8" s="3">
        <v>36.887141999999997</v>
      </c>
      <c r="H8">
        <v>1693.3</v>
      </c>
      <c r="I8">
        <v>36.8873187218868</v>
      </c>
      <c r="K8">
        <f t="shared" si="1"/>
        <v>1.0000047966292245</v>
      </c>
      <c r="L8">
        <f t="shared" si="2"/>
        <v>-4.7966292244794317E-6</v>
      </c>
      <c r="M8">
        <f t="shared" si="3"/>
        <v>1.0000047908804321</v>
      </c>
      <c r="N8">
        <f t="shared" si="4"/>
        <v>-4.79088043214837E-6</v>
      </c>
      <c r="W8">
        <v>1</v>
      </c>
      <c r="X8">
        <v>36.8873187218814</v>
      </c>
    </row>
    <row r="9" spans="1:24" x14ac:dyDescent="0.25">
      <c r="A9">
        <v>1695.3</v>
      </c>
      <c r="B9">
        <v>463539.72069400002</v>
      </c>
      <c r="C9">
        <f t="shared" si="0"/>
        <v>36.88731893394332</v>
      </c>
      <c r="E9" s="1">
        <v>1695.3</v>
      </c>
      <c r="F9" s="3">
        <v>36.887233999999999</v>
      </c>
      <c r="H9">
        <v>1695.3</v>
      </c>
      <c r="I9">
        <v>36.887318721885102</v>
      </c>
      <c r="K9">
        <f t="shared" si="1"/>
        <v>1.0000023025294691</v>
      </c>
      <c r="L9">
        <f t="shared" si="2"/>
        <v>-2.302529469089265E-6</v>
      </c>
      <c r="M9">
        <f t="shared" si="3"/>
        <v>1.000002296780645</v>
      </c>
      <c r="N9">
        <f t="shared" si="4"/>
        <v>-2.2967806450058248E-6</v>
      </c>
      <c r="W9">
        <v>1</v>
      </c>
      <c r="X9">
        <v>36.887318721879801</v>
      </c>
    </row>
    <row r="10" spans="1:24" x14ac:dyDescent="0.25">
      <c r="A10">
        <v>1697.3</v>
      </c>
      <c r="B10">
        <v>463539.72069400002</v>
      </c>
      <c r="C10">
        <f t="shared" si="0"/>
        <v>36.88731893394332</v>
      </c>
      <c r="E10" s="1">
        <v>1697.3</v>
      </c>
      <c r="F10" s="3">
        <v>36.887287000000001</v>
      </c>
      <c r="H10">
        <v>1697.3</v>
      </c>
      <c r="I10">
        <v>36.887318721889102</v>
      </c>
      <c r="K10">
        <f t="shared" si="1"/>
        <v>1.0000008657167798</v>
      </c>
      <c r="L10">
        <f t="shared" si="2"/>
        <v>-8.6571677981872597E-7</v>
      </c>
      <c r="M10">
        <f t="shared" si="3"/>
        <v>1.0000008599680725</v>
      </c>
      <c r="N10">
        <f t="shared" si="4"/>
        <v>-8.5996807253074792E-7</v>
      </c>
      <c r="W10">
        <v>1</v>
      </c>
      <c r="X10">
        <v>36.887318721883801</v>
      </c>
    </row>
    <row r="11" spans="1:24" x14ac:dyDescent="0.25">
      <c r="A11">
        <v>1699.3</v>
      </c>
      <c r="B11">
        <v>463539.72069400002</v>
      </c>
      <c r="C11">
        <f t="shared" si="0"/>
        <v>36.88731893394332</v>
      </c>
      <c r="E11" s="1">
        <v>1699.3</v>
      </c>
      <c r="F11" s="3">
        <v>36.887225999999998</v>
      </c>
      <c r="H11">
        <v>1699.3</v>
      </c>
      <c r="I11">
        <v>36.887318721885798</v>
      </c>
      <c r="K11">
        <f t="shared" si="1"/>
        <v>1.0000025194072149</v>
      </c>
      <c r="L11">
        <f t="shared" si="2"/>
        <v>-2.5194072148515545E-6</v>
      </c>
      <c r="M11">
        <f t="shared" si="3"/>
        <v>1.0000025136584085</v>
      </c>
      <c r="N11">
        <f t="shared" si="4"/>
        <v>-2.5136584085316827E-6</v>
      </c>
      <c r="W11">
        <v>1</v>
      </c>
      <c r="X11">
        <v>36.887318721880497</v>
      </c>
    </row>
    <row r="12" spans="1:24" x14ac:dyDescent="0.25">
      <c r="A12">
        <v>1701.3</v>
      </c>
      <c r="B12">
        <v>463539.72069400002</v>
      </c>
      <c r="C12">
        <f t="shared" si="0"/>
        <v>36.88731893394332</v>
      </c>
      <c r="E12" s="1">
        <v>1701.3</v>
      </c>
      <c r="F12" s="3">
        <v>36.887287000000001</v>
      </c>
      <c r="H12">
        <v>1701.3</v>
      </c>
      <c r="I12">
        <v>36.887318721888498</v>
      </c>
      <c r="K12">
        <f t="shared" si="1"/>
        <v>1.0000008657167798</v>
      </c>
      <c r="L12">
        <f t="shared" si="2"/>
        <v>-8.6571677981872597E-7</v>
      </c>
      <c r="M12">
        <f t="shared" si="3"/>
        <v>1.0000008599680561</v>
      </c>
      <c r="N12">
        <f t="shared" si="4"/>
        <v>-8.5996805609944715E-7</v>
      </c>
      <c r="W12">
        <v>1</v>
      </c>
      <c r="X12">
        <v>36.887318721883197</v>
      </c>
    </row>
    <row r="13" spans="1:24" x14ac:dyDescent="0.25">
      <c r="A13">
        <v>1703.3</v>
      </c>
      <c r="B13">
        <v>463539.72069400002</v>
      </c>
      <c r="C13">
        <f t="shared" si="0"/>
        <v>36.88731893394332</v>
      </c>
      <c r="E13" s="1">
        <v>1703.3</v>
      </c>
      <c r="F13" s="3">
        <v>36.887248999999997</v>
      </c>
      <c r="H13">
        <v>1703.3</v>
      </c>
      <c r="I13">
        <v>36.887318721887702</v>
      </c>
      <c r="K13">
        <f t="shared" si="1"/>
        <v>1.0000018958839496</v>
      </c>
      <c r="L13">
        <f t="shared" si="2"/>
        <v>-1.8958839496097113E-6</v>
      </c>
      <c r="M13">
        <f t="shared" si="3"/>
        <v>1.0000018901351984</v>
      </c>
      <c r="N13">
        <f t="shared" si="4"/>
        <v>-1.8901351983569015E-6</v>
      </c>
      <c r="W13">
        <v>1</v>
      </c>
      <c r="X13">
        <v>36.887318721882302</v>
      </c>
    </row>
    <row r="14" spans="1:24" x14ac:dyDescent="0.25">
      <c r="A14">
        <v>1705.3</v>
      </c>
      <c r="B14">
        <v>463539.72069400002</v>
      </c>
      <c r="C14">
        <f t="shared" si="0"/>
        <v>36.88731893394332</v>
      </c>
      <c r="E14" s="1">
        <v>1705.3</v>
      </c>
      <c r="F14" s="3">
        <v>36.887245</v>
      </c>
      <c r="H14">
        <v>1705.3</v>
      </c>
      <c r="I14">
        <v>36.887318721884498</v>
      </c>
      <c r="K14">
        <f t="shared" si="1"/>
        <v>1.0000020043227225</v>
      </c>
      <c r="L14">
        <f t="shared" si="2"/>
        <v>-2.0043227224597615E-6</v>
      </c>
      <c r="M14">
        <f t="shared" si="3"/>
        <v>1.0000019985738837</v>
      </c>
      <c r="N14">
        <f t="shared" si="4"/>
        <v>-1.9985738837213773E-6</v>
      </c>
      <c r="W14">
        <v>1</v>
      </c>
      <c r="X14">
        <v>36.887318721879197</v>
      </c>
    </row>
    <row r="15" spans="1:24" x14ac:dyDescent="0.25">
      <c r="A15">
        <v>1707.3</v>
      </c>
      <c r="B15">
        <v>463539.72069400002</v>
      </c>
      <c r="C15">
        <f t="shared" si="0"/>
        <v>36.88731893394332</v>
      </c>
      <c r="E15" s="1">
        <v>1707.3</v>
      </c>
      <c r="F15" s="3">
        <v>36.887318</v>
      </c>
      <c r="H15">
        <v>1707.3</v>
      </c>
      <c r="I15">
        <v>36.8873187218895</v>
      </c>
      <c r="K15">
        <f t="shared" si="1"/>
        <v>1.0000000253188188</v>
      </c>
      <c r="L15">
        <f t="shared" si="2"/>
        <v>-2.5318818819286548E-8</v>
      </c>
      <c r="M15">
        <f t="shared" si="3"/>
        <v>1.0000000195701271</v>
      </c>
      <c r="N15">
        <f t="shared" si="4"/>
        <v>-1.9570127074430843E-8</v>
      </c>
      <c r="W15">
        <v>1</v>
      </c>
      <c r="X15">
        <v>36.887318721884199</v>
      </c>
    </row>
    <row r="16" spans="1:24" x14ac:dyDescent="0.25">
      <c r="A16">
        <v>1709.3</v>
      </c>
      <c r="B16">
        <v>463539.72069400002</v>
      </c>
      <c r="C16">
        <f t="shared" si="0"/>
        <v>36.88731893394332</v>
      </c>
      <c r="E16" s="1">
        <v>1709.3</v>
      </c>
      <c r="F16" s="3">
        <v>36.887241000000003</v>
      </c>
      <c r="H16">
        <v>1709.3</v>
      </c>
      <c r="I16">
        <v>36.887318721886103</v>
      </c>
      <c r="K16">
        <f t="shared" si="1"/>
        <v>1.0000021127615186</v>
      </c>
      <c r="L16">
        <f t="shared" si="2"/>
        <v>-2.1127615186244952E-6</v>
      </c>
      <c r="M16">
        <f t="shared" si="3"/>
        <v>1.000002107012723</v>
      </c>
      <c r="N16">
        <f t="shared" si="4"/>
        <v>-2.1070127229627644E-6</v>
      </c>
      <c r="W16">
        <v>1</v>
      </c>
      <c r="X16">
        <v>36.887318721880803</v>
      </c>
    </row>
    <row r="17" spans="1:24" x14ac:dyDescent="0.25">
      <c r="A17">
        <v>1711.3</v>
      </c>
      <c r="B17">
        <v>463539.72069400002</v>
      </c>
      <c r="C17">
        <f t="shared" si="0"/>
        <v>36.88731893394332</v>
      </c>
      <c r="E17" s="1">
        <v>1711.3</v>
      </c>
      <c r="F17" s="3">
        <v>36.887321</v>
      </c>
      <c r="H17">
        <v>1711.3</v>
      </c>
      <c r="I17">
        <v>36.887318721888903</v>
      </c>
      <c r="K17">
        <f t="shared" si="1"/>
        <v>0.99999994399005876</v>
      </c>
      <c r="L17">
        <f t="shared" si="2"/>
        <v>5.6009941240553474E-8</v>
      </c>
      <c r="M17">
        <f t="shared" si="3"/>
        <v>0.99999993824135136</v>
      </c>
      <c r="N17">
        <f t="shared" si="4"/>
        <v>6.1758648639553826E-8</v>
      </c>
      <c r="W17">
        <v>1</v>
      </c>
      <c r="X17">
        <v>36.887318721883503</v>
      </c>
    </row>
    <row r="18" spans="1:24" x14ac:dyDescent="0.25">
      <c r="A18">
        <v>1713.3</v>
      </c>
      <c r="B18">
        <v>463539.72069400002</v>
      </c>
      <c r="C18">
        <f t="shared" si="0"/>
        <v>36.88731893394332</v>
      </c>
      <c r="E18" s="1">
        <v>1713.3</v>
      </c>
      <c r="F18" s="3">
        <v>36.887332999999998</v>
      </c>
      <c r="H18">
        <v>1713.3</v>
      </c>
      <c r="I18">
        <v>36.887318721886302</v>
      </c>
      <c r="K18">
        <f t="shared" si="1"/>
        <v>0.99999961867515119</v>
      </c>
      <c r="L18">
        <f t="shared" si="2"/>
        <v>3.8132484880826212E-7</v>
      </c>
      <c r="M18">
        <f t="shared" si="3"/>
        <v>0.99999961292637518</v>
      </c>
      <c r="N18">
        <f t="shared" si="4"/>
        <v>3.8707362481904539E-7</v>
      </c>
      <c r="W18">
        <v>1</v>
      </c>
      <c r="X18">
        <v>36.887318721881002</v>
      </c>
    </row>
    <row r="19" spans="1:24" x14ac:dyDescent="0.25">
      <c r="A19">
        <v>1715.3</v>
      </c>
      <c r="B19">
        <v>463539.72069400002</v>
      </c>
      <c r="C19">
        <f t="shared" si="0"/>
        <v>36.88731893394332</v>
      </c>
      <c r="E19" s="1">
        <v>1715.3</v>
      </c>
      <c r="F19" s="3">
        <v>36.887332999999998</v>
      </c>
      <c r="H19">
        <v>1715.3</v>
      </c>
      <c r="I19">
        <v>36.887318721885102</v>
      </c>
      <c r="K19">
        <f t="shared" si="1"/>
        <v>0.99999961867515119</v>
      </c>
      <c r="L19">
        <f t="shared" si="2"/>
        <v>3.8132484880826212E-7</v>
      </c>
      <c r="M19">
        <f t="shared" si="3"/>
        <v>0.99999961292634254</v>
      </c>
      <c r="N19">
        <f t="shared" si="4"/>
        <v>3.8707365745960232E-7</v>
      </c>
      <c r="W19">
        <v>1</v>
      </c>
      <c r="X19">
        <v>36.887318721879801</v>
      </c>
    </row>
    <row r="20" spans="1:24" x14ac:dyDescent="0.25">
      <c r="A20">
        <v>1717.3</v>
      </c>
      <c r="B20">
        <v>463539.72069400002</v>
      </c>
      <c r="C20">
        <f t="shared" si="0"/>
        <v>36.88731893394332</v>
      </c>
      <c r="E20" s="1">
        <v>1717.3</v>
      </c>
      <c r="F20" s="3">
        <v>36.887298999999999</v>
      </c>
      <c r="H20">
        <v>1717.3</v>
      </c>
      <c r="I20">
        <v>36.887318721889997</v>
      </c>
      <c r="K20">
        <f t="shared" si="1"/>
        <v>1.0000005404012726</v>
      </c>
      <c r="L20">
        <f t="shared" si="2"/>
        <v>-5.4040127261956172E-7</v>
      </c>
      <c r="M20">
        <f t="shared" si="3"/>
        <v>1.0000005346525913</v>
      </c>
      <c r="N20">
        <f t="shared" si="4"/>
        <v>-5.3465259131080245E-7</v>
      </c>
      <c r="W20">
        <v>1</v>
      </c>
      <c r="X20">
        <v>36.887318721884597</v>
      </c>
    </row>
    <row r="21" spans="1:24" x14ac:dyDescent="0.25">
      <c r="A21">
        <v>1719.3</v>
      </c>
      <c r="B21">
        <v>463539.72069400002</v>
      </c>
      <c r="C21">
        <f t="shared" si="0"/>
        <v>36.88731893394332</v>
      </c>
      <c r="E21" s="1">
        <v>1719.3</v>
      </c>
      <c r="F21" s="3">
        <v>36.887324999999997</v>
      </c>
      <c r="H21">
        <v>1719.3</v>
      </c>
      <c r="I21">
        <v>36.887318721886402</v>
      </c>
      <c r="K21">
        <f t="shared" si="1"/>
        <v>0.99999983555173277</v>
      </c>
      <c r="L21">
        <f t="shared" si="2"/>
        <v>1.6444826722583628E-7</v>
      </c>
      <c r="M21">
        <f t="shared" si="3"/>
        <v>0.99999982980295821</v>
      </c>
      <c r="N21">
        <f t="shared" si="4"/>
        <v>1.7019704179332962E-7</v>
      </c>
      <c r="W21">
        <v>1</v>
      </c>
      <c r="X21">
        <v>36.887318721881101</v>
      </c>
    </row>
    <row r="22" spans="1:24" x14ac:dyDescent="0.25">
      <c r="A22">
        <v>1721.3</v>
      </c>
      <c r="B22">
        <v>463539.72069400002</v>
      </c>
      <c r="C22">
        <f t="shared" si="0"/>
        <v>36.88731893394332</v>
      </c>
      <c r="E22" s="1">
        <v>1721.3</v>
      </c>
      <c r="F22" s="3">
        <v>36.887321</v>
      </c>
      <c r="H22">
        <v>1721.3</v>
      </c>
      <c r="I22">
        <v>36.8873187218895</v>
      </c>
      <c r="K22">
        <f t="shared" si="1"/>
        <v>0.99999994399005876</v>
      </c>
      <c r="L22">
        <f t="shared" si="2"/>
        <v>5.6009941240553474E-8</v>
      </c>
      <c r="M22">
        <f t="shared" si="3"/>
        <v>0.99999993824136757</v>
      </c>
      <c r="N22">
        <f t="shared" si="4"/>
        <v>6.1758632430297666E-8</v>
      </c>
      <c r="W22">
        <v>1</v>
      </c>
      <c r="X22">
        <v>36.8873187218841</v>
      </c>
    </row>
    <row r="23" spans="1:24" x14ac:dyDescent="0.25">
      <c r="A23">
        <v>1723.3</v>
      </c>
      <c r="B23">
        <v>463539.72069400002</v>
      </c>
      <c r="C23">
        <f t="shared" si="0"/>
        <v>36.88731893394332</v>
      </c>
      <c r="E23" s="1">
        <v>1723.3</v>
      </c>
      <c r="F23" s="3">
        <v>36.887332999999998</v>
      </c>
      <c r="H23">
        <v>1723.3</v>
      </c>
      <c r="I23">
        <v>36.8873187218868</v>
      </c>
      <c r="K23">
        <f t="shared" si="1"/>
        <v>0.99999961867515119</v>
      </c>
      <c r="L23">
        <f t="shared" si="2"/>
        <v>3.8132484880826212E-7</v>
      </c>
      <c r="M23">
        <f t="shared" si="3"/>
        <v>0.99999961292638861</v>
      </c>
      <c r="N23">
        <f t="shared" si="4"/>
        <v>3.8707361138534679E-7</v>
      </c>
      <c r="W23">
        <v>1</v>
      </c>
      <c r="X23">
        <v>36.887318721881499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 1 full 0</vt:lpstr>
      <vt:lpstr>Ex 1 full 1</vt:lpstr>
      <vt:lpstr>Ex 1 Gauss 0</vt:lpstr>
      <vt:lpstr>Ex 1 Gauss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ERYA-Profiling</dc:creator>
  <cp:lastModifiedBy>DIMITRIOU, Paraskevi</cp:lastModifiedBy>
  <cp:revision>0</cp:revision>
  <dcterms:created xsi:type="dcterms:W3CDTF">2024-01-08T15:14:35Z</dcterms:created>
  <dcterms:modified xsi:type="dcterms:W3CDTF">2024-04-22T11:35:07Z</dcterms:modified>
</cp:coreProperties>
</file>