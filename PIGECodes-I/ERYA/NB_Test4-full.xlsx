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dc\Desktop\ERYA-exercicio\NB-Testes\"/>
    </mc:Choice>
  </mc:AlternateContent>
  <bookViews>
    <workbookView xWindow="0" yWindow="0" windowWidth="19200" windowHeight="7620"/>
  </bookViews>
  <sheets>
    <sheet name="Sheet1" sheetId="1" r:id="rId1"/>
  </sheets>
  <calcPr calcId="162913"/>
  <fileRecoveryPr repairLoad="1"/>
</workbook>
</file>

<file path=xl/calcChain.xml><?xml version="1.0" encoding="utf-8"?>
<calcChain xmlns="http://schemas.openxmlformats.org/spreadsheetml/2006/main">
  <c r="R17" i="1" l="1"/>
  <c r="Q17" i="1"/>
  <c r="P17" i="1"/>
  <c r="O17" i="1"/>
  <c r="N17" i="1"/>
  <c r="M17" i="1"/>
  <c r="L17" i="1"/>
  <c r="R16" i="1"/>
  <c r="Q16" i="1"/>
  <c r="P16" i="1"/>
  <c r="O16" i="1"/>
  <c r="N16" i="1"/>
  <c r="M16" i="1"/>
  <c r="L16" i="1"/>
  <c r="R15" i="1"/>
  <c r="Q15" i="1"/>
  <c r="P15" i="1"/>
  <c r="O15" i="1"/>
  <c r="N15" i="1"/>
  <c r="M15" i="1"/>
  <c r="L15" i="1"/>
  <c r="R14" i="1"/>
  <c r="Q14" i="1"/>
  <c r="P14" i="1"/>
  <c r="O14" i="1"/>
  <c r="N14" i="1"/>
  <c r="M14" i="1"/>
  <c r="L14" i="1"/>
  <c r="R13" i="1"/>
  <c r="Q13" i="1"/>
  <c r="P13" i="1"/>
  <c r="O13" i="1"/>
  <c r="N13" i="1"/>
  <c r="M13" i="1"/>
  <c r="L13" i="1"/>
  <c r="R12" i="1"/>
  <c r="Q12" i="1"/>
  <c r="P12" i="1"/>
  <c r="O12" i="1"/>
  <c r="N12" i="1"/>
  <c r="M12" i="1"/>
  <c r="L12" i="1"/>
  <c r="R11" i="1"/>
  <c r="Q11" i="1"/>
  <c r="P11" i="1"/>
  <c r="O11" i="1"/>
  <c r="N11" i="1"/>
  <c r="M11" i="1"/>
  <c r="L11" i="1"/>
  <c r="R10" i="1"/>
  <c r="Q10" i="1"/>
  <c r="P10" i="1"/>
  <c r="O10" i="1"/>
  <c r="N10" i="1"/>
  <c r="M10" i="1"/>
  <c r="L10" i="1"/>
  <c r="R9" i="1"/>
  <c r="Q9" i="1"/>
  <c r="P9" i="1"/>
  <c r="O9" i="1"/>
  <c r="N9" i="1"/>
  <c r="M9" i="1"/>
  <c r="L9" i="1"/>
  <c r="R8" i="1"/>
  <c r="Q8" i="1"/>
  <c r="P8" i="1"/>
  <c r="O8" i="1"/>
  <c r="N8" i="1"/>
  <c r="M8" i="1"/>
  <c r="L8" i="1"/>
  <c r="K9" i="1"/>
  <c r="K10" i="1"/>
  <c r="K11" i="1"/>
  <c r="K12" i="1"/>
  <c r="K13" i="1"/>
  <c r="K14" i="1"/>
  <c r="K15" i="1"/>
  <c r="K16" i="1"/>
  <c r="K17" i="1"/>
  <c r="K8" i="1"/>
</calcChain>
</file>

<file path=xl/sharedStrings.xml><?xml version="1.0" encoding="utf-8"?>
<sst xmlns="http://schemas.openxmlformats.org/spreadsheetml/2006/main" count="27" uniqueCount="19">
  <si>
    <t>Element</t>
  </si>
  <si>
    <t>Gamma Peak</t>
  </si>
  <si>
    <t>Fit</t>
  </si>
  <si>
    <t>10B_flat_test</t>
  </si>
  <si>
    <t>Emin(keV)=</t>
  </si>
  <si>
    <t>Emax(keV)=</t>
  </si>
  <si>
    <t>Number Iterations=</t>
  </si>
  <si>
    <t>Maximum Iterations=</t>
  </si>
  <si>
    <t>Energy (keV)</t>
  </si>
  <si>
    <t>Delta E = 1 keV</t>
  </si>
  <si>
    <t>Delta E = 0.05 keV</t>
  </si>
  <si>
    <t>Delta E = 0.5 keV</t>
  </si>
  <si>
    <t>Delta E = 5 keV</t>
  </si>
  <si>
    <t>Delta E = 10 keV</t>
  </si>
  <si>
    <t>Delta E = 20 keV</t>
  </si>
  <si>
    <t>Delta E = 100 keV</t>
  </si>
  <si>
    <t>Delta E = 200 keV</t>
  </si>
  <si>
    <t>differences in % relative to standard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</si>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</sst>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0.0000"/>
    <numFmt numFmtId="169" formatCode="0.000"/>
  </numFmts>
  <fonts count="3" x14ac:knownFonts="1">
    <font>
      <sz val="12"/>
      <name val="Calibri"/>
      <family val="2"/>
    </font>
    <font>
      <sz val="12"/>
      <color theme="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Fill="1"/>
    <xf numFmtId="0" fontId="1" fillId="2" borderId="0" xfId="0" applyFont="1" applyFill="1" applyAlignment="1">
      <alignment horizontal="center"/>
    </xf>
    <xf numFmtId="168" fontId="0" fillId="0" borderId="0" xfId="0" applyNumberForma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69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tabSelected="1" workbookViewId="0">
      <selection activeCell="B20" sqref="B20"/>
    </sheetView>
  </sheetViews>
  <sheetFormatPr defaultColWidth="21" defaultRowHeight="15.75" x14ac:dyDescent="0.25"/>
  <cols>
    <col min="2" max="2" width="13.375" bestFit="1" customWidth="1"/>
    <col min="3" max="3" width="18.375" bestFit="1" customWidth="1"/>
    <col min="4" max="4" width="14.875" bestFit="1" customWidth="1"/>
    <col min="5" max="5" width="13.375" bestFit="1" customWidth="1"/>
    <col min="6" max="7" width="14.375" bestFit="1" customWidth="1"/>
    <col min="8" max="9" width="15.375" bestFit="1" customWidth="1"/>
    <col min="10" max="10" width="8" customWidth="1"/>
    <col min="11" max="11" width="13.375" bestFit="1" customWidth="1"/>
    <col min="12" max="12" width="15.875" bestFit="1" customWidth="1"/>
    <col min="13" max="13" width="14.875" bestFit="1" customWidth="1"/>
    <col min="14" max="14" width="13.375" bestFit="1" customWidth="1"/>
    <col min="15" max="16" width="14.375" bestFit="1" customWidth="1"/>
    <col min="17" max="18" width="15.375" bestFit="1" customWidth="1"/>
  </cols>
  <sheetData>
    <row r="1" spans="1:18" x14ac:dyDescent="0.25">
      <c r="A1" t="s">
        <v>0</v>
      </c>
      <c r="B1" t="s">
        <v>1</v>
      </c>
      <c r="C1" t="s">
        <v>2</v>
      </c>
    </row>
    <row r="2" spans="1:18" x14ac:dyDescent="0.25">
      <c r="A2" t="s">
        <v>3</v>
      </c>
      <c r="B2">
        <v>718</v>
      </c>
      <c r="C2" t="b">
        <v>0</v>
      </c>
    </row>
    <row r="3" spans="1:18" x14ac:dyDescent="0.25">
      <c r="A3" t="s">
        <v>4</v>
      </c>
      <c r="B3">
        <v>3000</v>
      </c>
      <c r="C3" t="s">
        <v>5</v>
      </c>
      <c r="D3">
        <v>5000</v>
      </c>
    </row>
    <row r="4" spans="1:18" x14ac:dyDescent="0.25">
      <c r="A4" t="s">
        <v>6</v>
      </c>
      <c r="B4">
        <v>0</v>
      </c>
      <c r="C4" t="s">
        <v>7</v>
      </c>
      <c r="D4">
        <v>100</v>
      </c>
    </row>
    <row r="5" spans="1:18" x14ac:dyDescent="0.25"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K5" s="3" t="s">
        <v>9</v>
      </c>
      <c r="L5" s="3" t="s">
        <v>10</v>
      </c>
      <c r="M5" s="3" t="s">
        <v>11</v>
      </c>
      <c r="N5" s="3" t="s">
        <v>12</v>
      </c>
      <c r="O5" s="3" t="s">
        <v>13</v>
      </c>
      <c r="P5" s="3" t="s">
        <v>14</v>
      </c>
      <c r="Q5" s="3" t="s">
        <v>15</v>
      </c>
      <c r="R5" s="3" t="s">
        <v>16</v>
      </c>
    </row>
    <row r="6" spans="1:18" x14ac:dyDescent="0.25">
      <c r="A6" t="s">
        <v>8</v>
      </c>
      <c r="D6" s="1"/>
      <c r="E6" s="2"/>
    </row>
    <row r="7" spans="1:18" x14ac:dyDescent="0.25">
      <c r="A7">
        <v>3000</v>
      </c>
      <c r="B7" s="5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8" x14ac:dyDescent="0.25">
      <c r="A8">
        <v>3200</v>
      </c>
      <c r="B8" s="5">
        <v>13096.776102</v>
      </c>
      <c r="C8">
        <v>13087.099711000001</v>
      </c>
      <c r="D8">
        <v>13091.683267</v>
      </c>
      <c r="E8">
        <v>12987.713389</v>
      </c>
      <c r="F8">
        <v>12824.633644</v>
      </c>
      <c r="G8">
        <v>12498.472750999999</v>
      </c>
      <c r="H8">
        <v>9889.1182989999998</v>
      </c>
      <c r="I8">
        <v>6627.2569960000001</v>
      </c>
      <c r="K8" s="6">
        <f>(B8-$B8)/$B8*100</f>
        <v>0</v>
      </c>
      <c r="L8" s="7">
        <f t="shared" ref="L8:R17" si="0">(C8-$B8)/$B8*100</f>
        <v>-7.3883762879029299E-2</v>
      </c>
      <c r="M8" s="7">
        <f t="shared" si="0"/>
        <v>-3.8886172904962039E-2</v>
      </c>
      <c r="N8" s="7">
        <f t="shared" si="0"/>
        <v>-0.83274473160875417</v>
      </c>
      <c r="O8" s="7">
        <f t="shared" si="0"/>
        <v>-2.0779347213429231</v>
      </c>
      <c r="P8" s="7">
        <f t="shared" si="0"/>
        <v>-4.5683254133712641</v>
      </c>
      <c r="Q8" s="7">
        <f t="shared" si="0"/>
        <v>-24.491964877601909</v>
      </c>
      <c r="R8" s="7">
        <f t="shared" si="0"/>
        <v>-49.397798783565094</v>
      </c>
    </row>
    <row r="9" spans="1:18" x14ac:dyDescent="0.25">
      <c r="A9">
        <v>3400</v>
      </c>
      <c r="B9" s="5">
        <v>26865.012401</v>
      </c>
      <c r="C9">
        <v>26855.821859</v>
      </c>
      <c r="D9">
        <v>26860.175276999998</v>
      </c>
      <c r="E9">
        <v>26753.903837999998</v>
      </c>
      <c r="F9">
        <v>26588.266392000001</v>
      </c>
      <c r="G9">
        <v>26256.988797999998</v>
      </c>
      <c r="H9">
        <v>23606.638401</v>
      </c>
      <c r="I9">
        <v>20293.376364</v>
      </c>
      <c r="K9" s="6">
        <f t="shared" ref="K9:K17" si="1">(B9-$B9)/$B9*100</f>
        <v>0</v>
      </c>
      <c r="L9" s="7">
        <f t="shared" si="0"/>
        <v>-3.4210079127520436E-2</v>
      </c>
      <c r="M9" s="7">
        <f t="shared" si="0"/>
        <v>-1.8005292265643777E-2</v>
      </c>
      <c r="N9" s="7">
        <f t="shared" si="0"/>
        <v>-0.41358091089459459</v>
      </c>
      <c r="O9" s="7">
        <f t="shared" si="0"/>
        <v>-1.030135422493597</v>
      </c>
      <c r="P9" s="7">
        <f t="shared" si="0"/>
        <v>-2.2632545033828793</v>
      </c>
      <c r="Q9" s="7">
        <f t="shared" si="0"/>
        <v>-12.128689729838774</v>
      </c>
      <c r="R9" s="7">
        <f t="shared" si="0"/>
        <v>-24.461689944186972</v>
      </c>
    </row>
    <row r="10" spans="1:18" x14ac:dyDescent="0.25">
      <c r="A10">
        <v>3600</v>
      </c>
      <c r="B10" s="5">
        <v>41242.892054999997</v>
      </c>
      <c r="C10">
        <v>41234.181016000002</v>
      </c>
      <c r="D10">
        <v>41238.307304000002</v>
      </c>
      <c r="E10">
        <v>41129.764373999998</v>
      </c>
      <c r="F10">
        <v>40961.602666999999</v>
      </c>
      <c r="G10">
        <v>40625.275344000001</v>
      </c>
      <c r="H10">
        <v>37934.469133999999</v>
      </c>
      <c r="I10">
        <v>34570.492408999999</v>
      </c>
      <c r="K10" s="6">
        <f t="shared" si="1"/>
        <v>0</v>
      </c>
      <c r="L10" s="7">
        <f t="shared" si="0"/>
        <v>-2.1121309796552638E-2</v>
      </c>
      <c r="M10" s="7">
        <f t="shared" si="0"/>
        <v>-1.1116463399028401E-2</v>
      </c>
      <c r="N10" s="7">
        <f t="shared" si="0"/>
        <v>-0.27429618865993982</v>
      </c>
      <c r="O10" s="7">
        <f t="shared" si="0"/>
        <v>-0.68203119127746981</v>
      </c>
      <c r="P10" s="7">
        <f t="shared" si="0"/>
        <v>-1.4975106745093538</v>
      </c>
      <c r="Q10" s="7">
        <f t="shared" si="0"/>
        <v>-8.0218014696641724</v>
      </c>
      <c r="R10" s="7">
        <f t="shared" si="0"/>
        <v>-16.178302038329253</v>
      </c>
    </row>
    <row r="11" spans="1:18" x14ac:dyDescent="0.25">
      <c r="A11">
        <v>3800</v>
      </c>
      <c r="B11" s="5">
        <v>56222.678066</v>
      </c>
      <c r="C11">
        <v>56214.440616</v>
      </c>
      <c r="D11">
        <v>56218.342574000002</v>
      </c>
      <c r="E11">
        <v>56107.556177999999</v>
      </c>
      <c r="F11">
        <v>55936.901374000001</v>
      </c>
      <c r="G11">
        <v>55595.586729000002</v>
      </c>
      <c r="H11">
        <v>52864.827802</v>
      </c>
      <c r="I11">
        <v>49450.774851000002</v>
      </c>
      <c r="K11" s="6">
        <f t="shared" si="1"/>
        <v>0</v>
      </c>
      <c r="L11" s="7">
        <f t="shared" si="0"/>
        <v>-1.4651472116519536E-2</v>
      </c>
      <c r="M11" s="7">
        <f t="shared" si="0"/>
        <v>-7.7112868848205531E-3</v>
      </c>
      <c r="N11" s="7">
        <f t="shared" si="0"/>
        <v>-0.20476059120638027</v>
      </c>
      <c r="O11" s="7">
        <f t="shared" si="0"/>
        <v>-0.5082943428353327</v>
      </c>
      <c r="P11" s="7">
        <f t="shared" si="0"/>
        <v>-1.1153708051115125</v>
      </c>
      <c r="Q11" s="7">
        <f t="shared" si="0"/>
        <v>-5.9724125201901765</v>
      </c>
      <c r="R11" s="7">
        <f t="shared" si="0"/>
        <v>-12.044789483436626</v>
      </c>
    </row>
    <row r="12" spans="1:18" x14ac:dyDescent="0.25">
      <c r="A12">
        <v>4000</v>
      </c>
      <c r="B12" s="5">
        <v>71797.146278999993</v>
      </c>
      <c r="C12">
        <v>71789.376885000005</v>
      </c>
      <c r="D12">
        <v>71793.057132999995</v>
      </c>
      <c r="E12">
        <v>71680.053486999997</v>
      </c>
      <c r="F12">
        <v>71506.934735000003</v>
      </c>
      <c r="G12">
        <v>71160.691139000002</v>
      </c>
      <c r="H12">
        <v>68390.449865999995</v>
      </c>
      <c r="I12">
        <v>64926.917165999999</v>
      </c>
      <c r="K12" s="6">
        <f t="shared" si="1"/>
        <v>0</v>
      </c>
      <c r="L12" s="7">
        <f t="shared" si="0"/>
        <v>-1.0821313105950804E-2</v>
      </c>
      <c r="M12" s="7">
        <f t="shared" si="0"/>
        <v>-5.6954157817195499E-3</v>
      </c>
      <c r="N12" s="7">
        <f t="shared" si="0"/>
        <v>-0.16308836502356136</v>
      </c>
      <c r="O12" s="7">
        <f t="shared" si="0"/>
        <v>-0.40421041648681083</v>
      </c>
      <c r="P12" s="7">
        <f t="shared" si="0"/>
        <v>-0.88646300443023063</v>
      </c>
      <c r="Q12" s="7">
        <f t="shared" si="0"/>
        <v>-4.7448911127494569</v>
      </c>
      <c r="R12" s="7">
        <f t="shared" si="0"/>
        <v>-9.5689445459331193</v>
      </c>
    </row>
    <row r="13" spans="1:18" x14ac:dyDescent="0.25">
      <c r="A13">
        <v>4200</v>
      </c>
      <c r="B13" s="5">
        <v>87959.527543000004</v>
      </c>
      <c r="C13">
        <v>87952.221013000002</v>
      </c>
      <c r="D13">
        <v>87955.682010999997</v>
      </c>
      <c r="E13">
        <v>87840.485717999996</v>
      </c>
      <c r="F13">
        <v>87664.930376999997</v>
      </c>
      <c r="G13">
        <v>87313.812607</v>
      </c>
      <c r="H13">
        <v>84504.530261000007</v>
      </c>
      <c r="I13">
        <v>80992.077000999998</v>
      </c>
      <c r="K13" s="6">
        <f t="shared" si="1"/>
        <v>0</v>
      </c>
      <c r="L13" s="7">
        <f t="shared" si="0"/>
        <v>-8.3066953678551519E-3</v>
      </c>
      <c r="M13" s="7">
        <f t="shared" si="0"/>
        <v>-4.3719334419193082E-3</v>
      </c>
      <c r="N13" s="7">
        <f t="shared" si="0"/>
        <v>-0.13533704457633947</v>
      </c>
      <c r="O13" s="7">
        <f t="shared" si="0"/>
        <v>-0.33492354293966586</v>
      </c>
      <c r="P13" s="7">
        <f t="shared" si="0"/>
        <v>-0.73410459791787641</v>
      </c>
      <c r="Q13" s="7">
        <f t="shared" si="0"/>
        <v>-3.9279397906167497</v>
      </c>
      <c r="R13" s="7">
        <f t="shared" si="0"/>
        <v>-7.9212005073513945</v>
      </c>
    </row>
    <row r="14" spans="1:18" x14ac:dyDescent="0.25">
      <c r="A14">
        <v>4400</v>
      </c>
      <c r="B14" s="5">
        <v>104703.458816</v>
      </c>
      <c r="C14">
        <v>104696.610262</v>
      </c>
      <c r="D14">
        <v>104699.854326</v>
      </c>
      <c r="E14">
        <v>104582.488547</v>
      </c>
      <c r="F14">
        <v>104404.522371</v>
      </c>
      <c r="G14">
        <v>104048.581993</v>
      </c>
      <c r="H14">
        <v>101200.67382</v>
      </c>
      <c r="I14">
        <v>97639.825878999996</v>
      </c>
      <c r="K14" s="6">
        <f t="shared" si="1"/>
        <v>0</v>
      </c>
      <c r="L14" s="7">
        <f t="shared" si="0"/>
        <v>-6.5409052169248562E-3</v>
      </c>
      <c r="M14" s="7">
        <f t="shared" si="0"/>
        <v>-3.4425701316440978E-3</v>
      </c>
      <c r="N14" s="7">
        <f t="shared" si="0"/>
        <v>-0.11553607719166567</v>
      </c>
      <c r="O14" s="7">
        <f t="shared" si="0"/>
        <v>-0.28550770755848048</v>
      </c>
      <c r="P14" s="7">
        <f t="shared" si="0"/>
        <v>-0.62545863375043087</v>
      </c>
      <c r="Q14" s="7">
        <f t="shared" si="0"/>
        <v>-3.3454338907328749</v>
      </c>
      <c r="R14" s="7">
        <f t="shared" si="0"/>
        <v>-6.7463224394651906</v>
      </c>
    </row>
    <row r="15" spans="1:18" x14ac:dyDescent="0.25">
      <c r="A15">
        <v>4600</v>
      </c>
      <c r="B15" s="5">
        <v>122022.94149500001</v>
      </c>
      <c r="C15">
        <v>122016.546302</v>
      </c>
      <c r="D15">
        <v>122019.57561699999</v>
      </c>
      <c r="E15">
        <v>121900.062219</v>
      </c>
      <c r="F15">
        <v>121719.709517</v>
      </c>
      <c r="G15">
        <v>121358.995205</v>
      </c>
      <c r="H15">
        <v>118472.853051</v>
      </c>
      <c r="I15">
        <v>114864.10638899999</v>
      </c>
      <c r="K15" s="6">
        <f t="shared" si="1"/>
        <v>0</v>
      </c>
      <c r="L15" s="7">
        <f t="shared" si="0"/>
        <v>-5.2409759358783992E-3</v>
      </c>
      <c r="M15" s="7">
        <f t="shared" si="0"/>
        <v>-2.7583976904452467E-3</v>
      </c>
      <c r="N15" s="7">
        <f t="shared" si="0"/>
        <v>-0.10070178156215159</v>
      </c>
      <c r="O15" s="7">
        <f t="shared" si="0"/>
        <v>-0.24850407168100919</v>
      </c>
      <c r="P15" s="7">
        <f t="shared" si="0"/>
        <v>-0.54411595218528064</v>
      </c>
      <c r="Q15" s="7">
        <f t="shared" si="0"/>
        <v>-2.909361469658946</v>
      </c>
      <c r="R15" s="7">
        <f t="shared" si="0"/>
        <v>-5.8667944062742929</v>
      </c>
    </row>
    <row r="16" spans="1:18" x14ac:dyDescent="0.25">
      <c r="A16">
        <v>4800</v>
      </c>
      <c r="B16" s="5">
        <v>139912.30562699999</v>
      </c>
      <c r="C16">
        <v>139906.359429</v>
      </c>
      <c r="D16">
        <v>139909.176064</v>
      </c>
      <c r="E16">
        <v>139787.53573800001</v>
      </c>
      <c r="F16">
        <v>139604.81951900001</v>
      </c>
      <c r="G16">
        <v>139239.377332</v>
      </c>
      <c r="H16">
        <v>136315.37190699999</v>
      </c>
      <c r="I16">
        <v>132659.19548600001</v>
      </c>
      <c r="K16" s="6">
        <f t="shared" si="1"/>
        <v>0</v>
      </c>
      <c r="L16" s="7">
        <f t="shared" si="0"/>
        <v>-4.2499464027437621E-3</v>
      </c>
      <c r="M16" s="7">
        <f t="shared" si="0"/>
        <v>-2.2368032504147535E-3</v>
      </c>
      <c r="N16" s="7">
        <f t="shared" si="0"/>
        <v>-8.9177208852964887E-2</v>
      </c>
      <c r="O16" s="7">
        <f t="shared" si="0"/>
        <v>-0.2197705960330088</v>
      </c>
      <c r="P16" s="7">
        <f t="shared" si="0"/>
        <v>-0.4809643383291729</v>
      </c>
      <c r="Q16" s="7">
        <f t="shared" si="0"/>
        <v>-2.570848721190591</v>
      </c>
      <c r="R16" s="7">
        <f t="shared" si="0"/>
        <v>-5.184040180380169</v>
      </c>
    </row>
    <row r="17" spans="1:18" x14ac:dyDescent="0.25">
      <c r="A17">
        <v>5000</v>
      </c>
      <c r="B17" s="5">
        <v>158366.17898299999</v>
      </c>
      <c r="C17">
        <v>158360.67763600001</v>
      </c>
      <c r="D17">
        <v>158363.28355299999</v>
      </c>
      <c r="E17">
        <v>158239.53592900001</v>
      </c>
      <c r="F17">
        <v>158054.478015</v>
      </c>
      <c r="G17">
        <v>157684.35164099999</v>
      </c>
      <c r="H17">
        <v>154722.83447900001</v>
      </c>
      <c r="I17">
        <v>151019.672785</v>
      </c>
      <c r="K17" s="6">
        <f t="shared" si="1"/>
        <v>0</v>
      </c>
      <c r="L17" s="7">
        <f t="shared" si="0"/>
        <v>-3.4738143177487531E-3</v>
      </c>
      <c r="M17" s="7">
        <f t="shared" si="0"/>
        <v>-1.8283133549082719E-3</v>
      </c>
      <c r="N17" s="7">
        <f t="shared" si="0"/>
        <v>-7.9968497575217887E-2</v>
      </c>
      <c r="O17" s="7">
        <f t="shared" si="0"/>
        <v>-0.196822939090707</v>
      </c>
      <c r="P17" s="7">
        <f t="shared" si="0"/>
        <v>-0.43053848137183115</v>
      </c>
      <c r="Q17" s="7">
        <f t="shared" si="0"/>
        <v>-2.3005824396325671</v>
      </c>
      <c r="R17" s="7">
        <f t="shared" si="0"/>
        <v>-4.6389363216173871</v>
      </c>
    </row>
    <row r="19" spans="1:18" x14ac:dyDescent="0.25">
      <c r="B19" t="s">
        <v>18</v>
      </c>
      <c r="C19" s="4"/>
      <c r="D19" s="4"/>
      <c r="E19" s="4"/>
      <c r="F19" s="4"/>
      <c r="G19" s="4"/>
      <c r="H19" s="4"/>
      <c r="I19" s="4"/>
    </row>
    <row r="20" spans="1:18" x14ac:dyDescent="0.25">
      <c r="C20" s="4"/>
      <c r="D20" s="4"/>
      <c r="E20" s="4"/>
      <c r="F20" s="4"/>
      <c r="G20" s="4"/>
      <c r="H20" s="4"/>
      <c r="I20" s="4"/>
      <c r="K20" t="s">
        <v>17</v>
      </c>
    </row>
    <row r="21" spans="1:18" x14ac:dyDescent="0.25">
      <c r="C21" s="4"/>
      <c r="D21" s="4"/>
      <c r="E21" s="4"/>
      <c r="F21" s="4"/>
      <c r="G21" s="4"/>
      <c r="H21" s="4"/>
      <c r="I21" s="4"/>
    </row>
    <row r="22" spans="1:18" x14ac:dyDescent="0.25">
      <c r="C22" s="4"/>
      <c r="D22" s="4"/>
      <c r="E22" s="4"/>
      <c r="F22" s="4"/>
      <c r="G22" s="4"/>
      <c r="H22" s="4"/>
      <c r="I22" s="4"/>
    </row>
    <row r="23" spans="1:18" x14ac:dyDescent="0.25">
      <c r="C23" s="4"/>
      <c r="D23" s="4"/>
      <c r="E23" s="4"/>
      <c r="F23" s="4"/>
      <c r="G23" s="4"/>
      <c r="H23" s="4"/>
      <c r="I23" s="4"/>
    </row>
    <row r="24" spans="1:18" x14ac:dyDescent="0.25">
      <c r="C24" s="4"/>
      <c r="D24" s="4"/>
      <c r="E24" s="4"/>
      <c r="F24" s="4"/>
      <c r="G24" s="4"/>
      <c r="H24" s="4"/>
      <c r="I24" s="4"/>
    </row>
    <row r="25" spans="1:18" x14ac:dyDescent="0.25">
      <c r="C25" s="4"/>
      <c r="D25" s="4"/>
      <c r="E25" s="4"/>
      <c r="F25" s="4"/>
      <c r="G25" s="4"/>
      <c r="H25" s="4"/>
      <c r="I25" s="4"/>
    </row>
    <row r="26" spans="1:18" x14ac:dyDescent="0.25">
      <c r="C26" s="4"/>
      <c r="D26" s="4"/>
      <c r="E26" s="4"/>
      <c r="F26" s="4"/>
      <c r="G26" s="4"/>
      <c r="H26" s="4"/>
      <c r="I26" s="4"/>
    </row>
    <row r="27" spans="1:18" x14ac:dyDescent="0.25">
      <c r="C27" s="4"/>
      <c r="D27" s="4"/>
      <c r="E27" s="4"/>
      <c r="F27" s="4"/>
      <c r="G27" s="4"/>
      <c r="H27" s="4"/>
      <c r="I27" s="4"/>
    </row>
    <row r="28" spans="1:18" x14ac:dyDescent="0.25">
      <c r="C28" s="4"/>
      <c r="D28" s="4"/>
      <c r="E28" s="4"/>
      <c r="F28" s="4"/>
      <c r="G28" s="4"/>
      <c r="H28" s="4"/>
      <c r="I28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ERYA-Bulk</dc:creator>
  <cp:lastModifiedBy>jdc</cp:lastModifiedBy>
  <cp:revision>0</cp:revision>
  <dcterms:created xsi:type="dcterms:W3CDTF">2018-09-20T12:06:30Z</dcterms:created>
  <dcterms:modified xsi:type="dcterms:W3CDTF">2018-09-21T16:42:19Z</dcterms:modified>
</cp:coreProperties>
</file>