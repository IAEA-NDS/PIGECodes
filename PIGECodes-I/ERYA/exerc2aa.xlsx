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dc\Desktop\ERYA-exercicio\IAEA\"/>
    </mc:Choice>
  </mc:AlternateContent>
  <bookViews>
    <workbookView xWindow="0" yWindow="0" windowWidth="19200" windowHeight="762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K11" i="1" l="1"/>
  <c r="K12" i="1"/>
  <c r="K13" i="1"/>
  <c r="K14" i="1"/>
  <c r="K15" i="1"/>
  <c r="K16" i="1"/>
  <c r="K17" i="1"/>
  <c r="K10" i="1"/>
  <c r="K9" i="1"/>
  <c r="G14" i="1"/>
  <c r="G11" i="1"/>
  <c r="G12" i="1"/>
  <c r="G13" i="1"/>
  <c r="G15" i="1"/>
  <c r="G16" i="1"/>
  <c r="G17" i="1"/>
  <c r="G10" i="1"/>
  <c r="J10" i="1" l="1"/>
  <c r="J11" i="1"/>
  <c r="J12" i="1"/>
  <c r="J13" i="1"/>
  <c r="J14" i="1"/>
  <c r="J15" i="1"/>
  <c r="J16" i="1"/>
  <c r="J17" i="1"/>
  <c r="J9" i="1"/>
  <c r="F11" i="1"/>
  <c r="F10" i="1"/>
  <c r="F12" i="1"/>
  <c r="F13" i="1"/>
  <c r="F14" i="1"/>
  <c r="F15" i="1"/>
  <c r="F16" i="1"/>
  <c r="F17" i="1"/>
  <c r="F9" i="1"/>
</calcChain>
</file>

<file path=xl/sharedStrings.xml><?xml version="1.0" encoding="utf-8"?>
<sst xmlns="http://schemas.openxmlformats.org/spreadsheetml/2006/main" count="44" uniqueCount="40">
  <si>
    <t>Element</t>
  </si>
  <si>
    <t>Gamma Peak</t>
  </si>
  <si>
    <t>Fit</t>
  </si>
  <si>
    <t>Fixed Ratio Group</t>
  </si>
  <si>
    <t>Calibration Parameter</t>
  </si>
  <si>
    <t>Stoichiometric Guess</t>
  </si>
  <si>
    <t>Yield Guess</t>
  </si>
  <si>
    <t>Yield Experimental</t>
  </si>
  <si>
    <t>Yield Fitted</t>
  </si>
  <si>
    <t>Stoichiometric Fitted</t>
  </si>
  <si>
    <t>Stoichiometric Mass</t>
  </si>
  <si>
    <t>Stoichiometric Error</t>
  </si>
  <si>
    <t>10B_sample2a</t>
  </si>
  <si>
    <t>16O</t>
  </si>
  <si>
    <t>Fe</t>
  </si>
  <si>
    <t>Emin(keV)=</t>
  </si>
  <si>
    <t>Emax(keV)=</t>
  </si>
  <si>
    <t>Step(keV)=</t>
  </si>
  <si>
    <t>Detector Calibration</t>
  </si>
  <si>
    <t>Charge(uC)=</t>
  </si>
  <si>
    <t>Thickness(ug/cm2)=</t>
  </si>
  <si>
    <t>Number Iterations=</t>
  </si>
  <si>
    <t>Maximum Iterations=</t>
  </si>
  <si>
    <t>Successful Fitting?</t>
  </si>
  <si>
    <t>Initial Damping=</t>
  </si>
  <si>
    <t>Yield Precision=</t>
  </si>
  <si>
    <t>Stoichiometry Precision=</t>
  </si>
  <si>
    <t>Energy (keV)</t>
  </si>
  <si>
    <t>Yield 10B_sample2a (429 keV)</t>
  </si>
  <si>
    <t>Yield 16O (0 keV)</t>
  </si>
  <si>
    <t>Yield Fe (0 keV)</t>
  </si>
  <si>
    <t>Effic HPGE</t>
  </si>
  <si>
    <t>Y / Counts/uC/sr</t>
  </si>
  <si>
    <t>ERYA BULK</t>
  </si>
  <si>
    <t>(no straggling)</t>
  </si>
  <si>
    <t>10B_sample2a (429 keV)</t>
  </si>
  <si>
    <t>ERYA PROFILING</t>
  </si>
  <si>
    <t>with straggling and 3 keV beam resolution</t>
  </si>
  <si>
    <t>NO STRAGGLING</t>
  </si>
  <si>
    <t>WITH STRAGGLING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</si>
</sst>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name val="Calibri"/>
      <family val="2"/>
    </font>
    <font>
      <sz val="12"/>
      <color theme="0"/>
      <name val="Calibri"/>
      <family val="2"/>
    </font>
    <font>
      <b/>
      <sz val="12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Border="1"/>
    <xf numFmtId="0" fontId="0" fillId="2" borderId="0" xfId="0" applyFill="1" applyBorder="1"/>
    <xf numFmtId="0" fontId="2" fillId="3" borderId="3" xfId="0" applyFont="1" applyFill="1" applyBorder="1"/>
    <xf numFmtId="0" fontId="0" fillId="0" borderId="4" xfId="0" applyBorder="1"/>
    <xf numFmtId="0" fontId="0" fillId="2" borderId="4" xfId="0" applyFill="1" applyBorder="1"/>
    <xf numFmtId="0" fontId="0" fillId="0" borderId="6" xfId="0" applyBorder="1"/>
    <xf numFmtId="0" fontId="0" fillId="0" borderId="2" xfId="0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tabSelected="1" topLeftCell="F4" workbookViewId="0">
      <selection activeCell="L16" sqref="L16"/>
    </sheetView>
  </sheetViews>
  <sheetFormatPr defaultColWidth="21" defaultRowHeight="15.75" x14ac:dyDescent="0.25"/>
  <cols>
    <col min="2" max="2" width="26.125" bestFit="1" customWidth="1"/>
    <col min="3" max="3" width="18.375" bestFit="1" customWidth="1"/>
    <col min="4" max="4" width="15.375" bestFit="1" customWidth="1"/>
    <col min="7" max="7" width="17.5" bestFit="1" customWidth="1"/>
    <col min="8" max="8" width="21.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429</v>
      </c>
      <c r="C2" t="b">
        <v>0</v>
      </c>
      <c r="E2">
        <v>1</v>
      </c>
      <c r="F2">
        <v>0.1</v>
      </c>
      <c r="G2">
        <v>15290.592769000001</v>
      </c>
      <c r="I2">
        <v>15290.592769000001</v>
      </c>
      <c r="J2">
        <v>0.1</v>
      </c>
      <c r="K2">
        <v>2.8347000000000001E-2</v>
      </c>
      <c r="L2">
        <v>0</v>
      </c>
    </row>
    <row r="3" spans="1:12" x14ac:dyDescent="0.25">
      <c r="A3" t="s">
        <v>13</v>
      </c>
      <c r="B3">
        <v>0</v>
      </c>
      <c r="C3" t="b">
        <v>0</v>
      </c>
      <c r="E3">
        <v>1</v>
      </c>
      <c r="F3">
        <v>0.4</v>
      </c>
      <c r="G3">
        <v>0</v>
      </c>
      <c r="I3">
        <v>0</v>
      </c>
      <c r="J3">
        <v>0.4</v>
      </c>
      <c r="K3">
        <v>0.18112900000000001</v>
      </c>
      <c r="L3">
        <v>0</v>
      </c>
    </row>
    <row r="4" spans="1:12" x14ac:dyDescent="0.25">
      <c r="A4" t="s">
        <v>14</v>
      </c>
      <c r="B4">
        <v>0</v>
      </c>
      <c r="C4" t="b">
        <v>0</v>
      </c>
      <c r="E4">
        <v>1</v>
      </c>
      <c r="F4">
        <v>0.5</v>
      </c>
      <c r="G4">
        <v>0</v>
      </c>
      <c r="I4">
        <v>0</v>
      </c>
      <c r="J4">
        <v>0.5</v>
      </c>
      <c r="K4">
        <v>0.790524</v>
      </c>
      <c r="L4">
        <v>0</v>
      </c>
    </row>
    <row r="5" spans="1:12" x14ac:dyDescent="0.25">
      <c r="A5" t="s">
        <v>15</v>
      </c>
      <c r="B5">
        <v>3000</v>
      </c>
      <c r="C5" t="s">
        <v>16</v>
      </c>
      <c r="D5">
        <v>3800</v>
      </c>
      <c r="E5" t="s">
        <v>17</v>
      </c>
      <c r="F5">
        <v>1</v>
      </c>
      <c r="G5" t="s">
        <v>18</v>
      </c>
      <c r="H5">
        <v>100</v>
      </c>
      <c r="I5" t="s">
        <v>19</v>
      </c>
      <c r="J5">
        <v>1</v>
      </c>
      <c r="K5" t="s">
        <v>20</v>
      </c>
      <c r="L5">
        <v>0</v>
      </c>
    </row>
    <row r="6" spans="1:12" x14ac:dyDescent="0.25">
      <c r="A6" t="s">
        <v>21</v>
      </c>
      <c r="B6">
        <v>0</v>
      </c>
      <c r="C6" t="s">
        <v>22</v>
      </c>
      <c r="D6">
        <v>100</v>
      </c>
      <c r="E6" t="s">
        <v>23</v>
      </c>
      <c r="F6" t="b">
        <v>1</v>
      </c>
      <c r="G6" t="s">
        <v>24</v>
      </c>
      <c r="H6">
        <v>1E-3</v>
      </c>
      <c r="I6" t="s">
        <v>25</v>
      </c>
      <c r="J6">
        <v>1E-3</v>
      </c>
      <c r="K6" t="s">
        <v>26</v>
      </c>
      <c r="L6">
        <v>1E-3</v>
      </c>
    </row>
    <row r="7" spans="1:12" ht="16.5" thickBot="1" x14ac:dyDescent="0.3">
      <c r="F7" s="14" t="s">
        <v>38</v>
      </c>
      <c r="G7" s="14" t="s">
        <v>38</v>
      </c>
      <c r="J7" s="14" t="s">
        <v>39</v>
      </c>
      <c r="K7" s="14" t="s">
        <v>39</v>
      </c>
    </row>
    <row r="8" spans="1:12" x14ac:dyDescent="0.25">
      <c r="A8" t="s">
        <v>27</v>
      </c>
      <c r="B8" s="9" t="s">
        <v>28</v>
      </c>
      <c r="C8" s="1" t="s">
        <v>29</v>
      </c>
      <c r="D8" s="1" t="s">
        <v>30</v>
      </c>
      <c r="E8" s="1" t="s">
        <v>31</v>
      </c>
      <c r="F8" s="2" t="s">
        <v>32</v>
      </c>
      <c r="G8" s="3"/>
      <c r="H8" s="9" t="s">
        <v>35</v>
      </c>
      <c r="I8" s="1" t="s">
        <v>31</v>
      </c>
      <c r="J8" s="2" t="s">
        <v>32</v>
      </c>
      <c r="K8" s="3"/>
    </row>
    <row r="9" spans="1:12" x14ac:dyDescent="0.25">
      <c r="A9">
        <v>3000</v>
      </c>
      <c r="B9" s="13">
        <v>0</v>
      </c>
      <c r="C9" s="4">
        <v>0</v>
      </c>
      <c r="D9" s="4">
        <v>0</v>
      </c>
      <c r="E9" s="4">
        <v>1.0560999999999999E-2</v>
      </c>
      <c r="F9" s="5">
        <f>B9/(E9*4*PI())</f>
        <v>0</v>
      </c>
      <c r="G9" s="6">
        <v>23780</v>
      </c>
      <c r="H9" s="13">
        <v>46.458978000000002</v>
      </c>
      <c r="I9" s="4">
        <v>1.0560999999999999E-2</v>
      </c>
      <c r="J9" s="5">
        <f>H9/(I9*4*PI())</f>
        <v>350.06987973192025</v>
      </c>
      <c r="K9" s="6">
        <f>J9+23780</f>
        <v>24130.06987973192</v>
      </c>
    </row>
    <row r="10" spans="1:12" x14ac:dyDescent="0.25">
      <c r="A10">
        <v>3100</v>
      </c>
      <c r="B10" s="13">
        <v>2775.2388340000002</v>
      </c>
      <c r="C10" s="4">
        <v>0</v>
      </c>
      <c r="D10" s="4">
        <v>0</v>
      </c>
      <c r="E10" s="4">
        <v>1.0560999999999999E-2</v>
      </c>
      <c r="F10" s="5">
        <f t="shared" ref="F10:F17" si="0">B10/(E10*4*PI())</f>
        <v>20911.513052347698</v>
      </c>
      <c r="G10" s="6">
        <f>F10+$G$9</f>
        <v>44691.513052347698</v>
      </c>
      <c r="H10" s="13">
        <v>2730.341754</v>
      </c>
      <c r="I10" s="4">
        <v>1.0560999999999999E-2</v>
      </c>
      <c r="J10" s="5">
        <f t="shared" ref="J10:J17" si="1">H10/(I10*4*PI())</f>
        <v>20573.212123818568</v>
      </c>
      <c r="K10" s="6">
        <f>J10+$K$9</f>
        <v>44703.282003550485</v>
      </c>
    </row>
    <row r="11" spans="1:12" x14ac:dyDescent="0.25">
      <c r="A11">
        <v>3200</v>
      </c>
      <c r="B11" s="13">
        <v>5313.4975880000002</v>
      </c>
      <c r="C11" s="4">
        <v>0</v>
      </c>
      <c r="D11" s="4">
        <v>0</v>
      </c>
      <c r="E11" s="4">
        <v>1.0560999999999999E-2</v>
      </c>
      <c r="F11" s="5">
        <f>B11/(E11*4*PI())</f>
        <v>40037.373650083486</v>
      </c>
      <c r="G11" s="6">
        <f t="shared" ref="G11:G17" si="2">F11+$G$9</f>
        <v>63817.373650083486</v>
      </c>
      <c r="H11" s="13">
        <v>5269.3559379999997</v>
      </c>
      <c r="I11" s="4">
        <v>1.0560999999999999E-2</v>
      </c>
      <c r="J11" s="5">
        <f t="shared" si="1"/>
        <v>39704.764910677535</v>
      </c>
      <c r="K11" s="6">
        <f t="shared" ref="K11:K17" si="3">J11+$K$9</f>
        <v>63834.834790409455</v>
      </c>
    </row>
    <row r="12" spans="1:12" x14ac:dyDescent="0.25">
      <c r="A12">
        <v>3300</v>
      </c>
      <c r="B12" s="13">
        <v>7513.293326</v>
      </c>
      <c r="C12" s="4">
        <v>0</v>
      </c>
      <c r="D12" s="4">
        <v>0</v>
      </c>
      <c r="E12" s="4">
        <v>1.0560999999999999E-2</v>
      </c>
      <c r="F12" s="5">
        <f t="shared" si="0"/>
        <v>56612.904636504463</v>
      </c>
      <c r="G12" s="6">
        <f t="shared" si="2"/>
        <v>80392.904636504463</v>
      </c>
      <c r="H12" s="13">
        <v>7483.4552240000003</v>
      </c>
      <c r="I12" s="4">
        <v>1.0560999999999999E-2</v>
      </c>
      <c r="J12" s="5">
        <f t="shared" si="1"/>
        <v>56388.073587087732</v>
      </c>
      <c r="K12" s="6">
        <f t="shared" si="3"/>
        <v>80518.14346681966</v>
      </c>
    </row>
    <row r="13" spans="1:12" x14ac:dyDescent="0.25">
      <c r="A13">
        <v>3400</v>
      </c>
      <c r="B13" s="13">
        <v>9363.1098029999994</v>
      </c>
      <c r="C13" s="4">
        <v>0</v>
      </c>
      <c r="D13" s="4">
        <v>0</v>
      </c>
      <c r="E13" s="4">
        <v>1.0560999999999999E-2</v>
      </c>
      <c r="F13" s="5">
        <f t="shared" si="0"/>
        <v>70551.330738549019</v>
      </c>
      <c r="G13" s="6">
        <f t="shared" si="2"/>
        <v>94331.330738549019</v>
      </c>
      <c r="H13" s="13">
        <v>9340.0464539999994</v>
      </c>
      <c r="I13" s="4">
        <v>1.0560999999999999E-2</v>
      </c>
      <c r="J13" s="5">
        <f t="shared" si="1"/>
        <v>70377.547668877422</v>
      </c>
      <c r="K13" s="6">
        <f t="shared" si="3"/>
        <v>94507.617548609342</v>
      </c>
    </row>
    <row r="14" spans="1:12" x14ac:dyDescent="0.25">
      <c r="A14">
        <v>3500</v>
      </c>
      <c r="B14" s="13">
        <v>10993.529461</v>
      </c>
      <c r="C14" s="4">
        <v>0</v>
      </c>
      <c r="D14" s="4">
        <v>0</v>
      </c>
      <c r="E14" s="4">
        <v>1.0560999999999999E-2</v>
      </c>
      <c r="F14" s="5">
        <f t="shared" si="0"/>
        <v>82836.594817940073</v>
      </c>
      <c r="G14" s="6">
        <f>F14+$G$9</f>
        <v>106616.59481794007</v>
      </c>
      <c r="H14" s="13">
        <v>10970.188532</v>
      </c>
      <c r="I14" s="4">
        <v>1.0560999999999999E-2</v>
      </c>
      <c r="J14" s="5">
        <f t="shared" si="1"/>
        <v>82660.720174122864</v>
      </c>
      <c r="K14" s="6">
        <f t="shared" si="3"/>
        <v>106790.79005385478</v>
      </c>
    </row>
    <row r="15" spans="1:12" x14ac:dyDescent="0.25">
      <c r="A15">
        <v>3600</v>
      </c>
      <c r="B15" s="13">
        <v>12516.005294000001</v>
      </c>
      <c r="C15" s="4">
        <v>0</v>
      </c>
      <c r="D15" s="4">
        <v>0</v>
      </c>
      <c r="E15" s="4">
        <v>1.0560999999999999E-2</v>
      </c>
      <c r="F15" s="5">
        <f t="shared" si="0"/>
        <v>94308.498736124951</v>
      </c>
      <c r="G15" s="6">
        <f t="shared" si="2"/>
        <v>118088.49873612495</v>
      </c>
      <c r="H15" s="13">
        <v>12490.428731</v>
      </c>
      <c r="I15" s="4">
        <v>1.0560999999999999E-2</v>
      </c>
      <c r="J15" s="5">
        <f t="shared" si="1"/>
        <v>94115.7785188751</v>
      </c>
      <c r="K15" s="6">
        <f t="shared" si="3"/>
        <v>118245.84839860702</v>
      </c>
    </row>
    <row r="16" spans="1:12" x14ac:dyDescent="0.25">
      <c r="A16">
        <v>3700</v>
      </c>
      <c r="B16" s="13">
        <v>13919.751700999999</v>
      </c>
      <c r="C16" s="4">
        <v>0</v>
      </c>
      <c r="D16" s="4">
        <v>0</v>
      </c>
      <c r="E16" s="4">
        <v>1.0560999999999999E-2</v>
      </c>
      <c r="F16" s="5">
        <f t="shared" si="0"/>
        <v>104885.77264586538</v>
      </c>
      <c r="G16" s="6">
        <f t="shared" si="2"/>
        <v>128665.77264586538</v>
      </c>
      <c r="H16" s="13">
        <v>13901.022940000001</v>
      </c>
      <c r="I16" s="4">
        <v>1.0560999999999999E-2</v>
      </c>
      <c r="J16" s="5">
        <f t="shared" si="1"/>
        <v>104744.65083490351</v>
      </c>
      <c r="K16" s="6">
        <f t="shared" si="3"/>
        <v>128874.72071463543</v>
      </c>
    </row>
    <row r="17" spans="1:11" ht="16.5" thickBot="1" x14ac:dyDescent="0.3">
      <c r="A17">
        <v>3800</v>
      </c>
      <c r="B17" s="11">
        <v>15290.592769000001</v>
      </c>
      <c r="C17" s="7">
        <v>0</v>
      </c>
      <c r="D17" s="7">
        <v>0</v>
      </c>
      <c r="E17" s="7">
        <v>1.0560999999999999E-2</v>
      </c>
      <c r="F17" s="8">
        <f t="shared" si="0"/>
        <v>115215.10377765087</v>
      </c>
      <c r="G17" s="6">
        <f t="shared" si="2"/>
        <v>138995.10377765086</v>
      </c>
      <c r="H17" s="11">
        <v>15280.191577</v>
      </c>
      <c r="I17" s="7">
        <v>1.0560999999999999E-2</v>
      </c>
      <c r="J17" s="8">
        <f t="shared" si="1"/>
        <v>115136.7304644775</v>
      </c>
      <c r="K17" s="6">
        <f t="shared" si="3"/>
        <v>139266.80034420942</v>
      </c>
    </row>
    <row r="18" spans="1:11" x14ac:dyDescent="0.25">
      <c r="B18" s="9" t="s">
        <v>33</v>
      </c>
      <c r="C18" s="1"/>
      <c r="D18" s="1"/>
      <c r="E18" s="1"/>
      <c r="F18" s="1"/>
      <c r="G18" s="10"/>
      <c r="H18" s="9" t="s">
        <v>36</v>
      </c>
      <c r="I18" s="1"/>
      <c r="J18" s="1"/>
      <c r="K18" s="10"/>
    </row>
    <row r="19" spans="1:11" ht="16.5" thickBot="1" x14ac:dyDescent="0.3">
      <c r="B19" s="11" t="s">
        <v>34</v>
      </c>
      <c r="C19" s="7"/>
      <c r="D19" s="7"/>
      <c r="E19" s="7"/>
      <c r="F19" s="7"/>
      <c r="G19" s="12"/>
      <c r="H19" s="11" t="s">
        <v>37</v>
      </c>
      <c r="I19" s="7"/>
      <c r="J19" s="7"/>
      <c r="K19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ERYA-Bulk</dc:creator>
  <cp:lastModifiedBy>jdc</cp:lastModifiedBy>
  <cp:revision>0</cp:revision>
  <dcterms:created xsi:type="dcterms:W3CDTF">2018-09-25T14:29:10Z</dcterms:created>
  <dcterms:modified xsi:type="dcterms:W3CDTF">2018-09-28T11:17:35Z</dcterms:modified>
</cp:coreProperties>
</file>