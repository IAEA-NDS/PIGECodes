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dc\Desktop\ERYA-exercicio\IAEA\"/>
    </mc:Choice>
  </mc:AlternateContent>
  <bookViews>
    <workbookView xWindow="0" yWindow="0" windowWidth="13530" windowHeight="4635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J11" i="1" l="1"/>
  <c r="J12" i="1"/>
  <c r="J13" i="1"/>
  <c r="J14" i="1"/>
  <c r="J15" i="1"/>
  <c r="J16" i="1"/>
  <c r="J17" i="1"/>
  <c r="J18" i="1"/>
  <c r="J19" i="1"/>
  <c r="J10" i="1"/>
  <c r="I10" i="1"/>
  <c r="I11" i="1"/>
  <c r="I12" i="1"/>
  <c r="I13" i="1"/>
  <c r="I14" i="1"/>
  <c r="I15" i="1"/>
  <c r="I16" i="1"/>
  <c r="I17" i="1"/>
  <c r="I18" i="1"/>
  <c r="I19" i="1"/>
  <c r="I9" i="1"/>
  <c r="F10" i="1" l="1"/>
  <c r="F11" i="1"/>
  <c r="F12" i="1"/>
  <c r="F13" i="1"/>
  <c r="F14" i="1"/>
  <c r="F15" i="1"/>
  <c r="F16" i="1"/>
  <c r="F17" i="1"/>
  <c r="F18" i="1"/>
  <c r="F19" i="1"/>
  <c r="F9" i="1"/>
</calcChain>
</file>

<file path=xl/sharedStrings.xml><?xml version="1.0" encoding="utf-8"?>
<sst xmlns="http://schemas.openxmlformats.org/spreadsheetml/2006/main" count="43" uniqueCount="41">
  <si>
    <t>Element</t>
  </si>
  <si>
    <t>Gamma Peak</t>
  </si>
  <si>
    <t>Fit</t>
  </si>
  <si>
    <t>Fixed Ratio Group</t>
  </si>
  <si>
    <t>Calibration Parameter</t>
  </si>
  <si>
    <t>Stoichiometric Guess</t>
  </si>
  <si>
    <t>Yield Guess</t>
  </si>
  <si>
    <t>Yield Experimental</t>
  </si>
  <si>
    <t>Yield Fitted</t>
  </si>
  <si>
    <t>Stoichiometric Fitted</t>
  </si>
  <si>
    <t>Stoichiometric Mass</t>
  </si>
  <si>
    <t>Stoichiometric Error</t>
  </si>
  <si>
    <t>10B_sample1ab</t>
  </si>
  <si>
    <t>16O</t>
  </si>
  <si>
    <t>Fe</t>
  </si>
  <si>
    <t>Emin(keV)=</t>
  </si>
  <si>
    <t>Emax(keV)=</t>
  </si>
  <si>
    <t>Step(keV)=</t>
  </si>
  <si>
    <t>Detector Calibration</t>
  </si>
  <si>
    <t>Charge(uC)=</t>
  </si>
  <si>
    <t>Thickness(ug/cm2)=</t>
  </si>
  <si>
    <t>Number Iterations=</t>
  </si>
  <si>
    <t>Maximum Iterations=</t>
  </si>
  <si>
    <t>Successful Fitting?</t>
  </si>
  <si>
    <t>Initial Damping=</t>
  </si>
  <si>
    <t>Yield Precision=</t>
  </si>
  <si>
    <t>Stoichiometry Precision=</t>
  </si>
  <si>
    <t>Energy (keV)</t>
  </si>
  <si>
    <t>Yield 10B_sample1ab (718 keV)</t>
  </si>
  <si>
    <t>Yield 16O (0 keV)</t>
  </si>
  <si>
    <t>Yield Fe (0 keV)</t>
  </si>
  <si>
    <t>Effic HPGE</t>
  </si>
  <si>
    <t>Y / Counts/uC/sr</t>
  </si>
  <si>
    <t>10B_sample1ab (718 keV)</t>
  </si>
  <si>
    <t>ERYA BULK</t>
  </si>
  <si>
    <t>No straggling</t>
  </si>
  <si>
    <t>3 keV beam resolution</t>
  </si>
  <si>
    <t>Ratio</t>
  </si>
  <si>
    <t>ERYA PROFILING</t>
  </si>
  <si>
    <t>NO STRAGGLING</t>
  </si>
  <si>
    <t>WITH STRAGGLING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</si>
</sst>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2"/>
      <name val="Calibri"/>
      <family val="2"/>
    </font>
    <font>
      <b/>
      <sz val="12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-0.49998474074526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/>
    </xf>
    <xf numFmtId="2" fontId="0" fillId="2" borderId="2" xfId="0" applyNumberFormat="1" applyFill="1" applyBorder="1"/>
    <xf numFmtId="2" fontId="0" fillId="2" borderId="3" xfId="0" applyNumberFormat="1" applyFill="1" applyBorder="1"/>
    <xf numFmtId="0" fontId="0" fillId="0" borderId="1" xfId="0" applyBorder="1"/>
    <xf numFmtId="0" fontId="0" fillId="0" borderId="3" xfId="0" applyBorder="1"/>
    <xf numFmtId="0" fontId="0" fillId="0" borderId="1" xfId="0" applyBorder="1" applyAlignment="1">
      <alignment horizontal="right"/>
    </xf>
    <xf numFmtId="0" fontId="0" fillId="0" borderId="2" xfId="0" applyBorder="1"/>
    <xf numFmtId="164" fontId="0" fillId="0" borderId="2" xfId="0" applyNumberFormat="1" applyBorder="1"/>
    <xf numFmtId="164" fontId="0" fillId="0" borderId="3" xfId="0" applyNumberFormat="1" applyBorder="1"/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1"/>
  <sheetViews>
    <sheetView tabSelected="1" topLeftCell="D1" workbookViewId="0">
      <selection activeCell="G21" sqref="G21"/>
    </sheetView>
  </sheetViews>
  <sheetFormatPr defaultColWidth="21" defaultRowHeight="15.75" x14ac:dyDescent="0.25"/>
  <cols>
    <col min="5" max="5" width="18.875" bestFit="1" customWidth="1"/>
    <col min="7" max="7" width="22.5" bestFit="1" customWidth="1"/>
    <col min="8" max="8" width="16.125" bestFit="1" customWidth="1"/>
    <col min="10" max="10" width="17.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718</v>
      </c>
      <c r="C2" t="b">
        <v>0</v>
      </c>
      <c r="E2">
        <v>1</v>
      </c>
      <c r="F2">
        <v>0.1</v>
      </c>
      <c r="G2">
        <v>22030.056003000002</v>
      </c>
      <c r="I2">
        <v>22030.056003000002</v>
      </c>
      <c r="J2">
        <v>0.1</v>
      </c>
      <c r="K2">
        <v>2.8347000000000001E-2</v>
      </c>
      <c r="L2">
        <v>0</v>
      </c>
    </row>
    <row r="3" spans="1:12" x14ac:dyDescent="0.25">
      <c r="A3" t="s">
        <v>13</v>
      </c>
      <c r="B3">
        <v>0</v>
      </c>
      <c r="C3" t="b">
        <v>0</v>
      </c>
      <c r="E3">
        <v>1</v>
      </c>
      <c r="F3">
        <v>0.4</v>
      </c>
      <c r="G3">
        <v>0</v>
      </c>
      <c r="I3">
        <v>0</v>
      </c>
      <c r="J3">
        <v>0.4</v>
      </c>
      <c r="K3">
        <v>0.18112900000000001</v>
      </c>
      <c r="L3">
        <v>0</v>
      </c>
    </row>
    <row r="4" spans="1:12" x14ac:dyDescent="0.25">
      <c r="A4" t="s">
        <v>14</v>
      </c>
      <c r="B4">
        <v>0</v>
      </c>
      <c r="C4" t="b">
        <v>0</v>
      </c>
      <c r="E4">
        <v>1</v>
      </c>
      <c r="F4">
        <v>0.5</v>
      </c>
      <c r="G4">
        <v>0</v>
      </c>
      <c r="I4">
        <v>0</v>
      </c>
      <c r="J4">
        <v>0.5</v>
      </c>
      <c r="K4">
        <v>0.790524</v>
      </c>
      <c r="L4">
        <v>0</v>
      </c>
    </row>
    <row r="5" spans="1:12" x14ac:dyDescent="0.25">
      <c r="A5" t="s">
        <v>15</v>
      </c>
      <c r="B5">
        <v>3000</v>
      </c>
      <c r="C5" t="s">
        <v>16</v>
      </c>
      <c r="D5">
        <v>5000</v>
      </c>
      <c r="E5" t="s">
        <v>17</v>
      </c>
      <c r="F5">
        <v>1</v>
      </c>
      <c r="G5" t="s">
        <v>18</v>
      </c>
      <c r="H5">
        <v>200</v>
      </c>
      <c r="I5" t="s">
        <v>19</v>
      </c>
      <c r="J5">
        <v>1</v>
      </c>
      <c r="K5" t="s">
        <v>20</v>
      </c>
      <c r="L5">
        <v>0</v>
      </c>
    </row>
    <row r="6" spans="1:12" x14ac:dyDescent="0.25">
      <c r="A6" t="s">
        <v>21</v>
      </c>
      <c r="B6">
        <v>0</v>
      </c>
      <c r="C6" t="s">
        <v>22</v>
      </c>
      <c r="D6">
        <v>100</v>
      </c>
      <c r="E6" t="s">
        <v>23</v>
      </c>
      <c r="F6" t="b">
        <v>1</v>
      </c>
      <c r="G6" t="s">
        <v>24</v>
      </c>
      <c r="H6">
        <v>1E-3</v>
      </c>
      <c r="I6" t="s">
        <v>25</v>
      </c>
      <c r="J6">
        <v>1E-3</v>
      </c>
      <c r="K6" t="s">
        <v>26</v>
      </c>
      <c r="L6">
        <v>1E-3</v>
      </c>
    </row>
    <row r="7" spans="1:12" ht="16.5" thickBot="1" x14ac:dyDescent="0.3">
      <c r="F7" s="10" t="s">
        <v>39</v>
      </c>
      <c r="I7" s="10" t="s">
        <v>40</v>
      </c>
    </row>
    <row r="8" spans="1:12" x14ac:dyDescent="0.25">
      <c r="A8" t="s">
        <v>27</v>
      </c>
      <c r="B8" t="s">
        <v>28</v>
      </c>
      <c r="C8" t="s">
        <v>29</v>
      </c>
      <c r="D8" t="s">
        <v>30</v>
      </c>
      <c r="E8" t="s">
        <v>31</v>
      </c>
      <c r="F8" s="1" t="s">
        <v>32</v>
      </c>
      <c r="G8" t="s">
        <v>33</v>
      </c>
      <c r="H8" t="s">
        <v>31</v>
      </c>
      <c r="I8" s="1" t="s">
        <v>32</v>
      </c>
      <c r="J8" s="6" t="s">
        <v>37</v>
      </c>
    </row>
    <row r="9" spans="1:12" x14ac:dyDescent="0.25">
      <c r="A9">
        <v>3000</v>
      </c>
      <c r="B9">
        <v>0</v>
      </c>
      <c r="C9">
        <v>0</v>
      </c>
      <c r="D9">
        <v>0</v>
      </c>
      <c r="E9">
        <v>7.2430000000000003E-3</v>
      </c>
      <c r="F9" s="2">
        <f>B9/(E9*4*PI())</f>
        <v>0</v>
      </c>
      <c r="G9">
        <v>3.5220570000000002</v>
      </c>
      <c r="H9">
        <v>7.2430000000000003E-3</v>
      </c>
      <c r="I9" s="2">
        <f>G9/(H9*4*PI())</f>
        <v>38.696174333937016</v>
      </c>
      <c r="J9" s="7"/>
    </row>
    <row r="10" spans="1:12" x14ac:dyDescent="0.25">
      <c r="A10">
        <v>3200</v>
      </c>
      <c r="B10">
        <v>677.19174099999998</v>
      </c>
      <c r="C10">
        <v>0</v>
      </c>
      <c r="D10">
        <v>0</v>
      </c>
      <c r="E10">
        <v>7.2430000000000003E-3</v>
      </c>
      <c r="F10" s="2">
        <f t="shared" ref="F10:F19" si="0">B10/(E10*4*PI())</f>
        <v>7440.1776198506504</v>
      </c>
      <c r="G10">
        <v>670.19867899999997</v>
      </c>
      <c r="H10">
        <v>7.2430000000000003E-3</v>
      </c>
      <c r="I10" s="2">
        <f t="shared" ref="I10:I19" si="1">G10/(H10*4*PI())</f>
        <v>7363.3461698542333</v>
      </c>
      <c r="J10" s="8">
        <f>F10/I10</f>
        <v>1.0104343118229273</v>
      </c>
    </row>
    <row r="11" spans="1:12" x14ac:dyDescent="0.25">
      <c r="A11">
        <v>3400</v>
      </c>
      <c r="B11">
        <v>1505.4662390000001</v>
      </c>
      <c r="C11">
        <v>0</v>
      </c>
      <c r="D11">
        <v>0</v>
      </c>
      <c r="E11">
        <v>7.2430000000000003E-3</v>
      </c>
      <c r="F11" s="2">
        <f t="shared" si="0"/>
        <v>16540.27292522537</v>
      </c>
      <c r="G11">
        <v>1498.505676</v>
      </c>
      <c r="H11">
        <v>7.2430000000000003E-3</v>
      </c>
      <c r="I11" s="2">
        <f t="shared" si="1"/>
        <v>16463.798535597278</v>
      </c>
      <c r="J11" s="8">
        <f t="shared" ref="J11:J19" si="2">F11/I11</f>
        <v>1.0046450027594023</v>
      </c>
    </row>
    <row r="12" spans="1:12" x14ac:dyDescent="0.25">
      <c r="A12">
        <v>3600</v>
      </c>
      <c r="B12">
        <v>2560.4180080000001</v>
      </c>
      <c r="C12">
        <v>0</v>
      </c>
      <c r="D12">
        <v>0</v>
      </c>
      <c r="E12">
        <v>7.2430000000000003E-3</v>
      </c>
      <c r="F12" s="2">
        <f t="shared" si="0"/>
        <v>28130.828548578214</v>
      </c>
      <c r="G12">
        <v>2549.868958</v>
      </c>
      <c r="H12">
        <v>7.2430000000000003E-3</v>
      </c>
      <c r="I12" s="2">
        <f t="shared" si="1"/>
        <v>28014.92813076629</v>
      </c>
      <c r="J12" s="8">
        <f t="shared" si="2"/>
        <v>1.0041370949541948</v>
      </c>
    </row>
    <row r="13" spans="1:12" x14ac:dyDescent="0.25">
      <c r="A13">
        <v>3800</v>
      </c>
      <c r="B13">
        <v>3990.5015360000002</v>
      </c>
      <c r="C13">
        <v>0</v>
      </c>
      <c r="D13">
        <v>0</v>
      </c>
      <c r="E13">
        <v>7.2430000000000003E-3</v>
      </c>
      <c r="F13" s="2">
        <f t="shared" si="0"/>
        <v>43842.885880864349</v>
      </c>
      <c r="G13">
        <v>3976.8554869999998</v>
      </c>
      <c r="H13">
        <v>7.2430000000000003E-3</v>
      </c>
      <c r="I13" s="2">
        <f t="shared" si="1"/>
        <v>43692.959320597591</v>
      </c>
      <c r="J13" s="8">
        <f t="shared" si="2"/>
        <v>1.0034313665770878</v>
      </c>
    </row>
    <row r="14" spans="1:12" x14ac:dyDescent="0.25">
      <c r="A14">
        <v>4000</v>
      </c>
      <c r="B14">
        <v>6179.6744840000001</v>
      </c>
      <c r="C14">
        <v>0</v>
      </c>
      <c r="D14">
        <v>0</v>
      </c>
      <c r="E14">
        <v>7.2430000000000003E-3</v>
      </c>
      <c r="F14" s="2">
        <f t="shared" si="0"/>
        <v>67894.915147553344</v>
      </c>
      <c r="G14">
        <v>6156.1294010000001</v>
      </c>
      <c r="H14">
        <v>7.2430000000000003E-3</v>
      </c>
      <c r="I14" s="2">
        <f t="shared" si="1"/>
        <v>67636.229772366336</v>
      </c>
      <c r="J14" s="8">
        <f t="shared" si="2"/>
        <v>1.0038246569339779</v>
      </c>
    </row>
    <row r="15" spans="1:12" x14ac:dyDescent="0.25">
      <c r="A15">
        <v>4200</v>
      </c>
      <c r="B15">
        <v>9138.8410330000006</v>
      </c>
      <c r="C15">
        <v>0</v>
      </c>
      <c r="D15">
        <v>0</v>
      </c>
      <c r="E15">
        <v>7.2430000000000003E-3</v>
      </c>
      <c r="F15" s="2">
        <f t="shared" si="0"/>
        <v>100406.71852360852</v>
      </c>
      <c r="G15">
        <v>9115.0754250000009</v>
      </c>
      <c r="H15">
        <v>7.2430000000000003E-3</v>
      </c>
      <c r="I15" s="2">
        <f t="shared" si="1"/>
        <v>100145.6102819418</v>
      </c>
      <c r="J15" s="8">
        <f t="shared" si="2"/>
        <v>1.0026072859402586</v>
      </c>
    </row>
    <row r="16" spans="1:12" x14ac:dyDescent="0.25">
      <c r="A16">
        <v>4400</v>
      </c>
      <c r="B16">
        <v>12428.218874</v>
      </c>
      <c r="C16">
        <v>0</v>
      </c>
      <c r="D16">
        <v>0</v>
      </c>
      <c r="E16">
        <v>7.2430000000000003E-3</v>
      </c>
      <c r="F16" s="2">
        <f t="shared" si="0"/>
        <v>136546.49093090498</v>
      </c>
      <c r="G16">
        <v>12403.739769</v>
      </c>
      <c r="H16">
        <v>7.2430000000000003E-3</v>
      </c>
      <c r="I16" s="2">
        <f t="shared" si="1"/>
        <v>136277.54363260209</v>
      </c>
      <c r="J16" s="8">
        <f t="shared" si="2"/>
        <v>1.0019735261667759</v>
      </c>
    </row>
    <row r="17" spans="1:10" x14ac:dyDescent="0.25">
      <c r="A17">
        <v>4600</v>
      </c>
      <c r="B17">
        <v>15786.401662</v>
      </c>
      <c r="C17">
        <v>0</v>
      </c>
      <c r="D17">
        <v>0</v>
      </c>
      <c r="E17">
        <v>7.2430000000000003E-3</v>
      </c>
      <c r="F17" s="2">
        <f t="shared" si="0"/>
        <v>173442.21028174873</v>
      </c>
      <c r="G17">
        <v>15758.82733</v>
      </c>
      <c r="H17">
        <v>7.2430000000000003E-3</v>
      </c>
      <c r="I17" s="2">
        <f t="shared" si="1"/>
        <v>173139.25630961999</v>
      </c>
      <c r="J17" s="8">
        <f t="shared" si="2"/>
        <v>1.0017497705522482</v>
      </c>
    </row>
    <row r="18" spans="1:10" x14ac:dyDescent="0.25">
      <c r="A18">
        <v>4800</v>
      </c>
      <c r="B18">
        <v>19066.298297000001</v>
      </c>
      <c r="C18">
        <v>0</v>
      </c>
      <c r="D18">
        <v>0</v>
      </c>
      <c r="E18">
        <v>7.2430000000000003E-3</v>
      </c>
      <c r="F18" s="2">
        <f t="shared" si="0"/>
        <v>209477.81447136105</v>
      </c>
      <c r="G18">
        <v>19046.886193999999</v>
      </c>
      <c r="H18">
        <v>7.2430000000000003E-3</v>
      </c>
      <c r="I18" s="2">
        <f t="shared" si="1"/>
        <v>209264.53736600006</v>
      </c>
      <c r="J18" s="8">
        <f t="shared" si="2"/>
        <v>1.001019174620055</v>
      </c>
    </row>
    <row r="19" spans="1:10" ht="16.5" thickBot="1" x14ac:dyDescent="0.3">
      <c r="A19">
        <v>5000</v>
      </c>
      <c r="B19">
        <v>22030.056003000002</v>
      </c>
      <c r="C19">
        <v>0</v>
      </c>
      <c r="D19">
        <v>0</v>
      </c>
      <c r="E19">
        <v>7.2430000000000003E-3</v>
      </c>
      <c r="F19" s="3">
        <f t="shared" si="0"/>
        <v>242040.06002131247</v>
      </c>
      <c r="G19">
        <v>22005.473683</v>
      </c>
      <c r="H19">
        <v>7.2430000000000003E-3</v>
      </c>
      <c r="I19" s="3">
        <f t="shared" si="1"/>
        <v>241769.97871931971</v>
      </c>
      <c r="J19" s="9">
        <f t="shared" si="2"/>
        <v>1.0011171002430632</v>
      </c>
    </row>
    <row r="20" spans="1:10" x14ac:dyDescent="0.25">
      <c r="F20" s="4" t="s">
        <v>34</v>
      </c>
      <c r="I20" s="4" t="s">
        <v>38</v>
      </c>
    </row>
    <row r="21" spans="1:10" ht="16.5" thickBot="1" x14ac:dyDescent="0.3">
      <c r="F21" s="5" t="s">
        <v>35</v>
      </c>
      <c r="I21" s="5" t="s">
        <v>36</v>
      </c>
    </row>
  </sheetData>
  <pageMargins left="0.7" right="0.7" top="0.75" bottom="0.75" header="0.3" footer="0.3"/>
  <pageSetup paperSize="9" scale="4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ERYA-Bulk</dc:creator>
  <cp:lastModifiedBy>jdc</cp:lastModifiedBy>
  <cp:revision>0</cp:revision>
  <cp:lastPrinted>2018-09-25T08:52:56Z</cp:lastPrinted>
  <dcterms:created xsi:type="dcterms:W3CDTF">2018-09-22T18:47:46Z</dcterms:created>
  <dcterms:modified xsi:type="dcterms:W3CDTF">2018-09-26T08:01:42Z</dcterms:modified>
</cp:coreProperties>
</file>