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dc\Desktop\ERYA-exercicio\IAEA\"/>
    </mc:Choice>
  </mc:AlternateContent>
  <bookViews>
    <workbookView xWindow="0" yWindow="0" windowWidth="19200" windowHeight="762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K7" i="1" l="1"/>
  <c r="K17" i="1"/>
  <c r="K16" i="1"/>
  <c r="K15" i="1"/>
  <c r="K14" i="1"/>
  <c r="K13" i="1"/>
  <c r="K12" i="1"/>
  <c r="K11" i="1"/>
  <c r="K10" i="1"/>
  <c r="K9" i="1"/>
  <c r="K8" i="1"/>
  <c r="H8" i="1"/>
  <c r="H17" i="1"/>
  <c r="H9" i="1"/>
  <c r="H10" i="1"/>
  <c r="H11" i="1"/>
  <c r="H12" i="1"/>
  <c r="H13" i="1"/>
  <c r="H14" i="1"/>
  <c r="H15" i="1"/>
  <c r="H16" i="1"/>
  <c r="G17" i="1"/>
  <c r="G16" i="1"/>
  <c r="G15" i="1"/>
  <c r="G14" i="1"/>
  <c r="G13" i="1"/>
  <c r="G12" i="1"/>
  <c r="G11" i="1"/>
  <c r="G10" i="1"/>
  <c r="G9" i="1"/>
  <c r="G8" i="1"/>
  <c r="G7" i="1"/>
  <c r="D17" i="1" l="1"/>
  <c r="D7" i="1"/>
  <c r="D16" i="1"/>
  <c r="D15" i="1"/>
  <c r="D14" i="1"/>
  <c r="D13" i="1"/>
  <c r="D12" i="1"/>
  <c r="D11" i="1"/>
  <c r="D10" i="1"/>
  <c r="D9" i="1"/>
  <c r="D8" i="1"/>
</calcChain>
</file>

<file path=xl/sharedStrings.xml><?xml version="1.0" encoding="utf-8"?>
<sst xmlns="http://schemas.openxmlformats.org/spreadsheetml/2006/main" count="43" uniqueCount="36">
  <si>
    <t>Element</t>
  </si>
  <si>
    <t>Gamma Peak</t>
  </si>
  <si>
    <t>Fit</t>
  </si>
  <si>
    <t>Fixed Ratio Group</t>
  </si>
  <si>
    <t>Calibration Parameter</t>
  </si>
  <si>
    <t>Stoichiometric Guess</t>
  </si>
  <si>
    <t>Yield Guess</t>
  </si>
  <si>
    <t>Yield Experimental</t>
  </si>
  <si>
    <t>Yield Fitted</t>
  </si>
  <si>
    <t>Stoichiometric Fitted</t>
  </si>
  <si>
    <t>Stoichiometric Mass</t>
  </si>
  <si>
    <t>Stoichiometric Error</t>
  </si>
  <si>
    <t>10B_sample1ab</t>
  </si>
  <si>
    <t>Emin(keV)=</t>
  </si>
  <si>
    <t>Emax(keV)=</t>
  </si>
  <si>
    <t>Step(keV)=</t>
  </si>
  <si>
    <t>Detector Calibration</t>
  </si>
  <si>
    <t>Charge(uC)=</t>
  </si>
  <si>
    <t>Thickness(ug/cm2)=</t>
  </si>
  <si>
    <t>Number Iterations=</t>
  </si>
  <si>
    <t>Maximum Iterations=</t>
  </si>
  <si>
    <t>Successful Fitting?</t>
  </si>
  <si>
    <t>Initial Damping=</t>
  </si>
  <si>
    <t>Yield Precision=</t>
  </si>
  <si>
    <t>Stoichiometry Precision=</t>
  </si>
  <si>
    <t>Energy (keV)</t>
  </si>
  <si>
    <t>Yield 10B_sample1ab (718 keV)</t>
  </si>
  <si>
    <t>Effic HPGE</t>
  </si>
  <si>
    <t>Y / Counts/uC/sr</t>
  </si>
  <si>
    <t>ERYA BULK (no straggling)</t>
  </si>
  <si>
    <t>Ratio (strag/no-strag)</t>
  </si>
  <si>
    <t>2 keV beam resolution</t>
  </si>
  <si>
    <t>3 keV beam resolution</t>
  </si>
  <si>
    <t>ERYA PROFILING (straggling)</t>
  </si>
  <si>
    <t>NO STRAGGLING</t>
  </si>
  <si>
    <t>WITH STRAGGLING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</si>
</sst>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3" x14ac:knownFonts="1">
    <font>
      <sz val="12"/>
      <name val="Calibri"/>
      <family val="2"/>
    </font>
    <font>
      <sz val="11"/>
      <name val="Calibri"/>
      <family val="2"/>
    </font>
    <font>
      <b/>
      <sz val="12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2" borderId="3" xfId="0" applyFont="1" applyFill="1" applyBorder="1" applyAlignment="1">
      <alignment horizontal="center"/>
    </xf>
    <xf numFmtId="0" fontId="1" fillId="0" borderId="4" xfId="0" applyFont="1" applyBorder="1"/>
    <xf numFmtId="0" fontId="1" fillId="0" borderId="0" xfId="0" applyFont="1" applyBorder="1"/>
    <xf numFmtId="0" fontId="1" fillId="2" borderId="5" xfId="0" applyFont="1" applyFill="1" applyBorder="1"/>
    <xf numFmtId="164" fontId="1" fillId="0" borderId="0" xfId="0" applyNumberFormat="1" applyFont="1" applyAlignment="1">
      <alignment horizontal="center"/>
    </xf>
    <xf numFmtId="0" fontId="1" fillId="0" borderId="6" xfId="0" applyFont="1" applyBorder="1"/>
    <xf numFmtId="0" fontId="1" fillId="0" borderId="7" xfId="0" applyFont="1" applyBorder="1"/>
    <xf numFmtId="0" fontId="1" fillId="2" borderId="8" xfId="0" applyFont="1" applyFill="1" applyBorder="1"/>
    <xf numFmtId="0" fontId="1" fillId="0" borderId="8" xfId="0" applyFont="1" applyBorder="1"/>
    <xf numFmtId="0" fontId="1" fillId="0" borderId="5" xfId="0" applyFont="1" applyBorder="1"/>
    <xf numFmtId="0" fontId="2" fillId="3" borderId="0" xfId="0" applyFont="1" applyFill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5" xfId="0" applyFont="1" applyFill="1" applyBorder="1"/>
    <xf numFmtId="0" fontId="1" fillId="4" borderId="8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428810</xdr:colOff>
      <xdr:row>19</xdr:row>
      <xdr:rowOff>95249</xdr:rowOff>
    </xdr:from>
    <xdr:to>
      <xdr:col>4</xdr:col>
      <xdr:colOff>1553540</xdr:colOff>
      <xdr:row>40</xdr:row>
      <xdr:rowOff>684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5635" y="3752849"/>
          <a:ext cx="5506230" cy="39059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9"/>
  <sheetViews>
    <sheetView tabSelected="1" topLeftCell="C1" workbookViewId="0">
      <selection activeCell="K5" sqref="K5"/>
    </sheetView>
  </sheetViews>
  <sheetFormatPr defaultColWidth="21" defaultRowHeight="15" x14ac:dyDescent="0.25"/>
  <cols>
    <col min="1" max="1" width="16.625" style="1" bestFit="1" customWidth="1"/>
    <col min="2" max="2" width="25.125" style="1" bestFit="1" customWidth="1"/>
    <col min="3" max="3" width="17.625" style="1" bestFit="1" customWidth="1"/>
    <col min="4" max="4" width="14.75" style="1" bestFit="1" customWidth="1"/>
    <col min="5" max="5" width="25.125" style="1" bestFit="1" customWidth="1"/>
    <col min="6" max="6" width="17.375" style="1" hidden="1" customWidth="1"/>
    <col min="7" max="7" width="16.625" style="1" bestFit="1" customWidth="1"/>
    <col min="8" max="8" width="17.5" style="1" customWidth="1"/>
    <col min="9" max="9" width="25.125" style="1" bestFit="1" customWidth="1"/>
    <col min="10" max="10" width="17.75" style="1" hidden="1" customWidth="1"/>
    <col min="11" max="11" width="20.375" style="1" bestFit="1" customWidth="1"/>
    <col min="12" max="12" width="0" style="1" hidden="1" customWidth="1"/>
    <col min="13" max="16384" width="21" style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 t="s">
        <v>12</v>
      </c>
      <c r="B2" s="1">
        <v>718</v>
      </c>
      <c r="C2" s="1" t="b">
        <v>0</v>
      </c>
      <c r="E2" s="1">
        <v>1</v>
      </c>
      <c r="F2" s="1">
        <v>1</v>
      </c>
      <c r="G2" s="1">
        <v>556274.58578600001</v>
      </c>
      <c r="I2" s="1">
        <v>556274.58578600001</v>
      </c>
      <c r="J2" s="1">
        <v>1</v>
      </c>
      <c r="K2" s="1">
        <v>1</v>
      </c>
      <c r="L2" s="1">
        <v>0</v>
      </c>
    </row>
    <row r="3" spans="1:12" x14ac:dyDescent="0.25">
      <c r="A3" s="1" t="s">
        <v>13</v>
      </c>
      <c r="B3" s="1">
        <v>3000</v>
      </c>
      <c r="C3" s="1" t="s">
        <v>14</v>
      </c>
      <c r="D3" s="1">
        <v>5000</v>
      </c>
      <c r="E3" s="1" t="s">
        <v>15</v>
      </c>
      <c r="F3" s="1">
        <v>1</v>
      </c>
      <c r="G3" s="1" t="s">
        <v>16</v>
      </c>
      <c r="H3" s="1">
        <v>200</v>
      </c>
      <c r="I3" s="1" t="s">
        <v>17</v>
      </c>
      <c r="J3" s="1">
        <v>1</v>
      </c>
      <c r="K3" s="1" t="s">
        <v>18</v>
      </c>
      <c r="L3" s="1">
        <v>0</v>
      </c>
    </row>
    <row r="4" spans="1:12" x14ac:dyDescent="0.25">
      <c r="A4" s="1" t="s">
        <v>19</v>
      </c>
      <c r="B4" s="1">
        <v>0</v>
      </c>
      <c r="C4" s="1" t="s">
        <v>20</v>
      </c>
      <c r="D4" s="1">
        <v>100</v>
      </c>
      <c r="E4" s="1" t="s">
        <v>21</v>
      </c>
      <c r="F4" s="1" t="b">
        <v>1</v>
      </c>
      <c r="G4" s="1" t="s">
        <v>22</v>
      </c>
      <c r="H4" s="1">
        <v>1E-3</v>
      </c>
      <c r="I4" s="1" t="s">
        <v>23</v>
      </c>
      <c r="J4" s="1">
        <v>1E-3</v>
      </c>
      <c r="K4" s="1" t="s">
        <v>24</v>
      </c>
      <c r="L4" s="1">
        <v>1E-3</v>
      </c>
    </row>
    <row r="5" spans="1:12" ht="16.5" thickBot="1" x14ac:dyDescent="0.3">
      <c r="D5" s="14" t="s">
        <v>34</v>
      </c>
      <c r="K5" s="14" t="s">
        <v>35</v>
      </c>
    </row>
    <row r="6" spans="1:12" x14ac:dyDescent="0.25">
      <c r="A6" s="1" t="s">
        <v>25</v>
      </c>
      <c r="B6" s="2" t="s">
        <v>26</v>
      </c>
      <c r="C6" s="3" t="s">
        <v>27</v>
      </c>
      <c r="D6" s="4" t="s">
        <v>28</v>
      </c>
      <c r="E6" s="2" t="s">
        <v>26</v>
      </c>
      <c r="F6" s="3" t="s">
        <v>27</v>
      </c>
      <c r="G6" s="15" t="s">
        <v>28</v>
      </c>
      <c r="H6" s="1" t="s">
        <v>30</v>
      </c>
      <c r="I6" s="2" t="s">
        <v>26</v>
      </c>
      <c r="J6" s="3" t="s">
        <v>27</v>
      </c>
      <c r="K6" s="4" t="s">
        <v>28</v>
      </c>
    </row>
    <row r="7" spans="1:12" x14ac:dyDescent="0.25">
      <c r="A7" s="1">
        <v>3000</v>
      </c>
      <c r="B7" s="5">
        <v>0</v>
      </c>
      <c r="C7" s="6">
        <v>7.2430000000000003E-3</v>
      </c>
      <c r="D7" s="7">
        <f>B7/(C7*4*PI())</f>
        <v>0</v>
      </c>
      <c r="E7" s="5">
        <v>23.107544999999998</v>
      </c>
      <c r="F7" s="6">
        <v>7.2430000000000003E-3</v>
      </c>
      <c r="G7" s="16">
        <f>E7/(F7*4*PI())</f>
        <v>253.87822790752523</v>
      </c>
      <c r="I7" s="5">
        <v>35.220903</v>
      </c>
      <c r="J7" s="6">
        <v>7.2430000000000003E-3</v>
      </c>
      <c r="K7" s="7">
        <f>I7/(J7*4*PI())</f>
        <v>386.96540194740891</v>
      </c>
    </row>
    <row r="8" spans="1:12" x14ac:dyDescent="0.25">
      <c r="A8" s="1">
        <v>3200</v>
      </c>
      <c r="B8" s="5">
        <v>16746.891835999999</v>
      </c>
      <c r="C8" s="6">
        <v>7.2430000000000003E-3</v>
      </c>
      <c r="D8" s="7">
        <f>B8/(C8*4*PI())</f>
        <v>183994.93422095172</v>
      </c>
      <c r="E8" s="5">
        <v>16584.210024</v>
      </c>
      <c r="F8" s="6">
        <v>7.2430000000000003E-3</v>
      </c>
      <c r="G8" s="16">
        <f>E8/(F8*4*PI())</f>
        <v>182207.57991120807</v>
      </c>
      <c r="H8" s="8">
        <f>G8/D8</f>
        <v>0.9902858504376143</v>
      </c>
      <c r="I8" s="5">
        <v>16325.503720000001</v>
      </c>
      <c r="J8" s="6">
        <v>7.2430000000000003E-3</v>
      </c>
      <c r="K8" s="7">
        <f>I8/(J8*4*PI())</f>
        <v>179365.22266347686</v>
      </c>
    </row>
    <row r="9" spans="1:12" x14ac:dyDescent="0.25">
      <c r="A9" s="1">
        <v>3400</v>
      </c>
      <c r="B9" s="5">
        <v>37317.591199000002</v>
      </c>
      <c r="C9" s="6">
        <v>7.2430000000000003E-3</v>
      </c>
      <c r="D9" s="7">
        <f t="shared" ref="D9:D16" si="0">B9/(C9*4*PI())</f>
        <v>410001.31876318238</v>
      </c>
      <c r="E9" s="5">
        <v>37116.481961999998</v>
      </c>
      <c r="F9" s="6">
        <v>7.2430000000000003E-3</v>
      </c>
      <c r="G9" s="16">
        <f t="shared" ref="G9:G16" si="1">E9/(F9*4*PI())</f>
        <v>407791.76960054325</v>
      </c>
      <c r="H9" s="8">
        <f t="shared" ref="H9:H17" si="2">G9/D9</f>
        <v>0.99461087303498319</v>
      </c>
      <c r="I9" s="5">
        <v>36809.440262999997</v>
      </c>
      <c r="J9" s="6">
        <v>7.2430000000000003E-3</v>
      </c>
      <c r="K9" s="7">
        <f t="shared" ref="K9:K16" si="3">I9/(J9*4*PI())</f>
        <v>404418.3605068539</v>
      </c>
    </row>
    <row r="10" spans="1:12" x14ac:dyDescent="0.25">
      <c r="A10" s="1">
        <v>3600</v>
      </c>
      <c r="B10" s="5">
        <v>63623.612454000002</v>
      </c>
      <c r="C10" s="6">
        <v>7.2430000000000003E-3</v>
      </c>
      <c r="D10" s="7">
        <f t="shared" si="0"/>
        <v>699020.60053963645</v>
      </c>
      <c r="E10" s="5">
        <v>63352.022719000001</v>
      </c>
      <c r="F10" s="6">
        <v>7.2430000000000003E-3</v>
      </c>
      <c r="G10" s="16">
        <f t="shared" si="1"/>
        <v>696036.69547141413</v>
      </c>
      <c r="H10" s="8">
        <f t="shared" si="2"/>
        <v>0.99573130596448978</v>
      </c>
      <c r="I10" s="5">
        <v>62948.179340000002</v>
      </c>
      <c r="J10" s="6">
        <v>7.2430000000000003E-3</v>
      </c>
      <c r="K10" s="7">
        <f t="shared" si="3"/>
        <v>691599.74462212634</v>
      </c>
    </row>
    <row r="11" spans="1:12" x14ac:dyDescent="0.25">
      <c r="A11" s="1">
        <v>3800</v>
      </c>
      <c r="B11" s="5">
        <v>99418.621861000007</v>
      </c>
      <c r="C11" s="6">
        <v>7.2430000000000003E-3</v>
      </c>
      <c r="D11" s="7">
        <f t="shared" si="0"/>
        <v>1092293.6010328676</v>
      </c>
      <c r="E11" s="5">
        <v>99045.067412000004</v>
      </c>
      <c r="F11" s="6">
        <v>7.2430000000000003E-3</v>
      </c>
      <c r="G11" s="16">
        <f t="shared" si="1"/>
        <v>1088189.4289306777</v>
      </c>
      <c r="H11" s="8">
        <f t="shared" si="2"/>
        <v>0.99624261087100674</v>
      </c>
      <c r="I11" s="5">
        <v>98483.798355999999</v>
      </c>
      <c r="J11" s="6">
        <v>7.2430000000000003E-3</v>
      </c>
      <c r="K11" s="7">
        <f t="shared" si="3"/>
        <v>1082022.8719330993</v>
      </c>
    </row>
    <row r="12" spans="1:12" x14ac:dyDescent="0.25">
      <c r="A12" s="1">
        <v>4000</v>
      </c>
      <c r="B12" s="5">
        <v>154407.77391700001</v>
      </c>
      <c r="C12" s="6">
        <v>7.2430000000000003E-3</v>
      </c>
      <c r="D12" s="7">
        <f t="shared" si="0"/>
        <v>1696449.017720998</v>
      </c>
      <c r="E12" s="5">
        <v>153896.35605100001</v>
      </c>
      <c r="F12" s="6">
        <v>7.2430000000000003E-3</v>
      </c>
      <c r="G12" s="16">
        <f t="shared" si="1"/>
        <v>1690830.1663224471</v>
      </c>
      <c r="H12" s="8">
        <f t="shared" si="2"/>
        <v>0.99668787488462263</v>
      </c>
      <c r="I12" s="5">
        <v>153505.090134</v>
      </c>
      <c r="J12" s="6">
        <v>7.2430000000000003E-3</v>
      </c>
      <c r="K12" s="7">
        <f t="shared" si="3"/>
        <v>1686531.4016700976</v>
      </c>
    </row>
    <row r="13" spans="1:12" x14ac:dyDescent="0.25">
      <c r="A13" s="1">
        <v>4200</v>
      </c>
      <c r="B13" s="5">
        <v>228982.69229000001</v>
      </c>
      <c r="C13" s="6">
        <v>7.2430000000000003E-3</v>
      </c>
      <c r="D13" s="7">
        <f t="shared" si="0"/>
        <v>2515789.5457989736</v>
      </c>
      <c r="E13" s="5">
        <v>228352.26705900001</v>
      </c>
      <c r="F13" s="6">
        <v>7.2430000000000003E-3</v>
      </c>
      <c r="G13" s="16">
        <f t="shared" si="1"/>
        <v>2508863.1829822194</v>
      </c>
      <c r="H13" s="8">
        <f t="shared" si="2"/>
        <v>0.99724684331075297</v>
      </c>
      <c r="I13" s="5">
        <v>227842.97898499999</v>
      </c>
      <c r="J13" s="6">
        <v>7.2430000000000003E-3</v>
      </c>
      <c r="K13" s="7">
        <f t="shared" si="3"/>
        <v>2503267.7312056869</v>
      </c>
    </row>
    <row r="14" spans="1:12" x14ac:dyDescent="0.25">
      <c r="A14" s="1">
        <v>4400</v>
      </c>
      <c r="B14" s="5">
        <v>312140.27542999998</v>
      </c>
      <c r="C14" s="6">
        <v>7.2430000000000003E-3</v>
      </c>
      <c r="D14" s="7">
        <f t="shared" si="0"/>
        <v>3429426.1889238013</v>
      </c>
      <c r="E14" s="5">
        <v>311534.96246900002</v>
      </c>
      <c r="F14" s="6">
        <v>7.2430000000000003E-3</v>
      </c>
      <c r="G14" s="16">
        <f t="shared" si="1"/>
        <v>3422775.729869491</v>
      </c>
      <c r="H14" s="8">
        <f t="shared" si="2"/>
        <v>0.99806076623669882</v>
      </c>
      <c r="I14" s="5">
        <v>311067.40677900001</v>
      </c>
      <c r="J14" s="6">
        <v>7.2430000000000003E-3</v>
      </c>
      <c r="K14" s="7">
        <f t="shared" si="3"/>
        <v>3417638.7839055089</v>
      </c>
    </row>
    <row r="15" spans="1:12" x14ac:dyDescent="0.25">
      <c r="A15" s="1">
        <v>4600</v>
      </c>
      <c r="B15" s="5">
        <v>397292.88624700002</v>
      </c>
      <c r="C15" s="6">
        <v>7.2430000000000003E-3</v>
      </c>
      <c r="D15" s="7">
        <f t="shared" si="0"/>
        <v>4364981.8239304246</v>
      </c>
      <c r="E15" s="5">
        <v>396666.46767300001</v>
      </c>
      <c r="F15" s="6">
        <v>7.2430000000000003E-3</v>
      </c>
      <c r="G15" s="16">
        <f t="shared" si="1"/>
        <v>4358099.4814965799</v>
      </c>
      <c r="H15" s="8">
        <f t="shared" si="2"/>
        <v>0.99842328268216074</v>
      </c>
      <c r="I15" s="5">
        <v>396077.82154500001</v>
      </c>
      <c r="J15" s="6">
        <v>7.2430000000000003E-3</v>
      </c>
      <c r="K15" s="7">
        <f t="shared" si="3"/>
        <v>4351632.1377851963</v>
      </c>
    </row>
    <row r="16" spans="1:12" x14ac:dyDescent="0.25">
      <c r="A16" s="1">
        <v>4800</v>
      </c>
      <c r="B16" s="5">
        <v>480698.84185099998</v>
      </c>
      <c r="C16" s="6">
        <v>7.2430000000000003E-3</v>
      </c>
      <c r="D16" s="7">
        <f t="shared" si="0"/>
        <v>5281347.2883567512</v>
      </c>
      <c r="E16" s="5">
        <v>480178.23592499999</v>
      </c>
      <c r="F16" s="6">
        <v>7.2430000000000003E-3</v>
      </c>
      <c r="G16" s="16">
        <f t="shared" si="1"/>
        <v>5275627.4894801928</v>
      </c>
      <c r="H16" s="8">
        <f t="shared" si="2"/>
        <v>0.99891698111026173</v>
      </c>
      <c r="I16" s="5">
        <v>479813.502094</v>
      </c>
      <c r="J16" s="6">
        <v>7.2430000000000003E-3</v>
      </c>
      <c r="K16" s="7">
        <f t="shared" si="3"/>
        <v>5271620.2278402299</v>
      </c>
    </row>
    <row r="17" spans="1:11" ht="15.75" thickBot="1" x14ac:dyDescent="0.3">
      <c r="A17" s="1">
        <v>5000</v>
      </c>
      <c r="B17" s="9">
        <v>556274.58578600001</v>
      </c>
      <c r="C17" s="10">
        <v>7.2430000000000003E-3</v>
      </c>
      <c r="D17" s="11">
        <f>B17/(C17*4*PI())</f>
        <v>6111683.6976555632</v>
      </c>
      <c r="E17" s="9">
        <v>555801.347633</v>
      </c>
      <c r="F17" s="10">
        <v>7.2430000000000003E-3</v>
      </c>
      <c r="G17" s="17">
        <f>E17/(F17*4*PI())</f>
        <v>6106484.3195449989</v>
      </c>
      <c r="H17" s="8">
        <f t="shared" si="2"/>
        <v>0.99914927238257456</v>
      </c>
      <c r="I17" s="9">
        <v>555378.06263499998</v>
      </c>
      <c r="J17" s="10">
        <v>7.2430000000000003E-3</v>
      </c>
      <c r="K17" s="11">
        <f>I17/(J17*4*PI())</f>
        <v>6101833.7673036382</v>
      </c>
    </row>
    <row r="18" spans="1:11" ht="15.75" thickBot="1" x14ac:dyDescent="0.3">
      <c r="B18" s="9" t="s">
        <v>29</v>
      </c>
      <c r="C18" s="10"/>
      <c r="D18" s="12"/>
      <c r="E18" s="5" t="s">
        <v>33</v>
      </c>
      <c r="F18" s="6"/>
      <c r="G18" s="13"/>
      <c r="I18" s="5" t="s">
        <v>33</v>
      </c>
      <c r="J18" s="6"/>
      <c r="K18" s="13"/>
    </row>
    <row r="19" spans="1:11" ht="15.75" thickBot="1" x14ac:dyDescent="0.3">
      <c r="E19" s="9" t="s">
        <v>31</v>
      </c>
      <c r="F19" s="10"/>
      <c r="G19" s="12"/>
      <c r="I19" s="9" t="s">
        <v>32</v>
      </c>
      <c r="J19" s="10"/>
      <c r="K19" s="12"/>
    </row>
  </sheetData>
  <pageMargins left="0.7" right="0.7" top="0.75" bottom="0.75" header="0.3" footer="0.3"/>
  <pageSetup paperSize="9" scale="67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ERYA-Bulk</dc:creator>
  <cp:lastModifiedBy>jdc</cp:lastModifiedBy>
  <cp:revision>0</cp:revision>
  <cp:lastPrinted>2018-09-24T14:51:01Z</cp:lastPrinted>
  <dcterms:created xsi:type="dcterms:W3CDTF">2018-09-22T18:25:12Z</dcterms:created>
  <dcterms:modified xsi:type="dcterms:W3CDTF">2018-09-26T08:00:49Z</dcterms:modified>
</cp:coreProperties>
</file>