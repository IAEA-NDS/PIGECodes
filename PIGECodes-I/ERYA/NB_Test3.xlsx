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"/>
    </mc:Choice>
  </mc:AlternateContent>
  <bookViews>
    <workbookView xWindow="0" yWindow="0" windowWidth="16005" windowHeight="541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8" i="1"/>
  <c r="D17" i="1"/>
  <c r="D7" i="1"/>
  <c r="F17" i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</calcChain>
</file>

<file path=xl/sharedStrings.xml><?xml version="1.0" encoding="utf-8"?>
<sst xmlns="http://schemas.openxmlformats.org/spreadsheetml/2006/main" count="31" uniqueCount="31">
  <si>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</si>
  <si>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</si>
  <si>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</si>
  <si>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</si>
  <si>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</si>
  <si>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</si>
  <si>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</si>
  <si>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</si>
  <si>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</si>
  <si>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</si>
  <si>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</si>
  <si>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</si>
  <si>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10B_flat_test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</si>
  <si>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</si>
  <si>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</si>
  <si>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</si>
  <si>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</si>
  <si>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</si>
  <si>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</si>
  <si>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</si>
  <si>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</si>
  <si>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</si>
  <si>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</si>
  <si>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</si>
  <si>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</si>
  <si>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</si>
  <si>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10B_flat_test (718 keV)</t>
  </si>
  <si>
    <t>Effic HPGE</t>
  </si>
  <si>
    <t>Y / Counts/uC/sr</t>
  </si>
  <si>
    <t>Nuno Barradas</t>
  </si>
  <si>
    <t>Quociente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</si>
</sst>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" x14ac:knownFonts="1"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4" borderId="0" xfId="0" applyFill="1"/>
    <xf numFmtId="2" fontId="0" fillId="4" borderId="0" xfId="0" applyNumberFormat="1" applyFill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C4" workbookViewId="0">
      <selection activeCell="G8" sqref="G8:G17"/>
    </sheetView>
  </sheetViews>
  <sheetFormatPr defaultColWidth="21" defaultRowHeight="15.75" x14ac:dyDescent="0.25"/>
  <cols>
    <col min="2" max="2" width="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1</v>
      </c>
      <c r="G2">
        <v>188334.254881</v>
      </c>
      <c r="I2">
        <v>188334.254881</v>
      </c>
      <c r="J2">
        <v>1</v>
      </c>
      <c r="K2">
        <v>1</v>
      </c>
      <c r="L2">
        <v>0</v>
      </c>
    </row>
    <row r="3" spans="1:12" x14ac:dyDescent="0.25">
      <c r="A3" t="s">
        <v>13</v>
      </c>
      <c r="B3">
        <v>3000</v>
      </c>
      <c r="C3" t="s">
        <v>14</v>
      </c>
      <c r="D3">
        <v>5000</v>
      </c>
      <c r="E3" t="s">
        <v>15</v>
      </c>
      <c r="F3">
        <v>1</v>
      </c>
      <c r="G3" t="s">
        <v>16</v>
      </c>
      <c r="H3">
        <v>200</v>
      </c>
      <c r="I3" t="s">
        <v>17</v>
      </c>
      <c r="J3">
        <v>1</v>
      </c>
      <c r="K3" t="s">
        <v>18</v>
      </c>
      <c r="L3">
        <v>0</v>
      </c>
    </row>
    <row r="4" spans="1:12" x14ac:dyDescent="0.25">
      <c r="A4" t="s">
        <v>19</v>
      </c>
      <c r="B4">
        <v>0</v>
      </c>
      <c r="C4" t="s">
        <v>20</v>
      </c>
      <c r="D4">
        <v>100</v>
      </c>
      <c r="E4" t="s">
        <v>21</v>
      </c>
      <c r="F4" t="b">
        <v>1</v>
      </c>
      <c r="G4" t="s">
        <v>22</v>
      </c>
      <c r="H4">
        <v>1E-3</v>
      </c>
      <c r="I4" t="s">
        <v>23</v>
      </c>
      <c r="J4">
        <v>1E-3</v>
      </c>
      <c r="K4" t="s">
        <v>24</v>
      </c>
      <c r="L4">
        <v>1E-3</v>
      </c>
    </row>
    <row r="6" spans="1:12" x14ac:dyDescent="0.25">
      <c r="A6" t="s">
        <v>25</v>
      </c>
      <c r="B6" t="s">
        <v>26</v>
      </c>
      <c r="C6" t="s">
        <v>27</v>
      </c>
      <c r="D6" s="1" t="s">
        <v>28</v>
      </c>
      <c r="E6" s="2" t="s">
        <v>29</v>
      </c>
      <c r="F6" s="3" t="s">
        <v>30</v>
      </c>
    </row>
    <row r="7" spans="1:12" x14ac:dyDescent="0.25">
      <c r="A7">
        <v>3000</v>
      </c>
      <c r="B7">
        <v>0</v>
      </c>
      <c r="C7">
        <v>7.2430000000000003E-3</v>
      </c>
      <c r="D7" s="4">
        <f>B7/(C7*4*PI())</f>
        <v>0</v>
      </c>
      <c r="E7">
        <v>0</v>
      </c>
      <c r="F7" s="5"/>
    </row>
    <row r="8" spans="1:12" x14ac:dyDescent="0.25">
      <c r="A8">
        <v>3200</v>
      </c>
      <c r="B8">
        <v>18762.770702999998</v>
      </c>
      <c r="C8">
        <v>7.2430000000000003E-3</v>
      </c>
      <c r="D8" s="4">
        <f>B8/(C8*4*PI())</f>
        <v>206143.01418488511</v>
      </c>
      <c r="E8">
        <v>207.01697999999999</v>
      </c>
      <c r="F8" s="6">
        <f>D8/E8</f>
        <v>995.77828922480228</v>
      </c>
      <c r="G8" s="7">
        <f>F8/1000</f>
        <v>0.99577828922480227</v>
      </c>
    </row>
    <row r="9" spans="1:12" x14ac:dyDescent="0.25">
      <c r="A9">
        <v>3400</v>
      </c>
      <c r="B9">
        <v>37604.046722999999</v>
      </c>
      <c r="C9">
        <v>7.2430000000000003E-3</v>
      </c>
      <c r="D9" s="4">
        <f t="shared" ref="D9:D17" si="0">B9/(C9*4*PI())</f>
        <v>413148.55144443177</v>
      </c>
      <c r="E9">
        <v>414.03546</v>
      </c>
      <c r="F9" s="6">
        <f t="shared" ref="F9:F17" si="1">D9/E9</f>
        <v>997.85789227915836</v>
      </c>
      <c r="G9" s="7">
        <f t="shared" ref="G9:G17" si="2">F9/1000</f>
        <v>0.99785789227915833</v>
      </c>
    </row>
    <row r="10" spans="1:12" x14ac:dyDescent="0.25">
      <c r="A10">
        <v>3600</v>
      </c>
      <c r="B10">
        <v>56445.322742999997</v>
      </c>
      <c r="C10">
        <v>7.2430000000000003E-3</v>
      </c>
      <c r="D10" s="4">
        <f t="shared" si="0"/>
        <v>620154.08870397834</v>
      </c>
      <c r="E10">
        <v>621.05395999999996</v>
      </c>
      <c r="F10" s="6">
        <f t="shared" si="1"/>
        <v>998.55105779210942</v>
      </c>
      <c r="G10" s="7">
        <f t="shared" si="2"/>
        <v>0.9985510577921094</v>
      </c>
    </row>
    <row r="11" spans="1:12" x14ac:dyDescent="0.25">
      <c r="A11">
        <v>3800</v>
      </c>
      <c r="B11">
        <v>75286.598761999994</v>
      </c>
      <c r="C11">
        <v>7.2430000000000003E-3</v>
      </c>
      <c r="D11" s="4">
        <f t="shared" si="0"/>
        <v>827159.6259525381</v>
      </c>
      <c r="E11">
        <v>828.07245</v>
      </c>
      <c r="F11" s="6">
        <f t="shared" si="1"/>
        <v>998.89765195368852</v>
      </c>
      <c r="G11" s="7">
        <f t="shared" si="2"/>
        <v>0.99889765195368851</v>
      </c>
    </row>
    <row r="12" spans="1:12" x14ac:dyDescent="0.25">
      <c r="A12">
        <v>4000</v>
      </c>
      <c r="B12">
        <v>94127.874781999999</v>
      </c>
      <c r="C12">
        <v>7.2430000000000003E-3</v>
      </c>
      <c r="D12" s="4">
        <f t="shared" si="0"/>
        <v>1034165.1632120848</v>
      </c>
      <c r="E12">
        <v>1035.0908999999999</v>
      </c>
      <c r="F12" s="6">
        <f t="shared" si="1"/>
        <v>999.10564686839086</v>
      </c>
      <c r="G12" s="7">
        <f t="shared" si="2"/>
        <v>0.99910564686839087</v>
      </c>
    </row>
    <row r="13" spans="1:12" x14ac:dyDescent="0.25">
      <c r="A13">
        <v>4200</v>
      </c>
      <c r="B13">
        <v>112969.150802</v>
      </c>
      <c r="C13">
        <v>7.2430000000000003E-3</v>
      </c>
      <c r="D13" s="4">
        <f t="shared" si="0"/>
        <v>1241170.7004716315</v>
      </c>
      <c r="E13">
        <v>1242.0878</v>
      </c>
      <c r="F13" s="6">
        <f t="shared" si="1"/>
        <v>999.26164677861857</v>
      </c>
      <c r="G13" s="7">
        <f t="shared" si="2"/>
        <v>0.99926164677861862</v>
      </c>
    </row>
    <row r="14" spans="1:12" x14ac:dyDescent="0.25">
      <c r="A14">
        <v>4400</v>
      </c>
      <c r="B14">
        <v>131810.42682200001</v>
      </c>
      <c r="C14">
        <v>7.2430000000000003E-3</v>
      </c>
      <c r="D14" s="4">
        <f t="shared" si="0"/>
        <v>1448176.2377311781</v>
      </c>
      <c r="E14">
        <v>1449.0640000000001</v>
      </c>
      <c r="F14" s="6">
        <f t="shared" si="1"/>
        <v>999.38735468632024</v>
      </c>
      <c r="G14" s="7">
        <f t="shared" si="2"/>
        <v>0.99938735468632023</v>
      </c>
    </row>
    <row r="15" spans="1:12" x14ac:dyDescent="0.25">
      <c r="A15">
        <v>4600</v>
      </c>
      <c r="B15">
        <v>150651.702842</v>
      </c>
      <c r="C15">
        <v>7.2430000000000003E-3</v>
      </c>
      <c r="D15" s="4">
        <f t="shared" si="0"/>
        <v>1655181.7749907246</v>
      </c>
      <c r="E15">
        <v>1656.0405000000001</v>
      </c>
      <c r="F15" s="6">
        <f t="shared" si="1"/>
        <v>999.48145893214848</v>
      </c>
      <c r="G15" s="7">
        <f t="shared" si="2"/>
        <v>0.99948145893214846</v>
      </c>
    </row>
    <row r="16" spans="1:12" x14ac:dyDescent="0.25">
      <c r="A16">
        <v>4800</v>
      </c>
      <c r="B16">
        <v>169492.97886199999</v>
      </c>
      <c r="C16">
        <v>7.2430000000000003E-3</v>
      </c>
      <c r="D16" s="4">
        <f t="shared" si="0"/>
        <v>1862187.3122502712</v>
      </c>
      <c r="E16">
        <v>1863.0168000000001</v>
      </c>
      <c r="F16" s="6">
        <f t="shared" si="1"/>
        <v>999.55476099317571</v>
      </c>
      <c r="G16" s="7">
        <f t="shared" si="2"/>
        <v>0.99955476099317575</v>
      </c>
    </row>
    <row r="17" spans="1:7" x14ac:dyDescent="0.25">
      <c r="A17">
        <v>5000</v>
      </c>
      <c r="B17">
        <v>188334.254881</v>
      </c>
      <c r="C17">
        <v>7.2430000000000003E-3</v>
      </c>
      <c r="D17" s="4">
        <f>B17/(C17*4*PI())</f>
        <v>2069192.849498831</v>
      </c>
      <c r="E17">
        <v>2069.9931999999999</v>
      </c>
      <c r="F17" s="6">
        <f t="shared" si="1"/>
        <v>999.61335597567711</v>
      </c>
      <c r="G17" s="7">
        <f t="shared" si="2"/>
        <v>0.99961335597567713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2018-09-21T14:09:52Z</dcterms:created>
  <dcterms:modified xsi:type="dcterms:W3CDTF">2018-09-21T13:37:38Z</dcterms:modified>
</cp:coreProperties>
</file>