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dc\Desktop\"/>
    </mc:Choice>
  </mc:AlternateContent>
  <bookViews>
    <workbookView xWindow="0" yWindow="0" windowWidth="19200" windowHeight="762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14" i="1"/>
  <c r="G15" i="1"/>
  <c r="G16" i="1"/>
  <c r="G17" i="1"/>
  <c r="G8" i="1"/>
  <c r="D8" i="1" l="1"/>
  <c r="F9" i="1" l="1"/>
  <c r="F10" i="1"/>
  <c r="F11" i="1"/>
  <c r="F12" i="1"/>
  <c r="F13" i="1"/>
  <c r="F14" i="1"/>
  <c r="F15" i="1"/>
  <c r="F16" i="1"/>
  <c r="F17" i="1"/>
  <c r="F8" i="1"/>
  <c r="D9" i="1"/>
  <c r="D10" i="1"/>
  <c r="D11" i="1"/>
  <c r="D12" i="1"/>
  <c r="D13" i="1"/>
  <c r="D14" i="1"/>
  <c r="D15" i="1"/>
  <c r="D16" i="1"/>
  <c r="D17" i="1"/>
  <c r="D7" i="1"/>
</calcChain>
</file>

<file path=xl/sharedStrings.xml><?xml version="1.0" encoding="utf-8"?>
<sst xmlns="http://schemas.openxmlformats.org/spreadsheetml/2006/main" count="31" uniqueCount="31">
  <si>
    <t>Element</t>
  </si>
  <si>
    <t>Gamma Peak</t>
  </si>
  <si>
    <t>Fit</t>
  </si>
  <si>
    <t>Fixed Ratio Group</t>
  </si>
  <si>
    <t>Calibration Parameter</t>
  </si>
  <si>
    <t>Stoichiometric Guess</t>
  </si>
  <si>
    <t>Yield Guess</t>
  </si>
  <si>
    <t>Yield Experimental</t>
  </si>
  <si>
    <t>Yield Fitted</t>
  </si>
  <si>
    <t>Stoichiometric Fitted</t>
  </si>
  <si>
    <t>Stoichiometric Mass</t>
  </si>
  <si>
    <t>Stoichiometric Error</t>
  </si>
  <si>
    <t>10B_flat_test</t>
  </si>
  <si>
    <t>Emin(keV)=</t>
  </si>
  <si>
    <t>Emax(keV)=</t>
  </si>
  <si>
    <t>Step(keV)=</t>
  </si>
  <si>
    <t>Detector Calibration</t>
  </si>
  <si>
    <t>Charge(uC)=</t>
  </si>
  <si>
    <t>Thickness(ug/cm2)=</t>
  </si>
  <si>
    <t>Number Iterations=</t>
  </si>
  <si>
    <t>Maximum Iterations=</t>
  </si>
  <si>
    <t>Successful Fitting?</t>
  </si>
  <si>
    <t>Initial Damping=</t>
  </si>
  <si>
    <t>Yield Precision=</t>
  </si>
  <si>
    <t>Stoichiometry Precision=</t>
  </si>
  <si>
    <t>Energy (keV)</t>
  </si>
  <si>
    <t>Yield 10B_flat_test (718 keV)</t>
  </si>
  <si>
    <t>Effic HPGE</t>
  </si>
  <si>
    <t>Y / Counts/uC/sr</t>
  </si>
  <si>
    <t>Nuno Barradas</t>
  </si>
  <si>
    <t>Quociente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</si>
</sst>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"/>
  </numFmts>
  <fonts count="1" x14ac:knownFonts="1"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2" fontId="0" fillId="4" borderId="0" xfId="0" applyNumberFormat="1" applyFill="1"/>
    <xf numFmtId="168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topLeftCell="A5" workbookViewId="0">
      <selection activeCell="G22" sqref="G22"/>
    </sheetView>
  </sheetViews>
  <sheetFormatPr defaultColWidth="21" defaultRowHeight="15.75" x14ac:dyDescent="0.25"/>
  <cols>
    <col min="2" max="2" width="25" bestFit="1" customWidth="1"/>
    <col min="6" max="6" width="2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718</v>
      </c>
      <c r="C2" t="b">
        <v>0</v>
      </c>
      <c r="E2">
        <v>1</v>
      </c>
      <c r="F2">
        <v>1</v>
      </c>
      <c r="G2">
        <v>158366.17898299999</v>
      </c>
      <c r="I2">
        <v>158366.17898299999</v>
      </c>
      <c r="J2">
        <v>1</v>
      </c>
      <c r="K2">
        <v>1</v>
      </c>
      <c r="L2">
        <v>0</v>
      </c>
    </row>
    <row r="3" spans="1:12" x14ac:dyDescent="0.25">
      <c r="A3" t="s">
        <v>13</v>
      </c>
      <c r="B3">
        <v>3000</v>
      </c>
      <c r="C3" t="s">
        <v>14</v>
      </c>
      <c r="D3">
        <v>5000</v>
      </c>
      <c r="E3" t="s">
        <v>15</v>
      </c>
      <c r="F3">
        <v>1</v>
      </c>
      <c r="G3" t="s">
        <v>16</v>
      </c>
      <c r="H3">
        <v>200</v>
      </c>
      <c r="I3" t="s">
        <v>17</v>
      </c>
      <c r="J3">
        <v>1</v>
      </c>
      <c r="K3" t="s">
        <v>18</v>
      </c>
      <c r="L3">
        <v>0</v>
      </c>
    </row>
    <row r="4" spans="1:12" x14ac:dyDescent="0.25">
      <c r="A4" t="s">
        <v>19</v>
      </c>
      <c r="B4">
        <v>0</v>
      </c>
      <c r="C4" t="s">
        <v>20</v>
      </c>
      <c r="D4">
        <v>100</v>
      </c>
      <c r="E4" t="s">
        <v>21</v>
      </c>
      <c r="F4" t="b">
        <v>1</v>
      </c>
      <c r="G4" t="s">
        <v>22</v>
      </c>
      <c r="H4">
        <v>1E-3</v>
      </c>
      <c r="I4" t="s">
        <v>23</v>
      </c>
      <c r="J4">
        <v>1E-3</v>
      </c>
      <c r="K4" t="s">
        <v>24</v>
      </c>
      <c r="L4">
        <v>1E-3</v>
      </c>
    </row>
    <row r="6" spans="1:12" x14ac:dyDescent="0.25">
      <c r="A6" t="s">
        <v>25</v>
      </c>
      <c r="B6" t="s">
        <v>26</v>
      </c>
      <c r="C6" t="s">
        <v>27</v>
      </c>
      <c r="D6" s="1" t="s">
        <v>28</v>
      </c>
      <c r="E6" s="5" t="s">
        <v>29</v>
      </c>
      <c r="F6" s="6" t="s">
        <v>30</v>
      </c>
    </row>
    <row r="7" spans="1:12" x14ac:dyDescent="0.25">
      <c r="A7">
        <v>3000</v>
      </c>
      <c r="B7">
        <v>0</v>
      </c>
      <c r="C7">
        <v>7.2430000000000003E-3</v>
      </c>
      <c r="D7" s="2">
        <f>B7/(C7*4*PI())</f>
        <v>0</v>
      </c>
      <c r="E7" s="3">
        <v>0</v>
      </c>
      <c r="F7" s="4"/>
    </row>
    <row r="8" spans="1:12" x14ac:dyDescent="0.25">
      <c r="A8">
        <v>3200</v>
      </c>
      <c r="B8">
        <v>13096.776102</v>
      </c>
      <c r="C8">
        <v>7.2430000000000003E-3</v>
      </c>
      <c r="D8" s="2">
        <f>B8/(C8*4*PI())</f>
        <v>143891.80278897588</v>
      </c>
      <c r="E8" s="3">
        <v>143.91356999999999</v>
      </c>
      <c r="F8" s="7">
        <f>D8/E8</f>
        <v>999.84874802963952</v>
      </c>
      <c r="G8" s="8">
        <f>F8/1000</f>
        <v>0.99984874802963952</v>
      </c>
    </row>
    <row r="9" spans="1:12" x14ac:dyDescent="0.25">
      <c r="A9">
        <v>3400</v>
      </c>
      <c r="B9">
        <v>26865.012401</v>
      </c>
      <c r="C9">
        <v>7.2430000000000003E-3</v>
      </c>
      <c r="D9" s="2">
        <f t="shared" ref="D9:D17" si="0">B9/(C9*4*PI())</f>
        <v>295160.81180755334</v>
      </c>
      <c r="E9" s="3">
        <v>294.76022</v>
      </c>
      <c r="F9" s="7">
        <f t="shared" ref="F9:F17" si="1">D9/E9</f>
        <v>1001.3590429792505</v>
      </c>
      <c r="G9" s="8">
        <f t="shared" ref="G9:G17" si="2">F9/1000</f>
        <v>1.0013590429792505</v>
      </c>
    </row>
    <row r="10" spans="1:12" x14ac:dyDescent="0.25">
      <c r="A10">
        <v>3600</v>
      </c>
      <c r="B10">
        <v>41242.892054999997</v>
      </c>
      <c r="C10">
        <v>7.2430000000000003E-3</v>
      </c>
      <c r="D10" s="2">
        <f t="shared" si="0"/>
        <v>453127.85710055963</v>
      </c>
      <c r="E10" s="3">
        <v>452.49950999999999</v>
      </c>
      <c r="F10" s="7">
        <f t="shared" si="1"/>
        <v>1001.3886138806198</v>
      </c>
      <c r="G10" s="8">
        <f t="shared" si="2"/>
        <v>1.0013886138806198</v>
      </c>
    </row>
    <row r="11" spans="1:12" x14ac:dyDescent="0.25">
      <c r="A11">
        <v>3800</v>
      </c>
      <c r="B11">
        <v>56222.678066</v>
      </c>
      <c r="C11">
        <v>7.2430000000000003E-3</v>
      </c>
      <c r="D11" s="2">
        <f t="shared" si="0"/>
        <v>617707.93373382452</v>
      </c>
      <c r="E11" s="3">
        <v>617.08374000000003</v>
      </c>
      <c r="F11" s="7">
        <f t="shared" si="1"/>
        <v>1001.0115219270314</v>
      </c>
      <c r="G11" s="8">
        <f t="shared" si="2"/>
        <v>1.0010115219270315</v>
      </c>
    </row>
    <row r="12" spans="1:12" x14ac:dyDescent="0.25">
      <c r="A12">
        <v>4000</v>
      </c>
      <c r="B12">
        <v>71797.146278999993</v>
      </c>
      <c r="C12">
        <v>7.2430000000000003E-3</v>
      </c>
      <c r="D12" s="2">
        <f t="shared" si="0"/>
        <v>788821.67128225381</v>
      </c>
      <c r="E12" s="3">
        <v>788.42876999999999</v>
      </c>
      <c r="F12" s="7">
        <f t="shared" si="1"/>
        <v>1000.4983345321782</v>
      </c>
      <c r="G12" s="8">
        <f t="shared" si="2"/>
        <v>1.0004983345321783</v>
      </c>
    </row>
    <row r="13" spans="1:12" x14ac:dyDescent="0.25">
      <c r="A13">
        <v>4200</v>
      </c>
      <c r="B13">
        <v>87959.527543000004</v>
      </c>
      <c r="C13">
        <v>7.2430000000000003E-3</v>
      </c>
      <c r="D13" s="2">
        <f t="shared" si="0"/>
        <v>966394.69836367294</v>
      </c>
      <c r="E13" s="3">
        <v>966.47797000000003</v>
      </c>
      <c r="F13" s="7">
        <f t="shared" si="1"/>
        <v>999.91384010922968</v>
      </c>
      <c r="G13" s="8">
        <f t="shared" si="2"/>
        <v>0.99991384010922968</v>
      </c>
    </row>
    <row r="14" spans="1:12" x14ac:dyDescent="0.25">
      <c r="A14">
        <v>4400</v>
      </c>
      <c r="B14">
        <v>104703.458816</v>
      </c>
      <c r="C14">
        <v>7.2430000000000003E-3</v>
      </c>
      <c r="D14" s="2">
        <f t="shared" si="0"/>
        <v>1150357.1054387055</v>
      </c>
      <c r="E14" s="3">
        <v>1151.2416000000001</v>
      </c>
      <c r="F14" s="7">
        <f t="shared" si="1"/>
        <v>999.23170378720283</v>
      </c>
      <c r="G14" s="8">
        <f t="shared" si="2"/>
        <v>0.99923170378720283</v>
      </c>
    </row>
    <row r="15" spans="1:12" x14ac:dyDescent="0.25">
      <c r="A15">
        <v>4600</v>
      </c>
      <c r="B15">
        <v>122022.94149500001</v>
      </c>
      <c r="C15">
        <v>7.2430000000000003E-3</v>
      </c>
      <c r="D15" s="2">
        <f t="shared" si="0"/>
        <v>1340642.9869903631</v>
      </c>
      <c r="E15" s="3">
        <v>1342.6213</v>
      </c>
      <c r="F15" s="7">
        <f t="shared" si="1"/>
        <v>998.52652940212033</v>
      </c>
      <c r="G15" s="8">
        <f t="shared" si="2"/>
        <v>0.99852652940212028</v>
      </c>
    </row>
    <row r="16" spans="1:12" x14ac:dyDescent="0.25">
      <c r="A16">
        <v>4800</v>
      </c>
      <c r="B16">
        <v>139912.30562699999</v>
      </c>
      <c r="C16">
        <v>7.2430000000000003E-3</v>
      </c>
      <c r="D16" s="2">
        <f t="shared" si="0"/>
        <v>1537190.0483170683</v>
      </c>
      <c r="E16" s="3">
        <v>1540.5876000000001</v>
      </c>
      <c r="F16" s="7">
        <f t="shared" si="1"/>
        <v>997.79463908256059</v>
      </c>
      <c r="G16" s="8">
        <f t="shared" si="2"/>
        <v>0.99779463908256061</v>
      </c>
    </row>
    <row r="17" spans="1:7" x14ac:dyDescent="0.25">
      <c r="A17">
        <v>5000</v>
      </c>
      <c r="B17">
        <v>158366.17898299999</v>
      </c>
      <c r="C17">
        <v>7.2430000000000003E-3</v>
      </c>
      <c r="D17" s="2">
        <f t="shared" si="0"/>
        <v>1739939.2657545407</v>
      </c>
      <c r="E17" s="3">
        <v>1745.1287</v>
      </c>
      <c r="F17" s="7">
        <f t="shared" si="1"/>
        <v>997.02633149895519</v>
      </c>
      <c r="G17" s="8">
        <f t="shared" si="2"/>
        <v>0.99702633149895514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ERYA-Bulk</dc:creator>
  <cp:lastModifiedBy>jdc</cp:lastModifiedBy>
  <cp:revision>0</cp:revision>
  <dcterms:created xsi:type="dcterms:W3CDTF">2018-09-20T12:06:30Z</dcterms:created>
  <dcterms:modified xsi:type="dcterms:W3CDTF">2018-09-21T13:26:50Z</dcterms:modified>
</cp:coreProperties>
</file>