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c\Desktop\ERYA-exercicio\IAEA\"/>
    </mc:Choice>
  </mc:AlternateContent>
  <bookViews>
    <workbookView xWindow="0" yWindow="0" windowWidth="19200" windowHeight="76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12" i="1" l="1"/>
  <c r="K11" i="1"/>
  <c r="K13" i="1"/>
  <c r="K14" i="1"/>
  <c r="K15" i="1"/>
  <c r="K16" i="1"/>
  <c r="K17" i="1"/>
  <c r="K10" i="1"/>
  <c r="K9" i="1"/>
  <c r="J9" i="1"/>
  <c r="J10" i="1" l="1"/>
  <c r="J11" i="1"/>
  <c r="J12" i="1"/>
  <c r="J13" i="1"/>
  <c r="J14" i="1"/>
  <c r="J15" i="1"/>
  <c r="J16" i="1"/>
  <c r="J17" i="1"/>
  <c r="G11" i="1"/>
  <c r="G12" i="1"/>
  <c r="G13" i="1"/>
  <c r="G14" i="1"/>
  <c r="G15" i="1"/>
  <c r="G16" i="1"/>
  <c r="G17" i="1"/>
  <c r="G10" i="1"/>
  <c r="F10" i="1"/>
  <c r="F11" i="1"/>
  <c r="F12" i="1"/>
  <c r="F13" i="1"/>
  <c r="F14" i="1"/>
  <c r="F15" i="1"/>
  <c r="F16" i="1"/>
  <c r="F17" i="1"/>
  <c r="F9" i="1"/>
</calcChain>
</file>

<file path=xl/sharedStrings.xml><?xml version="1.0" encoding="utf-8"?>
<sst xmlns="http://schemas.openxmlformats.org/spreadsheetml/2006/main" count="44" uniqueCount="40">
  <si>
    <t>Element</t>
  </si>
  <si>
    <t>Gamma Peak</t>
  </si>
  <si>
    <t>Fit</t>
  </si>
  <si>
    <t>Fixed Ratio Group</t>
  </si>
  <si>
    <t>Calibration Parameter</t>
  </si>
  <si>
    <t>Stoichiometric Guess</t>
  </si>
  <si>
    <t>Yield Guess</t>
  </si>
  <si>
    <t>Yield Experimental</t>
  </si>
  <si>
    <t>Yield Fitted</t>
  </si>
  <si>
    <t>Stoichiometric Fitted</t>
  </si>
  <si>
    <t>Stoichiometric Mass</t>
  </si>
  <si>
    <t>Stoichiometric Error</t>
  </si>
  <si>
    <t>10B_sample2b</t>
  </si>
  <si>
    <t>16O</t>
  </si>
  <si>
    <t>Fe</t>
  </si>
  <si>
    <t>Emin(keV)=</t>
  </si>
  <si>
    <t>Emax(keV)=</t>
  </si>
  <si>
    <t>Step(keV)=</t>
  </si>
  <si>
    <t>Detector Calibration</t>
  </si>
  <si>
    <t>Charge(uC)=</t>
  </si>
  <si>
    <t>Thickness(ug/cm2)=</t>
  </si>
  <si>
    <t>Number Iterations=</t>
  </si>
  <si>
    <t>Maximum Iterations=</t>
  </si>
  <si>
    <t>Successful Fitting?</t>
  </si>
  <si>
    <t>Initial Damping=</t>
  </si>
  <si>
    <t>Yield Precision=</t>
  </si>
  <si>
    <t>Stoichiometry Precision=</t>
  </si>
  <si>
    <t>Energy (keV)</t>
  </si>
  <si>
    <t>Yield 10B_sample2b (718 keV)</t>
  </si>
  <si>
    <t>Yield 16O (0 keV)</t>
  </si>
  <si>
    <t>Yield Fe (0 keV)</t>
  </si>
  <si>
    <t>Effic HPGE</t>
  </si>
  <si>
    <t>Y / Counts/uC/sr</t>
  </si>
  <si>
    <t>ERYA BULK</t>
  </si>
  <si>
    <t>ERYA PROFILING</t>
  </si>
  <si>
    <t>(no straggling)</t>
  </si>
  <si>
    <t>with straggling and 3 keV beam resolution</t>
  </si>
  <si>
    <t>10B_sample2b (718 keV)</t>
  </si>
  <si>
    <t>NO STRAGGLING</t>
  </si>
  <si>
    <t>WITH STRAGGLING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</si>
</sst>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2" borderId="0" xfId="0" applyFill="1" applyBorder="1"/>
    <xf numFmtId="0" fontId="1" fillId="3" borderId="8" xfId="0" applyFont="1" applyFill="1" applyBorder="1"/>
    <xf numFmtId="0" fontId="0" fillId="3" borderId="8" xfId="0" applyFill="1" applyBorder="1"/>
    <xf numFmtId="0" fontId="0" fillId="2" borderId="5" xfId="0" applyFill="1" applyBorder="1"/>
    <xf numFmtId="0" fontId="0" fillId="3" borderId="6" xfId="0" applyFill="1" applyBorder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topLeftCell="E1" workbookViewId="0">
      <selection activeCell="K7" sqref="K7"/>
    </sheetView>
  </sheetViews>
  <sheetFormatPr defaultColWidth="21" defaultRowHeight="15.75" x14ac:dyDescent="0.25"/>
  <cols>
    <col min="3" max="3" width="18.375" bestFit="1" customWidth="1"/>
    <col min="4" max="4" width="15.375" bestFit="1" customWidth="1"/>
    <col min="5" max="5" width="18.875" bestFit="1" customWidth="1"/>
    <col min="6" max="6" width="18.125" bestFit="1" customWidth="1"/>
    <col min="7" max="7" width="17.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718</v>
      </c>
      <c r="C2" t="b">
        <v>0</v>
      </c>
      <c r="E2">
        <v>1</v>
      </c>
      <c r="F2">
        <v>0.1</v>
      </c>
      <c r="G2">
        <v>3721.0171829999999</v>
      </c>
      <c r="I2">
        <v>3721.0171829999999</v>
      </c>
      <c r="J2">
        <v>0.1</v>
      </c>
      <c r="K2">
        <v>2.8347000000000001E-2</v>
      </c>
      <c r="L2">
        <v>0</v>
      </c>
    </row>
    <row r="3" spans="1:12" x14ac:dyDescent="0.25">
      <c r="A3" t="s">
        <v>13</v>
      </c>
      <c r="B3">
        <v>0</v>
      </c>
      <c r="C3" t="b">
        <v>0</v>
      </c>
      <c r="E3">
        <v>1</v>
      </c>
      <c r="F3">
        <v>0.4</v>
      </c>
      <c r="G3">
        <v>0</v>
      </c>
      <c r="I3">
        <v>0</v>
      </c>
      <c r="J3">
        <v>0.4</v>
      </c>
      <c r="K3">
        <v>0.18112900000000001</v>
      </c>
      <c r="L3">
        <v>0</v>
      </c>
    </row>
    <row r="4" spans="1:12" x14ac:dyDescent="0.25">
      <c r="A4" t="s">
        <v>14</v>
      </c>
      <c r="B4">
        <v>0</v>
      </c>
      <c r="C4" t="b">
        <v>0</v>
      </c>
      <c r="E4">
        <v>1</v>
      </c>
      <c r="F4">
        <v>0.5</v>
      </c>
      <c r="G4">
        <v>0</v>
      </c>
      <c r="I4">
        <v>0</v>
      </c>
      <c r="J4">
        <v>0.5</v>
      </c>
      <c r="K4">
        <v>0.790524</v>
      </c>
      <c r="L4">
        <v>0</v>
      </c>
    </row>
    <row r="5" spans="1:12" x14ac:dyDescent="0.25">
      <c r="A5" t="s">
        <v>15</v>
      </c>
      <c r="B5">
        <v>3000</v>
      </c>
      <c r="C5" t="s">
        <v>16</v>
      </c>
      <c r="D5">
        <v>3800</v>
      </c>
      <c r="E5" t="s">
        <v>17</v>
      </c>
      <c r="F5">
        <v>1</v>
      </c>
      <c r="G5" t="s">
        <v>18</v>
      </c>
      <c r="H5">
        <v>100</v>
      </c>
      <c r="I5" t="s">
        <v>19</v>
      </c>
      <c r="J5">
        <v>1</v>
      </c>
      <c r="K5" t="s">
        <v>20</v>
      </c>
      <c r="L5">
        <v>0</v>
      </c>
    </row>
    <row r="6" spans="1:12" x14ac:dyDescent="0.25">
      <c r="A6" t="s">
        <v>21</v>
      </c>
      <c r="B6">
        <v>0</v>
      </c>
      <c r="C6" t="s">
        <v>22</v>
      </c>
      <c r="D6">
        <v>100</v>
      </c>
      <c r="E6" t="s">
        <v>23</v>
      </c>
      <c r="F6" t="b">
        <v>1</v>
      </c>
      <c r="G6" t="s">
        <v>24</v>
      </c>
      <c r="H6">
        <v>1E-3</v>
      </c>
      <c r="I6" t="s">
        <v>25</v>
      </c>
      <c r="J6">
        <v>1E-3</v>
      </c>
      <c r="K6" t="s">
        <v>26</v>
      </c>
      <c r="L6">
        <v>1E-3</v>
      </c>
    </row>
    <row r="7" spans="1:12" ht="16.5" thickBot="1" x14ac:dyDescent="0.3">
      <c r="G7" s="16" t="s">
        <v>38</v>
      </c>
      <c r="K7" s="16" t="s">
        <v>39</v>
      </c>
    </row>
    <row r="8" spans="1:12" x14ac:dyDescent="0.25">
      <c r="A8" t="s">
        <v>27</v>
      </c>
      <c r="B8" s="1" t="s">
        <v>28</v>
      </c>
      <c r="C8" s="2" t="s">
        <v>29</v>
      </c>
      <c r="D8" s="2" t="s">
        <v>30</v>
      </c>
      <c r="E8" s="2" t="s">
        <v>31</v>
      </c>
      <c r="F8" s="7" t="s">
        <v>32</v>
      </c>
      <c r="G8" s="8" t="s">
        <v>32</v>
      </c>
      <c r="H8" s="1" t="s">
        <v>37</v>
      </c>
      <c r="I8" s="2" t="s">
        <v>31</v>
      </c>
      <c r="J8" s="7" t="s">
        <v>32</v>
      </c>
      <c r="K8" s="8" t="s">
        <v>32</v>
      </c>
    </row>
    <row r="9" spans="1:12" x14ac:dyDescent="0.25">
      <c r="A9">
        <v>3000</v>
      </c>
      <c r="B9" s="9">
        <v>0</v>
      </c>
      <c r="C9" s="10">
        <v>0</v>
      </c>
      <c r="D9" s="10">
        <v>0</v>
      </c>
      <c r="E9" s="10">
        <v>7.2430000000000003E-3</v>
      </c>
      <c r="F9" s="11">
        <f>B9/(E9*4*PI())</f>
        <v>0</v>
      </c>
      <c r="G9" s="12">
        <v>23780</v>
      </c>
      <c r="H9" s="9">
        <v>5.2187219999999996</v>
      </c>
      <c r="I9" s="10">
        <v>7.2430000000000003E-3</v>
      </c>
      <c r="J9" s="11">
        <f>H9/(I9*4*PI())</f>
        <v>57.337111895790571</v>
      </c>
      <c r="K9" s="12">
        <f>23780+J9</f>
        <v>23837.337111895791</v>
      </c>
    </row>
    <row r="10" spans="1:12" x14ac:dyDescent="0.25">
      <c r="A10">
        <v>3100</v>
      </c>
      <c r="B10" s="9">
        <v>310.752793</v>
      </c>
      <c r="C10" s="10">
        <v>0</v>
      </c>
      <c r="D10" s="10">
        <v>0</v>
      </c>
      <c r="E10" s="10">
        <v>7.2430000000000003E-3</v>
      </c>
      <c r="F10" s="11">
        <f>B10/(E10*4*PI())</f>
        <v>3414.1821818005337</v>
      </c>
      <c r="G10" s="13">
        <f>F10+$G$9</f>
        <v>27194.182181800534</v>
      </c>
      <c r="H10" s="9">
        <v>305.25491399999999</v>
      </c>
      <c r="I10" s="10">
        <v>7.2430000000000003E-3</v>
      </c>
      <c r="J10" s="11">
        <f t="shared" ref="J10:J17" si="0">H10/(I10*4*PI())</f>
        <v>3353.7780247267297</v>
      </c>
      <c r="K10" s="13">
        <f>J10+$K$9</f>
        <v>27191.11513662252</v>
      </c>
    </row>
    <row r="11" spans="1:12" x14ac:dyDescent="0.25">
      <c r="A11">
        <v>3200</v>
      </c>
      <c r="B11" s="9">
        <v>636.54057399999999</v>
      </c>
      <c r="C11" s="10">
        <v>0</v>
      </c>
      <c r="D11" s="10">
        <v>0</v>
      </c>
      <c r="E11" s="10">
        <v>7.2430000000000003E-3</v>
      </c>
      <c r="F11" s="11">
        <f t="shared" ref="F11:F17" si="1">B11/(E11*4*PI())</f>
        <v>6993.5509340502822</v>
      </c>
      <c r="G11" s="13">
        <f t="shared" ref="G11:G17" si="2">F11+$G$9</f>
        <v>30773.550934050283</v>
      </c>
      <c r="H11" s="9">
        <v>630.25947299999996</v>
      </c>
      <c r="I11" s="10">
        <v>7.2430000000000003E-3</v>
      </c>
      <c r="J11" s="11">
        <f t="shared" si="0"/>
        <v>6924.5416649484287</v>
      </c>
      <c r="K11" s="13">
        <f t="shared" ref="K11:K17" si="3">J11+$K$9</f>
        <v>30761.87877684422</v>
      </c>
    </row>
    <row r="12" spans="1:12" x14ac:dyDescent="0.25">
      <c r="A12">
        <v>3300</v>
      </c>
      <c r="B12" s="9">
        <v>988.13294299999995</v>
      </c>
      <c r="C12" s="10">
        <v>0</v>
      </c>
      <c r="D12" s="10">
        <v>0</v>
      </c>
      <c r="E12" s="10">
        <v>7.2430000000000003E-3</v>
      </c>
      <c r="F12" s="11">
        <f t="shared" si="1"/>
        <v>10856.429815711173</v>
      </c>
      <c r="G12" s="13">
        <f t="shared" si="2"/>
        <v>34636.429815711177</v>
      </c>
      <c r="H12" s="9">
        <v>982.552638</v>
      </c>
      <c r="I12" s="10">
        <v>7.2430000000000003E-3</v>
      </c>
      <c r="J12" s="11">
        <f t="shared" si="0"/>
        <v>10795.120059759882</v>
      </c>
      <c r="K12" s="13">
        <f>J12+$K$9</f>
        <v>34632.457171655675</v>
      </c>
    </row>
    <row r="13" spans="1:12" x14ac:dyDescent="0.25">
      <c r="A13">
        <v>3400</v>
      </c>
      <c r="B13" s="9">
        <v>1387.979617</v>
      </c>
      <c r="C13" s="10">
        <v>0</v>
      </c>
      <c r="D13" s="10">
        <v>0</v>
      </c>
      <c r="E13" s="10">
        <v>7.2430000000000003E-3</v>
      </c>
      <c r="F13" s="11">
        <f t="shared" si="1"/>
        <v>15249.469622832092</v>
      </c>
      <c r="G13" s="13">
        <f t="shared" si="2"/>
        <v>39029.46962283209</v>
      </c>
      <c r="H13" s="9">
        <v>1381.7966469999999</v>
      </c>
      <c r="I13" s="10">
        <v>7.2430000000000003E-3</v>
      </c>
      <c r="J13" s="11">
        <f t="shared" si="0"/>
        <v>15181.538500473338</v>
      </c>
      <c r="K13" s="13">
        <f t="shared" si="3"/>
        <v>39018.875612369127</v>
      </c>
    </row>
    <row r="14" spans="1:12" x14ac:dyDescent="0.25">
      <c r="A14">
        <v>3500</v>
      </c>
      <c r="B14" s="9">
        <v>1832.863523</v>
      </c>
      <c r="C14" s="10">
        <v>0</v>
      </c>
      <c r="D14" s="10">
        <v>0</v>
      </c>
      <c r="E14" s="10">
        <v>7.2430000000000003E-3</v>
      </c>
      <c r="F14" s="11">
        <f t="shared" si="1"/>
        <v>20137.324982622933</v>
      </c>
      <c r="G14" s="13">
        <f t="shared" si="2"/>
        <v>43917.324982622929</v>
      </c>
      <c r="H14" s="9">
        <v>1825.2033960000001</v>
      </c>
      <c r="I14" s="10">
        <v>7.2430000000000003E-3</v>
      </c>
      <c r="J14" s="11">
        <f t="shared" si="0"/>
        <v>20053.164615595342</v>
      </c>
      <c r="K14" s="13">
        <f t="shared" si="3"/>
        <v>43890.501727491137</v>
      </c>
    </row>
    <row r="15" spans="1:12" x14ac:dyDescent="0.25">
      <c r="A15">
        <v>3600</v>
      </c>
      <c r="B15" s="9">
        <v>2343.9071650000001</v>
      </c>
      <c r="C15" s="10">
        <v>0</v>
      </c>
      <c r="D15" s="10">
        <v>0</v>
      </c>
      <c r="E15" s="10">
        <v>7.2430000000000003E-3</v>
      </c>
      <c r="F15" s="11">
        <f t="shared" si="1"/>
        <v>25752.064852841417</v>
      </c>
      <c r="G15" s="13">
        <f t="shared" si="2"/>
        <v>49532.064852841417</v>
      </c>
      <c r="H15" s="9">
        <v>2334.803993</v>
      </c>
      <c r="I15" s="10">
        <v>7.2430000000000003E-3</v>
      </c>
      <c r="J15" s="11">
        <f t="shared" si="0"/>
        <v>25652.050023239335</v>
      </c>
      <c r="K15" s="13">
        <f t="shared" si="3"/>
        <v>49489.387135135126</v>
      </c>
    </row>
    <row r="16" spans="1:12" x14ac:dyDescent="0.25">
      <c r="A16">
        <v>3700</v>
      </c>
      <c r="B16" s="9">
        <v>2953.1113449999998</v>
      </c>
      <c r="C16" s="10">
        <v>0</v>
      </c>
      <c r="D16" s="10">
        <v>0</v>
      </c>
      <c r="E16" s="10">
        <v>7.2430000000000003E-3</v>
      </c>
      <c r="F16" s="11">
        <f t="shared" si="1"/>
        <v>32445.275994581352</v>
      </c>
      <c r="G16" s="13">
        <f t="shared" si="2"/>
        <v>56225.275994581352</v>
      </c>
      <c r="H16" s="9">
        <v>2942.4560889999998</v>
      </c>
      <c r="I16" s="10">
        <v>7.2430000000000003E-3</v>
      </c>
      <c r="J16" s="11">
        <f t="shared" si="0"/>
        <v>32328.208711528088</v>
      </c>
      <c r="K16" s="13">
        <f t="shared" si="3"/>
        <v>56165.545823423876</v>
      </c>
    </row>
    <row r="17" spans="1:11" ht="16.5" thickBot="1" x14ac:dyDescent="0.3">
      <c r="A17">
        <v>3800</v>
      </c>
      <c r="B17" s="4">
        <v>3721.0171829999999</v>
      </c>
      <c r="C17" s="5">
        <v>0</v>
      </c>
      <c r="D17" s="5">
        <v>0</v>
      </c>
      <c r="E17" s="5">
        <v>7.2430000000000003E-3</v>
      </c>
      <c r="F17" s="14">
        <f t="shared" si="1"/>
        <v>40882.112246605669</v>
      </c>
      <c r="G17" s="15">
        <f t="shared" si="2"/>
        <v>64662.112246605669</v>
      </c>
      <c r="H17" s="4">
        <v>3707.7096529999999</v>
      </c>
      <c r="I17" s="5">
        <v>7.2430000000000003E-3</v>
      </c>
      <c r="J17" s="14">
        <f t="shared" si="0"/>
        <v>40735.904930587189</v>
      </c>
      <c r="K17" s="13">
        <f t="shared" si="3"/>
        <v>64573.242042482976</v>
      </c>
    </row>
    <row r="18" spans="1:11" x14ac:dyDescent="0.25">
      <c r="B18" s="1" t="s">
        <v>33</v>
      </c>
      <c r="C18" s="2"/>
      <c r="D18" s="2"/>
      <c r="E18" s="2"/>
      <c r="F18" s="2"/>
      <c r="G18" s="3"/>
      <c r="H18" s="1" t="s">
        <v>34</v>
      </c>
      <c r="I18" s="2"/>
      <c r="J18" s="2"/>
      <c r="K18" s="3"/>
    </row>
    <row r="19" spans="1:11" ht="16.5" thickBot="1" x14ac:dyDescent="0.3">
      <c r="B19" s="4" t="s">
        <v>35</v>
      </c>
      <c r="C19" s="5"/>
      <c r="D19" s="5"/>
      <c r="E19" s="5"/>
      <c r="F19" s="5"/>
      <c r="G19" s="6"/>
      <c r="H19" s="4" t="s">
        <v>36</v>
      </c>
      <c r="I19" s="5"/>
      <c r="J19" s="5"/>
      <c r="K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jdc</cp:lastModifiedBy>
  <cp:revision>0</cp:revision>
  <dcterms:created xsi:type="dcterms:W3CDTF">2018-09-25T14:58:55Z</dcterms:created>
  <dcterms:modified xsi:type="dcterms:W3CDTF">2018-09-26T08:03:59Z</dcterms:modified>
</cp:coreProperties>
</file>