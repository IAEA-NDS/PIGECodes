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3530" windowHeight="463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7" i="1" l="1"/>
  <c r="H7" i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D15" i="1" l="1"/>
  <c r="E8" i="1" l="1"/>
  <c r="E7" i="1"/>
  <c r="D7" i="1" l="1"/>
  <c r="E15" i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</calcChain>
</file>

<file path=xl/sharedStrings.xml><?xml version="1.0" encoding="utf-8"?>
<sst xmlns="http://schemas.openxmlformats.org/spreadsheetml/2006/main" count="40" uniqueCount="36">
  <si>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</si>
  <si>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</si>
  <si>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</si>
  <si>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</si>
  <si>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</si>
  <si>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</si>
  <si>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</si>
  <si>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</si>
  <si>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</si>
  <si>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</si>
  <si>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</si>
  <si>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</si>
  <si>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10B_sample2b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</si>
  <si>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</si>
  <si>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</si>
  <si>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</si>
  <si>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</si>
  <si>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</si>
  <si>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</si>
  <si>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</si>
  <si>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</si>
  <si>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</si>
  <si>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</si>
  <si>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</si>
  <si>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</si>
  <si>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</si>
  <si>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10B_sample2b (718 keV)</t>
  </si>
  <si>
    <t>Effic HPGE</t>
  </si>
  <si>
    <t>Y / Counts/uC/sr</t>
  </si>
  <si>
    <t>10B_sample2b (718 keV)</t>
  </si>
  <si>
    <t>ERYA BULK</t>
  </si>
  <si>
    <t>(no straggling)</t>
  </si>
  <si>
    <t>ERYA PROFILING</t>
  </si>
  <si>
    <t>with straggling and 3 keV beam resolution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</si>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</sst>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name val="Calibri"/>
      <family val="2"/>
    </font>
    <font>
      <b/>
      <sz val="12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2" borderId="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7" xfId="0" applyBorder="1"/>
    <xf numFmtId="0" fontId="0" fillId="0" borderId="0" xfId="0" applyBorder="1"/>
    <xf numFmtId="0" fontId="0" fillId="2" borderId="0" xfId="0" applyFill="1" applyBorder="1"/>
    <xf numFmtId="0" fontId="1" fillId="3" borderId="8" xfId="0" applyFont="1" applyFill="1" applyBorder="1"/>
    <xf numFmtId="0" fontId="0" fillId="3" borderId="8" xfId="0" applyFill="1" applyBorder="1"/>
    <xf numFmtId="0" fontId="0" fillId="2" borderId="4" xfId="0" applyFill="1" applyBorder="1"/>
    <xf numFmtId="0" fontId="0" fillId="3" borderId="6" xfId="0" applyFill="1" applyBorder="1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topLeftCell="D1" workbookViewId="0">
      <selection activeCell="I5" sqref="I5"/>
    </sheetView>
  </sheetViews>
  <sheetFormatPr defaultColWidth="21" defaultRowHeight="15.75" x14ac:dyDescent="0.25"/>
  <cols>
    <col min="2" max="2" width="26.125" bestFit="1" customWidth="1"/>
    <col min="3" max="3" width="18.375" bestFit="1" customWidth="1"/>
    <col min="7" max="7" width="17.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718</v>
      </c>
      <c r="C2" t="b">
        <v>0</v>
      </c>
      <c r="E2">
        <v>1</v>
      </c>
      <c r="F2">
        <v>1</v>
      </c>
      <c r="G2">
        <v>92710.515528000004</v>
      </c>
      <c r="I2">
        <v>92710.515528000004</v>
      </c>
      <c r="J2">
        <v>1</v>
      </c>
      <c r="K2">
        <v>1</v>
      </c>
      <c r="L2">
        <v>0</v>
      </c>
    </row>
    <row r="3" spans="1:12" x14ac:dyDescent="0.25">
      <c r="A3" t="s">
        <v>13</v>
      </c>
      <c r="B3">
        <v>3000</v>
      </c>
      <c r="C3" t="s">
        <v>14</v>
      </c>
      <c r="D3">
        <v>3800</v>
      </c>
      <c r="E3" t="s">
        <v>15</v>
      </c>
      <c r="F3">
        <v>1</v>
      </c>
      <c r="G3" t="s">
        <v>16</v>
      </c>
      <c r="H3">
        <v>100</v>
      </c>
      <c r="I3" t="s">
        <v>17</v>
      </c>
      <c r="J3">
        <v>1</v>
      </c>
      <c r="K3" t="s">
        <v>18</v>
      </c>
      <c r="L3">
        <v>0</v>
      </c>
    </row>
    <row r="4" spans="1:12" x14ac:dyDescent="0.25">
      <c r="A4" t="s">
        <v>19</v>
      </c>
      <c r="B4">
        <v>0</v>
      </c>
      <c r="C4" t="s">
        <v>20</v>
      </c>
      <c r="D4">
        <v>100</v>
      </c>
      <c r="E4" t="s">
        <v>21</v>
      </c>
      <c r="F4" t="b">
        <v>1</v>
      </c>
      <c r="G4" t="s">
        <v>22</v>
      </c>
      <c r="H4">
        <v>1E-3</v>
      </c>
      <c r="I4" t="s">
        <v>23</v>
      </c>
      <c r="J4">
        <v>1E-3</v>
      </c>
      <c r="K4" t="s">
        <v>24</v>
      </c>
      <c r="L4">
        <v>1E-3</v>
      </c>
    </row>
    <row r="5" spans="1:12" ht="16.5" thickBot="1" x14ac:dyDescent="0.3">
      <c r="E5" s="16" t="s">
        <v>34</v>
      </c>
      <c r="I5" s="16" t="s">
        <v>35</v>
      </c>
    </row>
    <row r="6" spans="1:12" x14ac:dyDescent="0.25">
      <c r="A6" t="s">
        <v>25</v>
      </c>
      <c r="B6" s="1" t="s">
        <v>26</v>
      </c>
      <c r="C6" s="2" t="s">
        <v>27</v>
      </c>
      <c r="D6" s="7" t="s">
        <v>28</v>
      </c>
      <c r="E6" s="8" t="s">
        <v>28</v>
      </c>
      <c r="F6" s="1" t="s">
        <v>29</v>
      </c>
      <c r="G6" s="2" t="s">
        <v>27</v>
      </c>
      <c r="H6" s="7" t="s">
        <v>28</v>
      </c>
      <c r="I6" s="8" t="s">
        <v>28</v>
      </c>
    </row>
    <row r="7" spans="1:12" x14ac:dyDescent="0.25">
      <c r="A7">
        <v>3000</v>
      </c>
      <c r="B7" s="9">
        <v>0</v>
      </c>
      <c r="C7" s="10">
        <v>7.2430000000000003E-3</v>
      </c>
      <c r="D7" s="11">
        <f>B7/(C7*4*PI())</f>
        <v>0</v>
      </c>
      <c r="E7" s="12">
        <f>D7+580000</f>
        <v>580000</v>
      </c>
      <c r="F7" s="9">
        <v>52.188201999999997</v>
      </c>
      <c r="G7" s="10">
        <v>7.2430000000000003E-3</v>
      </c>
      <c r="H7" s="11">
        <f>F7/(G7*4*PI())</f>
        <v>573.38190800623624</v>
      </c>
      <c r="I7" s="12">
        <f>H7+580000</f>
        <v>580573.38190800627</v>
      </c>
    </row>
    <row r="8" spans="1:12" x14ac:dyDescent="0.25">
      <c r="A8">
        <v>3100</v>
      </c>
      <c r="B8" s="9">
        <v>7675.9497240000001</v>
      </c>
      <c r="C8" s="10">
        <v>7.2430000000000003E-3</v>
      </c>
      <c r="D8" s="11">
        <f>B8/(C8*4*PI())</f>
        <v>84334.208304533327</v>
      </c>
      <c r="E8" s="13">
        <f>D8+580000</f>
        <v>664334.20830453327</v>
      </c>
      <c r="F8" s="9">
        <v>7313.9257829999997</v>
      </c>
      <c r="G8" s="10">
        <v>7.2430000000000003E-3</v>
      </c>
      <c r="H8" s="11">
        <f>F8/(G8*4*PI())</f>
        <v>80356.719713634608</v>
      </c>
      <c r="I8" s="13">
        <f>H8+580000</f>
        <v>660356.71971363458</v>
      </c>
    </row>
    <row r="9" spans="1:12" x14ac:dyDescent="0.25">
      <c r="A9">
        <v>3200</v>
      </c>
      <c r="B9" s="9">
        <v>15741.087384</v>
      </c>
      <c r="C9" s="10">
        <v>7.2430000000000003E-3</v>
      </c>
      <c r="D9" s="11">
        <f t="shared" ref="D9:D14" si="0">B9/(C9*4*PI())</f>
        <v>172944.35087705866</v>
      </c>
      <c r="E9" s="13">
        <f t="shared" ref="E9:E15" si="1">D9+580000</f>
        <v>752944.35087705869</v>
      </c>
      <c r="F9" s="9">
        <v>15349.529168999999</v>
      </c>
      <c r="G9" s="10">
        <v>7.2430000000000003E-3</v>
      </c>
      <c r="H9" s="11">
        <f t="shared" ref="H9:H14" si="2">F9/(G9*4*PI())</f>
        <v>168642.37480184884</v>
      </c>
      <c r="I9" s="13">
        <f t="shared" ref="I9:I15" si="3">H9+580000</f>
        <v>748642.37480184878</v>
      </c>
    </row>
    <row r="10" spans="1:12" x14ac:dyDescent="0.25">
      <c r="A10">
        <v>3300</v>
      </c>
      <c r="B10" s="9">
        <v>24463.665583000002</v>
      </c>
      <c r="C10" s="10">
        <v>7.2430000000000003E-3</v>
      </c>
      <c r="D10" s="11">
        <f t="shared" si="0"/>
        <v>268777.66834747506</v>
      </c>
      <c r="E10" s="13">
        <f t="shared" si="1"/>
        <v>848777.66834747512</v>
      </c>
      <c r="F10" s="9">
        <v>24020.765614</v>
      </c>
      <c r="G10" s="10">
        <v>7.2430000000000003E-3</v>
      </c>
      <c r="H10" s="11">
        <f t="shared" si="2"/>
        <v>263911.61012839474</v>
      </c>
      <c r="I10" s="13">
        <f t="shared" si="3"/>
        <v>843911.61012839479</v>
      </c>
    </row>
    <row r="11" spans="1:12" x14ac:dyDescent="0.25">
      <c r="A11">
        <v>3400</v>
      </c>
      <c r="B11" s="9">
        <v>34403.807516000001</v>
      </c>
      <c r="C11" s="10">
        <v>7.2430000000000003E-3</v>
      </c>
      <c r="D11" s="11">
        <f t="shared" si="0"/>
        <v>377988.12835520512</v>
      </c>
      <c r="E11" s="13">
        <f t="shared" si="1"/>
        <v>957988.12835520506</v>
      </c>
      <c r="F11" s="9">
        <v>33939.813661</v>
      </c>
      <c r="G11" s="10">
        <v>7.2430000000000003E-3</v>
      </c>
      <c r="H11" s="11">
        <f t="shared" si="2"/>
        <v>372890.3155989222</v>
      </c>
      <c r="I11" s="13">
        <f t="shared" si="3"/>
        <v>952890.3155989222</v>
      </c>
    </row>
    <row r="12" spans="1:12" x14ac:dyDescent="0.25">
      <c r="A12">
        <v>3500</v>
      </c>
      <c r="B12" s="9">
        <v>45485.839779000002</v>
      </c>
      <c r="C12" s="10">
        <v>7.2430000000000003E-3</v>
      </c>
      <c r="D12" s="11">
        <f t="shared" si="0"/>
        <v>499744.32151828072</v>
      </c>
      <c r="E12" s="13">
        <f t="shared" si="1"/>
        <v>1079744.3215182808</v>
      </c>
      <c r="F12" s="9">
        <v>44953.475522000001</v>
      </c>
      <c r="G12" s="10">
        <v>7.2430000000000003E-3</v>
      </c>
      <c r="H12" s="11">
        <f t="shared" si="2"/>
        <v>493895.33608220489</v>
      </c>
      <c r="I12" s="13">
        <f t="shared" si="3"/>
        <v>1073895.3360822049</v>
      </c>
    </row>
    <row r="13" spans="1:12" x14ac:dyDescent="0.25">
      <c r="A13">
        <v>3600</v>
      </c>
      <c r="B13" s="9">
        <v>58240.444986000002</v>
      </c>
      <c r="C13" s="10">
        <v>7.2430000000000003E-3</v>
      </c>
      <c r="D13" s="11">
        <f t="shared" si="0"/>
        <v>639876.7573790896</v>
      </c>
      <c r="E13" s="13">
        <f t="shared" si="1"/>
        <v>1219876.7573790895</v>
      </c>
      <c r="F13" s="9">
        <v>57641.353214000002</v>
      </c>
      <c r="G13" s="10">
        <v>7.2430000000000003E-3</v>
      </c>
      <c r="H13" s="11">
        <f t="shared" si="2"/>
        <v>633294.64935206471</v>
      </c>
      <c r="I13" s="13">
        <f t="shared" si="3"/>
        <v>1213294.6493520648</v>
      </c>
    </row>
    <row r="14" spans="1:12" x14ac:dyDescent="0.25">
      <c r="A14">
        <v>3700</v>
      </c>
      <c r="B14" s="9">
        <v>73473.670289000002</v>
      </c>
      <c r="C14" s="10">
        <v>7.2430000000000003E-3</v>
      </c>
      <c r="D14" s="11">
        <f t="shared" si="0"/>
        <v>807241.32359509019</v>
      </c>
      <c r="E14" s="13">
        <f t="shared" si="1"/>
        <v>1387241.3235950903</v>
      </c>
      <c r="F14" s="9">
        <v>72747.473459000001</v>
      </c>
      <c r="G14" s="10">
        <v>7.2430000000000003E-3</v>
      </c>
      <c r="H14" s="11">
        <f t="shared" si="2"/>
        <v>799262.7363279243</v>
      </c>
      <c r="I14" s="13">
        <f t="shared" si="3"/>
        <v>1379262.7363279243</v>
      </c>
    </row>
    <row r="15" spans="1:12" ht="16.5" thickBot="1" x14ac:dyDescent="0.3">
      <c r="A15">
        <v>3800</v>
      </c>
      <c r="B15" s="3">
        <v>92710.515528000004</v>
      </c>
      <c r="C15" s="4">
        <v>7.2430000000000003E-3</v>
      </c>
      <c r="D15" s="14">
        <f>B15/(C15*4*PI())</f>
        <v>1018592.905072423</v>
      </c>
      <c r="E15" s="15">
        <f t="shared" si="1"/>
        <v>1598592.9050724232</v>
      </c>
      <c r="F15" s="3">
        <v>91791.993757999997</v>
      </c>
      <c r="G15" s="4">
        <v>7.2430000000000003E-3</v>
      </c>
      <c r="H15" s="14">
        <f>F15/(G15*4*PI())</f>
        <v>1008501.2800528856</v>
      </c>
      <c r="I15" s="15">
        <f t="shared" si="3"/>
        <v>1588501.2800528856</v>
      </c>
    </row>
    <row r="16" spans="1:12" x14ac:dyDescent="0.25">
      <c r="B16" s="1" t="s">
        <v>30</v>
      </c>
      <c r="C16" s="2"/>
      <c r="D16" s="2"/>
      <c r="E16" s="5"/>
      <c r="F16" s="1" t="s">
        <v>32</v>
      </c>
      <c r="G16" s="2"/>
      <c r="H16" s="2"/>
      <c r="I16" s="5"/>
    </row>
    <row r="17" spans="2:9" ht="16.5" thickBot="1" x14ac:dyDescent="0.3">
      <c r="B17" s="3" t="s">
        <v>31</v>
      </c>
      <c r="C17" s="4"/>
      <c r="D17" s="4"/>
      <c r="E17" s="6"/>
      <c r="F17" s="3" t="s">
        <v>33</v>
      </c>
      <c r="G17" s="4"/>
      <c r="H17" s="4"/>
      <c r="I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dcterms:created xsi:type="dcterms:W3CDTF">2018-09-24T09:40:50Z</dcterms:created>
  <dcterms:modified xsi:type="dcterms:W3CDTF">2018-09-26T08:03:34Z</dcterms:modified>
</cp:coreProperties>
</file>