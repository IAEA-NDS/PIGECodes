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dc\Desktop\"/>
    </mc:Choice>
  </mc:AlternateContent>
  <bookViews>
    <workbookView xWindow="0" yWindow="0" windowWidth="16005" windowHeight="541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14" i="1"/>
  <c r="G15" i="1"/>
  <c r="G16" i="1"/>
  <c r="G17" i="1"/>
  <c r="G8" i="1"/>
  <c r="F9" i="1" l="1"/>
  <c r="F10" i="1"/>
  <c r="F11" i="1"/>
  <c r="F12" i="1"/>
  <c r="F13" i="1"/>
  <c r="F14" i="1"/>
  <c r="F15" i="1"/>
  <c r="F16" i="1"/>
  <c r="F17" i="1"/>
  <c r="F8" i="1"/>
  <c r="D17" i="1"/>
  <c r="D8" i="1"/>
  <c r="D9" i="1"/>
  <c r="D10" i="1"/>
  <c r="D11" i="1"/>
  <c r="D12" i="1"/>
  <c r="D13" i="1"/>
  <c r="D14" i="1"/>
  <c r="D15" i="1"/>
  <c r="D16" i="1"/>
  <c r="D7" i="1"/>
</calcChain>
</file>

<file path=xl/sharedStrings.xml><?xml version="1.0" encoding="utf-8"?>
<sst xmlns="http://schemas.openxmlformats.org/spreadsheetml/2006/main" count="31" uniqueCount="31">
  <si>
    <t>Element</t>
  </si>
  <si>
    <t>Gamma Peak</t>
  </si>
  <si>
    <t>Fit</t>
  </si>
  <si>
    <t>Fixed Ratio Group</t>
  </si>
  <si>
    <t>Calibration Parameter</t>
  </si>
  <si>
    <t>Stoichiometric Guess</t>
  </si>
  <si>
    <t>Yield Guess</t>
  </si>
  <si>
    <t>Yield Experimental</t>
  </si>
  <si>
    <t>Yield Fitted</t>
  </si>
  <si>
    <t>Stoichiometric Fitted</t>
  </si>
  <si>
    <t>Stoichiometric Mass</t>
  </si>
  <si>
    <t>Stoichiometric Error</t>
  </si>
  <si>
    <t>10B_sample1ab</t>
  </si>
  <si>
    <t>Emin(keV)=</t>
  </si>
  <si>
    <t>Emax(keV)=</t>
  </si>
  <si>
    <t>Step(keV)=</t>
  </si>
  <si>
    <t>Detector Calibration</t>
  </si>
  <si>
    <t>Charge(uC)=</t>
  </si>
  <si>
    <t>Thickness(ug/cm2)=</t>
  </si>
  <si>
    <t>Number Iterations=</t>
  </si>
  <si>
    <t>Maximum Iterations=</t>
  </si>
  <si>
    <t>Successful Fitting?</t>
  </si>
  <si>
    <t>Initial Damping=</t>
  </si>
  <si>
    <t>Yield Precision=</t>
  </si>
  <si>
    <t>Stoichiometry Precision=</t>
  </si>
  <si>
    <t>Energy (keV)</t>
  </si>
  <si>
    <t>Yield 10B_sample1ab (718 keV)</t>
  </si>
  <si>
    <t>Effic HPGE</t>
  </si>
  <si>
    <t>Y / Counts/uC/sr</t>
  </si>
  <si>
    <t>Nuno Barradas</t>
  </si>
  <si>
    <t>Quociente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</si>
</sst>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"/>
  </numFmts>
  <fonts count="1" x14ac:knownFonts="1"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168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topLeftCell="B1" workbookViewId="0">
      <selection activeCell="G8" sqref="G8:G17"/>
    </sheetView>
  </sheetViews>
  <sheetFormatPr defaultColWidth="21" defaultRowHeight="15.75" x14ac:dyDescent="0.25"/>
  <cols>
    <col min="2" max="2" width="27.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718</v>
      </c>
      <c r="C2" t="b">
        <v>0</v>
      </c>
      <c r="E2">
        <v>1</v>
      </c>
      <c r="F2">
        <v>1</v>
      </c>
      <c r="G2">
        <v>636177.27540699998</v>
      </c>
      <c r="I2">
        <v>636177.27540699998</v>
      </c>
      <c r="J2">
        <v>1</v>
      </c>
      <c r="K2">
        <v>1</v>
      </c>
      <c r="L2">
        <v>0</v>
      </c>
    </row>
    <row r="3" spans="1:12" x14ac:dyDescent="0.25">
      <c r="A3" t="s">
        <v>13</v>
      </c>
      <c r="B3">
        <v>3000</v>
      </c>
      <c r="C3" t="s">
        <v>14</v>
      </c>
      <c r="D3">
        <v>5000</v>
      </c>
      <c r="E3" t="s">
        <v>15</v>
      </c>
      <c r="F3">
        <v>1</v>
      </c>
      <c r="G3" t="s">
        <v>16</v>
      </c>
      <c r="H3">
        <v>200</v>
      </c>
      <c r="I3" t="s">
        <v>17</v>
      </c>
      <c r="J3">
        <v>1</v>
      </c>
      <c r="K3" t="s">
        <v>18</v>
      </c>
      <c r="L3">
        <v>0</v>
      </c>
    </row>
    <row r="4" spans="1:12" x14ac:dyDescent="0.25">
      <c r="A4" t="s">
        <v>19</v>
      </c>
      <c r="B4">
        <v>0</v>
      </c>
      <c r="C4" t="s">
        <v>20</v>
      </c>
      <c r="D4">
        <v>100</v>
      </c>
      <c r="E4" t="s">
        <v>21</v>
      </c>
      <c r="F4" t="b">
        <v>1</v>
      </c>
      <c r="G4" t="s">
        <v>22</v>
      </c>
      <c r="H4">
        <v>1E-3</v>
      </c>
      <c r="I4" t="s">
        <v>23</v>
      </c>
      <c r="J4">
        <v>1E-3</v>
      </c>
      <c r="K4" t="s">
        <v>24</v>
      </c>
      <c r="L4">
        <v>1E-3</v>
      </c>
    </row>
    <row r="6" spans="1:12" x14ac:dyDescent="0.25">
      <c r="A6" t="s">
        <v>25</v>
      </c>
      <c r="B6" t="s">
        <v>26</v>
      </c>
      <c r="C6" t="s">
        <v>27</v>
      </c>
      <c r="D6" s="1" t="s">
        <v>28</v>
      </c>
      <c r="E6" s="2" t="s">
        <v>29</v>
      </c>
      <c r="F6" s="3" t="s">
        <v>30</v>
      </c>
    </row>
    <row r="7" spans="1:12" x14ac:dyDescent="0.25">
      <c r="A7">
        <v>3000</v>
      </c>
      <c r="B7">
        <v>0</v>
      </c>
      <c r="C7">
        <v>7.2430000000000003E-3</v>
      </c>
      <c r="D7" s="4">
        <f>B7/(C7*4*PI())</f>
        <v>0</v>
      </c>
      <c r="E7" s="5">
        <v>0</v>
      </c>
      <c r="F7" s="6"/>
    </row>
    <row r="8" spans="1:12" x14ac:dyDescent="0.25">
      <c r="A8">
        <v>3200</v>
      </c>
      <c r="B8">
        <v>23981.555133999998</v>
      </c>
      <c r="C8">
        <v>7.2430000000000003E-3</v>
      </c>
      <c r="D8" s="4">
        <f t="shared" ref="D8:D17" si="0">B8/(C8*4*PI())</f>
        <v>263480.81199826871</v>
      </c>
      <c r="E8" s="5">
        <v>265.91043000000002</v>
      </c>
      <c r="F8" s="6">
        <f>D8/E8</f>
        <v>990.86302104911294</v>
      </c>
      <c r="G8" s="7">
        <f>F8/1000</f>
        <v>0.99086302104911295</v>
      </c>
    </row>
    <row r="9" spans="1:12" x14ac:dyDescent="0.25">
      <c r="A9">
        <v>3400</v>
      </c>
      <c r="B9">
        <v>52115.967708999997</v>
      </c>
      <c r="C9">
        <v>7.2430000000000003E-3</v>
      </c>
      <c r="D9" s="4">
        <f t="shared" si="0"/>
        <v>572588.28350855655</v>
      </c>
      <c r="E9" s="5">
        <v>575.08276000000001</v>
      </c>
      <c r="F9" s="6">
        <f t="shared" ref="F9:F17" si="1">D9/E9</f>
        <v>995.66240432691211</v>
      </c>
      <c r="G9" s="7">
        <f t="shared" ref="G9:G17" si="2">F9/1000</f>
        <v>0.99566240432691211</v>
      </c>
    </row>
    <row r="10" spans="1:12" x14ac:dyDescent="0.25">
      <c r="A10">
        <v>3600</v>
      </c>
      <c r="B10">
        <v>86557.086005000005</v>
      </c>
      <c r="C10">
        <v>7.2430000000000003E-3</v>
      </c>
      <c r="D10" s="4">
        <f t="shared" si="0"/>
        <v>950986.33834916924</v>
      </c>
      <c r="E10" s="5">
        <v>953.58801000000005</v>
      </c>
      <c r="F10" s="6">
        <f t="shared" si="1"/>
        <v>997.27170263934966</v>
      </c>
      <c r="G10" s="7">
        <f t="shared" si="2"/>
        <v>0.99727170263934961</v>
      </c>
    </row>
    <row r="11" spans="1:12" x14ac:dyDescent="0.25">
      <c r="A11">
        <v>3800</v>
      </c>
      <c r="B11">
        <v>131529.05920300001</v>
      </c>
      <c r="C11">
        <v>7.2430000000000003E-3</v>
      </c>
      <c r="D11" s="4">
        <f t="shared" si="0"/>
        <v>1445084.9049001795</v>
      </c>
      <c r="E11" s="5">
        <v>1447.8662999999999</v>
      </c>
      <c r="F11" s="6">
        <f t="shared" si="1"/>
        <v>998.07896965360658</v>
      </c>
      <c r="G11" s="7">
        <f t="shared" si="2"/>
        <v>0.99807896965360654</v>
      </c>
    </row>
    <row r="12" spans="1:12" x14ac:dyDescent="0.25">
      <c r="A12">
        <v>4000</v>
      </c>
      <c r="B12">
        <v>197980.950109</v>
      </c>
      <c r="C12">
        <v>7.2430000000000003E-3</v>
      </c>
      <c r="D12" s="4">
        <f t="shared" si="0"/>
        <v>2175179.2660415065</v>
      </c>
      <c r="E12" s="5">
        <v>2178.2307000000001</v>
      </c>
      <c r="F12" s="6">
        <f t="shared" si="1"/>
        <v>998.59912269233303</v>
      </c>
      <c r="G12" s="7">
        <f t="shared" si="2"/>
        <v>0.99859912269233297</v>
      </c>
    </row>
    <row r="13" spans="1:12" x14ac:dyDescent="0.25">
      <c r="A13">
        <v>4200</v>
      </c>
      <c r="B13">
        <v>284885.82123</v>
      </c>
      <c r="C13">
        <v>7.2430000000000003E-3</v>
      </c>
      <c r="D13" s="4">
        <f t="shared" si="0"/>
        <v>3129986.6537034735</v>
      </c>
      <c r="E13" s="5">
        <v>3133.0990999999999</v>
      </c>
      <c r="F13" s="6">
        <f t="shared" si="1"/>
        <v>999.00659181303058</v>
      </c>
      <c r="G13" s="7">
        <f t="shared" si="2"/>
        <v>0.99900659181303053</v>
      </c>
    </row>
    <row r="14" spans="1:12" x14ac:dyDescent="0.25">
      <c r="A14">
        <v>4400</v>
      </c>
      <c r="B14">
        <v>378463.55756300001</v>
      </c>
      <c r="C14">
        <v>7.2430000000000003E-3</v>
      </c>
      <c r="D14" s="4">
        <f t="shared" si="0"/>
        <v>4158107.5497925943</v>
      </c>
      <c r="E14" s="5">
        <v>4161.0785999999998</v>
      </c>
      <c r="F14" s="6">
        <f t="shared" si="1"/>
        <v>999.28599036619846</v>
      </c>
      <c r="G14" s="7">
        <f t="shared" si="2"/>
        <v>0.99928599036619847</v>
      </c>
    </row>
    <row r="15" spans="1:12" x14ac:dyDescent="0.25">
      <c r="A15">
        <v>4600</v>
      </c>
      <c r="B15">
        <v>471118.49845900002</v>
      </c>
      <c r="C15">
        <v>7.2430000000000003E-3</v>
      </c>
      <c r="D15" s="4">
        <f t="shared" si="0"/>
        <v>5176089.8668908831</v>
      </c>
      <c r="E15" s="5">
        <v>5178.9453000000003</v>
      </c>
      <c r="F15" s="6">
        <f t="shared" si="1"/>
        <v>999.44864582579828</v>
      </c>
      <c r="G15" s="7">
        <f t="shared" si="2"/>
        <v>0.99944864582579829</v>
      </c>
    </row>
    <row r="16" spans="1:12" x14ac:dyDescent="0.25">
      <c r="A16">
        <v>4800</v>
      </c>
      <c r="B16">
        <v>558999.21602599998</v>
      </c>
      <c r="C16">
        <v>7.2430000000000003E-3</v>
      </c>
      <c r="D16" s="4">
        <f t="shared" si="0"/>
        <v>6141618.6949490635</v>
      </c>
      <c r="E16" s="5">
        <v>6144.2191999999995</v>
      </c>
      <c r="F16" s="6">
        <f t="shared" si="1"/>
        <v>999.57675581448393</v>
      </c>
      <c r="G16" s="7">
        <f t="shared" si="2"/>
        <v>0.99957675581448391</v>
      </c>
    </row>
    <row r="17" spans="1:7" x14ac:dyDescent="0.25">
      <c r="A17">
        <v>5000</v>
      </c>
      <c r="B17">
        <v>636177.27540699998</v>
      </c>
      <c r="C17">
        <v>7.2430000000000003E-3</v>
      </c>
      <c r="D17" s="4">
        <f>B17/(C17*4*PI())</f>
        <v>6989559.4410988614</v>
      </c>
      <c r="E17" s="5">
        <v>6991.9657999999999</v>
      </c>
      <c r="F17" s="6">
        <f t="shared" si="1"/>
        <v>999.65583943486411</v>
      </c>
      <c r="G17" s="7">
        <f t="shared" si="2"/>
        <v>0.99965583943486414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ERYA-Bulk</dc:creator>
  <cp:lastModifiedBy>jdc</cp:lastModifiedBy>
  <cp:revision>0</cp:revision>
  <dcterms:created xsi:type="dcterms:W3CDTF">2018-09-20T13:51:43Z</dcterms:created>
  <dcterms:modified xsi:type="dcterms:W3CDTF">2018-09-21T13:25:07Z</dcterms:modified>
</cp:coreProperties>
</file>