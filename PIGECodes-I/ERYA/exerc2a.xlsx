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ERYA-exercicio\IAEA\"/>
    </mc:Choice>
  </mc:AlternateContent>
  <bookViews>
    <workbookView xWindow="0" yWindow="0" windowWidth="19200" windowHeight="76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7" i="1" l="1"/>
  <c r="H15" i="1"/>
  <c r="H14" i="1"/>
  <c r="H13" i="1"/>
  <c r="H12" i="1"/>
  <c r="H11" i="1"/>
  <c r="H10" i="1"/>
  <c r="H9" i="1"/>
  <c r="H8" i="1"/>
  <c r="D15" i="1" l="1"/>
  <c r="D7" i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<sst xmlns="http://schemas.openxmlformats.org/spreadsheetml/2006/main" count="38" uniqueCount="36">
  <si>
    <t>Element</t>
  </si>
  <si>
    <t>Gamma Peak</t>
  </si>
  <si>
    <t>Fit</t>
  </si>
  <si>
    <t>Fixed Ratio Group</t>
  </si>
  <si>
    <t>Calibration Parameter</t>
  </si>
  <si>
    <t>Stoichiometric Guess</t>
  </si>
  <si>
    <t>Yield Guess</t>
  </si>
  <si>
    <t>Yield Experimental</t>
  </si>
  <si>
    <t>Yield Fitted</t>
  </si>
  <si>
    <t>Stoichiometric Fitted</t>
  </si>
  <si>
    <t>Stoichiometric Mass</t>
  </si>
  <si>
    <t>Stoichiometric Error</t>
  </si>
  <si>
    <t>10B_sample2a</t>
  </si>
  <si>
    <t>Emin(keV)=</t>
  </si>
  <si>
    <t>Emax(keV)=</t>
  </si>
  <si>
    <t>Step(keV)=</t>
  </si>
  <si>
    <t>Detector Calibration</t>
  </si>
  <si>
    <t>Charge(uC)=</t>
  </si>
  <si>
    <t>Thickness(ug/cm2)=</t>
  </si>
  <si>
    <t>Number Iterations=</t>
  </si>
  <si>
    <t>Maximum Iterations=</t>
  </si>
  <si>
    <t>Successful Fitting?</t>
  </si>
  <si>
    <t>Initial Damping=</t>
  </si>
  <si>
    <t>Yield Precision=</t>
  </si>
  <si>
    <t>Stoichiometry Precision=</t>
  </si>
  <si>
    <t>Energy (keV)</t>
  </si>
  <si>
    <t>Yield 10B_sample2a (429 keV)</t>
  </si>
  <si>
    <t>Effic HPGE</t>
  </si>
  <si>
    <t>Y / Counts/uC/sr</t>
  </si>
  <si>
    <t>10B_sample2a (429 keV)</t>
  </si>
  <si>
    <t>ERYA BULK</t>
  </si>
  <si>
    <t>(no straggling)</t>
  </si>
  <si>
    <t>ERYA PROFILING</t>
  </si>
  <si>
    <t>(3 keV beam resolution)</t>
  </si>
  <si>
    <t>NO STRAGGLING</t>
  </si>
  <si>
    <t>WITH STRAGGLING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</si>
</sst>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2" borderId="0" xfId="0" applyFill="1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/>
    <xf numFmtId="0" fontId="0" fillId="0" borderId="3" xfId="0" applyBorder="1"/>
    <xf numFmtId="0" fontId="0" fillId="0" borderId="8" xfId="0" applyBorder="1"/>
    <xf numFmtId="0" fontId="1" fillId="3" borderId="3" xfId="0" applyFont="1" applyFill="1" applyBorder="1" applyAlignment="1">
      <alignment horizontal="center"/>
    </xf>
    <xf numFmtId="0" fontId="2" fillId="3" borderId="5" xfId="0" applyFont="1" applyFill="1" applyBorder="1"/>
    <xf numFmtId="0" fontId="1" fillId="3" borderId="5" xfId="0" applyFont="1" applyFill="1" applyBorder="1"/>
    <xf numFmtId="0" fontId="1" fillId="3" borderId="8" xfId="0" applyFont="1" applyFill="1" applyBorder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352426</xdr:colOff>
      <xdr:row>17</xdr:row>
      <xdr:rowOff>76200</xdr:rowOff>
    </xdr:from>
    <xdr:to>
      <xdr:col>8</xdr:col>
      <xdr:colOff>828676</xdr:colOff>
      <xdr:row>36</xdr:row>
      <xdr:rowOff>18945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1" y="3505200"/>
          <a:ext cx="5276850" cy="3743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tabSelected="1" topLeftCell="B2" workbookViewId="0">
      <selection activeCell="H5" sqref="H5"/>
    </sheetView>
  </sheetViews>
  <sheetFormatPr defaultColWidth="21" defaultRowHeight="15.75" x14ac:dyDescent="0.25"/>
  <cols>
    <col min="2" max="2" width="26.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429</v>
      </c>
      <c r="C2" t="b">
        <v>0</v>
      </c>
      <c r="E2">
        <v>1</v>
      </c>
      <c r="F2">
        <v>1</v>
      </c>
      <c r="G2">
        <v>379990.132224</v>
      </c>
      <c r="I2">
        <v>379990.132224</v>
      </c>
      <c r="J2">
        <v>1</v>
      </c>
      <c r="K2">
        <v>1</v>
      </c>
      <c r="L2">
        <v>0</v>
      </c>
    </row>
    <row r="3" spans="1:12" x14ac:dyDescent="0.25">
      <c r="A3" t="s">
        <v>13</v>
      </c>
      <c r="B3">
        <v>3000</v>
      </c>
      <c r="C3" t="s">
        <v>14</v>
      </c>
      <c r="D3">
        <v>3800</v>
      </c>
      <c r="E3" t="s">
        <v>15</v>
      </c>
      <c r="F3">
        <v>1</v>
      </c>
      <c r="G3" t="s">
        <v>16</v>
      </c>
      <c r="H3">
        <v>100</v>
      </c>
      <c r="I3" t="s">
        <v>17</v>
      </c>
      <c r="J3">
        <v>1</v>
      </c>
      <c r="K3" t="s">
        <v>18</v>
      </c>
      <c r="L3">
        <v>0</v>
      </c>
    </row>
    <row r="4" spans="1:12" x14ac:dyDescent="0.25">
      <c r="A4" t="s">
        <v>19</v>
      </c>
      <c r="B4">
        <v>0</v>
      </c>
      <c r="C4" t="s">
        <v>20</v>
      </c>
      <c r="D4">
        <v>100</v>
      </c>
      <c r="E4" t="s">
        <v>21</v>
      </c>
      <c r="F4" t="b">
        <v>1</v>
      </c>
      <c r="G4" t="s">
        <v>22</v>
      </c>
      <c r="H4">
        <v>1E-3</v>
      </c>
      <c r="I4" t="s">
        <v>23</v>
      </c>
      <c r="J4">
        <v>1E-3</v>
      </c>
      <c r="K4" t="s">
        <v>24</v>
      </c>
      <c r="L4">
        <v>1E-3</v>
      </c>
    </row>
    <row r="5" spans="1:12" ht="16.5" thickBot="1" x14ac:dyDescent="0.3">
      <c r="D5" s="16" t="s">
        <v>34</v>
      </c>
      <c r="H5" s="16" t="s">
        <v>35</v>
      </c>
    </row>
    <row r="6" spans="1:12" x14ac:dyDescent="0.25">
      <c r="A6" t="s">
        <v>25</v>
      </c>
      <c r="B6" s="1" t="s">
        <v>26</v>
      </c>
      <c r="C6" s="2" t="s">
        <v>27</v>
      </c>
      <c r="D6" s="3" t="s">
        <v>28</v>
      </c>
      <c r="E6" s="12"/>
      <c r="F6" s="1" t="s">
        <v>29</v>
      </c>
      <c r="G6" s="2" t="s">
        <v>27</v>
      </c>
      <c r="H6" s="3" t="s">
        <v>28</v>
      </c>
      <c r="I6" s="12"/>
    </row>
    <row r="7" spans="1:12" x14ac:dyDescent="0.25">
      <c r="A7">
        <v>3000</v>
      </c>
      <c r="B7" s="4">
        <v>0</v>
      </c>
      <c r="C7" s="5">
        <v>1.0560999999999999E-2</v>
      </c>
      <c r="D7" s="6">
        <f>B7/(C7*4*PI())</f>
        <v>0</v>
      </c>
      <c r="E7" s="13"/>
      <c r="F7" s="4">
        <v>464.59985999999998</v>
      </c>
      <c r="G7" s="5">
        <v>1.0560999999999999E-2</v>
      </c>
      <c r="H7" s="6">
        <f>F7/(G7*4*PI())</f>
        <v>3500.7747504404201</v>
      </c>
      <c r="I7" s="13"/>
    </row>
    <row r="8" spans="1:12" x14ac:dyDescent="0.25">
      <c r="A8">
        <v>3100</v>
      </c>
      <c r="B8" s="4">
        <v>68551.184005000003</v>
      </c>
      <c r="C8" s="5">
        <v>1.0560999999999999E-2</v>
      </c>
      <c r="D8" s="6">
        <f>B8/(C8*4*PI())</f>
        <v>516535.35598891316</v>
      </c>
      <c r="E8" s="14"/>
      <c r="F8" s="4">
        <v>65505.142520000001</v>
      </c>
      <c r="G8" s="5">
        <v>1.0560999999999999E-2</v>
      </c>
      <c r="H8" s="6">
        <f>F8/(G8*4*PI())</f>
        <v>493583.33633164928</v>
      </c>
      <c r="I8" s="14"/>
    </row>
    <row r="9" spans="1:12" x14ac:dyDescent="0.25">
      <c r="A9">
        <v>3200</v>
      </c>
      <c r="B9" s="4">
        <v>131385.45110100001</v>
      </c>
      <c r="C9" s="5">
        <v>1.0560999999999999E-2</v>
      </c>
      <c r="D9" s="6">
        <f t="shared" ref="D9:D14" si="0">B9/(C9*4*PI())</f>
        <v>989993.56088829937</v>
      </c>
      <c r="E9" s="14"/>
      <c r="F9" s="4">
        <v>128606.281149</v>
      </c>
      <c r="G9" s="5">
        <v>1.0560999999999999E-2</v>
      </c>
      <c r="H9" s="6">
        <f t="shared" ref="H9:H14" si="1">F9/(G9*4*PI())</f>
        <v>969052.42673654913</v>
      </c>
      <c r="I9" s="14"/>
    </row>
    <row r="10" spans="1:12" x14ac:dyDescent="0.25">
      <c r="A10">
        <v>3300</v>
      </c>
      <c r="B10" s="4">
        <v>185957.89150999999</v>
      </c>
      <c r="C10" s="5">
        <v>1.0560999999999999E-2</v>
      </c>
      <c r="D10" s="6">
        <f t="shared" si="0"/>
        <v>1401198.6384226352</v>
      </c>
      <c r="E10" s="14"/>
      <c r="F10" s="4">
        <v>183344.025127</v>
      </c>
      <c r="G10" s="5">
        <v>1.0560999999999999E-2</v>
      </c>
      <c r="H10" s="6">
        <f t="shared" si="1"/>
        <v>1381503.0719310064</v>
      </c>
      <c r="I10" s="14"/>
    </row>
    <row r="11" spans="1:12" x14ac:dyDescent="0.25">
      <c r="A11">
        <v>3400</v>
      </c>
      <c r="B11" s="4">
        <v>231942.445159</v>
      </c>
      <c r="C11" s="5">
        <v>1.0560999999999999E-2</v>
      </c>
      <c r="D11" s="6">
        <f t="shared" si="0"/>
        <v>1747693.7155513542</v>
      </c>
      <c r="E11" s="14"/>
      <c r="F11" s="4">
        <v>229879.39355800001</v>
      </c>
      <c r="G11" s="5">
        <v>1.0560999999999999E-2</v>
      </c>
      <c r="H11" s="6">
        <f t="shared" si="1"/>
        <v>1732148.5559948352</v>
      </c>
      <c r="I11" s="14"/>
    </row>
    <row r="12" spans="1:12" x14ac:dyDescent="0.25">
      <c r="A12">
        <v>3500</v>
      </c>
      <c r="B12" s="4">
        <v>272554.41357400001</v>
      </c>
      <c r="C12" s="5">
        <v>1.0560999999999999E-2</v>
      </c>
      <c r="D12" s="6">
        <f t="shared" si="0"/>
        <v>2053706.191734442</v>
      </c>
      <c r="E12" s="14"/>
      <c r="F12" s="4">
        <v>270682.90582799999</v>
      </c>
      <c r="G12" s="5">
        <v>1.0560999999999999E-2</v>
      </c>
      <c r="H12" s="6">
        <f t="shared" si="1"/>
        <v>2039604.3212292497</v>
      </c>
      <c r="I12" s="14"/>
    </row>
    <row r="13" spans="1:12" x14ac:dyDescent="0.25">
      <c r="A13">
        <v>3600</v>
      </c>
      <c r="B13" s="4">
        <v>310551.04742800002</v>
      </c>
      <c r="C13" s="5">
        <v>1.0560999999999999E-2</v>
      </c>
      <c r="D13" s="6">
        <f t="shared" si="0"/>
        <v>2340012.0386578846</v>
      </c>
      <c r="E13" s="14"/>
      <c r="F13" s="4">
        <v>308923.24123300001</v>
      </c>
      <c r="G13" s="5">
        <v>1.0560999999999999E-2</v>
      </c>
      <c r="H13" s="6">
        <f t="shared" si="1"/>
        <v>2327746.4671054813</v>
      </c>
      <c r="I13" s="14"/>
    </row>
    <row r="14" spans="1:12" x14ac:dyDescent="0.25">
      <c r="A14">
        <v>3700</v>
      </c>
      <c r="B14" s="4">
        <v>345650.50928699999</v>
      </c>
      <c r="C14" s="5">
        <v>1.0560999999999999E-2</v>
      </c>
      <c r="D14" s="6">
        <f t="shared" si="0"/>
        <v>2604487.602275217</v>
      </c>
      <c r="E14" s="14"/>
      <c r="F14" s="4">
        <v>343985.366439</v>
      </c>
      <c r="G14" s="5">
        <v>1.0560999999999999E-2</v>
      </c>
      <c r="H14" s="6">
        <f t="shared" si="1"/>
        <v>2591940.6978526567</v>
      </c>
      <c r="I14" s="14"/>
    </row>
    <row r="15" spans="1:12" ht="16.5" thickBot="1" x14ac:dyDescent="0.3">
      <c r="A15">
        <v>3800</v>
      </c>
      <c r="B15" s="7">
        <v>379990.132224</v>
      </c>
      <c r="C15" s="8">
        <v>1.0560999999999999E-2</v>
      </c>
      <c r="D15" s="9">
        <f>B15/(C15*4*PI())</f>
        <v>2863237.7554015964</v>
      </c>
      <c r="E15" s="15"/>
      <c r="F15" s="7">
        <v>378577.520219</v>
      </c>
      <c r="G15" s="8">
        <v>1.0560999999999999E-2</v>
      </c>
      <c r="H15" s="9">
        <f>F15/(G15*4*PI())</f>
        <v>2852593.6789284069</v>
      </c>
      <c r="I15" s="15"/>
    </row>
    <row r="16" spans="1:12" x14ac:dyDescent="0.25">
      <c r="B16" s="1" t="s">
        <v>30</v>
      </c>
      <c r="C16" s="2"/>
      <c r="D16" s="2"/>
      <c r="E16" s="10"/>
      <c r="F16" s="1" t="s">
        <v>32</v>
      </c>
      <c r="G16" s="2"/>
      <c r="H16" s="2"/>
      <c r="I16" s="10"/>
    </row>
    <row r="17" spans="2:9" ht="16.5" thickBot="1" x14ac:dyDescent="0.3">
      <c r="B17" s="7" t="s">
        <v>31</v>
      </c>
      <c r="C17" s="8"/>
      <c r="D17" s="8"/>
      <c r="E17" s="11"/>
      <c r="F17" s="7" t="s">
        <v>33</v>
      </c>
      <c r="G17" s="8"/>
      <c r="H17" s="8"/>
      <c r="I17" s="11"/>
    </row>
  </sheetData>
  <pageMargins left="0.7" right="0.7" top="0.75" bottom="0.75" header="0.3" footer="0.3"/>
  <pageSetup paperSize="9"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cp:lastPrinted>2018-09-25T09:28:05Z</cp:lastPrinted>
  <dcterms:created xsi:type="dcterms:W3CDTF">2018-09-22T18:59:01Z</dcterms:created>
  <dcterms:modified xsi:type="dcterms:W3CDTF">2018-09-26T08:02:22Z</dcterms:modified>
</cp:coreProperties>
</file>